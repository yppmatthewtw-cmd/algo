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說明與數據出處" sheetId="1" state="visible" r:id="rId3"/>
    <sheet name="01_百大指標公式表" sheetId="2" state="visible" r:id="rId4"/>
    <sheet name="02_計算示範_NDX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<sst xmlns="http://schemas.openxmlformats.org/spreadsheetml/2006/main" count="3383" uniqueCount="3083">
  <si>
    <r>
      <rPr>
        <b val="true"/>
        <sz val="12"/>
        <rFont val="WenQuanYi Zen Hei"/>
        <family val="2"/>
      </rPr>
      <t xml:space="preserve">通用量化交易百大指標 — 計算公式與數據出處 </t>
    </r>
    <r>
      <rPr>
        <b val="true"/>
        <sz val="12"/>
        <rFont val="Arial"/>
        <family val="0"/>
        <charset val="1"/>
      </rPr>
      <t xml:space="preserve">(2026-07)</t>
    </r>
  </si>
  <si>
    <t xml:space="preserve">排列</t>
  </si>
  <si>
    <r>
      <rPr>
        <sz val="9"/>
        <rFont val="WenQuanYi Zen Hei"/>
        <family val="2"/>
      </rPr>
      <t xml:space="preserve">按重要性由高至低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序號越低越重要。梯隊</t>
    </r>
    <r>
      <rPr>
        <sz val="9"/>
        <rFont val="Arial"/>
        <family val="0"/>
        <charset val="1"/>
      </rPr>
      <t xml:space="preserve">: </t>
    </r>
    <r>
      <rPr>
        <sz val="9"/>
        <rFont val="WenQuanYi Zen Hei"/>
        <family val="2"/>
      </rPr>
      <t xml:space="preserve">一</t>
    </r>
    <r>
      <rPr>
        <sz val="9"/>
        <rFont val="Arial"/>
        <family val="0"/>
        <charset val="1"/>
      </rPr>
      <t xml:space="preserve">=</t>
    </r>
    <r>
      <rPr>
        <sz val="9"/>
        <rFont val="WenQuanYi Zen Hei"/>
        <family val="2"/>
      </rPr>
      <t xml:space="preserve">核心價格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趨勢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波動</t>
    </r>
    <r>
      <rPr>
        <sz val="9"/>
        <rFont val="Arial"/>
        <family val="0"/>
        <charset val="1"/>
      </rPr>
      <t xml:space="preserve">(1-15) </t>
    </r>
    <r>
      <rPr>
        <sz val="9"/>
        <rFont val="WenQuanYi Zen Hei"/>
        <family val="2"/>
      </rPr>
      <t xml:space="preserve">二</t>
    </r>
    <r>
      <rPr>
        <sz val="9"/>
        <rFont val="Arial"/>
        <family val="0"/>
        <charset val="1"/>
      </rPr>
      <t xml:space="preserve">=</t>
    </r>
    <r>
      <rPr>
        <sz val="9"/>
        <rFont val="WenQuanYi Zen Hei"/>
        <family val="2"/>
      </rPr>
      <t xml:space="preserve">廣度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情緒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跨巿場</t>
    </r>
    <r>
      <rPr>
        <sz val="9"/>
        <rFont val="Arial"/>
        <family val="0"/>
        <charset val="1"/>
      </rPr>
      <t xml:space="preserve">(16-30) </t>
    </r>
    <r>
      <rPr>
        <sz val="9"/>
        <rFont val="WenQuanYi Zen Hei"/>
        <family val="2"/>
      </rPr>
      <t xml:space="preserve">三</t>
    </r>
    <r>
      <rPr>
        <sz val="9"/>
        <rFont val="Arial"/>
        <family val="0"/>
        <charset val="1"/>
      </rPr>
      <t xml:space="preserve">=</t>
    </r>
    <r>
      <rPr>
        <sz val="9"/>
        <rFont val="WenQuanYi Zen Hei"/>
        <family val="2"/>
      </rPr>
      <t xml:space="preserve">進階技術</t>
    </r>
    <r>
      <rPr>
        <sz val="9"/>
        <rFont val="Arial"/>
        <family val="0"/>
        <charset val="1"/>
      </rPr>
      <t xml:space="preserve">(31-50) </t>
    </r>
    <r>
      <rPr>
        <sz val="9"/>
        <rFont val="WenQuanYi Zen Hei"/>
        <family val="2"/>
      </rPr>
      <t xml:space="preserve">四</t>
    </r>
    <r>
      <rPr>
        <sz val="9"/>
        <rFont val="Arial"/>
        <family val="0"/>
        <charset val="1"/>
      </rPr>
      <t xml:space="preserve">=</t>
    </r>
    <r>
      <rPr>
        <sz val="9"/>
        <rFont val="WenQuanYi Zen Hei"/>
        <family val="2"/>
      </rPr>
      <t xml:space="preserve">宏觀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流動性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基本面</t>
    </r>
    <r>
      <rPr>
        <sz val="9"/>
        <rFont val="Arial"/>
        <family val="0"/>
        <charset val="1"/>
      </rPr>
      <t xml:space="preserve">(51-70) </t>
    </r>
    <r>
      <rPr>
        <sz val="9"/>
        <rFont val="WenQuanYi Zen Hei"/>
        <family val="2"/>
      </rPr>
      <t xml:space="preserve">五</t>
    </r>
    <r>
      <rPr>
        <sz val="9"/>
        <rFont val="Arial"/>
        <family val="0"/>
        <charset val="1"/>
      </rPr>
      <t xml:space="preserve">=</t>
    </r>
    <r>
      <rPr>
        <sz val="9"/>
        <rFont val="WenQuanYi Zen Hei"/>
        <family val="2"/>
      </rPr>
      <t xml:space="preserve">微結構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衍生品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另類</t>
    </r>
    <r>
      <rPr>
        <sz val="9"/>
        <rFont val="Arial"/>
        <family val="0"/>
        <charset val="1"/>
      </rPr>
      <t xml:space="preserve">(71-85) </t>
    </r>
    <r>
      <rPr>
        <sz val="9"/>
        <rFont val="WenQuanYi Zen Hei"/>
        <family val="2"/>
      </rPr>
      <t xml:space="preserve">六</t>
    </r>
    <r>
      <rPr>
        <sz val="9"/>
        <rFont val="Arial"/>
        <family val="0"/>
        <charset val="1"/>
      </rPr>
      <t xml:space="preserve">=</t>
    </r>
    <r>
      <rPr>
        <sz val="9"/>
        <rFont val="WenQuanYi Zen Hei"/>
        <family val="2"/>
      </rPr>
      <t xml:space="preserve">統計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因子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績效風控</t>
    </r>
    <r>
      <rPr>
        <sz val="9"/>
        <rFont val="Arial"/>
        <family val="0"/>
        <charset val="1"/>
      </rPr>
      <t xml:space="preserve">(86-100)</t>
    </r>
    <r>
      <rPr>
        <sz val="9"/>
        <rFont val="WenQuanYi Zen Hei"/>
        <family val="2"/>
      </rPr>
      <t xml:space="preserve">。</t>
    </r>
  </si>
  <si>
    <t xml:space="preserve">符號約定</t>
  </si>
  <si>
    <r>
      <rPr>
        <sz val="9"/>
        <rFont val="Arial"/>
        <family val="0"/>
        <charset val="1"/>
      </rPr>
      <t xml:space="preserve">C=</t>
    </r>
    <r>
      <rPr>
        <sz val="9"/>
        <rFont val="WenQuanYi Zen Hei"/>
        <family val="2"/>
      </rPr>
      <t xml:space="preserve">收盤 </t>
    </r>
    <r>
      <rPr>
        <sz val="9"/>
        <rFont val="Arial"/>
        <family val="0"/>
        <charset val="1"/>
      </rPr>
      <t xml:space="preserve">O=</t>
    </r>
    <r>
      <rPr>
        <sz val="9"/>
        <rFont val="WenQuanYi Zen Hei"/>
        <family val="2"/>
      </rPr>
      <t xml:space="preserve">開盤 </t>
    </r>
    <r>
      <rPr>
        <sz val="9"/>
        <rFont val="Arial"/>
        <family val="0"/>
        <charset val="1"/>
      </rPr>
      <t xml:space="preserve">H=</t>
    </r>
    <r>
      <rPr>
        <sz val="9"/>
        <rFont val="WenQuanYi Zen Hei"/>
        <family val="2"/>
      </rPr>
      <t xml:space="preserve">最高 </t>
    </r>
    <r>
      <rPr>
        <sz val="9"/>
        <rFont val="Arial"/>
        <family val="0"/>
        <charset val="1"/>
      </rPr>
      <t xml:space="preserve">L=</t>
    </r>
    <r>
      <rPr>
        <sz val="9"/>
        <rFont val="WenQuanYi Zen Hei"/>
        <family val="2"/>
      </rPr>
      <t xml:space="preserve">最低 </t>
    </r>
    <r>
      <rPr>
        <sz val="9"/>
        <rFont val="Arial"/>
        <family val="0"/>
        <charset val="1"/>
      </rPr>
      <t xml:space="preserve">V=</t>
    </r>
    <r>
      <rPr>
        <sz val="9"/>
        <rFont val="WenQuanYi Zen Hei"/>
        <family val="2"/>
      </rPr>
      <t xml:space="preserve">成交量 </t>
    </r>
    <r>
      <rPr>
        <sz val="9"/>
        <rFont val="Arial"/>
        <family val="0"/>
        <charset val="1"/>
      </rPr>
      <t xml:space="preserve">P=</t>
    </r>
    <r>
      <rPr>
        <sz val="9"/>
        <rFont val="WenQuanYi Zen Hei"/>
        <family val="2"/>
      </rPr>
      <t xml:space="preserve">價格 </t>
    </r>
    <r>
      <rPr>
        <sz val="9"/>
        <rFont val="Arial"/>
        <family val="0"/>
        <charset val="1"/>
      </rPr>
      <t xml:space="preserve">F=</t>
    </r>
    <r>
      <rPr>
        <sz val="9"/>
        <rFont val="WenQuanYi Zen Hei"/>
        <family val="2"/>
      </rPr>
      <t xml:space="preserve">期貨價 </t>
    </r>
    <r>
      <rPr>
        <sz val="9"/>
        <rFont val="Arial"/>
        <family val="0"/>
        <charset val="1"/>
      </rPr>
      <t xml:space="preserve">S=</t>
    </r>
    <r>
      <rPr>
        <sz val="9"/>
        <rFont val="WenQuanYi Zen Hei"/>
        <family val="2"/>
      </rPr>
      <t xml:space="preserve">現貨價 </t>
    </r>
    <r>
      <rPr>
        <sz val="9"/>
        <rFont val="Arial"/>
        <family val="0"/>
        <charset val="1"/>
      </rPr>
      <t xml:space="preserve">r=</t>
    </r>
    <r>
      <rPr>
        <sz val="9"/>
        <rFont val="WenQuanYi Zen Hei"/>
        <family val="2"/>
      </rPr>
      <t xml:space="preserve">報酬 </t>
    </r>
    <r>
      <rPr>
        <sz val="9"/>
        <rFont val="Arial"/>
        <family val="0"/>
        <charset val="1"/>
      </rPr>
      <t xml:space="preserve">σ=</t>
    </r>
    <r>
      <rPr>
        <sz val="9"/>
        <rFont val="WenQuanYi Zen Hei"/>
        <family val="2"/>
      </rPr>
      <t xml:space="preserve">標準差 </t>
    </r>
    <r>
      <rPr>
        <sz val="9"/>
        <rFont val="Arial"/>
        <family val="0"/>
        <charset val="1"/>
      </rPr>
      <t xml:space="preserve">n=</t>
    </r>
    <r>
      <rPr>
        <sz val="9"/>
        <rFont val="WenQuanYi Zen Hei"/>
        <family val="2"/>
      </rPr>
      <t xml:space="preserve">回看期。</t>
    </r>
    <r>
      <rPr>
        <sz val="9"/>
        <rFont val="Arial"/>
        <family val="0"/>
        <charset val="1"/>
      </rPr>
      <t xml:space="preserve">SMA=</t>
    </r>
    <r>
      <rPr>
        <sz val="9"/>
        <rFont val="WenQuanYi Zen Hei"/>
        <family val="2"/>
      </rPr>
      <t xml:space="preserve">簡單移動平均</t>
    </r>
    <r>
      <rPr>
        <sz val="9"/>
        <rFont val="Arial"/>
        <family val="0"/>
        <charset val="1"/>
      </rPr>
      <t xml:space="preserve">; EMA=</t>
    </r>
    <r>
      <rPr>
        <sz val="9"/>
        <rFont val="WenQuanYi Zen Hei"/>
        <family val="2"/>
      </rPr>
      <t xml:space="preserve">指數移動平均</t>
    </r>
    <r>
      <rPr>
        <sz val="9"/>
        <rFont val="Arial"/>
        <family val="0"/>
        <charset val="1"/>
      </rPr>
      <t xml:space="preserve">(α=2/(n+1)); SMMA=Wilder</t>
    </r>
    <r>
      <rPr>
        <sz val="9"/>
        <rFont val="WenQuanYi Zen Hei"/>
        <family val="2"/>
      </rPr>
      <t xml:space="preserve">平滑</t>
    </r>
    <r>
      <rPr>
        <sz val="9"/>
        <rFont val="Arial"/>
        <family val="0"/>
        <charset val="1"/>
      </rPr>
      <t xml:space="preserve">(α=1/n); ROC=</t>
    </r>
    <r>
      <rPr>
        <sz val="9"/>
        <rFont val="WenQuanYi Zen Hei"/>
        <family val="2"/>
      </rPr>
      <t xml:space="preserve">變動率</t>
    </r>
    <r>
      <rPr>
        <sz val="9"/>
        <rFont val="Arial"/>
        <family val="0"/>
        <charset val="1"/>
      </rPr>
      <t xml:space="preserve">; TP=(H+L+C)/3</t>
    </r>
    <r>
      <rPr>
        <sz val="9"/>
        <rFont val="WenQuanYi Zen Hei"/>
        <family val="2"/>
      </rPr>
      <t xml:space="preserve">典型價</t>
    </r>
    <r>
      <rPr>
        <sz val="9"/>
        <rFont val="Arial"/>
        <family val="0"/>
        <charset val="1"/>
      </rPr>
      <t xml:space="preserve">; TR=</t>
    </r>
    <r>
      <rPr>
        <sz val="9"/>
        <rFont val="WenQuanYi Zen Hei"/>
        <family val="2"/>
      </rPr>
      <t xml:space="preserve">真實波幅</t>
    </r>
    <r>
      <rPr>
        <sz val="9"/>
        <rFont val="Arial"/>
        <family val="0"/>
        <charset val="1"/>
      </rPr>
      <t xml:space="preserve">; OI=</t>
    </r>
    <r>
      <rPr>
        <sz val="9"/>
        <rFont val="WenQuanYi Zen Hei"/>
        <family val="2"/>
      </rPr>
      <t xml:space="preserve">未平倉合約。</t>
    </r>
  </si>
  <si>
    <t xml:space="preserve">主要免費數據出處</t>
  </si>
  <si>
    <r>
      <rPr>
        <sz val="9"/>
        <rFont val="Arial"/>
        <family val="0"/>
        <charset val="1"/>
      </rPr>
      <t xml:space="preserve">① FRED (fred.stlouisfed.org): </t>
    </r>
    <r>
      <rPr>
        <sz val="9"/>
        <rFont val="WenQuanYi Zen Hei"/>
        <family val="2"/>
      </rPr>
      <t xml:space="preserve">利率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利差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宏觀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流動性全系列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表內列明代碼 </t>
    </r>
    <r>
      <rPr>
        <sz val="9"/>
        <rFont val="Arial"/>
        <family val="0"/>
        <charset val="1"/>
      </rPr>
      <t xml:space="preserve">| ② CBOE (cboe.com): VIX/VIX3M/SKEW/Put-Call | ③ CFTC (cftc.gov): COT</t>
    </r>
    <r>
      <rPr>
        <sz val="9"/>
        <rFont val="WenQuanYi Zen Hei"/>
        <family val="2"/>
      </rPr>
      <t xml:space="preserve">持倉週報 </t>
    </r>
    <r>
      <rPr>
        <sz val="9"/>
        <rFont val="Arial"/>
        <family val="0"/>
        <charset val="1"/>
      </rPr>
      <t xml:space="preserve">| ④ FINRA (finra.org): </t>
    </r>
    <r>
      <rPr>
        <sz val="9"/>
        <rFont val="WenQuanYi Zen Hei"/>
        <family val="2"/>
      </rPr>
      <t xml:space="preserve">融資餘額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暗池 </t>
    </r>
    <r>
      <rPr>
        <sz val="9"/>
        <rFont val="Arial"/>
        <family val="0"/>
        <charset val="1"/>
      </rPr>
      <t xml:space="preserve">| ⑤ SEC EDGAR: Form 4</t>
    </r>
    <r>
      <rPr>
        <sz val="9"/>
        <rFont val="WenQuanYi Zen Hei"/>
        <family val="2"/>
      </rPr>
      <t xml:space="preserve">內部人 </t>
    </r>
    <r>
      <rPr>
        <sz val="9"/>
        <rFont val="Arial"/>
        <family val="0"/>
        <charset val="1"/>
      </rPr>
      <t xml:space="preserve">| ⑥ ICI (ici.org): </t>
    </r>
    <r>
      <rPr>
        <sz val="9"/>
        <rFont val="WenQuanYi Zen Hei"/>
        <family val="2"/>
      </rPr>
      <t xml:space="preserve">基金資金流 </t>
    </r>
    <r>
      <rPr>
        <sz val="9"/>
        <rFont val="Arial"/>
        <family val="0"/>
        <charset val="1"/>
      </rPr>
      <t xml:space="preserve">| ⑦ Conference Board: LEI/</t>
    </r>
    <r>
      <rPr>
        <sz val="9"/>
        <rFont val="WenQuanYi Zen Hei"/>
        <family val="2"/>
      </rPr>
      <t xml:space="preserve">消費者信心 </t>
    </r>
    <r>
      <rPr>
        <sz val="9"/>
        <rFont val="Arial"/>
        <family val="0"/>
        <charset val="1"/>
      </rPr>
      <t xml:space="preserve">| ⑧ ISM (ismworld.org): PMI | ⑨ Shiller (econ.yale.edu/~shiller): CAPE</t>
    </r>
    <r>
      <rPr>
        <sz val="9"/>
        <rFont val="WenQuanYi Zen Hei"/>
        <family val="2"/>
      </rPr>
      <t xml:space="preserve">百年數據 </t>
    </r>
    <r>
      <rPr>
        <sz val="9"/>
        <rFont val="Arial"/>
        <family val="0"/>
        <charset val="1"/>
      </rPr>
      <t xml:space="preserve">| ⑩ Ken French Data Library: </t>
    </r>
    <r>
      <rPr>
        <sz val="9"/>
        <rFont val="WenQuanYi Zen Hei"/>
        <family val="2"/>
      </rPr>
      <t xml:space="preserve">因子報酬 </t>
    </r>
    <r>
      <rPr>
        <sz val="9"/>
        <rFont val="Arial"/>
        <family val="0"/>
        <charset val="1"/>
      </rPr>
      <t xml:space="preserve">| ⑪ OHLCV</t>
    </r>
    <r>
      <rPr>
        <sz val="9"/>
        <rFont val="WenQuanYi Zen Hei"/>
        <family val="2"/>
      </rPr>
      <t xml:space="preserve">行情</t>
    </r>
    <r>
      <rPr>
        <sz val="9"/>
        <rFont val="Arial"/>
        <family val="0"/>
        <charset val="1"/>
      </rPr>
      <t xml:space="preserve">: </t>
    </r>
    <r>
      <rPr>
        <sz val="9"/>
        <rFont val="WenQuanYi Zen Hei"/>
        <family val="2"/>
      </rPr>
      <t xml:space="preserve">交易所</t>
    </r>
    <r>
      <rPr>
        <sz val="9"/>
        <rFont val="Arial"/>
        <family val="0"/>
        <charset val="1"/>
      </rPr>
      <t xml:space="preserve">/Yahoo Finance/Stooq/TradingView | ⑫ </t>
    </r>
    <r>
      <rPr>
        <sz val="9"/>
        <rFont val="WenQuanYi Zen Hei"/>
        <family val="2"/>
      </rPr>
      <t xml:space="preserve">付費</t>
    </r>
    <r>
      <rPr>
        <sz val="9"/>
        <rFont val="Arial"/>
        <family val="0"/>
        <charset val="1"/>
      </rPr>
      <t xml:space="preserve">: LSEG/FactSet(</t>
    </r>
    <r>
      <rPr>
        <sz val="9"/>
        <rFont val="WenQuanYi Zen Hei"/>
        <family val="2"/>
      </rPr>
      <t xml:space="preserve">盈利修正</t>
    </r>
    <r>
      <rPr>
        <sz val="9"/>
        <rFont val="Arial"/>
        <family val="0"/>
        <charset val="1"/>
      </rPr>
      <t xml:space="preserve">), EPFR(</t>
    </r>
    <r>
      <rPr>
        <sz val="9"/>
        <rFont val="WenQuanYi Zen Hei"/>
        <family val="2"/>
      </rPr>
      <t xml:space="preserve">資金流</t>
    </r>
    <r>
      <rPr>
        <sz val="9"/>
        <rFont val="Arial"/>
        <family val="0"/>
        <charset val="1"/>
      </rPr>
      <t xml:space="preserve">), RavenPack(NLP), ORATS(</t>
    </r>
    <r>
      <rPr>
        <sz val="9"/>
        <rFont val="WenQuanYi Zen Hei"/>
        <family val="2"/>
      </rPr>
      <t xml:space="preserve">期權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。</t>
    </r>
  </si>
  <si>
    <t xml:space="preserve">使用要點</t>
  </si>
  <si>
    <r>
      <rPr>
        <sz val="9"/>
        <rFont val="WenQuanYi Zen Hei"/>
        <family val="2"/>
      </rPr>
      <t xml:space="preserve">① 單一指標勝率有限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價值在跨類別組合確認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如趨勢</t>
    </r>
    <r>
      <rPr>
        <sz val="9"/>
        <rFont val="Arial"/>
        <family val="0"/>
        <charset val="1"/>
      </rPr>
      <t xml:space="preserve">+</t>
    </r>
    <r>
      <rPr>
        <sz val="9"/>
        <rFont val="WenQuanYi Zen Hei"/>
        <family val="2"/>
      </rPr>
      <t xml:space="preserve">廣度</t>
    </r>
    <r>
      <rPr>
        <sz val="9"/>
        <rFont val="Arial"/>
        <family val="0"/>
        <charset val="1"/>
      </rPr>
      <t xml:space="preserve">+</t>
    </r>
    <r>
      <rPr>
        <sz val="9"/>
        <rFont val="WenQuanYi Zen Hei"/>
        <family val="2"/>
      </rPr>
      <t xml:space="preserve">信用三重確認</t>
    </r>
    <r>
      <rPr>
        <sz val="9"/>
        <rFont val="Arial"/>
        <family val="0"/>
        <charset val="1"/>
      </rPr>
      <t xml:space="preserve">); ② 1-30</t>
    </r>
    <r>
      <rPr>
        <sz val="9"/>
        <rFont val="WenQuanYi Zen Hei"/>
        <family val="2"/>
      </rPr>
      <t xml:space="preserve">名決定大方向</t>
    </r>
    <r>
      <rPr>
        <sz val="9"/>
        <rFont val="Arial"/>
        <family val="0"/>
        <charset val="1"/>
      </rPr>
      <t xml:space="preserve">, 31</t>
    </r>
    <r>
      <rPr>
        <sz val="9"/>
        <rFont val="WenQuanYi Zen Hei"/>
        <family val="2"/>
      </rPr>
      <t xml:space="preserve">名後偏輔助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特定策略</t>
    </r>
    <r>
      <rPr>
        <sz val="9"/>
        <rFont val="Arial"/>
        <family val="0"/>
        <charset val="1"/>
      </rPr>
      <t xml:space="preserve">; ③ 86-100</t>
    </r>
    <r>
      <rPr>
        <sz val="9"/>
        <rFont val="WenQuanYi Zen Hei"/>
        <family val="2"/>
      </rPr>
      <t xml:space="preserve">名不產生買賣訊號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但決定策略能否存活</t>
    </r>
    <r>
      <rPr>
        <sz val="9"/>
        <rFont val="Arial"/>
        <family val="0"/>
        <charset val="1"/>
      </rPr>
      <t xml:space="preserve">; ④ </t>
    </r>
    <r>
      <rPr>
        <sz val="9"/>
        <rFont val="WenQuanYi Zen Hei"/>
        <family val="2"/>
      </rPr>
      <t xml:space="preserve">參數為業界慣用預設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實盤前應對自身標的重新校準並做樣本外檢驗。</t>
    </r>
  </si>
  <si>
    <t xml:space="preserve">工作表</t>
  </si>
  <si>
    <r>
      <rPr>
        <sz val="9"/>
        <rFont val="Arial"/>
        <family val="0"/>
        <charset val="1"/>
      </rPr>
      <t xml:space="preserve">01_</t>
    </r>
    <r>
      <rPr>
        <sz val="9"/>
        <rFont val="WenQuanYi Zen Hei"/>
        <family val="2"/>
      </rPr>
      <t xml:space="preserve">百大指標公式表 </t>
    </r>
    <r>
      <rPr>
        <sz val="9"/>
        <rFont val="Arial"/>
        <family val="0"/>
        <charset val="1"/>
      </rPr>
      <t xml:space="preserve">= 100</t>
    </r>
    <r>
      <rPr>
        <sz val="9"/>
        <rFont val="WenQuanYi Zen Hei"/>
        <family val="2"/>
      </rPr>
      <t xml:space="preserve">項完整定義 </t>
    </r>
    <r>
      <rPr>
        <sz val="9"/>
        <rFont val="Arial"/>
        <family val="0"/>
        <charset val="1"/>
      </rPr>
      <t xml:space="preserve">| 02_</t>
    </r>
    <r>
      <rPr>
        <sz val="9"/>
        <rFont val="WenQuanYi Zen Hei"/>
        <family val="2"/>
      </rPr>
      <t xml:space="preserve">計算示範</t>
    </r>
    <r>
      <rPr>
        <sz val="9"/>
        <rFont val="Arial"/>
        <family val="0"/>
        <charset val="1"/>
      </rPr>
      <t xml:space="preserve">_NDX = </t>
    </r>
    <r>
      <rPr>
        <sz val="9"/>
        <rFont val="WenQuanYi Zen Hei"/>
        <family val="2"/>
      </rPr>
      <t xml:space="preserve">用原工作簿</t>
    </r>
    <r>
      <rPr>
        <sz val="9"/>
        <rFont val="Arial"/>
        <family val="0"/>
        <charset val="1"/>
      </rPr>
      <t xml:space="preserve">2016-2026</t>
    </r>
    <r>
      <rPr>
        <sz val="9"/>
        <rFont val="WenQuanYi Zen Hei"/>
        <family val="2"/>
      </rPr>
      <t xml:space="preserve">真實</t>
    </r>
    <r>
      <rPr>
        <sz val="9"/>
        <rFont val="Arial"/>
        <family val="0"/>
        <charset val="1"/>
      </rPr>
      <t xml:space="preserve">NDX</t>
    </r>
    <r>
      <rPr>
        <sz val="9"/>
        <rFont val="WenQuanYi Zen Hei"/>
        <family val="2"/>
      </rPr>
      <t xml:space="preserve">日線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以活</t>
    </r>
    <r>
      <rPr>
        <sz val="9"/>
        <rFont val="Arial"/>
        <family val="0"/>
        <charset val="1"/>
      </rPr>
      <t xml:space="preserve">Excel</t>
    </r>
    <r>
      <rPr>
        <sz val="9"/>
        <rFont val="WenQuanYi Zen Hei"/>
        <family val="2"/>
      </rPr>
      <t xml:space="preserve">公式示範</t>
    </r>
    <r>
      <rPr>
        <sz val="9"/>
        <rFont val="Arial"/>
        <family val="0"/>
        <charset val="1"/>
      </rPr>
      <t xml:space="preserve">12</t>
    </r>
    <r>
      <rPr>
        <sz val="9"/>
        <rFont val="WenQuanYi Zen Hei"/>
        <family val="2"/>
      </rPr>
      <t xml:space="preserve">個代表指標的逐格計算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可展開查看每條公式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。</t>
    </r>
  </si>
  <si>
    <t xml:space="preserve">與前次交付的關係</t>
  </si>
  <si>
    <r>
      <rPr>
        <sz val="9"/>
        <rFont val="WenQuanYi Zen Hei"/>
        <family val="2"/>
      </rPr>
      <t xml:space="preserve">前次 </t>
    </r>
    <r>
      <rPr>
        <sz val="9"/>
        <rFont val="Arial"/>
        <family val="0"/>
        <charset val="1"/>
      </rPr>
      <t xml:space="preserve">AFable...R5.0.xlsx </t>
    </r>
    <r>
      <rPr>
        <sz val="9"/>
        <rFont val="WenQuanYi Zen Hei"/>
        <family val="2"/>
      </rPr>
      <t xml:space="preserve">之『</t>
    </r>
    <r>
      <rPr>
        <sz val="9"/>
        <rFont val="Arial"/>
        <family val="0"/>
        <charset val="1"/>
      </rPr>
      <t xml:space="preserve">10_</t>
    </r>
    <r>
      <rPr>
        <sz val="9"/>
        <rFont val="WenQuanYi Zen Hei"/>
        <family val="2"/>
      </rPr>
      <t xml:space="preserve">百大指標庫』是專為</t>
    </r>
    <r>
      <rPr>
        <sz val="9"/>
        <rFont val="Arial"/>
        <family val="0"/>
        <charset val="1"/>
      </rPr>
      <t xml:space="preserve">Easy/Hard Money</t>
    </r>
    <r>
      <rPr>
        <sz val="9"/>
        <rFont val="WenQuanYi Zen Hei"/>
        <family val="2"/>
      </rPr>
      <t xml:space="preserve">制度判區設計的宏觀制度指標庫</t>
    </r>
    <r>
      <rPr>
        <sz val="9"/>
        <rFont val="Arial"/>
        <family val="0"/>
        <charset val="1"/>
      </rPr>
      <t xml:space="preserve">; </t>
    </r>
    <r>
      <rPr>
        <sz val="9"/>
        <rFont val="WenQuanYi Zen Hei"/>
        <family val="2"/>
      </rPr>
      <t xml:space="preserve">本檔是通用量化交易常用指標總表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兩者互補。</t>
    </r>
  </si>
  <si>
    <r>
      <rPr>
        <b val="true"/>
        <sz val="12"/>
        <rFont val="WenQuanYi Zen Hei"/>
        <family val="2"/>
      </rPr>
      <t xml:space="preserve">通用量化交易百大指標 </t>
    </r>
    <r>
      <rPr>
        <b val="true"/>
        <sz val="12"/>
        <rFont val="Arial"/>
        <family val="0"/>
        <charset val="1"/>
      </rPr>
      <t xml:space="preserve">| </t>
    </r>
    <r>
      <rPr>
        <b val="true"/>
        <sz val="12"/>
        <rFont val="WenQuanYi Zen Hei"/>
        <family val="2"/>
      </rPr>
      <t xml:space="preserve">重要性由高至低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WenQuanYi Zen Hei"/>
        <family val="2"/>
      </rPr>
      <t xml:space="preserve">序號越低越重要</t>
    </r>
    <r>
      <rPr>
        <b val="true"/>
        <sz val="12"/>
        <rFont val="Arial"/>
        <family val="0"/>
        <charset val="1"/>
      </rPr>
      <t xml:space="preserve">) | </t>
    </r>
    <r>
      <rPr>
        <b val="true"/>
        <sz val="12"/>
        <rFont val="WenQuanYi Zen Hei"/>
        <family val="2"/>
      </rPr>
      <t xml:space="preserve">公式符號見</t>
    </r>
    <r>
      <rPr>
        <b val="true"/>
        <sz val="12"/>
        <rFont val="Arial"/>
        <family val="0"/>
        <charset val="1"/>
      </rPr>
      <t xml:space="preserve">00</t>
    </r>
    <r>
      <rPr>
        <b val="true"/>
        <sz val="12"/>
        <rFont val="WenQuanYi Zen Hei"/>
        <family val="2"/>
      </rPr>
      <t xml:space="preserve">表 </t>
    </r>
    <r>
      <rPr>
        <b val="true"/>
        <sz val="12"/>
        <rFont val="Arial"/>
        <family val="0"/>
        <charset val="1"/>
      </rPr>
      <t xml:space="preserve">| </t>
    </r>
    <r>
      <rPr>
        <b val="true"/>
        <sz val="12"/>
        <rFont val="WenQuanYi Zen Hei"/>
        <family val="2"/>
      </rPr>
      <t xml:space="preserve">數據出處含</t>
    </r>
    <r>
      <rPr>
        <b val="true"/>
        <sz val="12"/>
        <rFont val="Arial"/>
        <family val="0"/>
        <charset val="1"/>
      </rPr>
      <t xml:space="preserve">FRED</t>
    </r>
    <r>
      <rPr>
        <b val="true"/>
        <sz val="12"/>
        <rFont val="WenQuanYi Zen Hei"/>
        <family val="2"/>
      </rPr>
      <t xml:space="preserve">代碼</t>
    </r>
    <r>
      <rPr>
        <b val="true"/>
        <sz val="12"/>
        <rFont val="Arial"/>
        <family val="0"/>
        <charset val="1"/>
      </rPr>
      <t xml:space="preserve">/</t>
    </r>
    <r>
      <rPr>
        <b val="true"/>
        <sz val="12"/>
        <rFont val="WenQuanYi Zen Hei"/>
        <family val="2"/>
      </rPr>
      <t xml:space="preserve">官網</t>
    </r>
  </si>
  <si>
    <t xml:space="preserve">序號</t>
  </si>
  <si>
    <t xml:space="preserve">指標名稱</t>
  </si>
  <si>
    <t xml:space="preserve">類別</t>
  </si>
  <si>
    <t xml:space="preserve">梯隊</t>
  </si>
  <si>
    <t xml:space="preserve">計算公式</t>
  </si>
  <si>
    <t xml:space="preserve">常用參數</t>
  </si>
  <si>
    <t xml:space="preserve">訊號用法</t>
  </si>
  <si>
    <t xml:space="preserve">數據出處</t>
  </si>
  <si>
    <t xml:space="preserve">頻率</t>
  </si>
  <si>
    <r>
      <rPr>
        <sz val="9"/>
        <rFont val="Arial"/>
        <family val="0"/>
        <charset val="1"/>
      </rPr>
      <t xml:space="preserve">200</t>
    </r>
    <r>
      <rPr>
        <sz val="9"/>
        <rFont val="WenQuanYi Zen Hei"/>
        <family val="2"/>
      </rPr>
      <t xml:space="preserve">日移動平均線 </t>
    </r>
    <r>
      <rPr>
        <sz val="9"/>
        <rFont val="Arial"/>
        <family val="0"/>
        <charset val="1"/>
      </rPr>
      <t xml:space="preserve">SMA200</t>
    </r>
  </si>
  <si>
    <t xml:space="preserve">趨勢</t>
  </si>
  <si>
    <t xml:space="preserve">一</t>
  </si>
  <si>
    <t xml:space="preserve">SMA_n = (1/n)·Σ C_{t-i}, i=0..n-1</t>
  </si>
  <si>
    <r>
      <rPr>
        <sz val="9"/>
        <rFont val="Arial"/>
        <family val="0"/>
        <charset val="1"/>
      </rPr>
      <t xml:space="preserve">n=200</t>
    </r>
    <r>
      <rPr>
        <sz val="9"/>
        <rFont val="WenQuanYi Zen Hei"/>
        <family val="2"/>
      </rPr>
      <t xml:space="preserve">日</t>
    </r>
    <r>
      <rPr>
        <sz val="9"/>
        <rFont val="Arial"/>
        <family val="0"/>
        <charset val="1"/>
      </rPr>
      <t xml:space="preserve">(=40</t>
    </r>
    <r>
      <rPr>
        <sz val="9"/>
        <rFont val="WenQuanYi Zen Hei"/>
        <family val="2"/>
      </rPr>
      <t xml:space="preserve">週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</si>
  <si>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C&gt;SMA200</t>
    </r>
    <r>
      <rPr>
        <sz val="9"/>
        <rFont val="WenQuanYi Zen Hei"/>
        <family val="2"/>
      </rPr>
      <t xml:space="preserve">且</t>
    </r>
    <r>
      <rPr>
        <sz val="9"/>
        <rFont val="Arial"/>
        <family val="0"/>
        <charset val="1"/>
      </rPr>
      <t xml:space="preserve">SMA</t>
    </r>
    <r>
      <rPr>
        <sz val="9"/>
        <rFont val="WenQuanYi Zen Hei"/>
        <family val="2"/>
      </rPr>
      <t xml:space="preserve">上斜</t>
    </r>
    <r>
      <rPr>
        <sz val="9"/>
        <rFont val="Arial"/>
        <family val="0"/>
        <charset val="1"/>
      </rPr>
      <t xml:space="preserve">=</t>
    </r>
    <r>
      <rPr>
        <sz val="9"/>
        <rFont val="WenQuanYi Zen Hei"/>
        <family val="2"/>
      </rPr>
      <t xml:space="preserve">牛市制度</t>
    </r>
    <r>
      <rPr>
        <sz val="9"/>
        <rFont val="Arial"/>
        <family val="0"/>
        <charset val="1"/>
      </rPr>
      <t xml:space="preserve">; </t>
    </r>
    <r>
      <rPr>
        <sz val="9"/>
        <rFont val="WenQuanYi Zen Hei"/>
        <family val="2"/>
      </rPr>
      <t xml:space="preserve">下穿防守</t>
    </r>
  </si>
  <si>
    <r>
      <rPr>
        <sz val="9"/>
        <rFont val="WenQuanYi Zen Hei"/>
        <family val="2"/>
      </rPr>
      <t xml:space="preserve">任何</t>
    </r>
    <r>
      <rPr>
        <sz val="9"/>
        <rFont val="Arial"/>
        <family val="0"/>
        <charset val="1"/>
      </rPr>
      <t xml:space="preserve">OHLCV</t>
    </r>
    <r>
      <rPr>
        <sz val="9"/>
        <rFont val="WenQuanYi Zen Hei"/>
        <family val="2"/>
      </rPr>
      <t xml:space="preserve">行情源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交易所</t>
    </r>
    <r>
      <rPr>
        <sz val="9"/>
        <rFont val="Arial"/>
        <family val="0"/>
        <charset val="1"/>
      </rPr>
      <t xml:space="preserve">/Yahoo/Stooq/TradingView)</t>
    </r>
  </si>
  <si>
    <t xml:space="preserve">日</t>
  </si>
  <si>
    <r>
      <rPr>
        <sz val="9"/>
        <rFont val="Arial"/>
        <family val="0"/>
        <charset val="1"/>
      </rPr>
      <t xml:space="preserve">12</t>
    </r>
    <r>
      <rPr>
        <sz val="9"/>
        <rFont val="WenQuanYi Zen Hei"/>
        <family val="2"/>
      </rPr>
      <t xml:space="preserve">個月時序動能 </t>
    </r>
    <r>
      <rPr>
        <sz val="9"/>
        <rFont val="Arial"/>
        <family val="0"/>
        <charset val="1"/>
      </rPr>
      <t xml:space="preserve">12-1 Momentum</t>
    </r>
  </si>
  <si>
    <t xml:space="preserve">動能</t>
  </si>
  <si>
    <r>
      <rPr>
        <sz val="9"/>
        <rFont val="Arial"/>
        <family val="0"/>
        <charset val="1"/>
      </rPr>
      <t xml:space="preserve">Mom = C_{t-21} / C_{t-252} − 1 (</t>
    </r>
    <r>
      <rPr>
        <sz val="9"/>
        <rFont val="WenQuanYi Zen Hei"/>
        <family val="2"/>
      </rPr>
      <t xml:space="preserve">跳過最近</t>
    </r>
    <r>
      <rPr>
        <sz val="9"/>
        <rFont val="Arial"/>
        <family val="0"/>
        <charset val="1"/>
      </rPr>
      <t xml:space="preserve">1</t>
    </r>
    <r>
      <rPr>
        <sz val="9"/>
        <rFont val="WenQuanYi Zen Hei"/>
        <family val="2"/>
      </rPr>
      <t xml:space="preserve">個月</t>
    </r>
    <r>
      <rPr>
        <sz val="9"/>
        <rFont val="Arial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</si>
  <si>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回看</t>
    </r>
    <r>
      <rPr>
        <sz val="9"/>
        <rFont val="Arial"/>
        <family val="0"/>
        <charset val="1"/>
      </rPr>
      <t xml:space="preserve">252</t>
    </r>
    <r>
      <rPr>
        <sz val="9"/>
        <rFont val="WenQuanYi Zen Hei"/>
        <family val="2"/>
      </rPr>
      <t xml:space="preserve">日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跳</t>
    </r>
    <r>
      <rPr>
        <sz val="9"/>
        <rFont val="Arial"/>
        <family val="0"/>
        <charset val="1"/>
      </rPr>
      <t xml:space="preserve">21</t>
    </r>
    <r>
      <rPr>
        <sz val="9"/>
        <rFont val="WenQuanYi Zen Hei"/>
        <family val="2"/>
      </rPr>
      <t xml:space="preserve">日</t>
    </r>
  </si>
  <si>
    <r>
      <rPr>
        <sz val="9"/>
        <rFont val="Arial"/>
        <family val="0"/>
        <charset val="1"/>
      </rPr>
      <t xml:space="preserve">Mom&gt;0</t>
    </r>
    <r>
      <rPr>
        <sz val="9"/>
        <rFont val="WenQuanYi Zen Hei"/>
        <family val="2"/>
      </rPr>
      <t xml:space="preserve">做多</t>
    </r>
    <r>
      <rPr>
        <sz val="9"/>
        <rFont val="Arial"/>
        <family val="0"/>
        <charset val="1"/>
      </rPr>
      <t xml:space="preserve">; &lt;0</t>
    </r>
    <r>
      <rPr>
        <sz val="9"/>
        <rFont val="WenQuanYi Zen Hei"/>
        <family val="2"/>
      </rPr>
      <t xml:space="preserve">離場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做空</t>
    </r>
    <r>
      <rPr>
        <sz val="9"/>
        <rFont val="Arial"/>
        <family val="0"/>
        <charset val="1"/>
      </rPr>
      <t xml:space="preserve">; </t>
    </r>
    <r>
      <rPr>
        <sz val="9"/>
        <rFont val="WenQuanYi Zen Hei"/>
        <family val="2"/>
      </rPr>
      <t xml:space="preserve">月度再平衡</t>
    </r>
  </si>
  <si>
    <r>
      <rPr>
        <sz val="9"/>
        <rFont val="Arial"/>
        <family val="0"/>
        <charset val="1"/>
      </rPr>
      <t xml:space="preserve">OHLCV</t>
    </r>
    <r>
      <rPr>
        <sz val="9"/>
        <rFont val="WenQuanYi Zen Hei"/>
        <family val="2"/>
      </rPr>
      <t xml:space="preserve">行情源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月線亦可</t>
    </r>
    <r>
      <rPr>
        <sz val="9"/>
        <rFont val="Arial"/>
        <family val="0"/>
        <charset val="1"/>
      </rPr>
      <t xml:space="preserve">: C_{m-1}/C_{m-12}−1)</t>
    </r>
  </si>
  <si>
    <t xml:space="preserve">月</t>
  </si>
  <si>
    <r>
      <rPr>
        <sz val="9"/>
        <rFont val="WenQuanYi Zen Hei"/>
        <family val="2"/>
      </rPr>
      <t xml:space="preserve">均線交叉 </t>
    </r>
    <r>
      <rPr>
        <sz val="9"/>
        <rFont val="Arial"/>
        <family val="0"/>
        <charset val="1"/>
      </rPr>
      <t xml:space="preserve">50/200 (</t>
    </r>
    <r>
      <rPr>
        <sz val="9"/>
        <rFont val="WenQuanYi Zen Hei"/>
        <family val="2"/>
      </rPr>
      <t xml:space="preserve">金叉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死叉</t>
    </r>
    <r>
      <rPr>
        <sz val="9"/>
        <rFont val="Arial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</si>
  <si>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訊號 </t>
    </r>
    <r>
      <rPr>
        <sz val="9"/>
        <rFont val="Arial"/>
        <family val="0"/>
        <charset val="1"/>
      </rPr>
      <t xml:space="preserve">= sign(SMA50 − SMA200) </t>
    </r>
    <r>
      <rPr>
        <sz val="9"/>
        <rFont val="WenQuanYi Zen Hei"/>
        <family val="2"/>
      </rPr>
      <t xml:space="preserve">之變號</t>
    </r>
  </si>
  <si>
    <r>
      <rPr>
        <sz val="9"/>
        <rFont val="Arial"/>
        <family val="0"/>
        <charset val="1"/>
      </rPr>
      <t xml:space="preserve">50/200</t>
    </r>
    <r>
      <rPr>
        <sz val="9"/>
        <rFont val="WenQuanYi Zen Hei"/>
        <family val="2"/>
      </rPr>
      <t xml:space="preserve">日</t>
    </r>
  </si>
  <si>
    <r>
      <rPr>
        <sz val="9"/>
        <rFont val="WenQuanYi Zen Hei"/>
        <family val="2"/>
      </rPr>
      <t xml:space="preserve">金叉</t>
    </r>
    <r>
      <rPr>
        <sz val="9"/>
        <rFont val="Arial"/>
        <family val="0"/>
        <charset val="1"/>
      </rPr>
      <t xml:space="preserve">=</t>
    </r>
    <r>
      <rPr>
        <sz val="9"/>
        <rFont val="WenQuanYi Zen Hei"/>
        <family val="2"/>
      </rPr>
      <t xml:space="preserve">中長期轉多</t>
    </r>
    <r>
      <rPr>
        <sz val="9"/>
        <rFont val="Arial"/>
        <family val="0"/>
        <charset val="1"/>
      </rPr>
      <t xml:space="preserve">; </t>
    </r>
    <r>
      <rPr>
        <sz val="9"/>
        <rFont val="WenQuanYi Zen Hei"/>
        <family val="2"/>
      </rPr>
      <t xml:space="preserve">死叉鎖定大熊市</t>
    </r>
  </si>
  <si>
    <r>
      <rPr>
        <sz val="9"/>
        <rFont val="Arial"/>
        <family val="0"/>
        <charset val="1"/>
      </rPr>
      <t xml:space="preserve">OHLCV</t>
    </r>
    <r>
      <rPr>
        <sz val="9"/>
        <rFont val="WenQuanYi Zen Hei"/>
        <family val="2"/>
      </rPr>
      <t xml:space="preserve">行情源</t>
    </r>
  </si>
  <si>
    <t xml:space="preserve">MACD</t>
  </si>
  <si>
    <r>
      <rPr>
        <sz val="9"/>
        <rFont val="WenQuanYi Zen Hei"/>
        <family val="2"/>
      </rPr>
      <t xml:space="preserve">趨勢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動能</t>
    </r>
  </si>
  <si>
    <t xml:space="preserve">MACD = EMA12(C) − EMA26(C); Signal = EMA9(MACD); Hist = MACD − Signal</t>
  </si>
  <si>
    <t xml:space="preserve">12/26/9</t>
  </si>
  <si>
    <r>
      <rPr>
        <sz val="9"/>
        <rFont val="Arial"/>
        <family val="0"/>
        <charset val="1"/>
      </rPr>
      <t xml:space="preserve">Hist</t>
    </r>
    <r>
      <rPr>
        <sz val="9"/>
        <rFont val="WenQuanYi Zen Hei"/>
        <family val="2"/>
      </rPr>
      <t xml:space="preserve">翻正翻負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頂底背離</t>
    </r>
  </si>
  <si>
    <r>
      <rPr>
        <sz val="9"/>
        <rFont val="Arial"/>
        <family val="0"/>
        <charset val="1"/>
      </rPr>
      <t xml:space="preserve">RSI </t>
    </r>
    <r>
      <rPr>
        <sz val="9"/>
        <rFont val="WenQuanYi Zen Hei"/>
        <family val="2"/>
      </rPr>
      <t xml:space="preserve">相對強弱</t>
    </r>
  </si>
  <si>
    <r>
      <rPr>
        <sz val="9"/>
        <rFont val="Arial"/>
        <family val="0"/>
        <charset val="1"/>
      </rPr>
      <t xml:space="preserve">RSI = 100 − 100/(1+RS); RS = SMMA(</t>
    </r>
    <r>
      <rPr>
        <sz val="9"/>
        <rFont val="WenQuanYi Zen Hei"/>
        <family val="2"/>
      </rPr>
      <t xml:space="preserve">漲幅</t>
    </r>
    <r>
      <rPr>
        <sz val="9"/>
        <rFont val="Arial"/>
        <family val="0"/>
        <charset val="1"/>
      </rPr>
      <t xml:space="preserve">,14)/SMMA(</t>
    </r>
    <r>
      <rPr>
        <sz val="9"/>
        <rFont val="WenQuanYi Zen Hei"/>
        <family val="2"/>
      </rPr>
      <t xml:space="preserve">跌幅</t>
    </r>
    <r>
      <rPr>
        <sz val="9"/>
        <rFont val="Arial"/>
        <family val="0"/>
        <charset val="1"/>
      </rPr>
      <t xml:space="preserve">,14) (Wilder</t>
    </r>
    <r>
      <rPr>
        <sz val="9"/>
        <rFont val="WenQuanYi Zen Hei"/>
        <family val="2"/>
      </rPr>
      <t xml:space="preserve">平滑</t>
    </r>
    <r>
      <rPr>
        <sz val="9"/>
        <rFont val="Arial"/>
        <family val="0"/>
        <charset val="1"/>
      </rPr>
      <t xml:space="preserve">)</t>
    </r>
  </si>
  <si>
    <t xml:space="preserve">n=14</t>
  </si>
  <si>
    <r>
      <rPr>
        <sz val="9"/>
        <rFont val="Arial"/>
        <family val="0"/>
        <charset val="1"/>
      </rPr>
      <t xml:space="preserve">&lt;30</t>
    </r>
    <r>
      <rPr>
        <sz val="9"/>
        <rFont val="WenQuanYi Zen Hei"/>
        <family val="2"/>
      </rPr>
      <t xml:space="preserve">超賣</t>
    </r>
    <r>
      <rPr>
        <sz val="9"/>
        <rFont val="Arial"/>
        <family val="0"/>
        <charset val="1"/>
      </rPr>
      <t xml:space="preserve">/&gt;70</t>
    </r>
    <r>
      <rPr>
        <sz val="9"/>
        <rFont val="WenQuanYi Zen Hei"/>
        <family val="2"/>
      </rPr>
      <t xml:space="preserve">超買</t>
    </r>
    <r>
      <rPr>
        <sz val="9"/>
        <rFont val="Arial"/>
        <family val="0"/>
        <charset val="1"/>
      </rPr>
      <t xml:space="preserve">; 50</t>
    </r>
    <r>
      <rPr>
        <sz val="9"/>
        <rFont val="WenQuanYi Zen Hei"/>
        <family val="2"/>
      </rPr>
      <t xml:space="preserve">軸多空</t>
    </r>
    <r>
      <rPr>
        <sz val="9"/>
        <rFont val="Arial"/>
        <family val="0"/>
        <charset val="1"/>
      </rPr>
      <t xml:space="preserve">; </t>
    </r>
    <r>
      <rPr>
        <sz val="9"/>
        <rFont val="WenQuanYi Zen Hei"/>
        <family val="2"/>
      </rPr>
      <t xml:space="preserve">背離</t>
    </r>
  </si>
  <si>
    <r>
      <rPr>
        <sz val="9"/>
        <rFont val="Arial"/>
        <family val="0"/>
        <charset val="1"/>
      </rPr>
      <t xml:space="preserve">VIX </t>
    </r>
    <r>
      <rPr>
        <sz val="9"/>
        <rFont val="WenQuanYi Zen Hei"/>
        <family val="2"/>
      </rPr>
      <t xml:space="preserve">恐慌指數</t>
    </r>
  </si>
  <si>
    <t xml:space="preserve">波動率</t>
  </si>
  <si>
    <r>
      <rPr>
        <sz val="9"/>
        <rFont val="Arial"/>
        <family val="0"/>
        <charset val="1"/>
      </rPr>
      <t xml:space="preserve">CBOE</t>
    </r>
    <r>
      <rPr>
        <sz val="9"/>
        <rFont val="WenQuanYi Zen Hei"/>
        <family val="2"/>
      </rPr>
      <t xml:space="preserve">以</t>
    </r>
    <r>
      <rPr>
        <sz val="9"/>
        <rFont val="Arial"/>
        <family val="0"/>
        <charset val="1"/>
      </rPr>
      <t xml:space="preserve">SPX</t>
    </r>
    <r>
      <rPr>
        <sz val="9"/>
        <rFont val="WenQuanYi Zen Hei"/>
        <family val="2"/>
      </rPr>
      <t xml:space="preserve">期權全行權價鏈按方差互換公式合成之</t>
    </r>
    <r>
      <rPr>
        <sz val="9"/>
        <rFont val="Arial"/>
        <family val="0"/>
        <charset val="1"/>
      </rPr>
      <t xml:space="preserve">30</t>
    </r>
    <r>
      <rPr>
        <sz val="9"/>
        <rFont val="WenQuanYi Zen Hei"/>
        <family val="2"/>
      </rPr>
      <t xml:space="preserve">日隱含波動率</t>
    </r>
  </si>
  <si>
    <r>
      <rPr>
        <sz val="9"/>
        <rFont val="Arial"/>
        <family val="0"/>
        <charset val="1"/>
      </rPr>
      <t xml:space="preserve">30</t>
    </r>
    <r>
      <rPr>
        <sz val="9"/>
        <rFont val="WenQuanYi Zen Hei"/>
        <family val="2"/>
      </rPr>
      <t xml:space="preserve">日期限</t>
    </r>
  </si>
  <si>
    <r>
      <rPr>
        <sz val="9"/>
        <rFont val="Arial"/>
        <family val="0"/>
        <charset val="1"/>
      </rPr>
      <t xml:space="preserve">&lt;20</t>
    </r>
    <r>
      <rPr>
        <sz val="9"/>
        <rFont val="WenQuanYi Zen Hei"/>
        <family val="2"/>
      </rPr>
      <t xml:space="preserve">低波動制度</t>
    </r>
    <r>
      <rPr>
        <sz val="9"/>
        <rFont val="Arial"/>
        <family val="0"/>
        <charset val="1"/>
      </rPr>
      <t xml:space="preserve">; &gt;25</t>
    </r>
    <r>
      <rPr>
        <sz val="9"/>
        <rFont val="WenQuanYi Zen Hei"/>
        <family val="2"/>
      </rPr>
      <t xml:space="preserve">持續</t>
    </r>
    <r>
      <rPr>
        <sz val="9"/>
        <rFont val="Arial"/>
        <family val="0"/>
        <charset val="1"/>
      </rPr>
      <t xml:space="preserve">=</t>
    </r>
    <r>
      <rPr>
        <sz val="9"/>
        <rFont val="WenQuanYi Zen Hei"/>
        <family val="2"/>
      </rPr>
      <t xml:space="preserve">風險制度</t>
    </r>
  </si>
  <si>
    <t xml:space="preserve">CBOE (cboe.com) / FRED: VIXCLS</t>
  </si>
  <si>
    <r>
      <rPr>
        <sz val="9"/>
        <rFont val="Arial"/>
        <family val="0"/>
        <charset val="1"/>
      </rPr>
      <t xml:space="preserve">ATR </t>
    </r>
    <r>
      <rPr>
        <sz val="9"/>
        <rFont val="WenQuanYi Zen Hei"/>
        <family val="2"/>
      </rPr>
      <t xml:space="preserve">真實波幅</t>
    </r>
  </si>
  <si>
    <t xml:space="preserve">TR = max(H−L, |H−C_prev|, |L−C_prev|); ATR = SMMA(TR, 14)</t>
  </si>
  <si>
    <r>
      <rPr>
        <sz val="9"/>
        <rFont val="WenQuanYi Zen Hei"/>
        <family val="2"/>
      </rPr>
      <t xml:space="preserve">止損距離</t>
    </r>
    <r>
      <rPr>
        <sz val="9"/>
        <rFont val="Arial"/>
        <family val="0"/>
        <charset val="1"/>
      </rPr>
      <t xml:space="preserve">=k·ATR; </t>
    </r>
    <r>
      <rPr>
        <sz val="9"/>
        <rFont val="WenQuanYi Zen Hei"/>
        <family val="2"/>
      </rPr>
      <t xml:space="preserve">倉位</t>
    </r>
    <r>
      <rPr>
        <sz val="9"/>
        <rFont val="Arial"/>
        <family val="0"/>
        <charset val="1"/>
      </rPr>
      <t xml:space="preserve">=</t>
    </r>
    <r>
      <rPr>
        <sz val="9"/>
        <rFont val="WenQuanYi Zen Hei"/>
        <family val="2"/>
      </rPr>
      <t xml:space="preserve">風險預算</t>
    </r>
    <r>
      <rPr>
        <sz val="9"/>
        <rFont val="Arial"/>
        <family val="0"/>
        <charset val="1"/>
      </rPr>
      <t xml:space="preserve">/ATR</t>
    </r>
  </si>
  <si>
    <r>
      <rPr>
        <sz val="9"/>
        <rFont val="Arial"/>
        <family val="0"/>
        <charset val="1"/>
      </rPr>
      <t xml:space="preserve">OHLCV</t>
    </r>
    <r>
      <rPr>
        <sz val="9"/>
        <rFont val="WenQuanYi Zen Hei"/>
        <family val="2"/>
      </rPr>
      <t xml:space="preserve">行情源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需高低價</t>
    </r>
    <r>
      <rPr>
        <sz val="9"/>
        <rFont val="Arial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</si>
  <si>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布林通道 </t>
    </r>
    <r>
      <rPr>
        <sz val="9"/>
        <rFont val="Arial"/>
        <family val="0"/>
        <charset val="1"/>
      </rPr>
      <t xml:space="preserve">Bollinger Bands</t>
    </r>
  </si>
  <si>
    <r>
      <rPr>
        <sz val="9"/>
        <rFont val="WenQuanYi Zen Hei"/>
        <family val="2"/>
      </rPr>
      <t xml:space="preserve">波動率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均值回歸</t>
    </r>
  </si>
  <si>
    <r>
      <rPr>
        <sz val="9"/>
        <rFont val="Arial"/>
        <family val="0"/>
        <charset val="1"/>
      </rPr>
      <t xml:space="preserve">Mid = SMA20; Upper/Lower = Mid ± 2·σ20 (σ=</t>
    </r>
    <r>
      <rPr>
        <sz val="9"/>
        <rFont val="WenQuanYi Zen Hei"/>
        <family val="2"/>
      </rPr>
      <t xml:space="preserve">收盤標準差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</si>
  <si>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20</t>
    </r>
    <r>
      <rPr>
        <sz val="9"/>
        <rFont val="WenQuanYi Zen Hei"/>
        <family val="2"/>
      </rPr>
      <t xml:space="preserve">日</t>
    </r>
    <r>
      <rPr>
        <sz val="9"/>
        <rFont val="Arial"/>
        <family val="0"/>
        <charset val="1"/>
      </rPr>
      <t xml:space="preserve">, 2σ</t>
    </r>
  </si>
  <si>
    <r>
      <rPr>
        <sz val="9"/>
        <rFont val="WenQuanYi Zen Hei"/>
        <family val="2"/>
      </rPr>
      <t xml:space="preserve">帶寬擠壓後突破</t>
    </r>
    <r>
      <rPr>
        <sz val="9"/>
        <rFont val="Arial"/>
        <family val="0"/>
        <charset val="1"/>
      </rPr>
      <t xml:space="preserve">; </t>
    </r>
    <r>
      <rPr>
        <sz val="9"/>
        <rFont val="WenQuanYi Zen Hei"/>
        <family val="2"/>
      </rPr>
      <t xml:space="preserve">通道回歸交易</t>
    </r>
  </si>
  <si>
    <r>
      <rPr>
        <sz val="9"/>
        <rFont val="WenQuanYi Zen Hei"/>
        <family val="2"/>
      </rPr>
      <t xml:space="preserve">距</t>
    </r>
    <r>
      <rPr>
        <sz val="9"/>
        <rFont val="Arial"/>
        <family val="0"/>
        <charset val="1"/>
      </rPr>
      <t xml:space="preserve">52</t>
    </r>
    <r>
      <rPr>
        <sz val="9"/>
        <rFont val="WenQuanYi Zen Hei"/>
        <family val="2"/>
      </rPr>
      <t xml:space="preserve">週高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低位距離</t>
    </r>
  </si>
  <si>
    <r>
      <rPr>
        <sz val="9"/>
        <rFont val="Arial"/>
        <family val="0"/>
        <charset val="1"/>
      </rPr>
      <t xml:space="preserve">DD52 = C/max(C,252</t>
    </r>
    <r>
      <rPr>
        <sz val="9"/>
        <rFont val="WenQuanYi Zen Hei"/>
        <family val="2"/>
      </rPr>
      <t xml:space="preserve">日</t>
    </r>
    <r>
      <rPr>
        <sz val="9"/>
        <rFont val="Arial"/>
        <family val="0"/>
        <charset val="1"/>
      </rPr>
      <t xml:space="preserve">) − 1; UP52 = C/min(C,252</t>
    </r>
    <r>
      <rPr>
        <sz val="9"/>
        <rFont val="WenQuanYi Zen Hei"/>
        <family val="2"/>
      </rPr>
      <t xml:space="preserve">日</t>
    </r>
    <r>
      <rPr>
        <sz val="9"/>
        <rFont val="Arial"/>
        <family val="0"/>
        <charset val="1"/>
      </rPr>
      <t xml:space="preserve">) − 1</t>
    </r>
  </si>
  <si>
    <r>
      <rPr>
        <sz val="9"/>
        <rFont val="Arial"/>
        <family val="0"/>
        <charset val="1"/>
      </rPr>
      <t xml:space="preserve">252</t>
    </r>
    <r>
      <rPr>
        <sz val="9"/>
        <rFont val="WenQuanYi Zen Hei"/>
        <family val="2"/>
      </rPr>
      <t xml:space="preserve">日</t>
    </r>
  </si>
  <si>
    <r>
      <rPr>
        <sz val="9"/>
        <rFont val="Arial"/>
        <family val="0"/>
        <charset val="1"/>
      </rPr>
      <t xml:space="preserve">DD52&gt;-6%</t>
    </r>
    <r>
      <rPr>
        <sz val="9"/>
        <rFont val="WenQuanYi Zen Hei"/>
        <family val="2"/>
      </rPr>
      <t xml:space="preserve">健康</t>
    </r>
    <r>
      <rPr>
        <sz val="9"/>
        <rFont val="Arial"/>
        <family val="0"/>
        <charset val="1"/>
      </rPr>
      <t xml:space="preserve">; ≤-15%</t>
    </r>
    <r>
      <rPr>
        <sz val="9"/>
        <rFont val="WenQuanYi Zen Hei"/>
        <family val="2"/>
      </rPr>
      <t xml:space="preserve">熊市警戒</t>
    </r>
  </si>
  <si>
    <r>
      <rPr>
        <sz val="9"/>
        <rFont val="WenQuanYi Zen Hei"/>
        <family val="2"/>
      </rPr>
      <t xml:space="preserve">日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週</t>
    </r>
  </si>
  <si>
    <t xml:space="preserve">成交量均量比</t>
  </si>
  <si>
    <t xml:space="preserve">成交量</t>
  </si>
  <si>
    <t xml:space="preserve">VR = V_t / SMA(V,20)</t>
  </si>
  <si>
    <r>
      <rPr>
        <sz val="9"/>
        <rFont val="Arial"/>
        <family val="0"/>
        <charset val="1"/>
      </rPr>
      <t xml:space="preserve">20</t>
    </r>
    <r>
      <rPr>
        <sz val="9"/>
        <rFont val="WenQuanYi Zen Hei"/>
        <family val="2"/>
      </rPr>
      <t xml:space="preserve">日</t>
    </r>
  </si>
  <si>
    <r>
      <rPr>
        <sz val="9"/>
        <rFont val="WenQuanYi Zen Hei"/>
        <family val="2"/>
      </rPr>
      <t xml:space="preserve">突破日</t>
    </r>
    <r>
      <rPr>
        <sz val="9"/>
        <rFont val="Arial"/>
        <family val="0"/>
        <charset val="1"/>
      </rPr>
      <t xml:space="preserve">VR&gt;1.5=</t>
    </r>
    <r>
      <rPr>
        <sz val="9"/>
        <rFont val="WenQuanYi Zen Hei"/>
        <family val="2"/>
      </rPr>
      <t xml:space="preserve">有效突破確認</t>
    </r>
  </si>
  <si>
    <r>
      <rPr>
        <sz val="9"/>
        <rFont val="Arial"/>
        <family val="0"/>
        <charset val="1"/>
      </rPr>
      <t xml:space="preserve">VWAP </t>
    </r>
    <r>
      <rPr>
        <sz val="9"/>
        <rFont val="WenQuanYi Zen Hei"/>
        <family val="2"/>
      </rPr>
      <t xml:space="preserve">成交量加權均價</t>
    </r>
  </si>
  <si>
    <r>
      <rPr>
        <sz val="9"/>
        <rFont val="WenQuanYi Zen Hei"/>
        <family val="2"/>
      </rPr>
      <t xml:space="preserve">成交量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執行</t>
    </r>
  </si>
  <si>
    <r>
      <rPr>
        <sz val="9"/>
        <rFont val="Arial"/>
        <family val="0"/>
        <charset val="1"/>
      </rPr>
      <t xml:space="preserve">VWAP = Σ(TP_i·V_i)/Σ V_i, TP=(H+L+C)/3, </t>
    </r>
    <r>
      <rPr>
        <sz val="9"/>
        <rFont val="WenQuanYi Zen Hei"/>
        <family val="2"/>
      </rPr>
      <t xml:space="preserve">當日累計</t>
    </r>
  </si>
  <si>
    <t xml:space="preserve">日內累計</t>
  </si>
  <si>
    <r>
      <rPr>
        <sz val="9"/>
        <rFont val="WenQuanYi Zen Hei"/>
        <family val="2"/>
      </rPr>
      <t xml:space="preserve">價</t>
    </r>
    <r>
      <rPr>
        <sz val="9"/>
        <rFont val="Arial"/>
        <family val="0"/>
        <charset val="1"/>
      </rPr>
      <t xml:space="preserve">&gt;VWAP</t>
    </r>
    <r>
      <rPr>
        <sz val="9"/>
        <rFont val="WenQuanYi Zen Hei"/>
        <family val="2"/>
      </rPr>
      <t xml:space="preserve">日內偏多</t>
    </r>
    <r>
      <rPr>
        <sz val="9"/>
        <rFont val="Arial"/>
        <family val="0"/>
        <charset val="1"/>
      </rPr>
      <t xml:space="preserve">; </t>
    </r>
    <r>
      <rPr>
        <sz val="9"/>
        <rFont val="WenQuanYi Zen Hei"/>
        <family val="2"/>
      </rPr>
      <t xml:space="preserve">機構執行基準</t>
    </r>
  </si>
  <si>
    <r>
      <rPr>
        <sz val="9"/>
        <rFont val="WenQuanYi Zen Hei"/>
        <family val="2"/>
      </rPr>
      <t xml:space="preserve">交易所</t>
    </r>
    <r>
      <rPr>
        <sz val="9"/>
        <rFont val="Arial"/>
        <family val="0"/>
        <charset val="1"/>
      </rPr>
      <t xml:space="preserve">tick/</t>
    </r>
    <r>
      <rPr>
        <sz val="9"/>
        <rFont val="WenQuanYi Zen Hei"/>
        <family val="2"/>
      </rPr>
      <t xml:space="preserve">分鐘數據</t>
    </r>
  </si>
  <si>
    <t xml:space="preserve">日內</t>
  </si>
  <si>
    <r>
      <rPr>
        <sz val="9"/>
        <rFont val="Arial"/>
        <family val="0"/>
        <charset val="1"/>
      </rPr>
      <t xml:space="preserve">EMA </t>
    </r>
    <r>
      <rPr>
        <sz val="9"/>
        <rFont val="WenQuanYi Zen Hei"/>
        <family val="2"/>
      </rPr>
      <t xml:space="preserve">指數移動平均</t>
    </r>
  </si>
  <si>
    <t xml:space="preserve">EMA_t = α·C_t + (1−α)·EMA_{t-1}, α = 2/(n+1)</t>
  </si>
  <si>
    <t xml:space="preserve">12/26/50</t>
  </si>
  <si>
    <r>
      <rPr>
        <sz val="9"/>
        <rFont val="WenQuanYi Zen Hei"/>
        <family val="2"/>
      </rPr>
      <t xml:space="preserve">快慢</t>
    </r>
    <r>
      <rPr>
        <sz val="9"/>
        <rFont val="Arial"/>
        <family val="0"/>
        <charset val="1"/>
      </rPr>
      <t xml:space="preserve">EMA</t>
    </r>
    <r>
      <rPr>
        <sz val="9"/>
        <rFont val="WenQuanYi Zen Hei"/>
        <family val="2"/>
      </rPr>
      <t xml:space="preserve">排列與交叉</t>
    </r>
  </si>
  <si>
    <r>
      <rPr>
        <sz val="9"/>
        <rFont val="Arial"/>
        <family val="0"/>
        <charset val="1"/>
      </rPr>
      <t xml:space="preserve">OBV </t>
    </r>
    <r>
      <rPr>
        <sz val="9"/>
        <rFont val="WenQuanYi Zen Hei"/>
        <family val="2"/>
      </rPr>
      <t xml:space="preserve">能量潮</t>
    </r>
  </si>
  <si>
    <t xml:space="preserve">OBV_t = OBV_{t-1} + V_t·sign(C_t − C_{t-1})</t>
  </si>
  <si>
    <t xml:space="preserve">累計</t>
  </si>
  <si>
    <r>
      <rPr>
        <sz val="9"/>
        <rFont val="Arial"/>
        <family val="0"/>
        <charset val="1"/>
      </rPr>
      <t xml:space="preserve">OBV</t>
    </r>
    <r>
      <rPr>
        <sz val="9"/>
        <rFont val="WenQuanYi Zen Hei"/>
        <family val="2"/>
      </rPr>
      <t xml:space="preserve">與價背離</t>
    </r>
    <r>
      <rPr>
        <sz val="9"/>
        <rFont val="Arial"/>
        <family val="0"/>
        <charset val="1"/>
      </rPr>
      <t xml:space="preserve">=</t>
    </r>
    <r>
      <rPr>
        <sz val="9"/>
        <rFont val="WenQuanYi Zen Hei"/>
        <family val="2"/>
      </rPr>
      <t xml:space="preserve">吸籌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派發</t>
    </r>
  </si>
  <si>
    <r>
      <rPr>
        <sz val="9"/>
        <rFont val="Arial"/>
        <family val="0"/>
        <charset val="1"/>
      </rPr>
      <t xml:space="preserve">ADX </t>
    </r>
    <r>
      <rPr>
        <sz val="9"/>
        <rFont val="WenQuanYi Zen Hei"/>
        <family val="2"/>
      </rPr>
      <t xml:space="preserve">趨勢強度</t>
    </r>
  </si>
  <si>
    <t xml:space="preserve">趨勢強度</t>
  </si>
  <si>
    <r>
      <rPr>
        <sz val="9"/>
        <rFont val="Arial"/>
        <family val="0"/>
        <charset val="1"/>
      </rPr>
      <t xml:space="preserve">DX = 100·|DI+ − DI−|/(DI+ + DI−); ADX = SMMA(DX,14); DI±</t>
    </r>
    <r>
      <rPr>
        <sz val="9"/>
        <rFont val="WenQuanYi Zen Hei"/>
        <family val="2"/>
      </rPr>
      <t xml:space="preserve">由方向移動</t>
    </r>
    <r>
      <rPr>
        <sz val="9"/>
        <rFont val="Arial"/>
        <family val="0"/>
        <charset val="1"/>
      </rPr>
      <t xml:space="preserve">DM±/TR</t>
    </r>
    <r>
      <rPr>
        <sz val="9"/>
        <rFont val="WenQuanYi Zen Hei"/>
        <family val="2"/>
      </rPr>
      <t xml:space="preserve">算出</t>
    </r>
  </si>
  <si>
    <r>
      <rPr>
        <sz val="9"/>
        <rFont val="Arial"/>
        <family val="0"/>
        <charset val="1"/>
      </rPr>
      <t xml:space="preserve">ADX&gt;25</t>
    </r>
    <r>
      <rPr>
        <sz val="9"/>
        <rFont val="WenQuanYi Zen Hei"/>
        <family val="2"/>
      </rPr>
      <t xml:space="preserve">用順勢策略</t>
    </r>
    <r>
      <rPr>
        <sz val="9"/>
        <rFont val="Arial"/>
        <family val="0"/>
        <charset val="1"/>
      </rPr>
      <t xml:space="preserve">; &lt;20</t>
    </r>
    <r>
      <rPr>
        <sz val="9"/>
        <rFont val="WenQuanYi Zen Hei"/>
        <family val="2"/>
      </rPr>
      <t xml:space="preserve">用均值回歸</t>
    </r>
  </si>
  <si>
    <r>
      <rPr>
        <sz val="9"/>
        <rFont val="Arial"/>
        <family val="0"/>
        <charset val="1"/>
      </rPr>
      <t xml:space="preserve">KD </t>
    </r>
    <r>
      <rPr>
        <sz val="9"/>
        <rFont val="WenQuanYi Zen Hei"/>
        <family val="2"/>
      </rPr>
      <t xml:space="preserve">隨機指標</t>
    </r>
  </si>
  <si>
    <t xml:space="preserve">%K = 100·(C − L14)/(H14 − L14); %D = SMA(%K, 3)</t>
  </si>
  <si>
    <t xml:space="preserve">14/3/3</t>
  </si>
  <si>
    <r>
      <rPr>
        <sz val="9"/>
        <rFont val="Arial"/>
        <family val="0"/>
        <charset val="1"/>
      </rPr>
      <t xml:space="preserve">20/80</t>
    </r>
    <r>
      <rPr>
        <sz val="9"/>
        <rFont val="WenQuanYi Zen Hei"/>
        <family val="2"/>
      </rPr>
      <t xml:space="preserve">區交叉</t>
    </r>
    <r>
      <rPr>
        <sz val="9"/>
        <rFont val="Arial"/>
        <family val="0"/>
        <charset val="1"/>
      </rPr>
      <t xml:space="preserve">; </t>
    </r>
    <r>
      <rPr>
        <sz val="9"/>
        <rFont val="WenQuanYi Zen Hei"/>
        <family val="2"/>
      </rPr>
      <t xml:space="preserve">高檔鈍化辨識強勢</t>
    </r>
  </si>
  <si>
    <r>
      <rPr>
        <sz val="9"/>
        <rFont val="WenQuanYi Zen Hei"/>
        <family val="2"/>
      </rPr>
      <t xml:space="preserve">騰落線 </t>
    </r>
    <r>
      <rPr>
        <sz val="9"/>
        <rFont val="Arial"/>
        <family val="0"/>
        <charset val="1"/>
      </rPr>
      <t xml:space="preserve">A/D Line</t>
    </r>
  </si>
  <si>
    <t xml:space="preserve">廣度</t>
  </si>
  <si>
    <t xml:space="preserve">二</t>
  </si>
  <si>
    <r>
      <rPr>
        <sz val="9"/>
        <rFont val="Arial"/>
        <family val="0"/>
        <charset val="1"/>
      </rPr>
      <t xml:space="preserve">ADL_t = ADL_{t-1} + (</t>
    </r>
    <r>
      <rPr>
        <sz val="9"/>
        <rFont val="WenQuanYi Zen Hei"/>
        <family val="2"/>
      </rPr>
      <t xml:space="preserve">漲家數 − 跌家數</t>
    </r>
    <r>
      <rPr>
        <sz val="9"/>
        <rFont val="Arial"/>
        <family val="0"/>
        <charset val="1"/>
      </rPr>
      <t xml:space="preserve">)</t>
    </r>
  </si>
  <si>
    <t xml:space="preserve">全巿場</t>
  </si>
  <si>
    <r>
      <rPr>
        <sz val="9"/>
        <rFont val="WenQuanYi Zen Hei"/>
        <family val="2"/>
      </rPr>
      <t xml:space="preserve">指數新高而</t>
    </r>
    <r>
      <rPr>
        <sz val="9"/>
        <rFont val="Arial"/>
        <family val="0"/>
        <charset val="1"/>
      </rPr>
      <t xml:space="preserve">ADL</t>
    </r>
    <r>
      <rPr>
        <sz val="9"/>
        <rFont val="WenQuanYi Zen Hei"/>
        <family val="2"/>
      </rPr>
      <t xml:space="preserve">不配合</t>
    </r>
    <r>
      <rPr>
        <sz val="9"/>
        <rFont val="Arial"/>
        <family val="0"/>
        <charset val="1"/>
      </rPr>
      <t xml:space="preserve">=</t>
    </r>
    <r>
      <rPr>
        <sz val="9"/>
        <rFont val="WenQuanYi Zen Hei"/>
        <family val="2"/>
      </rPr>
      <t xml:space="preserve">頂部背離</t>
    </r>
  </si>
  <si>
    <r>
      <rPr>
        <sz val="9"/>
        <rFont val="Arial"/>
        <family val="0"/>
        <charset val="1"/>
      </rPr>
      <t xml:space="preserve">NYSE/NASDAQ</t>
    </r>
    <r>
      <rPr>
        <sz val="9"/>
        <rFont val="WenQuanYi Zen Hei"/>
        <family val="2"/>
      </rPr>
      <t xml:space="preserve">每日漲跌家數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交易所</t>
    </r>
    <r>
      <rPr>
        <sz val="9"/>
        <rFont val="Arial"/>
        <family val="0"/>
        <charset val="1"/>
      </rPr>
      <t xml:space="preserve">/Barchart/StockCharts $NYAD)</t>
    </r>
  </si>
  <si>
    <r>
      <rPr>
        <sz val="9"/>
        <rFont val="Arial"/>
        <family val="0"/>
        <charset val="1"/>
      </rPr>
      <t xml:space="preserve">%</t>
    </r>
    <r>
      <rPr>
        <sz val="9"/>
        <rFont val="WenQuanYi Zen Hei"/>
        <family val="2"/>
      </rPr>
      <t xml:space="preserve">成份股</t>
    </r>
    <r>
      <rPr>
        <sz val="9"/>
        <rFont val="Arial"/>
        <family val="0"/>
        <charset val="1"/>
      </rPr>
      <t xml:space="preserve">&gt;200</t>
    </r>
    <r>
      <rPr>
        <sz val="9"/>
        <rFont val="WenQuanYi Zen Hei"/>
        <family val="2"/>
      </rPr>
      <t xml:space="preserve">日線</t>
    </r>
  </si>
  <si>
    <r>
      <rPr>
        <sz val="9"/>
        <rFont val="Arial"/>
        <family val="0"/>
        <charset val="1"/>
      </rPr>
      <t xml:space="preserve">Pct = (</t>
    </r>
    <r>
      <rPr>
        <sz val="9"/>
        <rFont val="WenQuanYi Zen Hei"/>
        <family val="2"/>
      </rPr>
      <t xml:space="preserve">成份股中</t>
    </r>
    <r>
      <rPr>
        <sz val="9"/>
        <rFont val="Arial"/>
        <family val="0"/>
        <charset val="1"/>
      </rPr>
      <t xml:space="preserve">C&gt;SMA200</t>
    </r>
    <r>
      <rPr>
        <sz val="9"/>
        <rFont val="WenQuanYi Zen Hei"/>
        <family val="2"/>
      </rPr>
      <t xml:space="preserve">之家數</t>
    </r>
    <r>
      <rPr>
        <sz val="9"/>
        <rFont val="Arial"/>
        <family val="0"/>
        <charset val="1"/>
      </rPr>
      <t xml:space="preserve">)/</t>
    </r>
    <r>
      <rPr>
        <sz val="9"/>
        <rFont val="WenQuanYi Zen Hei"/>
        <family val="2"/>
      </rPr>
      <t xml:space="preserve">總家數</t>
    </r>
  </si>
  <si>
    <r>
      <rPr>
        <sz val="9"/>
        <rFont val="Arial"/>
        <family val="0"/>
        <charset val="1"/>
      </rPr>
      <t xml:space="preserve">200</t>
    </r>
    <r>
      <rPr>
        <sz val="9"/>
        <rFont val="WenQuanYi Zen Hei"/>
        <family val="2"/>
      </rPr>
      <t xml:space="preserve">日</t>
    </r>
  </si>
  <si>
    <r>
      <rPr>
        <sz val="9"/>
        <rFont val="Arial"/>
        <family val="0"/>
        <charset val="1"/>
      </rPr>
      <t xml:space="preserve">&gt;60%</t>
    </r>
    <r>
      <rPr>
        <sz val="9"/>
        <rFont val="WenQuanYi Zen Hei"/>
        <family val="2"/>
      </rPr>
      <t xml:space="preserve">健康</t>
    </r>
    <r>
      <rPr>
        <sz val="9"/>
        <rFont val="Arial"/>
        <family val="0"/>
        <charset val="1"/>
      </rPr>
      <t xml:space="preserve">; &lt;40%</t>
    </r>
    <r>
      <rPr>
        <sz val="9"/>
        <rFont val="WenQuanYi Zen Hei"/>
        <family val="2"/>
      </rPr>
      <t xml:space="preserve">崩壞</t>
    </r>
    <r>
      <rPr>
        <sz val="9"/>
        <rFont val="Arial"/>
        <family val="0"/>
        <charset val="1"/>
      </rPr>
      <t xml:space="preserve">; </t>
    </r>
    <r>
      <rPr>
        <sz val="9"/>
        <rFont val="WenQuanYi Zen Hei"/>
        <family val="2"/>
      </rPr>
      <t xml:space="preserve">極低值</t>
    </r>
    <r>
      <rPr>
        <sz val="9"/>
        <rFont val="Arial"/>
        <family val="0"/>
        <charset val="1"/>
      </rPr>
      <t xml:space="preserve">=</t>
    </r>
    <r>
      <rPr>
        <sz val="9"/>
        <rFont val="WenQuanYi Zen Hei"/>
        <family val="2"/>
      </rPr>
      <t xml:space="preserve">底部推力前奏</t>
    </r>
  </si>
  <si>
    <t xml:space="preserve">Barchart $NDXA200R/$SPXA200R, StockCharts</t>
  </si>
  <si>
    <r>
      <rPr>
        <sz val="9"/>
        <rFont val="WenQuanYi Zen Hei"/>
        <family val="2"/>
      </rPr>
      <t xml:space="preserve">淨新高</t>
    </r>
    <r>
      <rPr>
        <sz val="9"/>
        <rFont val="Arial"/>
        <family val="0"/>
        <charset val="1"/>
      </rPr>
      <t xml:space="preserve">-</t>
    </r>
    <r>
      <rPr>
        <sz val="9"/>
        <rFont val="WenQuanYi Zen Hei"/>
        <family val="2"/>
      </rPr>
      <t xml:space="preserve">新低</t>
    </r>
  </si>
  <si>
    <r>
      <rPr>
        <sz val="9"/>
        <rFont val="Arial"/>
        <family val="0"/>
        <charset val="1"/>
      </rPr>
      <t xml:space="preserve">NHNL = 52</t>
    </r>
    <r>
      <rPr>
        <sz val="9"/>
        <rFont val="WenQuanYi Zen Hei"/>
        <family val="2"/>
      </rPr>
      <t xml:space="preserve">週新高家數 − 新低家數</t>
    </r>
    <r>
      <rPr>
        <sz val="9"/>
        <rFont val="Arial"/>
        <family val="0"/>
        <charset val="1"/>
      </rPr>
      <t xml:space="preserve">; </t>
    </r>
    <r>
      <rPr>
        <sz val="9"/>
        <rFont val="WenQuanYi Zen Hei"/>
        <family val="2"/>
      </rPr>
      <t xml:space="preserve">常用</t>
    </r>
    <r>
      <rPr>
        <sz val="9"/>
        <rFont val="Arial"/>
        <family val="0"/>
        <charset val="1"/>
      </rPr>
      <t xml:space="preserve">10</t>
    </r>
    <r>
      <rPr>
        <sz val="9"/>
        <rFont val="WenQuanYi Zen Hei"/>
        <family val="2"/>
      </rPr>
      <t xml:space="preserve">日累計</t>
    </r>
  </si>
  <si>
    <r>
      <rPr>
        <sz val="9"/>
        <rFont val="Arial"/>
        <family val="0"/>
        <charset val="1"/>
      </rPr>
      <t xml:space="preserve">10</t>
    </r>
    <r>
      <rPr>
        <sz val="9"/>
        <rFont val="WenQuanYi Zen Hei"/>
        <family val="2"/>
      </rPr>
      <t xml:space="preserve">日累計</t>
    </r>
  </si>
  <si>
    <r>
      <rPr>
        <sz val="9"/>
        <rFont val="WenQuanYi Zen Hei"/>
        <family val="2"/>
      </rPr>
      <t xml:space="preserve">持續為正</t>
    </r>
    <r>
      <rPr>
        <sz val="9"/>
        <rFont val="Arial"/>
        <family val="0"/>
        <charset val="1"/>
      </rPr>
      <t xml:space="preserve">=EASY; </t>
    </r>
    <r>
      <rPr>
        <sz val="9"/>
        <rFont val="WenQuanYi Zen Hei"/>
        <family val="2"/>
      </rPr>
      <t xml:space="preserve">淨新低擴張</t>
    </r>
    <r>
      <rPr>
        <sz val="9"/>
        <rFont val="Arial"/>
        <family val="0"/>
        <charset val="1"/>
      </rPr>
      <t xml:space="preserve">=</t>
    </r>
    <r>
      <rPr>
        <sz val="9"/>
        <rFont val="WenQuanYi Zen Hei"/>
        <family val="2"/>
      </rPr>
      <t xml:space="preserve">熊市確認</t>
    </r>
  </si>
  <si>
    <r>
      <rPr>
        <sz val="9"/>
        <rFont val="WenQuanYi Zen Hei"/>
        <family val="2"/>
      </rPr>
      <t xml:space="preserve">交易所新高新低統計</t>
    </r>
    <r>
      <rPr>
        <sz val="9"/>
        <rFont val="Arial"/>
        <family val="0"/>
        <charset val="1"/>
      </rPr>
      <t xml:space="preserve">(Barchart/StockCharts $NYHL)</t>
    </r>
  </si>
  <si>
    <t xml:space="preserve">McClellan Oscillator/Summation</t>
  </si>
  <si>
    <r>
      <rPr>
        <sz val="9"/>
        <rFont val="Arial"/>
        <family val="0"/>
        <charset val="1"/>
      </rPr>
      <t xml:space="preserve">Osc = EMA19(</t>
    </r>
    <r>
      <rPr>
        <sz val="9"/>
        <rFont val="WenQuanYi Zen Hei"/>
        <family val="2"/>
      </rPr>
      <t xml:space="preserve">淨漲家</t>
    </r>
    <r>
      <rPr>
        <sz val="9"/>
        <rFont val="Arial"/>
        <family val="0"/>
        <charset val="1"/>
      </rPr>
      <t xml:space="preserve">) − EMA39(</t>
    </r>
    <r>
      <rPr>
        <sz val="9"/>
        <rFont val="WenQuanYi Zen Hei"/>
        <family val="2"/>
      </rPr>
      <t xml:space="preserve">淨漲家</t>
    </r>
    <r>
      <rPr>
        <sz val="9"/>
        <rFont val="Arial"/>
        <family val="0"/>
        <charset val="1"/>
      </rPr>
      <t xml:space="preserve">); Summation = Σ Osc</t>
    </r>
  </si>
  <si>
    <t xml:space="preserve">19/39</t>
  </si>
  <si>
    <r>
      <rPr>
        <sz val="9"/>
        <rFont val="Arial"/>
        <family val="0"/>
        <charset val="1"/>
      </rPr>
      <t xml:space="preserve">Osc±</t>
    </r>
    <r>
      <rPr>
        <sz val="9"/>
        <rFont val="WenQuanYi Zen Hei"/>
        <family val="2"/>
      </rPr>
      <t xml:space="preserve">極值</t>
    </r>
    <r>
      <rPr>
        <sz val="9"/>
        <rFont val="Arial"/>
        <family val="0"/>
        <charset val="1"/>
      </rPr>
      <t xml:space="preserve">=</t>
    </r>
    <r>
      <rPr>
        <sz val="9"/>
        <rFont val="WenQuanYi Zen Hei"/>
        <family val="2"/>
      </rPr>
      <t xml:space="preserve">超買賣</t>
    </r>
    <r>
      <rPr>
        <sz val="9"/>
        <rFont val="Arial"/>
        <family val="0"/>
        <charset val="1"/>
      </rPr>
      <t xml:space="preserve">; Summation&lt;0=</t>
    </r>
    <r>
      <rPr>
        <sz val="9"/>
        <rFont val="WenQuanYi Zen Hei"/>
        <family val="2"/>
      </rPr>
      <t xml:space="preserve">弱市</t>
    </r>
  </si>
  <si>
    <r>
      <rPr>
        <sz val="9"/>
        <rFont val="Arial"/>
        <family val="0"/>
        <charset val="1"/>
      </rPr>
      <t xml:space="preserve">NYSE</t>
    </r>
    <r>
      <rPr>
        <sz val="9"/>
        <rFont val="WenQuanYi Zen Hei"/>
        <family val="2"/>
      </rPr>
      <t xml:space="preserve">漲跌家數自算 </t>
    </r>
    <r>
      <rPr>
        <sz val="9"/>
        <rFont val="Arial"/>
        <family val="0"/>
        <charset val="1"/>
      </rPr>
      <t xml:space="preserve">/ StockCharts $NYMO $NYSI</t>
    </r>
  </si>
  <si>
    <r>
      <rPr>
        <sz val="9"/>
        <rFont val="WenQuanYi Zen Hei"/>
        <family val="2"/>
      </rPr>
      <t xml:space="preserve">高收益債利差 </t>
    </r>
    <r>
      <rPr>
        <sz val="9"/>
        <rFont val="Arial"/>
        <family val="0"/>
        <charset val="1"/>
      </rPr>
      <t xml:space="preserve">HY OAS</t>
    </r>
  </si>
  <si>
    <t xml:space="preserve">信用</t>
  </si>
  <si>
    <r>
      <rPr>
        <sz val="9"/>
        <rFont val="WenQuanYi Zen Hei"/>
        <family val="2"/>
      </rPr>
      <t xml:space="preserve">指數層面期權調整利差</t>
    </r>
    <r>
      <rPr>
        <sz val="9"/>
        <rFont val="Arial"/>
        <family val="0"/>
        <charset val="1"/>
      </rPr>
      <t xml:space="preserve">: HY</t>
    </r>
    <r>
      <rPr>
        <sz val="9"/>
        <rFont val="WenQuanYi Zen Hei"/>
        <family val="2"/>
      </rPr>
      <t xml:space="preserve">債殖利率曲線相對國債之</t>
    </r>
    <r>
      <rPr>
        <sz val="9"/>
        <rFont val="Arial"/>
        <family val="0"/>
        <charset val="1"/>
      </rPr>
      <t xml:space="preserve">OAS(</t>
    </r>
    <r>
      <rPr>
        <sz val="9"/>
        <rFont val="WenQuanYi Zen Hei"/>
        <family val="2"/>
      </rPr>
      <t xml:space="preserve">供應商模型計算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</si>
  <si>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ICE BofA HY</t>
    </r>
    <r>
      <rPr>
        <sz val="9"/>
        <rFont val="WenQuanYi Zen Hei"/>
        <family val="2"/>
      </rPr>
      <t xml:space="preserve">指數</t>
    </r>
  </si>
  <si>
    <r>
      <rPr>
        <sz val="9"/>
        <rFont val="Arial"/>
        <family val="0"/>
        <charset val="1"/>
      </rPr>
      <t xml:space="preserve">&lt;350bp</t>
    </r>
    <r>
      <rPr>
        <sz val="9"/>
        <rFont val="WenQuanYi Zen Hei"/>
        <family val="2"/>
      </rPr>
      <t xml:space="preserve">收窄</t>
    </r>
    <r>
      <rPr>
        <sz val="9"/>
        <rFont val="Arial"/>
        <family val="0"/>
        <charset val="1"/>
      </rPr>
      <t xml:space="preserve">=EASY; &gt;450bp</t>
    </r>
    <r>
      <rPr>
        <sz val="9"/>
        <rFont val="WenQuanYi Zen Hei"/>
        <family val="2"/>
      </rPr>
      <t xml:space="preserve">走闊</t>
    </r>
    <r>
      <rPr>
        <sz val="9"/>
        <rFont val="Arial"/>
        <family val="0"/>
        <charset val="1"/>
      </rPr>
      <t xml:space="preserve">=</t>
    </r>
    <r>
      <rPr>
        <sz val="9"/>
        <rFont val="WenQuanYi Zen Hei"/>
        <family val="2"/>
      </rPr>
      <t xml:space="preserve">制度轉變</t>
    </r>
  </si>
  <si>
    <t xml:space="preserve">FRED: BAMLH0A0HYM2 (ICE BofA)</t>
  </si>
  <si>
    <r>
      <rPr>
        <sz val="9"/>
        <rFont val="WenQuanYi Zen Hei"/>
        <family val="2"/>
      </rPr>
      <t xml:space="preserve">收益率曲線 </t>
    </r>
    <r>
      <rPr>
        <sz val="9"/>
        <rFont val="Arial"/>
        <family val="0"/>
        <charset val="1"/>
      </rPr>
      <t xml:space="preserve">10Y-3M / 10Y-2Y</t>
    </r>
  </si>
  <si>
    <r>
      <rPr>
        <sz val="9"/>
        <rFont val="WenQuanYi Zen Hei"/>
        <family val="2"/>
      </rPr>
      <t xml:space="preserve">宏觀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利率</t>
    </r>
  </si>
  <si>
    <r>
      <rPr>
        <sz val="9"/>
        <rFont val="Arial"/>
        <family val="0"/>
        <charset val="1"/>
      </rPr>
      <t xml:space="preserve">Spread = Y10 − Y3M (</t>
    </r>
    <r>
      <rPr>
        <sz val="9"/>
        <rFont val="WenQuanYi Zen Hei"/>
        <family val="2"/>
      </rPr>
      <t xml:space="preserve">或 </t>
    </r>
    <r>
      <rPr>
        <sz val="9"/>
        <rFont val="Arial"/>
        <family val="0"/>
        <charset val="1"/>
      </rPr>
      <t xml:space="preserve">Y10 − Y2)</t>
    </r>
  </si>
  <si>
    <t xml:space="preserve">—</t>
  </si>
  <si>
    <r>
      <rPr>
        <sz val="9"/>
        <rFont val="WenQuanYi Zen Hei"/>
        <family val="2"/>
      </rPr>
      <t xml:space="preserve">倒掛</t>
    </r>
    <r>
      <rPr>
        <sz val="9"/>
        <rFont val="Arial"/>
        <family val="0"/>
        <charset val="1"/>
      </rPr>
      <t xml:space="preserve">(&lt;0)=</t>
    </r>
    <r>
      <rPr>
        <sz val="9"/>
        <rFont val="WenQuanYi Zen Hei"/>
        <family val="2"/>
      </rPr>
      <t xml:space="preserve">衰退領先</t>
    </r>
    <r>
      <rPr>
        <sz val="9"/>
        <rFont val="Arial"/>
        <family val="0"/>
        <charset val="1"/>
      </rPr>
      <t xml:space="preserve">6-18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; </t>
    </r>
    <r>
      <rPr>
        <sz val="9"/>
        <rFont val="WenQuanYi Zen Hei"/>
        <family val="2"/>
      </rPr>
      <t xml:space="preserve">倒掛後熊陡</t>
    </r>
    <r>
      <rPr>
        <sz val="9"/>
        <rFont val="Arial"/>
        <family val="0"/>
        <charset val="1"/>
      </rPr>
      <t xml:space="preserve">=</t>
    </r>
    <r>
      <rPr>
        <sz val="9"/>
        <rFont val="WenQuanYi Zen Hei"/>
        <family val="2"/>
      </rPr>
      <t xml:space="preserve">衰退開始</t>
    </r>
  </si>
  <si>
    <t xml:space="preserve">FRED: T10Y3M, T10Y2Y, DGS10/DGS2/DGS3MO</t>
  </si>
  <si>
    <r>
      <rPr>
        <sz val="9"/>
        <rFont val="Arial"/>
        <family val="0"/>
        <charset val="1"/>
      </rPr>
      <t xml:space="preserve">Fed</t>
    </r>
    <r>
      <rPr>
        <sz val="9"/>
        <rFont val="WenQuanYi Zen Hei"/>
        <family val="2"/>
      </rPr>
      <t xml:space="preserve">政策方向與會議定價</t>
    </r>
  </si>
  <si>
    <r>
      <rPr>
        <sz val="9"/>
        <rFont val="WenQuanYi Zen Hei"/>
        <family val="2"/>
      </rPr>
      <t xml:space="preserve">宏觀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流動性</t>
    </r>
  </si>
  <si>
    <r>
      <rPr>
        <sz val="9"/>
        <rFont val="WenQuanYi Zen Hei"/>
        <family val="2"/>
      </rPr>
      <t xml:space="preserve">隱含利率 </t>
    </r>
    <r>
      <rPr>
        <sz val="9"/>
        <rFont val="Arial"/>
        <family val="0"/>
        <charset val="1"/>
      </rPr>
      <t xml:space="preserve">= 100 − FF</t>
    </r>
    <r>
      <rPr>
        <sz val="9"/>
        <rFont val="WenQuanYi Zen Hei"/>
        <family val="2"/>
      </rPr>
      <t xml:space="preserve">期貨價</t>
    </r>
    <r>
      <rPr>
        <sz val="9"/>
        <rFont val="Arial"/>
        <family val="0"/>
        <charset val="1"/>
      </rPr>
      <t xml:space="preserve">; </t>
    </r>
    <r>
      <rPr>
        <sz val="9"/>
        <rFont val="WenQuanYi Zen Hei"/>
        <family val="2"/>
      </rPr>
      <t xml:space="preserve">會議變動機率由相鄰期貨合約反推</t>
    </r>
  </si>
  <si>
    <r>
      <rPr>
        <sz val="9"/>
        <rFont val="Arial"/>
        <family val="0"/>
        <charset val="1"/>
      </rPr>
      <t xml:space="preserve">30</t>
    </r>
    <r>
      <rPr>
        <sz val="9"/>
        <rFont val="WenQuanYi Zen Hei"/>
        <family val="2"/>
      </rPr>
      <t xml:space="preserve">天</t>
    </r>
    <r>
      <rPr>
        <sz val="9"/>
        <rFont val="Arial"/>
        <family val="0"/>
        <charset val="1"/>
      </rPr>
      <t xml:space="preserve">FF</t>
    </r>
    <r>
      <rPr>
        <sz val="9"/>
        <rFont val="WenQuanYi Zen Hei"/>
        <family val="2"/>
      </rPr>
      <t xml:space="preserve">期貨</t>
    </r>
  </si>
  <si>
    <r>
      <rPr>
        <sz val="9"/>
        <rFont val="WenQuanYi Zen Hei"/>
        <family val="2"/>
      </rPr>
      <t xml:space="preserve">加息定價</t>
    </r>
    <r>
      <rPr>
        <sz val="9"/>
        <rFont val="Arial"/>
        <family val="0"/>
        <charset val="1"/>
      </rPr>
      <t xml:space="preserve">&gt;50%=HARD</t>
    </r>
    <r>
      <rPr>
        <sz val="9"/>
        <rFont val="WenQuanYi Zen Hei"/>
        <family val="2"/>
      </rPr>
      <t xml:space="preserve">傾向</t>
    </r>
    <r>
      <rPr>
        <sz val="9"/>
        <rFont val="Arial"/>
        <family val="0"/>
        <charset val="1"/>
      </rPr>
      <t xml:space="preserve">; </t>
    </r>
    <r>
      <rPr>
        <sz val="9"/>
        <rFont val="WenQuanYi Zen Hei"/>
        <family val="2"/>
      </rPr>
      <t xml:space="preserve">減息週期</t>
    </r>
    <r>
      <rPr>
        <sz val="9"/>
        <rFont val="Arial"/>
        <family val="0"/>
        <charset val="1"/>
      </rPr>
      <t xml:space="preserve">=EASY</t>
    </r>
  </si>
  <si>
    <r>
      <rPr>
        <sz val="9"/>
        <rFont val="Arial"/>
        <family val="0"/>
        <charset val="1"/>
      </rPr>
      <t xml:space="preserve">CME FedWatch (cmegroup.com) / FOMC</t>
    </r>
    <r>
      <rPr>
        <sz val="9"/>
        <rFont val="WenQuanYi Zen Hei"/>
        <family val="2"/>
      </rPr>
      <t xml:space="preserve">聲明</t>
    </r>
  </si>
  <si>
    <r>
      <rPr>
        <sz val="9"/>
        <rFont val="Arial"/>
        <family val="0"/>
        <charset val="1"/>
      </rPr>
      <t xml:space="preserve">Put/Call </t>
    </r>
    <r>
      <rPr>
        <sz val="9"/>
        <rFont val="WenQuanYi Zen Hei"/>
        <family val="2"/>
      </rPr>
      <t xml:space="preserve">比率</t>
    </r>
  </si>
  <si>
    <t xml:space="preserve">情緒</t>
  </si>
  <si>
    <r>
      <rPr>
        <sz val="9"/>
        <rFont val="Arial"/>
        <family val="0"/>
        <charset val="1"/>
      </rPr>
      <t xml:space="preserve">PCR = </t>
    </r>
    <r>
      <rPr>
        <sz val="9"/>
        <rFont val="WenQuanYi Zen Hei"/>
        <family val="2"/>
      </rPr>
      <t xml:space="preserve">認沽成交量 </t>
    </r>
    <r>
      <rPr>
        <sz val="9"/>
        <rFont val="Arial"/>
        <family val="0"/>
        <charset val="1"/>
      </rPr>
      <t xml:space="preserve">/ </t>
    </r>
    <r>
      <rPr>
        <sz val="9"/>
        <rFont val="WenQuanYi Zen Hei"/>
        <family val="2"/>
      </rPr>
      <t xml:space="preserve">認購成交量 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股票型</t>
    </r>
    <r>
      <rPr>
        <sz val="9"/>
        <rFont val="Arial"/>
        <family val="0"/>
        <charset val="1"/>
      </rPr>
      <t xml:space="preserve">, 10</t>
    </r>
    <r>
      <rPr>
        <sz val="9"/>
        <rFont val="WenQuanYi Zen Hei"/>
        <family val="2"/>
      </rPr>
      <t xml:space="preserve">日</t>
    </r>
    <r>
      <rPr>
        <sz val="9"/>
        <rFont val="Arial"/>
        <family val="0"/>
        <charset val="1"/>
      </rPr>
      <t xml:space="preserve">SMA)</t>
    </r>
  </si>
  <si>
    <r>
      <rPr>
        <sz val="9"/>
        <rFont val="Arial"/>
        <family val="0"/>
        <charset val="1"/>
      </rPr>
      <t xml:space="preserve">10</t>
    </r>
    <r>
      <rPr>
        <sz val="9"/>
        <rFont val="WenQuanYi Zen Hei"/>
        <family val="2"/>
      </rPr>
      <t xml:space="preserve">日均</t>
    </r>
  </si>
  <si>
    <r>
      <rPr>
        <sz val="9"/>
        <rFont val="Arial"/>
        <family val="0"/>
        <charset val="1"/>
      </rPr>
      <t xml:space="preserve">&gt;0.85</t>
    </r>
    <r>
      <rPr>
        <sz val="9"/>
        <rFont val="WenQuanYi Zen Hei"/>
        <family val="2"/>
      </rPr>
      <t xml:space="preserve">恐慌</t>
    </r>
    <r>
      <rPr>
        <sz val="9"/>
        <rFont val="Arial"/>
        <family val="0"/>
        <charset val="1"/>
      </rPr>
      <t xml:space="preserve">=</t>
    </r>
    <r>
      <rPr>
        <sz val="9"/>
        <rFont val="WenQuanYi Zen Hei"/>
        <family val="2"/>
      </rPr>
      <t xml:space="preserve">反向偏多</t>
    </r>
    <r>
      <rPr>
        <sz val="9"/>
        <rFont val="Arial"/>
        <family val="0"/>
        <charset val="1"/>
      </rPr>
      <t xml:space="preserve">; &lt;0.45</t>
    </r>
    <r>
      <rPr>
        <sz val="9"/>
        <rFont val="WenQuanYi Zen Hei"/>
        <family val="2"/>
      </rPr>
      <t xml:space="preserve">過熱</t>
    </r>
  </si>
  <si>
    <r>
      <rPr>
        <sz val="9"/>
        <rFont val="Arial"/>
        <family val="0"/>
        <charset val="1"/>
      </rPr>
      <t xml:space="preserve">CBOE</t>
    </r>
    <r>
      <rPr>
        <sz val="9"/>
        <rFont val="WenQuanYi Zen Hei"/>
        <family val="2"/>
      </rPr>
      <t xml:space="preserve">每日統計 </t>
    </r>
    <r>
      <rPr>
        <sz val="9"/>
        <rFont val="Arial"/>
        <family val="0"/>
        <charset val="1"/>
      </rPr>
      <t xml:space="preserve">(cboe.com/us/options/market_statistics)</t>
    </r>
  </si>
  <si>
    <r>
      <rPr>
        <sz val="9"/>
        <rFont val="Arial"/>
        <family val="0"/>
        <charset val="1"/>
      </rPr>
      <t xml:space="preserve">VIX</t>
    </r>
    <r>
      <rPr>
        <sz val="9"/>
        <rFont val="WenQuanYi Zen Hei"/>
        <family val="2"/>
      </rPr>
      <t xml:space="preserve">期限結構</t>
    </r>
  </si>
  <si>
    <t xml:space="preserve">Ratio = VIX / VIX3M</t>
  </si>
  <si>
    <r>
      <rPr>
        <sz val="9"/>
        <rFont val="Arial"/>
        <family val="0"/>
        <charset val="1"/>
      </rPr>
      <t xml:space="preserve">30</t>
    </r>
    <r>
      <rPr>
        <sz val="9"/>
        <rFont val="WenQuanYi Zen Hei"/>
        <family val="2"/>
      </rPr>
      <t xml:space="preserve">日</t>
    </r>
    <r>
      <rPr>
        <sz val="9"/>
        <rFont val="Arial"/>
        <family val="0"/>
        <charset val="1"/>
      </rPr>
      <t xml:space="preserve">/93</t>
    </r>
    <r>
      <rPr>
        <sz val="9"/>
        <rFont val="WenQuanYi Zen Hei"/>
        <family val="2"/>
      </rPr>
      <t xml:space="preserve">日</t>
    </r>
  </si>
  <si>
    <r>
      <rPr>
        <sz val="9"/>
        <rFont val="Arial"/>
        <family val="0"/>
        <charset val="1"/>
      </rPr>
      <t xml:space="preserve">&lt;0.95 contango</t>
    </r>
    <r>
      <rPr>
        <sz val="9"/>
        <rFont val="WenQuanYi Zen Hei"/>
        <family val="2"/>
      </rPr>
      <t xml:space="preserve">正常</t>
    </r>
    <r>
      <rPr>
        <sz val="9"/>
        <rFont val="Arial"/>
        <family val="0"/>
        <charset val="1"/>
      </rPr>
      <t xml:space="preserve">; &gt;1.0</t>
    </r>
    <r>
      <rPr>
        <sz val="9"/>
        <rFont val="WenQuanYi Zen Hei"/>
        <family val="2"/>
      </rPr>
      <t xml:space="preserve">倒掛持續</t>
    </r>
    <r>
      <rPr>
        <sz val="9"/>
        <rFont val="Arial"/>
        <family val="0"/>
        <charset val="1"/>
      </rPr>
      <t xml:space="preserve">=</t>
    </r>
    <r>
      <rPr>
        <sz val="9"/>
        <rFont val="WenQuanYi Zen Hei"/>
        <family val="2"/>
      </rPr>
      <t xml:space="preserve">恐慌制度</t>
    </r>
  </si>
  <si>
    <r>
      <rPr>
        <sz val="9"/>
        <rFont val="Arial"/>
        <family val="0"/>
        <charset val="1"/>
      </rPr>
      <t xml:space="preserve">CBOE VIX</t>
    </r>
    <r>
      <rPr>
        <sz val="9"/>
        <rFont val="WenQuanYi Zen Hei"/>
        <family val="2"/>
      </rPr>
      <t xml:space="preserve">與</t>
    </r>
    <r>
      <rPr>
        <sz val="9"/>
        <rFont val="Arial"/>
        <family val="0"/>
        <charset val="1"/>
      </rPr>
      <t xml:space="preserve">VIX3M / vixcentral.com</t>
    </r>
  </si>
  <si>
    <r>
      <rPr>
        <sz val="9"/>
        <rFont val="WenQuanYi Zen Hei"/>
        <family val="2"/>
      </rPr>
      <t xml:space="preserve">美元指數</t>
    </r>
    <r>
      <rPr>
        <sz val="9"/>
        <rFont val="Arial"/>
        <family val="0"/>
        <charset val="1"/>
      </rPr>
      <t xml:space="preserve">DXY</t>
    </r>
    <r>
      <rPr>
        <sz val="9"/>
        <rFont val="WenQuanYi Zen Hei"/>
        <family val="2"/>
      </rPr>
      <t xml:space="preserve">動能</t>
    </r>
  </si>
  <si>
    <t xml:space="preserve">跨巿場</t>
  </si>
  <si>
    <t xml:space="preserve">ROC26w = DXY_t / DXY_{t-130} − 1</t>
  </si>
  <si>
    <r>
      <rPr>
        <sz val="9"/>
        <rFont val="Arial"/>
        <family val="0"/>
        <charset val="1"/>
      </rPr>
      <t xml:space="preserve">26</t>
    </r>
    <r>
      <rPr>
        <sz val="9"/>
        <rFont val="WenQuanYi Zen Hei"/>
        <family val="2"/>
      </rPr>
      <t xml:space="preserve">週</t>
    </r>
  </si>
  <si>
    <r>
      <rPr>
        <sz val="9"/>
        <rFont val="WenQuanYi Zen Hei"/>
        <family val="2"/>
      </rPr>
      <t xml:space="preserve">急升</t>
    </r>
    <r>
      <rPr>
        <sz val="9"/>
        <rFont val="Arial"/>
        <family val="0"/>
        <charset val="1"/>
      </rPr>
      <t xml:space="preserve">&gt;+10%=</t>
    </r>
    <r>
      <rPr>
        <sz val="9"/>
        <rFont val="WenQuanYi Zen Hei"/>
        <family val="2"/>
      </rPr>
      <t xml:space="preserve">全球流動性收縮警報</t>
    </r>
  </si>
  <si>
    <r>
      <rPr>
        <sz val="9"/>
        <rFont val="Arial"/>
        <family val="0"/>
        <charset val="1"/>
      </rPr>
      <t xml:space="preserve">ICE DXY / FRED: DTWEXBGS(</t>
    </r>
    <r>
      <rPr>
        <sz val="9"/>
        <rFont val="WenQuanYi Zen Hei"/>
        <family val="2"/>
      </rPr>
      <t xml:space="preserve">貿易加權</t>
    </r>
    <r>
      <rPr>
        <sz val="9"/>
        <rFont val="Arial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</si>
  <si>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已實現波動率 </t>
    </r>
    <r>
      <rPr>
        <sz val="9"/>
        <rFont val="Arial"/>
        <family val="0"/>
        <charset val="1"/>
      </rPr>
      <t xml:space="preserve">HV</t>
    </r>
  </si>
  <si>
    <t xml:space="preserve">HV = std(ln(C_t/C_{t-1}), n) × √252</t>
  </si>
  <si>
    <r>
      <rPr>
        <sz val="9"/>
        <rFont val="Arial"/>
        <family val="0"/>
        <charset val="1"/>
      </rPr>
      <t xml:space="preserve">20/60</t>
    </r>
    <r>
      <rPr>
        <sz val="9"/>
        <rFont val="WenQuanYi Zen Hei"/>
        <family val="2"/>
      </rPr>
      <t xml:space="preserve">日</t>
    </r>
  </si>
  <si>
    <r>
      <rPr>
        <sz val="9"/>
        <rFont val="WenQuanYi Zen Hei"/>
        <family val="2"/>
      </rPr>
      <t xml:space="preserve">波動率目標倉位</t>
    </r>
    <r>
      <rPr>
        <sz val="9"/>
        <rFont val="Arial"/>
        <family val="0"/>
        <charset val="1"/>
      </rPr>
      <t xml:space="preserve">: w = </t>
    </r>
    <r>
      <rPr>
        <sz val="9"/>
        <rFont val="WenQuanYi Zen Hei"/>
        <family val="2"/>
      </rPr>
      <t xml:space="preserve">目標</t>
    </r>
    <r>
      <rPr>
        <sz val="9"/>
        <rFont val="Arial"/>
        <family val="0"/>
        <charset val="1"/>
      </rPr>
      <t xml:space="preserve">σ/HV</t>
    </r>
  </si>
  <si>
    <r>
      <rPr>
        <sz val="9"/>
        <rFont val="Arial"/>
        <family val="0"/>
        <charset val="1"/>
      </rPr>
      <t xml:space="preserve">OHLCV</t>
    </r>
    <r>
      <rPr>
        <sz val="9"/>
        <rFont val="WenQuanYi Zen Hei"/>
        <family val="2"/>
      </rPr>
      <t xml:space="preserve">行情源自算</t>
    </r>
  </si>
  <si>
    <t xml:space="preserve">IV Rank / IV Percentile</t>
  </si>
  <si>
    <r>
      <rPr>
        <sz val="9"/>
        <rFont val="WenQuanYi Zen Hei"/>
        <family val="2"/>
      </rPr>
      <t xml:space="preserve">波動率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期權</t>
    </r>
  </si>
  <si>
    <t xml:space="preserve">IVR = (IV − min252(IV))/(max252(IV) − min252(IV))</t>
  </si>
  <si>
    <r>
      <rPr>
        <sz val="9"/>
        <rFont val="Arial"/>
        <family val="0"/>
        <charset val="1"/>
      </rPr>
      <t xml:space="preserve">252</t>
    </r>
    <r>
      <rPr>
        <sz val="9"/>
        <rFont val="WenQuanYi Zen Hei"/>
        <family val="2"/>
      </rPr>
      <t xml:space="preserve">日窗</t>
    </r>
  </si>
  <si>
    <r>
      <rPr>
        <sz val="9"/>
        <rFont val="Arial"/>
        <family val="0"/>
        <charset val="1"/>
      </rPr>
      <t xml:space="preserve">IVR&gt;50</t>
    </r>
    <r>
      <rPr>
        <sz val="9"/>
        <rFont val="WenQuanYi Zen Hei"/>
        <family val="2"/>
      </rPr>
      <t xml:space="preserve">賣方策略佔優</t>
    </r>
    <r>
      <rPr>
        <sz val="9"/>
        <rFont val="Arial"/>
        <family val="0"/>
        <charset val="1"/>
      </rPr>
      <t xml:space="preserve">; &lt;20</t>
    </r>
    <r>
      <rPr>
        <sz val="9"/>
        <rFont val="WenQuanYi Zen Hei"/>
        <family val="2"/>
      </rPr>
      <t xml:space="preserve">買方佔優</t>
    </r>
  </si>
  <si>
    <r>
      <rPr>
        <sz val="9"/>
        <rFont val="WenQuanYi Zen Hei"/>
        <family val="2"/>
      </rPr>
      <t xml:space="preserve">期權鏈隱含波動率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券商</t>
    </r>
    <r>
      <rPr>
        <sz val="9"/>
        <rFont val="Arial"/>
        <family val="0"/>
        <charset val="1"/>
      </rPr>
      <t xml:space="preserve">/ORATS/CBOE)</t>
    </r>
  </si>
  <si>
    <t xml:space="preserve">銅金比</t>
  </si>
  <si>
    <r>
      <rPr>
        <sz val="9"/>
        <rFont val="Arial"/>
        <family val="0"/>
        <charset val="1"/>
      </rPr>
      <t xml:space="preserve">Ratio = </t>
    </r>
    <r>
      <rPr>
        <sz val="9"/>
        <rFont val="WenQuanYi Zen Hei"/>
        <family val="2"/>
      </rPr>
      <t xml:space="preserve">銅價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金價</t>
    </r>
    <r>
      <rPr>
        <sz val="9"/>
        <rFont val="Arial"/>
        <family val="0"/>
        <charset val="1"/>
      </rPr>
      <t xml:space="preserve">; </t>
    </r>
    <r>
      <rPr>
        <sz val="9"/>
        <rFont val="WenQuanYi Zen Hei"/>
        <family val="2"/>
      </rPr>
      <t xml:space="preserve">訊號 </t>
    </r>
    <r>
      <rPr>
        <sz val="9"/>
        <rFont val="Arial"/>
        <family val="0"/>
        <charset val="1"/>
      </rPr>
      <t xml:space="preserve">= Ratio</t>
    </r>
    <r>
      <rPr>
        <sz val="9"/>
        <rFont val="WenQuanYi Zen Hei"/>
        <family val="2"/>
      </rPr>
      <t xml:space="preserve">之</t>
    </r>
    <r>
      <rPr>
        <sz val="9"/>
        <rFont val="Arial"/>
        <family val="0"/>
        <charset val="1"/>
      </rPr>
      <t xml:space="preserve">26</t>
    </r>
    <r>
      <rPr>
        <sz val="9"/>
        <rFont val="WenQuanYi Zen Hei"/>
        <family val="2"/>
      </rPr>
      <t xml:space="preserve">週</t>
    </r>
    <r>
      <rPr>
        <sz val="9"/>
        <rFont val="Arial"/>
        <family val="0"/>
        <charset val="1"/>
      </rPr>
      <t xml:space="preserve">ROC</t>
    </r>
  </si>
  <si>
    <r>
      <rPr>
        <sz val="9"/>
        <rFont val="WenQuanYi Zen Hei"/>
        <family val="2"/>
      </rPr>
      <t xml:space="preserve">回升</t>
    </r>
    <r>
      <rPr>
        <sz val="9"/>
        <rFont val="Arial"/>
        <family val="0"/>
        <charset val="1"/>
      </rPr>
      <t xml:space="preserve">=</t>
    </r>
    <r>
      <rPr>
        <sz val="9"/>
        <rFont val="WenQuanYi Zen Hei"/>
        <family val="2"/>
      </rPr>
      <t xml:space="preserve">增長預期↑</t>
    </r>
    <r>
      <rPr>
        <sz val="9"/>
        <rFont val="Arial"/>
        <family val="0"/>
        <charset val="1"/>
      </rPr>
      <t xml:space="preserve">; </t>
    </r>
    <r>
      <rPr>
        <sz val="9"/>
        <rFont val="WenQuanYi Zen Hei"/>
        <family val="2"/>
      </rPr>
      <t xml:space="preserve">急跌</t>
    </r>
    <r>
      <rPr>
        <sz val="9"/>
        <rFont val="Arial"/>
        <family val="0"/>
        <charset val="1"/>
      </rPr>
      <t xml:space="preserve">=</t>
    </r>
    <r>
      <rPr>
        <sz val="9"/>
        <rFont val="WenQuanYi Zen Hei"/>
        <family val="2"/>
      </rPr>
      <t xml:space="preserve">避險壓倒增長</t>
    </r>
  </si>
  <si>
    <r>
      <rPr>
        <sz val="9"/>
        <rFont val="Arial"/>
        <family val="0"/>
        <charset val="1"/>
      </rPr>
      <t xml:space="preserve">COMEX</t>
    </r>
    <r>
      <rPr>
        <sz val="9"/>
        <rFont val="WenQuanYi Zen Hei"/>
        <family val="2"/>
      </rPr>
      <t xml:space="preserve">銅</t>
    </r>
    <r>
      <rPr>
        <sz val="9"/>
        <rFont val="Arial"/>
        <family val="0"/>
        <charset val="1"/>
      </rPr>
      <t xml:space="preserve">+</t>
    </r>
    <r>
      <rPr>
        <sz val="9"/>
        <rFont val="WenQuanYi Zen Hei"/>
        <family val="2"/>
      </rPr>
      <t xml:space="preserve">金現貨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交易所</t>
    </r>
    <r>
      <rPr>
        <sz val="9"/>
        <rFont val="Arial"/>
        <family val="0"/>
        <charset val="1"/>
      </rPr>
      <t xml:space="preserve">/LBMA/FRED)</t>
    </r>
  </si>
  <si>
    <r>
      <rPr>
        <sz val="9"/>
        <rFont val="Arial"/>
        <family val="0"/>
        <charset val="1"/>
      </rPr>
      <t xml:space="preserve">AAII/II </t>
    </r>
    <r>
      <rPr>
        <sz val="9"/>
        <rFont val="WenQuanYi Zen Hei"/>
        <family val="2"/>
      </rPr>
      <t xml:space="preserve">情緒調查</t>
    </r>
  </si>
  <si>
    <r>
      <rPr>
        <sz val="9"/>
        <rFont val="Arial"/>
        <family val="0"/>
        <charset val="1"/>
      </rPr>
      <t xml:space="preserve">Spread = </t>
    </r>
    <r>
      <rPr>
        <sz val="9"/>
        <rFont val="WenQuanYi Zen Hei"/>
        <family val="2"/>
      </rPr>
      <t xml:space="preserve">牛派</t>
    </r>
    <r>
      <rPr>
        <sz val="9"/>
        <rFont val="Arial"/>
        <family val="0"/>
        <charset val="1"/>
      </rPr>
      <t xml:space="preserve">% − </t>
    </r>
    <r>
      <rPr>
        <sz val="9"/>
        <rFont val="WenQuanYi Zen Hei"/>
        <family val="2"/>
      </rPr>
      <t xml:space="preserve">熊派</t>
    </r>
    <r>
      <rPr>
        <sz val="9"/>
        <rFont val="Arial"/>
        <family val="0"/>
        <charset val="1"/>
      </rPr>
      <t xml:space="preserve">% (4</t>
    </r>
    <r>
      <rPr>
        <sz val="9"/>
        <rFont val="WenQuanYi Zen Hei"/>
        <family val="2"/>
      </rPr>
      <t xml:space="preserve">週均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</si>
  <si>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4</t>
    </r>
    <r>
      <rPr>
        <sz val="9"/>
        <rFont val="WenQuanYi Zen Hei"/>
        <family val="2"/>
      </rPr>
      <t xml:space="preserve">週均</t>
    </r>
  </si>
  <si>
    <r>
      <rPr>
        <sz val="9"/>
        <rFont val="Arial"/>
        <family val="0"/>
        <charset val="1"/>
      </rPr>
      <t xml:space="preserve">&lt;-30%</t>
    </r>
    <r>
      <rPr>
        <sz val="9"/>
        <rFont val="WenQuanYi Zen Hei"/>
        <family val="2"/>
      </rPr>
      <t xml:space="preserve">極恐</t>
    </r>
    <r>
      <rPr>
        <sz val="9"/>
        <rFont val="Arial"/>
        <family val="0"/>
        <charset val="1"/>
      </rPr>
      <t xml:space="preserve">=</t>
    </r>
    <r>
      <rPr>
        <sz val="9"/>
        <rFont val="WenQuanYi Zen Hei"/>
        <family val="2"/>
      </rPr>
      <t xml:space="preserve">反向買點</t>
    </r>
    <r>
      <rPr>
        <sz val="9"/>
        <rFont val="Arial"/>
        <family val="0"/>
        <charset val="1"/>
      </rPr>
      <t xml:space="preserve">; &gt;+30%</t>
    </r>
    <r>
      <rPr>
        <sz val="9"/>
        <rFont val="WenQuanYi Zen Hei"/>
        <family val="2"/>
      </rPr>
      <t xml:space="preserve">過熱</t>
    </r>
  </si>
  <si>
    <t xml:space="preserve">AAII (aaii.com/sentimentsurvey) / Investors Intelligence</t>
  </si>
  <si>
    <t xml:space="preserve">週</t>
  </si>
  <si>
    <r>
      <rPr>
        <sz val="9"/>
        <rFont val="Arial"/>
        <family val="0"/>
        <charset val="1"/>
      </rPr>
      <t xml:space="preserve">COT </t>
    </r>
    <r>
      <rPr>
        <sz val="9"/>
        <rFont val="WenQuanYi Zen Hei"/>
        <family val="2"/>
      </rPr>
      <t xml:space="preserve">期貨持倉報告</t>
    </r>
  </si>
  <si>
    <r>
      <rPr>
        <sz val="9"/>
        <rFont val="WenQuanYi Zen Hei"/>
        <family val="2"/>
      </rPr>
      <t xml:space="preserve">情緒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籌碼</t>
    </r>
  </si>
  <si>
    <r>
      <rPr>
        <sz val="9"/>
        <rFont val="WenQuanYi Zen Hei"/>
        <family val="2"/>
      </rPr>
      <t xml:space="preserve">投機者淨持倉 </t>
    </r>
    <r>
      <rPr>
        <sz val="9"/>
        <rFont val="Arial"/>
        <family val="0"/>
        <charset val="1"/>
      </rPr>
      <t xml:space="preserve">= </t>
    </r>
    <r>
      <rPr>
        <sz val="9"/>
        <rFont val="WenQuanYi Zen Hei"/>
        <family val="2"/>
      </rPr>
      <t xml:space="preserve">非商業多單 − 空單</t>
    </r>
    <r>
      <rPr>
        <sz val="9"/>
        <rFont val="Arial"/>
        <family val="0"/>
        <charset val="1"/>
      </rPr>
      <t xml:space="preserve">; </t>
    </r>
    <r>
      <rPr>
        <sz val="9"/>
        <rFont val="WenQuanYi Zen Hei"/>
        <family val="2"/>
      </rPr>
      <t xml:space="preserve">標準化</t>
    </r>
    <r>
      <rPr>
        <sz val="9"/>
        <rFont val="Arial"/>
        <family val="0"/>
        <charset val="1"/>
      </rPr>
      <t xml:space="preserve">: 3</t>
    </r>
    <r>
      <rPr>
        <sz val="9"/>
        <rFont val="WenQuanYi Zen Hei"/>
        <family val="2"/>
      </rPr>
      <t xml:space="preserve">年</t>
    </r>
    <r>
      <rPr>
        <sz val="9"/>
        <rFont val="Arial"/>
        <family val="0"/>
        <charset val="1"/>
      </rPr>
      <t xml:space="preserve">Z-score</t>
    </r>
  </si>
  <si>
    <r>
      <rPr>
        <sz val="9"/>
        <rFont val="Arial"/>
        <family val="0"/>
        <charset val="1"/>
      </rPr>
      <t xml:space="preserve">3</t>
    </r>
    <r>
      <rPr>
        <sz val="9"/>
        <rFont val="WenQuanYi Zen Hei"/>
        <family val="2"/>
      </rPr>
      <t xml:space="preserve">年</t>
    </r>
    <r>
      <rPr>
        <sz val="9"/>
        <rFont val="Arial"/>
        <family val="0"/>
        <charset val="1"/>
      </rPr>
      <t xml:space="preserve">Z</t>
    </r>
  </si>
  <si>
    <r>
      <rPr>
        <sz val="9"/>
        <rFont val="WenQuanYi Zen Hei"/>
        <family val="2"/>
      </rPr>
      <t xml:space="preserve">極端擁擠反向</t>
    </r>
    <r>
      <rPr>
        <sz val="9"/>
        <rFont val="Arial"/>
        <family val="0"/>
        <charset val="1"/>
      </rPr>
      <t xml:space="preserve">; </t>
    </r>
    <r>
      <rPr>
        <sz val="9"/>
        <rFont val="WenQuanYi Zen Hei"/>
        <family val="2"/>
      </rPr>
      <t xml:space="preserve">商業對沖盤逆勢佈局</t>
    </r>
  </si>
  <si>
    <r>
      <rPr>
        <sz val="9"/>
        <rFont val="Arial"/>
        <family val="0"/>
        <charset val="1"/>
      </rPr>
      <t xml:space="preserve">CFTC COT</t>
    </r>
    <r>
      <rPr>
        <sz val="9"/>
        <rFont val="WenQuanYi Zen Hei"/>
        <family val="2"/>
      </rPr>
      <t xml:space="preserve">週報 </t>
    </r>
    <r>
      <rPr>
        <sz val="9"/>
        <rFont val="Arial"/>
        <family val="0"/>
        <charset val="1"/>
      </rPr>
      <t xml:space="preserve">(cftc.gov)</t>
    </r>
  </si>
  <si>
    <r>
      <rPr>
        <sz val="9"/>
        <rFont val="Arial"/>
        <family val="0"/>
        <charset val="1"/>
      </rPr>
      <t xml:space="preserve">ROC </t>
    </r>
    <r>
      <rPr>
        <sz val="9"/>
        <rFont val="WenQuanYi Zen Hei"/>
        <family val="2"/>
      </rPr>
      <t xml:space="preserve">變動率</t>
    </r>
  </si>
  <si>
    <t xml:space="preserve">三</t>
  </si>
  <si>
    <t xml:space="preserve">ROC = C_t / C_{t-n} − 1</t>
  </si>
  <si>
    <r>
      <rPr>
        <sz val="9"/>
        <rFont val="Arial"/>
        <family val="0"/>
        <charset val="1"/>
      </rPr>
      <t xml:space="preserve">10/20/60</t>
    </r>
    <r>
      <rPr>
        <sz val="9"/>
        <rFont val="WenQuanYi Zen Hei"/>
        <family val="2"/>
      </rPr>
      <t xml:space="preserve">日</t>
    </r>
  </si>
  <si>
    <r>
      <rPr>
        <sz val="9"/>
        <rFont val="WenQuanYi Zen Hei"/>
        <family val="2"/>
      </rPr>
      <t xml:space="preserve">多週期</t>
    </r>
    <r>
      <rPr>
        <sz val="9"/>
        <rFont val="Arial"/>
        <family val="0"/>
        <charset val="1"/>
      </rPr>
      <t xml:space="preserve">ROC</t>
    </r>
    <r>
      <rPr>
        <sz val="9"/>
        <rFont val="WenQuanYi Zen Hei"/>
        <family val="2"/>
      </rPr>
      <t xml:space="preserve">合成動能分數</t>
    </r>
  </si>
  <si>
    <r>
      <rPr>
        <sz val="9"/>
        <rFont val="Arial"/>
        <family val="0"/>
        <charset val="1"/>
      </rPr>
      <t xml:space="preserve">Ichimoku </t>
    </r>
    <r>
      <rPr>
        <sz val="9"/>
        <rFont val="WenQuanYi Zen Hei"/>
        <family val="2"/>
      </rPr>
      <t xml:space="preserve">一目均衡表</t>
    </r>
  </si>
  <si>
    <r>
      <rPr>
        <sz val="9"/>
        <rFont val="WenQuanYi Zen Hei"/>
        <family val="2"/>
      </rPr>
      <t xml:space="preserve">轉換</t>
    </r>
    <r>
      <rPr>
        <sz val="9"/>
        <rFont val="Arial"/>
        <family val="0"/>
        <charset val="1"/>
      </rPr>
      <t xml:space="preserve">=(H9+L9)/2; </t>
    </r>
    <r>
      <rPr>
        <sz val="9"/>
        <rFont val="WenQuanYi Zen Hei"/>
        <family val="2"/>
      </rPr>
      <t xml:space="preserve">基準</t>
    </r>
    <r>
      <rPr>
        <sz val="9"/>
        <rFont val="Arial"/>
        <family val="0"/>
        <charset val="1"/>
      </rPr>
      <t xml:space="preserve">=(H26+L26)/2; </t>
    </r>
    <r>
      <rPr>
        <sz val="9"/>
        <rFont val="WenQuanYi Zen Hei"/>
        <family val="2"/>
      </rPr>
      <t xml:space="preserve">先行</t>
    </r>
    <r>
      <rPr>
        <sz val="9"/>
        <rFont val="Arial"/>
        <family val="0"/>
        <charset val="1"/>
      </rPr>
      <t xml:space="preserve">A=(</t>
    </r>
    <r>
      <rPr>
        <sz val="9"/>
        <rFont val="WenQuanYi Zen Hei"/>
        <family val="2"/>
      </rPr>
      <t xml:space="preserve">轉</t>
    </r>
    <r>
      <rPr>
        <sz val="9"/>
        <rFont val="Arial"/>
        <family val="0"/>
        <charset val="1"/>
      </rPr>
      <t xml:space="preserve">+</t>
    </r>
    <r>
      <rPr>
        <sz val="9"/>
        <rFont val="WenQuanYi Zen Hei"/>
        <family val="2"/>
      </rPr>
      <t xml:space="preserve">基</t>
    </r>
    <r>
      <rPr>
        <sz val="9"/>
        <rFont val="Arial"/>
        <family val="0"/>
        <charset val="1"/>
      </rPr>
      <t xml:space="preserve">)/2</t>
    </r>
    <r>
      <rPr>
        <sz val="9"/>
        <rFont val="WenQuanYi Zen Hei"/>
        <family val="2"/>
      </rPr>
      <t xml:space="preserve">前移</t>
    </r>
    <r>
      <rPr>
        <sz val="9"/>
        <rFont val="Arial"/>
        <family val="0"/>
        <charset val="1"/>
      </rPr>
      <t xml:space="preserve">26; </t>
    </r>
    <r>
      <rPr>
        <sz val="9"/>
        <rFont val="WenQuanYi Zen Hei"/>
        <family val="2"/>
      </rPr>
      <t xml:space="preserve">先行</t>
    </r>
    <r>
      <rPr>
        <sz val="9"/>
        <rFont val="Arial"/>
        <family val="0"/>
        <charset val="1"/>
      </rPr>
      <t xml:space="preserve">B=(H52+L52)/2</t>
    </r>
    <r>
      <rPr>
        <sz val="9"/>
        <rFont val="WenQuanYi Zen Hei"/>
        <family val="2"/>
      </rPr>
      <t xml:space="preserve">前移</t>
    </r>
    <r>
      <rPr>
        <sz val="9"/>
        <rFont val="Arial"/>
        <family val="0"/>
        <charset val="1"/>
      </rPr>
      <t xml:space="preserve">26</t>
    </r>
  </si>
  <si>
    <t xml:space="preserve">9/26/52</t>
  </si>
  <si>
    <r>
      <rPr>
        <sz val="9"/>
        <rFont val="WenQuanYi Zen Hei"/>
        <family val="2"/>
      </rPr>
      <t xml:space="preserve">價在雲上</t>
    </r>
    <r>
      <rPr>
        <sz val="9"/>
        <rFont val="Arial"/>
        <family val="0"/>
        <charset val="1"/>
      </rPr>
      <t xml:space="preserve">+</t>
    </r>
    <r>
      <rPr>
        <sz val="9"/>
        <rFont val="WenQuanYi Zen Hei"/>
        <family val="2"/>
      </rPr>
      <t xml:space="preserve">轉換</t>
    </r>
    <r>
      <rPr>
        <sz val="9"/>
        <rFont val="Arial"/>
        <family val="0"/>
        <charset val="1"/>
      </rPr>
      <t xml:space="preserve">&gt;</t>
    </r>
    <r>
      <rPr>
        <sz val="9"/>
        <rFont val="WenQuanYi Zen Hei"/>
        <family val="2"/>
      </rPr>
      <t xml:space="preserve">基準</t>
    </r>
    <r>
      <rPr>
        <sz val="9"/>
        <rFont val="Arial"/>
        <family val="0"/>
        <charset val="1"/>
      </rPr>
      <t xml:space="preserve">=</t>
    </r>
    <r>
      <rPr>
        <sz val="9"/>
        <rFont val="WenQuanYi Zen Hei"/>
        <family val="2"/>
      </rPr>
      <t xml:space="preserve">多頭配置</t>
    </r>
  </si>
  <si>
    <r>
      <rPr>
        <sz val="9"/>
        <rFont val="Arial"/>
        <family val="0"/>
        <charset val="1"/>
      </rPr>
      <t xml:space="preserve">Donchian </t>
    </r>
    <r>
      <rPr>
        <sz val="9"/>
        <rFont val="WenQuanYi Zen Hei"/>
        <family val="2"/>
      </rPr>
      <t xml:space="preserve">通道</t>
    </r>
  </si>
  <si>
    <r>
      <rPr>
        <sz val="9"/>
        <rFont val="WenQuanYi Zen Hei"/>
        <family val="2"/>
      </rPr>
      <t xml:space="preserve">趨勢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突破</t>
    </r>
  </si>
  <si>
    <t xml:space="preserve">Upper = max(H, n); Lower = min(L, n)</t>
  </si>
  <si>
    <r>
      <rPr>
        <sz val="9"/>
        <rFont val="Arial"/>
        <family val="0"/>
        <charset val="1"/>
      </rPr>
      <t xml:space="preserve">20</t>
    </r>
    <r>
      <rPr>
        <sz val="9"/>
        <rFont val="WenQuanYi Zen Hei"/>
        <family val="2"/>
      </rPr>
      <t xml:space="preserve">日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海龜</t>
    </r>
    <r>
      <rPr>
        <sz val="9"/>
        <rFont val="Arial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</si>
  <si>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突破</t>
    </r>
    <r>
      <rPr>
        <sz val="9"/>
        <rFont val="Arial"/>
        <family val="0"/>
        <charset val="1"/>
      </rPr>
      <t xml:space="preserve">n</t>
    </r>
    <r>
      <rPr>
        <sz val="9"/>
        <rFont val="WenQuanYi Zen Hei"/>
        <family val="2"/>
      </rPr>
      <t xml:space="preserve">日高做多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破</t>
    </r>
    <r>
      <rPr>
        <sz val="9"/>
        <rFont val="Arial"/>
        <family val="0"/>
        <charset val="1"/>
      </rPr>
      <t xml:space="preserve">n/2</t>
    </r>
    <r>
      <rPr>
        <sz val="9"/>
        <rFont val="WenQuanYi Zen Hei"/>
        <family val="2"/>
      </rPr>
      <t xml:space="preserve">日低離場</t>
    </r>
  </si>
  <si>
    <r>
      <rPr>
        <sz val="9"/>
        <rFont val="Arial"/>
        <family val="0"/>
        <charset val="1"/>
      </rPr>
      <t xml:space="preserve">Keltner </t>
    </r>
    <r>
      <rPr>
        <sz val="9"/>
        <rFont val="WenQuanYi Zen Hei"/>
        <family val="2"/>
      </rPr>
      <t xml:space="preserve">通道</t>
    </r>
  </si>
  <si>
    <r>
      <rPr>
        <sz val="9"/>
        <rFont val="Arial"/>
        <family val="0"/>
        <charset val="1"/>
      </rPr>
      <t xml:space="preserve">Mid = EMA20; </t>
    </r>
    <r>
      <rPr>
        <sz val="9"/>
        <rFont val="WenQuanYi Zen Hei"/>
        <family val="2"/>
      </rPr>
      <t xml:space="preserve">帶 </t>
    </r>
    <r>
      <rPr>
        <sz val="9"/>
        <rFont val="Arial"/>
        <family val="0"/>
        <charset val="1"/>
      </rPr>
      <t xml:space="preserve">= Mid ± 2·ATR10</t>
    </r>
  </si>
  <si>
    <t xml:space="preserve">20/10/2</t>
  </si>
  <si>
    <r>
      <rPr>
        <sz val="9"/>
        <rFont val="WenQuanYi Zen Hei"/>
        <family val="2"/>
      </rPr>
      <t xml:space="preserve">布林縮進</t>
    </r>
    <r>
      <rPr>
        <sz val="9"/>
        <rFont val="Arial"/>
        <family val="0"/>
        <charset val="1"/>
      </rPr>
      <t xml:space="preserve">Keltner</t>
    </r>
    <r>
      <rPr>
        <sz val="9"/>
        <rFont val="WenQuanYi Zen Hei"/>
        <family val="2"/>
      </rPr>
      <t xml:space="preserve">內</t>
    </r>
    <r>
      <rPr>
        <sz val="9"/>
        <rFont val="Arial"/>
        <family val="0"/>
        <charset val="1"/>
      </rPr>
      <t xml:space="preserve">=</t>
    </r>
    <r>
      <rPr>
        <sz val="9"/>
        <rFont val="WenQuanYi Zen Hei"/>
        <family val="2"/>
      </rPr>
      <t xml:space="preserve">擠壓</t>
    </r>
    <r>
      <rPr>
        <sz val="9"/>
        <rFont val="Arial"/>
        <family val="0"/>
        <charset val="1"/>
      </rPr>
      <t xml:space="preserve">(Squeeze)</t>
    </r>
  </si>
  <si>
    <r>
      <rPr>
        <sz val="9"/>
        <rFont val="WenQuanYi Zen Hei"/>
        <family val="2"/>
      </rPr>
      <t xml:space="preserve">拋物線 </t>
    </r>
    <r>
      <rPr>
        <sz val="9"/>
        <rFont val="Arial"/>
        <family val="0"/>
        <charset val="1"/>
      </rPr>
      <t xml:space="preserve">SAR</t>
    </r>
  </si>
  <si>
    <r>
      <rPr>
        <sz val="9"/>
        <rFont val="Arial"/>
        <family val="0"/>
        <charset val="1"/>
      </rPr>
      <t xml:space="preserve">SAR_t = SAR_{t-1} + AF·(EP − SAR_{t-1}); AF</t>
    </r>
    <r>
      <rPr>
        <sz val="9"/>
        <rFont val="WenQuanYi Zen Hei"/>
        <family val="2"/>
      </rPr>
      <t xml:space="preserve">由</t>
    </r>
    <r>
      <rPr>
        <sz val="9"/>
        <rFont val="Arial"/>
        <family val="0"/>
        <charset val="1"/>
      </rPr>
      <t xml:space="preserve">0.02</t>
    </r>
    <r>
      <rPr>
        <sz val="9"/>
        <rFont val="WenQuanYi Zen Hei"/>
        <family val="2"/>
      </rPr>
      <t xml:space="preserve">遞增至</t>
    </r>
    <r>
      <rPr>
        <sz val="9"/>
        <rFont val="Arial"/>
        <family val="0"/>
        <charset val="1"/>
      </rPr>
      <t xml:space="preserve">0.2</t>
    </r>
  </si>
  <si>
    <t xml:space="preserve">0.02/0.2</t>
  </si>
  <si>
    <r>
      <rPr>
        <sz val="9"/>
        <rFont val="WenQuanYi Zen Hei"/>
        <family val="2"/>
      </rPr>
      <t xml:space="preserve">移動止損</t>
    </r>
    <r>
      <rPr>
        <sz val="9"/>
        <rFont val="Arial"/>
        <family val="0"/>
        <charset val="1"/>
      </rPr>
      <t xml:space="preserve">; </t>
    </r>
    <r>
      <rPr>
        <sz val="9"/>
        <rFont val="WenQuanYi Zen Hei"/>
        <family val="2"/>
      </rPr>
      <t xml:space="preserve">價穿</t>
    </r>
    <r>
      <rPr>
        <sz val="9"/>
        <rFont val="Arial"/>
        <family val="0"/>
        <charset val="1"/>
      </rPr>
      <t xml:space="preserve">SAR=</t>
    </r>
    <r>
      <rPr>
        <sz val="9"/>
        <rFont val="WenQuanYi Zen Hei"/>
        <family val="2"/>
      </rPr>
      <t xml:space="preserve">反轉</t>
    </r>
  </si>
  <si>
    <t xml:space="preserve">SuperTrend</t>
  </si>
  <si>
    <r>
      <rPr>
        <sz val="9"/>
        <rFont val="Arial"/>
        <family val="0"/>
        <charset val="1"/>
      </rPr>
      <t xml:space="preserve">ST = (H+L)/2 ± m·ATR(p) (</t>
    </r>
    <r>
      <rPr>
        <sz val="9"/>
        <rFont val="WenQuanYi Zen Hei"/>
        <family val="2"/>
      </rPr>
      <t xml:space="preserve">帶方向鎖定規則</t>
    </r>
    <r>
      <rPr>
        <sz val="9"/>
        <rFont val="Arial"/>
        <family val="0"/>
        <charset val="1"/>
      </rPr>
      <t xml:space="preserve">)</t>
    </r>
  </si>
  <si>
    <t xml:space="preserve">p=10, m=3</t>
  </si>
  <si>
    <r>
      <rPr>
        <sz val="9"/>
        <rFont val="WenQuanYi Zen Hei"/>
        <family val="2"/>
      </rPr>
      <t xml:space="preserve">價在</t>
    </r>
    <r>
      <rPr>
        <sz val="9"/>
        <rFont val="Arial"/>
        <family val="0"/>
        <charset val="1"/>
      </rPr>
      <t xml:space="preserve">ST</t>
    </r>
    <r>
      <rPr>
        <sz val="9"/>
        <rFont val="WenQuanYi Zen Hei"/>
        <family val="2"/>
      </rPr>
      <t xml:space="preserve">上</t>
    </r>
    <r>
      <rPr>
        <sz val="9"/>
        <rFont val="Arial"/>
        <family val="0"/>
        <charset val="1"/>
      </rPr>
      <t xml:space="preserve">=</t>
    </r>
    <r>
      <rPr>
        <sz val="9"/>
        <rFont val="WenQuanYi Zen Hei"/>
        <family val="2"/>
      </rPr>
      <t xml:space="preserve">持多</t>
    </r>
    <r>
      <rPr>
        <sz val="9"/>
        <rFont val="Arial"/>
        <family val="0"/>
        <charset val="1"/>
      </rPr>
      <t xml:space="preserve">; </t>
    </r>
    <r>
      <rPr>
        <sz val="9"/>
        <rFont val="WenQuanYi Zen Hei"/>
        <family val="2"/>
      </rPr>
      <t xml:space="preserve">下穿</t>
    </r>
    <r>
      <rPr>
        <sz val="9"/>
        <rFont val="Arial"/>
        <family val="0"/>
        <charset val="1"/>
      </rPr>
      <t xml:space="preserve">=</t>
    </r>
    <r>
      <rPr>
        <sz val="9"/>
        <rFont val="WenQuanYi Zen Hei"/>
        <family val="2"/>
      </rPr>
      <t xml:space="preserve">離場</t>
    </r>
  </si>
  <si>
    <t xml:space="preserve">Williams %R</t>
  </si>
  <si>
    <t xml:space="preserve">%R = −100·(H14 − C)/(H14 − L14)</t>
  </si>
  <si>
    <r>
      <rPr>
        <sz val="9"/>
        <rFont val="Arial"/>
        <family val="0"/>
        <charset val="1"/>
      </rPr>
      <t xml:space="preserve">&lt;-80</t>
    </r>
    <r>
      <rPr>
        <sz val="9"/>
        <rFont val="WenQuanYi Zen Hei"/>
        <family val="2"/>
      </rPr>
      <t xml:space="preserve">超賣</t>
    </r>
    <r>
      <rPr>
        <sz val="9"/>
        <rFont val="Arial"/>
        <family val="0"/>
        <charset val="1"/>
      </rPr>
      <t xml:space="preserve">; &gt;-20</t>
    </r>
    <r>
      <rPr>
        <sz val="9"/>
        <rFont val="WenQuanYi Zen Hei"/>
        <family val="2"/>
      </rPr>
      <t xml:space="preserve">超買</t>
    </r>
  </si>
  <si>
    <r>
      <rPr>
        <sz val="9"/>
        <rFont val="Arial"/>
        <family val="0"/>
        <charset val="1"/>
      </rPr>
      <t xml:space="preserve">CCI </t>
    </r>
    <r>
      <rPr>
        <sz val="9"/>
        <rFont val="WenQuanYi Zen Hei"/>
        <family val="2"/>
      </rPr>
      <t xml:space="preserve">順勢指標</t>
    </r>
  </si>
  <si>
    <r>
      <rPr>
        <sz val="9"/>
        <rFont val="Arial"/>
        <family val="0"/>
        <charset val="1"/>
      </rPr>
      <t xml:space="preserve">CCI = (TP − SMA20(TP))/(0.015·</t>
    </r>
    <r>
      <rPr>
        <sz val="9"/>
        <rFont val="WenQuanYi Zen Hei"/>
        <family val="2"/>
      </rPr>
      <t xml:space="preserve">平均絕對偏差</t>
    </r>
    <r>
      <rPr>
        <sz val="9"/>
        <rFont val="Arial"/>
        <family val="0"/>
        <charset val="1"/>
      </rPr>
      <t xml:space="preserve">), TP=(H+L+C)/3</t>
    </r>
  </si>
  <si>
    <t xml:space="preserve">n=20</t>
  </si>
  <si>
    <r>
      <rPr>
        <sz val="9"/>
        <rFont val="Arial"/>
        <family val="0"/>
        <charset val="1"/>
      </rPr>
      <t xml:space="preserve">±100</t>
    </r>
    <r>
      <rPr>
        <sz val="9"/>
        <rFont val="WenQuanYi Zen Hei"/>
        <family val="2"/>
      </rPr>
      <t xml:space="preserve">突破順勢進場</t>
    </r>
  </si>
  <si>
    <r>
      <rPr>
        <sz val="9"/>
        <rFont val="Arial"/>
        <family val="0"/>
        <charset val="1"/>
      </rPr>
      <t xml:space="preserve">MFI </t>
    </r>
    <r>
      <rPr>
        <sz val="9"/>
        <rFont val="WenQuanYi Zen Hei"/>
        <family val="2"/>
      </rPr>
      <t xml:space="preserve">資金流量指數</t>
    </r>
  </si>
  <si>
    <t xml:space="preserve">量價</t>
  </si>
  <si>
    <r>
      <rPr>
        <sz val="9"/>
        <rFont val="Arial"/>
        <family val="0"/>
        <charset val="1"/>
      </rPr>
      <t xml:space="preserve">MF = TP·V; MFI = 100 − 100/(1 + </t>
    </r>
    <r>
      <rPr>
        <sz val="9"/>
        <rFont val="WenQuanYi Zen Hei"/>
        <family val="2"/>
      </rPr>
      <t xml:space="preserve">正</t>
    </r>
    <r>
      <rPr>
        <sz val="9"/>
        <rFont val="Arial"/>
        <family val="0"/>
        <charset val="1"/>
      </rPr>
      <t xml:space="preserve">MF14/</t>
    </r>
    <r>
      <rPr>
        <sz val="9"/>
        <rFont val="WenQuanYi Zen Hei"/>
        <family val="2"/>
      </rPr>
      <t xml:space="preserve">負</t>
    </r>
    <r>
      <rPr>
        <sz val="9"/>
        <rFont val="Arial"/>
        <family val="0"/>
        <charset val="1"/>
      </rPr>
      <t xml:space="preserve">MF14)</t>
    </r>
  </si>
  <si>
    <r>
      <rPr>
        <sz val="9"/>
        <rFont val="WenQuanYi Zen Hei"/>
        <family val="2"/>
      </rPr>
      <t xml:space="preserve">帶量</t>
    </r>
    <r>
      <rPr>
        <sz val="9"/>
        <rFont val="Arial"/>
        <family val="0"/>
        <charset val="1"/>
      </rPr>
      <t xml:space="preserve">RSI; 20/80</t>
    </r>
    <r>
      <rPr>
        <sz val="9"/>
        <rFont val="WenQuanYi Zen Hei"/>
        <family val="2"/>
      </rPr>
      <t xml:space="preserve">超買賣</t>
    </r>
    <r>
      <rPr>
        <sz val="9"/>
        <rFont val="Arial"/>
        <family val="0"/>
        <charset val="1"/>
      </rPr>
      <t xml:space="preserve">+</t>
    </r>
    <r>
      <rPr>
        <sz val="9"/>
        <rFont val="WenQuanYi Zen Hei"/>
        <family val="2"/>
      </rPr>
      <t xml:space="preserve">背離</t>
    </r>
  </si>
  <si>
    <t xml:space="preserve">Chaikin Money Flow</t>
  </si>
  <si>
    <t xml:space="preserve">CMF = Σ21[MFM·V]/Σ21V; MFM = ((C−L)−(H−C))/(H−L)</t>
  </si>
  <si>
    <t xml:space="preserve">n=21</t>
  </si>
  <si>
    <r>
      <rPr>
        <sz val="9"/>
        <rFont val="Arial"/>
        <family val="0"/>
        <charset val="1"/>
      </rPr>
      <t xml:space="preserve">CMF&gt;0</t>
    </r>
    <r>
      <rPr>
        <sz val="9"/>
        <rFont val="WenQuanYi Zen Hei"/>
        <family val="2"/>
      </rPr>
      <t xml:space="preserve">資金流入</t>
    </r>
    <r>
      <rPr>
        <sz val="9"/>
        <rFont val="Arial"/>
        <family val="0"/>
        <charset val="1"/>
      </rPr>
      <t xml:space="preserve">; </t>
    </r>
    <r>
      <rPr>
        <sz val="9"/>
        <rFont val="WenQuanYi Zen Hei"/>
        <family val="2"/>
      </rPr>
      <t xml:space="preserve">與價背離預警</t>
    </r>
  </si>
  <si>
    <t xml:space="preserve">Accumulation/Distribution</t>
  </si>
  <si>
    <r>
      <rPr>
        <sz val="9"/>
        <rFont val="Arial"/>
        <family val="0"/>
        <charset val="1"/>
      </rPr>
      <t xml:space="preserve">ADL_t = ADL_{t-1} + MFM·V (MFM</t>
    </r>
    <r>
      <rPr>
        <sz val="9"/>
        <rFont val="WenQuanYi Zen Hei"/>
        <family val="2"/>
      </rPr>
      <t xml:space="preserve">同</t>
    </r>
    <r>
      <rPr>
        <sz val="9"/>
        <rFont val="Arial"/>
        <family val="0"/>
        <charset val="1"/>
      </rPr>
      <t xml:space="preserve">CMF)</t>
    </r>
  </si>
  <si>
    <r>
      <rPr>
        <sz val="9"/>
        <rFont val="WenQuanYi Zen Hei"/>
        <family val="2"/>
      </rPr>
      <t xml:space="preserve">與</t>
    </r>
    <r>
      <rPr>
        <sz val="9"/>
        <rFont val="Arial"/>
        <family val="0"/>
        <charset val="1"/>
      </rPr>
      <t xml:space="preserve">OBV</t>
    </r>
    <r>
      <rPr>
        <sz val="9"/>
        <rFont val="WenQuanYi Zen Hei"/>
        <family val="2"/>
      </rPr>
      <t xml:space="preserve">互證吸籌派發</t>
    </r>
  </si>
  <si>
    <r>
      <rPr>
        <sz val="9"/>
        <rFont val="Arial"/>
        <family val="0"/>
        <charset val="1"/>
      </rPr>
      <t xml:space="preserve">Force Index </t>
    </r>
    <r>
      <rPr>
        <sz val="9"/>
        <rFont val="WenQuanYi Zen Hei"/>
        <family val="2"/>
      </rPr>
      <t xml:space="preserve">力度指數</t>
    </r>
  </si>
  <si>
    <t xml:space="preserve">FI = EMA13((C_t − C_{t-1})·V_t)</t>
  </si>
  <si>
    <t xml:space="preserve">n=13</t>
  </si>
  <si>
    <r>
      <rPr>
        <sz val="9"/>
        <rFont val="WenQuanYi Zen Hei"/>
        <family val="2"/>
      </rPr>
      <t xml:space="preserve">翻正翻負</t>
    </r>
    <r>
      <rPr>
        <sz val="9"/>
        <rFont val="Arial"/>
        <family val="0"/>
        <charset val="1"/>
      </rPr>
      <t xml:space="preserve">+</t>
    </r>
    <r>
      <rPr>
        <sz val="9"/>
        <rFont val="WenQuanYi Zen Hei"/>
        <family val="2"/>
      </rPr>
      <t xml:space="preserve">背離</t>
    </r>
  </si>
  <si>
    <t xml:space="preserve">TRIX</t>
  </si>
  <si>
    <r>
      <rPr>
        <sz val="9"/>
        <rFont val="Arial"/>
        <family val="0"/>
        <charset val="1"/>
      </rPr>
      <t xml:space="preserve">TRIX = 1</t>
    </r>
    <r>
      <rPr>
        <sz val="9"/>
        <rFont val="WenQuanYi Zen Hei"/>
        <family val="2"/>
      </rPr>
      <t xml:space="preserve">期</t>
    </r>
    <r>
      <rPr>
        <sz val="9"/>
        <rFont val="Arial"/>
        <family val="0"/>
        <charset val="1"/>
      </rPr>
      <t xml:space="preserve">ROC( EMA(EMA(EMA(C,15),15),15) )</t>
    </r>
  </si>
  <si>
    <t xml:space="preserve">n=15</t>
  </si>
  <si>
    <r>
      <rPr>
        <sz val="9"/>
        <rFont val="WenQuanYi Zen Hei"/>
        <family val="2"/>
      </rPr>
      <t xml:space="preserve">三重平滑濾噪</t>
    </r>
    <r>
      <rPr>
        <sz val="9"/>
        <rFont val="Arial"/>
        <family val="0"/>
        <charset val="1"/>
      </rPr>
      <t xml:space="preserve">; </t>
    </r>
    <r>
      <rPr>
        <sz val="9"/>
        <rFont val="WenQuanYi Zen Hei"/>
        <family val="2"/>
      </rPr>
      <t xml:space="preserve">零軸與訊號線交叉</t>
    </r>
  </si>
  <si>
    <t xml:space="preserve">Aroon</t>
  </si>
  <si>
    <r>
      <rPr>
        <sz val="9"/>
        <rFont val="Arial"/>
        <family val="0"/>
        <charset val="1"/>
      </rPr>
      <t xml:space="preserve">AroonUp = 100·(n − </t>
    </r>
    <r>
      <rPr>
        <sz val="9"/>
        <rFont val="WenQuanYi Zen Hei"/>
        <family val="2"/>
      </rPr>
      <t xml:space="preserve">距</t>
    </r>
    <r>
      <rPr>
        <sz val="9"/>
        <rFont val="Arial"/>
        <family val="0"/>
        <charset val="1"/>
      </rPr>
      <t xml:space="preserve">n</t>
    </r>
    <r>
      <rPr>
        <sz val="9"/>
        <rFont val="WenQuanYi Zen Hei"/>
        <family val="2"/>
      </rPr>
      <t xml:space="preserve">日最高日數</t>
    </r>
    <r>
      <rPr>
        <sz val="9"/>
        <rFont val="Arial"/>
        <family val="0"/>
        <charset val="1"/>
      </rPr>
      <t xml:space="preserve">)/n; Down</t>
    </r>
    <r>
      <rPr>
        <sz val="9"/>
        <rFont val="WenQuanYi Zen Hei"/>
        <family val="2"/>
      </rPr>
      <t xml:space="preserve">同理用最低</t>
    </r>
  </si>
  <si>
    <t xml:space="preserve">n=25</t>
  </si>
  <si>
    <r>
      <rPr>
        <sz val="9"/>
        <rFont val="Arial"/>
        <family val="0"/>
        <charset val="1"/>
      </rPr>
      <t xml:space="preserve">Up&gt;70</t>
    </r>
    <r>
      <rPr>
        <sz val="9"/>
        <rFont val="WenQuanYi Zen Hei"/>
        <family val="2"/>
      </rPr>
      <t xml:space="preserve">且</t>
    </r>
    <r>
      <rPr>
        <sz val="9"/>
        <rFont val="Arial"/>
        <family val="0"/>
        <charset val="1"/>
      </rPr>
      <t xml:space="preserve">Down&lt;30=</t>
    </r>
    <r>
      <rPr>
        <sz val="9"/>
        <rFont val="WenQuanYi Zen Hei"/>
        <family val="2"/>
      </rPr>
      <t xml:space="preserve">強趨勢</t>
    </r>
    <r>
      <rPr>
        <sz val="9"/>
        <rFont val="Arial"/>
        <family val="0"/>
        <charset val="1"/>
      </rPr>
      <t xml:space="preserve">; </t>
    </r>
    <r>
      <rPr>
        <sz val="9"/>
        <rFont val="WenQuanYi Zen Hei"/>
        <family val="2"/>
      </rPr>
      <t xml:space="preserve">交叉</t>
    </r>
    <r>
      <rPr>
        <sz val="9"/>
        <rFont val="Arial"/>
        <family val="0"/>
        <charset val="1"/>
      </rPr>
      <t xml:space="preserve">=</t>
    </r>
    <r>
      <rPr>
        <sz val="9"/>
        <rFont val="WenQuanYi Zen Hei"/>
        <family val="2"/>
      </rPr>
      <t xml:space="preserve">轉勢</t>
    </r>
  </si>
  <si>
    <t xml:space="preserve">Ultimate Oscillator</t>
  </si>
  <si>
    <t xml:space="preserve">UO = 100·(4·Avg7 + 2·Avg14 + 1·Avg28)/7; Avg=ΣBP/ΣTR, BP=C−min(L,C_prev)</t>
  </si>
  <si>
    <t xml:space="preserve">7/14/28</t>
  </si>
  <si>
    <t xml:space="preserve">三週期防假背離</t>
  </si>
  <si>
    <r>
      <rPr>
        <sz val="9"/>
        <rFont val="Arial"/>
        <family val="0"/>
        <charset val="1"/>
      </rPr>
      <t xml:space="preserve">Vortex </t>
    </r>
    <r>
      <rPr>
        <sz val="9"/>
        <rFont val="WenQuanYi Zen Hei"/>
        <family val="2"/>
      </rPr>
      <t xml:space="preserve">指標</t>
    </r>
  </si>
  <si>
    <t xml:space="preserve">VI+ = Σ14|H_t − L_{t-1}|/Σ14TR; VI− = Σ14|L_t − H_{t-1}|/Σ14TR</t>
  </si>
  <si>
    <r>
      <rPr>
        <sz val="9"/>
        <rFont val="Arial"/>
        <family val="0"/>
        <charset val="1"/>
      </rPr>
      <t xml:space="preserve">VI+</t>
    </r>
    <r>
      <rPr>
        <sz val="9"/>
        <rFont val="WenQuanYi Zen Hei"/>
        <family val="2"/>
      </rPr>
      <t xml:space="preserve">上穿</t>
    </r>
    <r>
      <rPr>
        <sz val="9"/>
        <rFont val="Arial"/>
        <family val="0"/>
        <charset val="1"/>
      </rPr>
      <t xml:space="preserve">VI−=</t>
    </r>
    <r>
      <rPr>
        <sz val="9"/>
        <rFont val="WenQuanYi Zen Hei"/>
        <family val="2"/>
      </rPr>
      <t xml:space="preserve">轉多</t>
    </r>
  </si>
  <si>
    <r>
      <rPr>
        <sz val="9"/>
        <rFont val="Arial"/>
        <family val="0"/>
        <charset val="1"/>
      </rPr>
      <t xml:space="preserve">Pivot Points </t>
    </r>
    <r>
      <rPr>
        <sz val="9"/>
        <rFont val="WenQuanYi Zen Hei"/>
        <family val="2"/>
      </rPr>
      <t xml:space="preserve">樞軸點</t>
    </r>
  </si>
  <si>
    <t xml:space="preserve">支撐阻力</t>
  </si>
  <si>
    <t xml:space="preserve">P = (H+L+C)/3; R1 = 2P − L; S1 = 2P − H; R2 = P + (H−L)...</t>
  </si>
  <si>
    <r>
      <rPr>
        <sz val="9"/>
        <rFont val="WenQuanYi Zen Hei"/>
        <family val="2"/>
      </rPr>
      <t xml:space="preserve">前日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前週數據</t>
    </r>
  </si>
  <si>
    <t xml:space="preserve">日內支撐阻力網格</t>
  </si>
  <si>
    <t xml:space="preserve">斐波那契回撤</t>
  </si>
  <si>
    <r>
      <rPr>
        <sz val="9"/>
        <rFont val="WenQuanYi Zen Hei"/>
        <family val="2"/>
      </rPr>
      <t xml:space="preserve">回撤位 </t>
    </r>
    <r>
      <rPr>
        <sz val="9"/>
        <rFont val="Arial"/>
        <family val="0"/>
        <charset val="1"/>
      </rPr>
      <t xml:space="preserve">= </t>
    </r>
    <r>
      <rPr>
        <sz val="9"/>
        <rFont val="WenQuanYi Zen Hei"/>
        <family val="2"/>
      </rPr>
      <t xml:space="preserve">高點 − 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高點−低點</t>
    </r>
    <r>
      <rPr>
        <sz val="9"/>
        <rFont val="Arial"/>
        <family val="0"/>
        <charset val="1"/>
      </rPr>
      <t xml:space="preserve">)×{0.382, 0.5, 0.618}</t>
    </r>
  </si>
  <si>
    <t xml:space="preserve">38.2/50/61.8%</t>
  </si>
  <si>
    <t xml:space="preserve">趨勢回調進場參考位</t>
  </si>
  <si>
    <r>
      <rPr>
        <sz val="9"/>
        <rFont val="Arial"/>
        <family val="0"/>
        <charset val="1"/>
      </rPr>
      <t xml:space="preserve">OHLCV</t>
    </r>
    <r>
      <rPr>
        <sz val="9"/>
        <rFont val="WenQuanYi Zen Hei"/>
        <family val="2"/>
      </rPr>
      <t xml:space="preserve">行情源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擺動高低點</t>
    </r>
    <r>
      <rPr>
        <sz val="9"/>
        <rFont val="Arial"/>
        <family val="0"/>
        <charset val="1"/>
      </rPr>
      <t xml:space="preserve">)</t>
    </r>
  </si>
  <si>
    <t xml:space="preserve">任意</t>
  </si>
  <si>
    <r>
      <rPr>
        <sz val="9"/>
        <rFont val="Arial"/>
        <family val="0"/>
        <charset val="1"/>
      </rPr>
      <t xml:space="preserve">Heikin-Ashi </t>
    </r>
    <r>
      <rPr>
        <sz val="9"/>
        <rFont val="WenQuanYi Zen Hei"/>
        <family val="2"/>
      </rPr>
      <t xml:space="preserve">平均</t>
    </r>
    <r>
      <rPr>
        <sz val="9"/>
        <rFont val="Arial"/>
        <family val="0"/>
        <charset val="1"/>
      </rPr>
      <t xml:space="preserve">K</t>
    </r>
    <r>
      <rPr>
        <sz val="9"/>
        <rFont val="WenQuanYi Zen Hei"/>
        <family val="2"/>
      </rPr>
      <t xml:space="preserve">線</t>
    </r>
  </si>
  <si>
    <t xml:space="preserve">HA_C = (O+H+L+C)/4; HA_O = (HA_O_prev + HA_C_prev)/2</t>
  </si>
  <si>
    <r>
      <rPr>
        <sz val="9"/>
        <rFont val="WenQuanYi Zen Hei"/>
        <family val="2"/>
      </rPr>
      <t xml:space="preserve">連續同色</t>
    </r>
    <r>
      <rPr>
        <sz val="9"/>
        <rFont val="Arial"/>
        <family val="0"/>
        <charset val="1"/>
      </rPr>
      <t xml:space="preserve">HA</t>
    </r>
    <r>
      <rPr>
        <sz val="9"/>
        <rFont val="WenQuanYi Zen Hei"/>
        <family val="2"/>
      </rPr>
      <t xml:space="preserve">蠟燭</t>
    </r>
    <r>
      <rPr>
        <sz val="9"/>
        <rFont val="Arial"/>
        <family val="0"/>
        <charset val="1"/>
      </rPr>
      <t xml:space="preserve">=</t>
    </r>
    <r>
      <rPr>
        <sz val="9"/>
        <rFont val="WenQuanYi Zen Hei"/>
        <family val="2"/>
      </rPr>
      <t xml:space="preserve">趨勢延續</t>
    </r>
  </si>
  <si>
    <r>
      <rPr>
        <sz val="9"/>
        <rFont val="WenQuanYi Zen Hei"/>
        <family val="2"/>
      </rPr>
      <t xml:space="preserve">波段結構 </t>
    </r>
    <r>
      <rPr>
        <sz val="9"/>
        <rFont val="Arial"/>
        <family val="0"/>
        <charset val="1"/>
      </rPr>
      <t xml:space="preserve">HH-HL/LH-LL</t>
    </r>
  </si>
  <si>
    <t xml:space="preserve">價格行為</t>
  </si>
  <si>
    <r>
      <rPr>
        <sz val="9"/>
        <rFont val="Arial"/>
        <family val="0"/>
        <charset val="1"/>
      </rPr>
      <t xml:space="preserve">Swing</t>
    </r>
    <r>
      <rPr>
        <sz val="9"/>
        <rFont val="WenQuanYi Zen Hei"/>
        <family val="2"/>
      </rPr>
      <t xml:space="preserve">高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低 </t>
    </r>
    <r>
      <rPr>
        <sz val="9"/>
        <rFont val="Arial"/>
        <family val="0"/>
        <charset val="1"/>
      </rPr>
      <t xml:space="preserve">= </t>
    </r>
    <r>
      <rPr>
        <sz val="9"/>
        <rFont val="WenQuanYi Zen Hei"/>
        <family val="2"/>
      </rPr>
      <t xml:space="preserve">前後</t>
    </r>
    <r>
      <rPr>
        <sz val="9"/>
        <rFont val="Arial"/>
        <family val="0"/>
        <charset val="1"/>
      </rPr>
      <t xml:space="preserve">k</t>
    </r>
    <r>
      <rPr>
        <sz val="9"/>
        <rFont val="WenQuanYi Zen Hei"/>
        <family val="2"/>
      </rPr>
      <t xml:space="preserve">日之極值</t>
    </r>
    <r>
      <rPr>
        <sz val="9"/>
        <rFont val="Arial"/>
        <family val="0"/>
        <charset val="1"/>
      </rPr>
      <t xml:space="preserve">; </t>
    </r>
    <r>
      <rPr>
        <sz val="9"/>
        <rFont val="WenQuanYi Zen Hei"/>
        <family val="2"/>
      </rPr>
      <t xml:space="preserve">序列</t>
    </r>
    <r>
      <rPr>
        <sz val="9"/>
        <rFont val="Arial"/>
        <family val="0"/>
        <charset val="1"/>
      </rPr>
      <t xml:space="preserve">HH+HL=</t>
    </r>
    <r>
      <rPr>
        <sz val="9"/>
        <rFont val="WenQuanYi Zen Hei"/>
        <family val="2"/>
      </rPr>
      <t xml:space="preserve">升勢</t>
    </r>
    <r>
      <rPr>
        <sz val="9"/>
        <rFont val="Arial"/>
        <family val="0"/>
        <charset val="1"/>
      </rPr>
      <t xml:space="preserve">, LH+LL=</t>
    </r>
    <r>
      <rPr>
        <sz val="9"/>
        <rFont val="WenQuanYi Zen Hei"/>
        <family val="2"/>
      </rPr>
      <t xml:space="preserve">跌勢</t>
    </r>
  </si>
  <si>
    <t xml:space="preserve">k=5-10</t>
  </si>
  <si>
    <r>
      <rPr>
        <sz val="9"/>
        <rFont val="WenQuanYi Zen Hei"/>
        <family val="2"/>
      </rPr>
      <t xml:space="preserve">道氏理論量化版</t>
    </r>
    <r>
      <rPr>
        <sz val="9"/>
        <rFont val="Arial"/>
        <family val="0"/>
        <charset val="1"/>
      </rPr>
      <t xml:space="preserve">; </t>
    </r>
    <r>
      <rPr>
        <sz val="9"/>
        <rFont val="WenQuanYi Zen Hei"/>
        <family val="2"/>
      </rPr>
      <t xml:space="preserve">結構破壞</t>
    </r>
    <r>
      <rPr>
        <sz val="9"/>
        <rFont val="Arial"/>
        <family val="0"/>
        <charset val="1"/>
      </rPr>
      <t xml:space="preserve">=</t>
    </r>
    <r>
      <rPr>
        <sz val="9"/>
        <rFont val="WenQuanYi Zen Hei"/>
        <family val="2"/>
      </rPr>
      <t xml:space="preserve">轉勢</t>
    </r>
  </si>
  <si>
    <r>
      <rPr>
        <sz val="9"/>
        <rFont val="Arial"/>
        <family val="0"/>
        <charset val="1"/>
      </rPr>
      <t xml:space="preserve">M2 </t>
    </r>
    <r>
      <rPr>
        <sz val="9"/>
        <rFont val="WenQuanYi Zen Hei"/>
        <family val="2"/>
      </rPr>
      <t xml:space="preserve">貨幣供應年增率</t>
    </r>
  </si>
  <si>
    <t xml:space="preserve">流動性</t>
  </si>
  <si>
    <t xml:space="preserve">四</t>
  </si>
  <si>
    <t xml:space="preserve">YoY = M2_t / M2_{t-12} − 1</t>
  </si>
  <si>
    <r>
      <rPr>
        <sz val="9"/>
        <rFont val="Arial"/>
        <family val="0"/>
        <charset val="1"/>
      </rPr>
      <t xml:space="preserve">12</t>
    </r>
    <r>
      <rPr>
        <sz val="9"/>
        <rFont val="WenQuanYi Zen Hei"/>
        <family val="2"/>
      </rPr>
      <t xml:space="preserve">月</t>
    </r>
  </si>
  <si>
    <r>
      <rPr>
        <sz val="9"/>
        <rFont val="WenQuanYi Zen Hei"/>
        <family val="2"/>
      </rPr>
      <t xml:space="preserve">回升且</t>
    </r>
    <r>
      <rPr>
        <sz val="9"/>
        <rFont val="Arial"/>
        <family val="0"/>
        <charset val="1"/>
      </rPr>
      <t xml:space="preserve">&gt;4%=</t>
    </r>
    <r>
      <rPr>
        <sz val="9"/>
        <rFont val="WenQuanYi Zen Hei"/>
        <family val="2"/>
      </rPr>
      <t xml:space="preserve">寬鬆背景</t>
    </r>
    <r>
      <rPr>
        <sz val="9"/>
        <rFont val="Arial"/>
        <family val="0"/>
        <charset val="1"/>
      </rPr>
      <t xml:space="preserve">; </t>
    </r>
    <r>
      <rPr>
        <sz val="9"/>
        <rFont val="WenQuanYi Zen Hei"/>
        <family val="2"/>
      </rPr>
      <t xml:space="preserve">負增長</t>
    </r>
    <r>
      <rPr>
        <sz val="9"/>
        <rFont val="Arial"/>
        <family val="0"/>
        <charset val="1"/>
      </rPr>
      <t xml:space="preserve">=</t>
    </r>
    <r>
      <rPr>
        <sz val="9"/>
        <rFont val="WenQuanYi Zen Hei"/>
        <family val="2"/>
      </rPr>
      <t xml:space="preserve">罕見緊縮</t>
    </r>
  </si>
  <si>
    <r>
      <rPr>
        <sz val="9"/>
        <rFont val="Arial"/>
        <family val="0"/>
        <charset val="1"/>
      </rPr>
      <t xml:space="preserve">FRED: M2SL (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聖路易聯儲</t>
    </r>
    <r>
      <rPr>
        <sz val="9"/>
        <rFont val="Arial"/>
        <family val="0"/>
        <charset val="1"/>
      </rPr>
      <t xml:space="preserve">)</t>
    </r>
  </si>
  <si>
    <t xml:space="preserve">淨流動性</t>
  </si>
  <si>
    <r>
      <rPr>
        <sz val="9"/>
        <rFont val="Arial"/>
        <family val="0"/>
        <charset val="1"/>
      </rPr>
      <t xml:space="preserve">NetLiq = Fed</t>
    </r>
    <r>
      <rPr>
        <sz val="9"/>
        <rFont val="WenQuanYi Zen Hei"/>
        <family val="2"/>
      </rPr>
      <t xml:space="preserve">總資產</t>
    </r>
    <r>
      <rPr>
        <sz val="9"/>
        <rFont val="Arial"/>
        <family val="0"/>
        <charset val="1"/>
      </rPr>
      <t xml:space="preserve">(WALCL) − </t>
    </r>
    <r>
      <rPr>
        <sz val="9"/>
        <rFont val="WenQuanYi Zen Hei"/>
        <family val="2"/>
      </rPr>
      <t xml:space="preserve">財政部</t>
    </r>
    <r>
      <rPr>
        <sz val="9"/>
        <rFont val="Arial"/>
        <family val="0"/>
        <charset val="1"/>
      </rPr>
      <t xml:space="preserve">TGA(WTREGEN) − </t>
    </r>
    <r>
      <rPr>
        <sz val="9"/>
        <rFont val="WenQuanYi Zen Hei"/>
        <family val="2"/>
      </rPr>
      <t xml:space="preserve">逆回購</t>
    </r>
    <r>
      <rPr>
        <sz val="9"/>
        <rFont val="Arial"/>
        <family val="0"/>
        <charset val="1"/>
      </rPr>
      <t xml:space="preserve">(RRPONTSYD)</t>
    </r>
  </si>
  <si>
    <t xml:space="preserve">週變化</t>
  </si>
  <si>
    <r>
      <rPr>
        <sz val="9"/>
        <rFont val="WenQuanYi Zen Hei"/>
        <family val="2"/>
      </rPr>
      <t xml:space="preserve">按週回升</t>
    </r>
    <r>
      <rPr>
        <sz val="9"/>
        <rFont val="Arial"/>
        <family val="0"/>
        <charset val="1"/>
      </rPr>
      <t xml:space="preserve">=EASY; </t>
    </r>
    <r>
      <rPr>
        <sz val="9"/>
        <rFont val="WenQuanYi Zen Hei"/>
        <family val="2"/>
      </rPr>
      <t xml:space="preserve">收縮加速</t>
    </r>
    <r>
      <rPr>
        <sz val="9"/>
        <rFont val="Arial"/>
        <family val="0"/>
        <charset val="1"/>
      </rPr>
      <t xml:space="preserve">=HARD</t>
    </r>
  </si>
  <si>
    <t xml:space="preserve">FRED: WALCL, WTREGEN, RRPONTSYD</t>
  </si>
  <si>
    <r>
      <rPr>
        <sz val="9"/>
        <rFont val="Arial"/>
        <family val="0"/>
        <charset val="1"/>
      </rPr>
      <t xml:space="preserve">NFCI </t>
    </r>
    <r>
      <rPr>
        <sz val="9"/>
        <rFont val="WenQuanYi Zen Hei"/>
        <family val="2"/>
      </rPr>
      <t xml:space="preserve">金融條件指數</t>
    </r>
  </si>
  <si>
    <r>
      <rPr>
        <sz val="9"/>
        <rFont val="WenQuanYi Zen Hei"/>
        <family val="2"/>
      </rPr>
      <t xml:space="preserve">芝加哥聯儲</t>
    </r>
    <r>
      <rPr>
        <sz val="9"/>
        <rFont val="Arial"/>
        <family val="0"/>
        <charset val="1"/>
      </rPr>
      <t xml:space="preserve">105</t>
    </r>
    <r>
      <rPr>
        <sz val="9"/>
        <rFont val="WenQuanYi Zen Hei"/>
        <family val="2"/>
      </rPr>
      <t xml:space="preserve">項金融指標動態因子模型加權</t>
    </r>
    <r>
      <rPr>
        <sz val="9"/>
        <rFont val="Arial"/>
        <family val="0"/>
        <charset val="1"/>
      </rPr>
      <t xml:space="preserve">(0=</t>
    </r>
    <r>
      <rPr>
        <sz val="9"/>
        <rFont val="WenQuanYi Zen Hei"/>
        <family val="2"/>
      </rPr>
      <t xml:space="preserve">歷史均值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</si>
  <si>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&lt;-0.3</t>
    </r>
    <r>
      <rPr>
        <sz val="9"/>
        <rFont val="WenQuanYi Zen Hei"/>
        <family val="2"/>
      </rPr>
      <t xml:space="preserve">寬鬆</t>
    </r>
    <r>
      <rPr>
        <sz val="9"/>
        <rFont val="Arial"/>
        <family val="0"/>
        <charset val="1"/>
      </rPr>
      <t xml:space="preserve">; &gt;+0.3</t>
    </r>
    <r>
      <rPr>
        <sz val="9"/>
        <rFont val="WenQuanYi Zen Hei"/>
        <family val="2"/>
      </rPr>
      <t xml:space="preserve">且上行</t>
    </r>
    <r>
      <rPr>
        <sz val="9"/>
        <rFont val="Arial"/>
        <family val="0"/>
        <charset val="1"/>
      </rPr>
      <t xml:space="preserve">=</t>
    </r>
    <r>
      <rPr>
        <sz val="9"/>
        <rFont val="WenQuanYi Zen Hei"/>
        <family val="2"/>
      </rPr>
      <t xml:space="preserve">收緊</t>
    </r>
  </si>
  <si>
    <r>
      <rPr>
        <sz val="9"/>
        <rFont val="Arial"/>
        <family val="0"/>
        <charset val="1"/>
      </rPr>
      <t xml:space="preserve">FRED: NFCI (</t>
    </r>
    <r>
      <rPr>
        <sz val="9"/>
        <rFont val="WenQuanYi Zen Hei"/>
        <family val="2"/>
      </rPr>
      <t xml:space="preserve">芝加哥聯儲</t>
    </r>
    <r>
      <rPr>
        <sz val="9"/>
        <rFont val="Arial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</si>
  <si>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核心</t>
    </r>
    <r>
      <rPr>
        <sz val="9"/>
        <rFont val="Arial"/>
        <family val="0"/>
        <charset val="1"/>
      </rPr>
      <t xml:space="preserve">CPI</t>
    </r>
    <r>
      <rPr>
        <sz val="9"/>
        <rFont val="WenQuanYi Zen Hei"/>
        <family val="2"/>
      </rPr>
      <t xml:space="preserve">年增率</t>
    </r>
  </si>
  <si>
    <t xml:space="preserve">通脹</t>
  </si>
  <si>
    <r>
      <rPr>
        <sz val="9"/>
        <rFont val="Arial"/>
        <family val="0"/>
        <charset val="1"/>
      </rPr>
      <t xml:space="preserve">YoY = CPI</t>
    </r>
    <r>
      <rPr>
        <sz val="9"/>
        <rFont val="WenQuanYi Zen Hei"/>
        <family val="2"/>
      </rPr>
      <t xml:space="preserve">核心</t>
    </r>
    <r>
      <rPr>
        <sz val="9"/>
        <rFont val="Arial"/>
        <family val="0"/>
        <charset val="1"/>
      </rPr>
      <t xml:space="preserve">_t / CPI</t>
    </r>
    <r>
      <rPr>
        <sz val="9"/>
        <rFont val="WenQuanYi Zen Hei"/>
        <family val="2"/>
      </rPr>
      <t xml:space="preserve">核心</t>
    </r>
    <r>
      <rPr>
        <sz val="9"/>
        <rFont val="Arial"/>
        <family val="0"/>
        <charset val="1"/>
      </rPr>
      <t xml:space="preserve">_{t-12} − 1</t>
    </r>
  </si>
  <si>
    <r>
      <rPr>
        <sz val="9"/>
        <rFont val="Arial"/>
        <family val="0"/>
        <charset val="1"/>
      </rPr>
      <t xml:space="preserve">&lt;4%</t>
    </r>
    <r>
      <rPr>
        <sz val="9"/>
        <rFont val="WenQuanYi Zen Hei"/>
        <family val="2"/>
      </rPr>
      <t xml:space="preserve">或高位回落</t>
    </r>
    <r>
      <rPr>
        <sz val="9"/>
        <rFont val="Arial"/>
        <family val="0"/>
        <charset val="1"/>
      </rPr>
      <t xml:space="preserve">=</t>
    </r>
    <r>
      <rPr>
        <sz val="9"/>
        <rFont val="WenQuanYi Zen Hei"/>
        <family val="2"/>
      </rPr>
      <t xml:space="preserve">政策空間開</t>
    </r>
    <r>
      <rPr>
        <sz val="9"/>
        <rFont val="Arial"/>
        <family val="0"/>
        <charset val="1"/>
      </rPr>
      <t xml:space="preserve">; &gt;6%</t>
    </r>
    <r>
      <rPr>
        <sz val="9"/>
        <rFont val="WenQuanYi Zen Hei"/>
        <family val="2"/>
      </rPr>
      <t xml:space="preserve">上行</t>
    </r>
    <r>
      <rPr>
        <sz val="9"/>
        <rFont val="Arial"/>
        <family val="0"/>
        <charset val="1"/>
      </rPr>
      <t xml:space="preserve">=</t>
    </r>
    <r>
      <rPr>
        <sz val="9"/>
        <rFont val="WenQuanYi Zen Hei"/>
        <family val="2"/>
      </rPr>
      <t xml:space="preserve">緊縮壓力</t>
    </r>
  </si>
  <si>
    <t xml:space="preserve">FRED: CPILFESL (BLS)</t>
  </si>
  <si>
    <r>
      <rPr>
        <sz val="9"/>
        <rFont val="Arial"/>
        <family val="0"/>
        <charset val="1"/>
      </rPr>
      <t xml:space="preserve">ISM </t>
    </r>
    <r>
      <rPr>
        <sz val="9"/>
        <rFont val="WenQuanYi Zen Hei"/>
        <family val="2"/>
      </rPr>
      <t xml:space="preserve">製造業</t>
    </r>
    <r>
      <rPr>
        <sz val="9"/>
        <rFont val="Arial"/>
        <family val="0"/>
        <charset val="1"/>
      </rPr>
      <t xml:space="preserve">PMI</t>
    </r>
  </si>
  <si>
    <t xml:space="preserve">宏觀</t>
  </si>
  <si>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分項擴散指數等權</t>
    </r>
    <r>
      <rPr>
        <sz val="9"/>
        <rFont val="Arial"/>
        <family val="0"/>
        <charset val="1"/>
      </rPr>
      <t xml:space="preserve">: </t>
    </r>
    <r>
      <rPr>
        <sz val="9"/>
        <rFont val="WenQuanYi Zen Hei"/>
        <family val="2"/>
      </rPr>
      <t xml:space="preserve">新訂單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生產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就業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交付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庫存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各</t>
    </r>
    <r>
      <rPr>
        <sz val="9"/>
        <rFont val="Arial"/>
        <family val="0"/>
        <charset val="1"/>
      </rPr>
      <t xml:space="preserve">=P(</t>
    </r>
    <r>
      <rPr>
        <sz val="9"/>
        <rFont val="WenQuanYi Zen Hei"/>
        <family val="2"/>
      </rPr>
      <t xml:space="preserve">改善</t>
    </r>
    <r>
      <rPr>
        <sz val="9"/>
        <rFont val="Arial"/>
        <family val="0"/>
        <charset val="1"/>
      </rPr>
      <t xml:space="preserve">)+0.5·P(</t>
    </r>
    <r>
      <rPr>
        <sz val="9"/>
        <rFont val="WenQuanYi Zen Hei"/>
        <family val="2"/>
      </rPr>
      <t xml:space="preserve">持平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</si>
  <si>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50=</t>
    </r>
    <r>
      <rPr>
        <sz val="9"/>
        <rFont val="WenQuanYi Zen Hei"/>
        <family val="2"/>
      </rPr>
      <t xml:space="preserve">榮枯線</t>
    </r>
  </si>
  <si>
    <r>
      <rPr>
        <sz val="9"/>
        <rFont val="Arial"/>
        <family val="0"/>
        <charset val="1"/>
      </rPr>
      <t xml:space="preserve">&gt;52</t>
    </r>
    <r>
      <rPr>
        <sz val="9"/>
        <rFont val="WenQuanYi Zen Hei"/>
        <family val="2"/>
      </rPr>
      <t xml:space="preserve">回升</t>
    </r>
    <r>
      <rPr>
        <sz val="9"/>
        <rFont val="Arial"/>
        <family val="0"/>
        <charset val="1"/>
      </rPr>
      <t xml:space="preserve">=</t>
    </r>
    <r>
      <rPr>
        <sz val="9"/>
        <rFont val="WenQuanYi Zen Hei"/>
        <family val="2"/>
      </rPr>
      <t xml:space="preserve">擴張</t>
    </r>
    <r>
      <rPr>
        <sz val="9"/>
        <rFont val="Arial"/>
        <family val="0"/>
        <charset val="1"/>
      </rPr>
      <t xml:space="preserve">; &lt;45=</t>
    </r>
    <r>
      <rPr>
        <sz val="9"/>
        <rFont val="WenQuanYi Zen Hei"/>
        <family val="2"/>
      </rPr>
      <t xml:space="preserve">收縮深化</t>
    </r>
  </si>
  <si>
    <r>
      <rPr>
        <sz val="9"/>
        <rFont val="Arial"/>
        <family val="0"/>
        <charset val="1"/>
      </rPr>
      <t xml:space="preserve">ISM</t>
    </r>
    <r>
      <rPr>
        <sz val="9"/>
        <rFont val="WenQuanYi Zen Hei"/>
        <family val="2"/>
      </rPr>
      <t xml:space="preserve">官網 </t>
    </r>
    <r>
      <rPr>
        <sz val="9"/>
        <rFont val="Arial"/>
        <family val="0"/>
        <charset val="1"/>
      </rPr>
      <t xml:space="preserve">(ismworld.org); </t>
    </r>
    <r>
      <rPr>
        <sz val="9"/>
        <rFont val="WenQuanYi Zen Hei"/>
        <family val="2"/>
      </rPr>
      <t xml:space="preserve">歷史見</t>
    </r>
    <r>
      <rPr>
        <sz val="9"/>
        <rFont val="Arial"/>
        <family val="0"/>
        <charset val="1"/>
      </rPr>
      <t xml:space="preserve">FRED/</t>
    </r>
    <r>
      <rPr>
        <sz val="9"/>
        <rFont val="WenQuanYi Zen Hei"/>
        <family val="2"/>
      </rPr>
      <t xml:space="preserve">宏觀供應商</t>
    </r>
  </si>
  <si>
    <r>
      <rPr>
        <sz val="9"/>
        <rFont val="Arial"/>
        <family val="0"/>
        <charset val="1"/>
      </rPr>
      <t xml:space="preserve">Sahm </t>
    </r>
    <r>
      <rPr>
        <sz val="9"/>
        <rFont val="WenQuanYi Zen Hei"/>
        <family val="2"/>
      </rPr>
      <t xml:space="preserve">規則失業率動能</t>
    </r>
  </si>
  <si>
    <r>
      <rPr>
        <sz val="9"/>
        <rFont val="Arial"/>
        <family val="0"/>
        <charset val="1"/>
      </rPr>
      <t xml:space="preserve">Sahm = U3</t>
    </r>
    <r>
      <rPr>
        <sz val="9"/>
        <rFont val="WenQuanYi Zen Hei"/>
        <family val="2"/>
      </rPr>
      <t xml:space="preserve">三月均 − 過去</t>
    </r>
    <r>
      <rPr>
        <sz val="9"/>
        <rFont val="Arial"/>
        <family val="0"/>
        <charset val="1"/>
      </rPr>
      <t xml:space="preserve">12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U3</t>
    </r>
    <r>
      <rPr>
        <sz val="9"/>
        <rFont val="WenQuanYi Zen Hei"/>
        <family val="2"/>
      </rPr>
      <t xml:space="preserve">三月均之最低值</t>
    </r>
  </si>
  <si>
    <r>
      <rPr>
        <sz val="9"/>
        <rFont val="Arial"/>
        <family val="0"/>
        <charset val="1"/>
      </rPr>
      <t xml:space="preserve">0.5pt</t>
    </r>
    <r>
      <rPr>
        <sz val="9"/>
        <rFont val="WenQuanYi Zen Hei"/>
        <family val="2"/>
      </rPr>
      <t xml:space="preserve">閾值</t>
    </r>
  </si>
  <si>
    <r>
      <rPr>
        <sz val="9"/>
        <rFont val="Arial"/>
        <family val="0"/>
        <charset val="1"/>
      </rPr>
      <t xml:space="preserve">≥+0.50pt=</t>
    </r>
    <r>
      <rPr>
        <sz val="9"/>
        <rFont val="WenQuanYi Zen Hei"/>
        <family val="2"/>
      </rPr>
      <t xml:space="preserve">衰退已開始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實時判定金標準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</si>
  <si>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FRED: SAHMREALTIME (BLS U3</t>
    </r>
    <r>
      <rPr>
        <sz val="9"/>
        <rFont val="WenQuanYi Zen Hei"/>
        <family val="2"/>
      </rPr>
      <t xml:space="preserve">自算亦可</t>
    </r>
    <r>
      <rPr>
        <sz val="9"/>
        <rFont val="Arial"/>
        <family val="0"/>
        <charset val="1"/>
      </rPr>
      <t xml:space="preserve">)</t>
    </r>
  </si>
  <si>
    <t xml:space="preserve">初領失業救濟金</t>
  </si>
  <si>
    <r>
      <rPr>
        <sz val="9"/>
        <rFont val="Arial"/>
        <family val="0"/>
        <charset val="1"/>
      </rPr>
      <t xml:space="preserve">4</t>
    </r>
    <r>
      <rPr>
        <sz val="9"/>
        <rFont val="WenQuanYi Zen Hei"/>
        <family val="2"/>
      </rPr>
      <t xml:space="preserve">週移動平均</t>
    </r>
    <r>
      <rPr>
        <sz val="9"/>
        <rFont val="Arial"/>
        <family val="0"/>
        <charset val="1"/>
      </rPr>
      <t xml:space="preserve">; </t>
    </r>
    <r>
      <rPr>
        <sz val="9"/>
        <rFont val="WenQuanYi Zen Hei"/>
        <family val="2"/>
      </rPr>
      <t xml:space="preserve">訊號 </t>
    </r>
    <r>
      <rPr>
        <sz val="9"/>
        <rFont val="Arial"/>
        <family val="0"/>
        <charset val="1"/>
      </rPr>
      <t xml:space="preserve">= </t>
    </r>
    <r>
      <rPr>
        <sz val="9"/>
        <rFont val="WenQuanYi Zen Hei"/>
        <family val="2"/>
      </rPr>
      <t xml:space="preserve">相對</t>
    </r>
    <r>
      <rPr>
        <sz val="9"/>
        <rFont val="Arial"/>
        <family val="0"/>
        <charset val="1"/>
      </rPr>
      <t xml:space="preserve">26</t>
    </r>
    <r>
      <rPr>
        <sz val="9"/>
        <rFont val="WenQuanYi Zen Hei"/>
        <family val="2"/>
      </rPr>
      <t xml:space="preserve">週低點之變幅</t>
    </r>
  </si>
  <si>
    <r>
      <rPr>
        <sz val="9"/>
        <rFont val="Arial"/>
        <family val="0"/>
        <charset val="1"/>
      </rPr>
      <t xml:space="preserve">+15%</t>
    </r>
    <r>
      <rPr>
        <sz val="9"/>
        <rFont val="WenQuanYi Zen Hei"/>
        <family val="2"/>
      </rPr>
      <t xml:space="preserve">以上且上行</t>
    </r>
    <r>
      <rPr>
        <sz val="9"/>
        <rFont val="Arial"/>
        <family val="0"/>
        <charset val="1"/>
      </rPr>
      <t xml:space="preserve">=</t>
    </r>
    <r>
      <rPr>
        <sz val="9"/>
        <rFont val="WenQuanYi Zen Hei"/>
        <family val="2"/>
      </rPr>
      <t xml:space="preserve">勞動巿場轉弱</t>
    </r>
  </si>
  <si>
    <r>
      <rPr>
        <sz val="9"/>
        <rFont val="Arial"/>
        <family val="0"/>
        <charset val="1"/>
      </rPr>
      <t xml:space="preserve">FRED: ICSA (</t>
    </r>
    <r>
      <rPr>
        <sz val="9"/>
        <rFont val="WenQuanYi Zen Hei"/>
        <family val="2"/>
      </rPr>
      <t xml:space="preserve">勞工部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週四發布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</si>
  <si>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LEI </t>
    </r>
    <r>
      <rPr>
        <sz val="9"/>
        <rFont val="WenQuanYi Zen Hei"/>
        <family val="2"/>
      </rPr>
      <t xml:space="preserve">領先經濟指標</t>
    </r>
  </si>
  <si>
    <r>
      <rPr>
        <sz val="9"/>
        <rFont val="Arial"/>
        <family val="0"/>
        <charset val="1"/>
      </rPr>
      <t xml:space="preserve">10</t>
    </r>
    <r>
      <rPr>
        <sz val="9"/>
        <rFont val="WenQuanYi Zen Hei"/>
        <family val="2"/>
      </rPr>
      <t xml:space="preserve">項領先成份加權合成</t>
    </r>
    <r>
      <rPr>
        <sz val="9"/>
        <rFont val="Arial"/>
        <family val="0"/>
        <charset val="1"/>
      </rPr>
      <t xml:space="preserve">; </t>
    </r>
    <r>
      <rPr>
        <sz val="9"/>
        <rFont val="WenQuanYi Zen Hei"/>
        <family val="2"/>
      </rPr>
      <t xml:space="preserve">訊號 </t>
    </r>
    <r>
      <rPr>
        <sz val="9"/>
        <rFont val="Arial"/>
        <family val="0"/>
        <charset val="1"/>
      </rPr>
      <t xml:space="preserve">= 6</t>
    </r>
    <r>
      <rPr>
        <sz val="9"/>
        <rFont val="WenQuanYi Zen Hei"/>
        <family val="2"/>
      </rPr>
      <t xml:space="preserve">個月變率年化</t>
    </r>
  </si>
  <si>
    <r>
      <rPr>
        <sz val="9"/>
        <rFont val="Arial"/>
        <family val="0"/>
        <charset val="1"/>
      </rPr>
      <t xml:space="preserve">6</t>
    </r>
    <r>
      <rPr>
        <sz val="9"/>
        <rFont val="WenQuanYi Zen Hei"/>
        <family val="2"/>
      </rPr>
      <t xml:space="preserve">月年化</t>
    </r>
  </si>
  <si>
    <r>
      <rPr>
        <sz val="9"/>
        <rFont val="Arial"/>
        <family val="0"/>
        <charset val="1"/>
      </rPr>
      <t xml:space="preserve">&lt;-4%</t>
    </r>
    <r>
      <rPr>
        <sz val="9"/>
        <rFont val="WenQuanYi Zen Hei"/>
        <family val="2"/>
      </rPr>
      <t xml:space="preserve">且擴散差</t>
    </r>
    <r>
      <rPr>
        <sz val="9"/>
        <rFont val="Arial"/>
        <family val="0"/>
        <charset val="1"/>
      </rPr>
      <t xml:space="preserve">=</t>
    </r>
    <r>
      <rPr>
        <sz val="9"/>
        <rFont val="WenQuanYi Zen Hei"/>
        <family val="2"/>
      </rPr>
      <t xml:space="preserve">衰退警戒</t>
    </r>
  </si>
  <si>
    <t xml:space="preserve">Conference Board (conference-board.org)</t>
  </si>
  <si>
    <r>
      <rPr>
        <sz val="9"/>
        <rFont val="Arial"/>
        <family val="0"/>
        <charset val="1"/>
      </rPr>
      <t xml:space="preserve">BAA-AAA </t>
    </r>
    <r>
      <rPr>
        <sz val="9"/>
        <rFont val="WenQuanYi Zen Hei"/>
        <family val="2"/>
      </rPr>
      <t xml:space="preserve">投資級利差</t>
    </r>
  </si>
  <si>
    <r>
      <rPr>
        <sz val="9"/>
        <rFont val="Arial"/>
        <family val="0"/>
        <charset val="1"/>
      </rPr>
      <t xml:space="preserve">Spread = Moody's BAA</t>
    </r>
    <r>
      <rPr>
        <sz val="9"/>
        <rFont val="WenQuanYi Zen Hei"/>
        <family val="2"/>
      </rPr>
      <t xml:space="preserve">殖利率 − </t>
    </r>
    <r>
      <rPr>
        <sz val="9"/>
        <rFont val="Arial"/>
        <family val="0"/>
        <charset val="1"/>
      </rPr>
      <t xml:space="preserve">AAA</t>
    </r>
    <r>
      <rPr>
        <sz val="9"/>
        <rFont val="WenQuanYi Zen Hei"/>
        <family val="2"/>
      </rPr>
      <t xml:space="preserve">殖利率</t>
    </r>
  </si>
  <si>
    <r>
      <rPr>
        <sz val="9"/>
        <rFont val="Arial"/>
        <family val="0"/>
        <charset val="1"/>
      </rPr>
      <t xml:space="preserve">&lt;0.95%=EASY; &gt;1.35%</t>
    </r>
    <r>
      <rPr>
        <sz val="9"/>
        <rFont val="WenQuanYi Zen Hei"/>
        <family val="2"/>
      </rPr>
      <t xml:space="preserve">走闊</t>
    </r>
    <r>
      <rPr>
        <sz val="9"/>
        <rFont val="Arial"/>
        <family val="0"/>
        <charset val="1"/>
      </rPr>
      <t xml:space="preserve">=</t>
    </r>
    <r>
      <rPr>
        <sz val="9"/>
        <rFont val="WenQuanYi Zen Hei"/>
        <family val="2"/>
      </rPr>
      <t xml:space="preserve">信用壓力</t>
    </r>
    <r>
      <rPr>
        <sz val="9"/>
        <rFont val="Arial"/>
        <family val="0"/>
        <charset val="1"/>
      </rPr>
      <t xml:space="preserve">(1919</t>
    </r>
    <r>
      <rPr>
        <sz val="9"/>
        <rFont val="WenQuanYi Zen Hei"/>
        <family val="2"/>
      </rPr>
      <t xml:space="preserve">年起百年序列</t>
    </r>
    <r>
      <rPr>
        <sz val="9"/>
        <rFont val="Arial"/>
        <family val="0"/>
        <charset val="1"/>
      </rPr>
      <t xml:space="preserve">)</t>
    </r>
  </si>
  <si>
    <t xml:space="preserve">FRED: BAA, AAA (Moody's)</t>
  </si>
  <si>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日</t>
    </r>
  </si>
  <si>
    <r>
      <rPr>
        <sz val="9"/>
        <rFont val="WenQuanYi Zen Hei"/>
        <family val="2"/>
      </rPr>
      <t xml:space="preserve">商業票據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短期融資利差</t>
    </r>
  </si>
  <si>
    <r>
      <rPr>
        <sz val="9"/>
        <rFont val="WenQuanYi Zen Hei"/>
        <family val="2"/>
      </rPr>
      <t xml:space="preserve">信用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流動性</t>
    </r>
  </si>
  <si>
    <r>
      <rPr>
        <sz val="9"/>
        <rFont val="Arial"/>
        <family val="0"/>
        <charset val="1"/>
      </rPr>
      <t xml:space="preserve">CP</t>
    </r>
    <r>
      <rPr>
        <sz val="9"/>
        <rFont val="WenQuanYi Zen Hei"/>
        <family val="2"/>
      </rPr>
      <t xml:space="preserve">利差 </t>
    </r>
    <r>
      <rPr>
        <sz val="9"/>
        <rFont val="Arial"/>
        <family val="0"/>
        <charset val="1"/>
      </rPr>
      <t xml:space="preserve">= 3</t>
    </r>
    <r>
      <rPr>
        <sz val="9"/>
        <rFont val="WenQuanYi Zen Hei"/>
        <family val="2"/>
      </rPr>
      <t xml:space="preserve">月非金融</t>
    </r>
    <r>
      <rPr>
        <sz val="9"/>
        <rFont val="Arial"/>
        <family val="0"/>
        <charset val="1"/>
      </rPr>
      <t xml:space="preserve">CP</t>
    </r>
    <r>
      <rPr>
        <sz val="9"/>
        <rFont val="WenQuanYi Zen Hei"/>
        <family val="2"/>
      </rPr>
      <t xml:space="preserve">利率 − </t>
    </r>
    <r>
      <rPr>
        <sz val="9"/>
        <rFont val="Arial"/>
        <family val="0"/>
        <charset val="1"/>
      </rPr>
      <t xml:space="preserve">3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T-bill (TED</t>
    </r>
    <r>
      <rPr>
        <sz val="9"/>
        <rFont val="WenQuanYi Zen Hei"/>
        <family val="2"/>
      </rPr>
      <t xml:space="preserve">已停</t>
    </r>
    <r>
      <rPr>
        <sz val="9"/>
        <rFont val="Arial"/>
        <family val="0"/>
        <charset val="1"/>
      </rPr>
      <t xml:space="preserve">: </t>
    </r>
    <r>
      <rPr>
        <sz val="9"/>
        <rFont val="WenQuanYi Zen Hei"/>
        <family val="2"/>
      </rPr>
      <t xml:space="preserve">改用</t>
    </r>
    <r>
      <rPr>
        <sz val="9"/>
        <rFont val="Arial"/>
        <family val="0"/>
        <charset val="1"/>
      </rPr>
      <t xml:space="preserve">SOFR−T-bill)</t>
    </r>
  </si>
  <si>
    <r>
      <rPr>
        <sz val="9"/>
        <rFont val="Arial"/>
        <family val="0"/>
        <charset val="1"/>
      </rPr>
      <t xml:space="preserve">3</t>
    </r>
    <r>
      <rPr>
        <sz val="9"/>
        <rFont val="WenQuanYi Zen Hei"/>
        <family val="2"/>
      </rPr>
      <t xml:space="preserve">個月期</t>
    </r>
  </si>
  <si>
    <r>
      <rPr>
        <sz val="9"/>
        <rFont val="Arial"/>
        <family val="0"/>
        <charset val="1"/>
      </rPr>
      <t xml:space="preserve">&gt;50bp=</t>
    </r>
    <r>
      <rPr>
        <sz val="9"/>
        <rFont val="WenQuanYi Zen Hei"/>
        <family val="2"/>
      </rPr>
      <t xml:space="preserve">企業短融凍結</t>
    </r>
    <r>
      <rPr>
        <sz val="9"/>
        <rFont val="Arial"/>
        <family val="0"/>
        <charset val="1"/>
      </rPr>
      <t xml:space="preserve">(2008/2020</t>
    </r>
    <r>
      <rPr>
        <sz val="9"/>
        <rFont val="WenQuanYi Zen Hei"/>
        <family val="2"/>
      </rPr>
      <t xml:space="preserve">型</t>
    </r>
    <r>
      <rPr>
        <sz val="9"/>
        <rFont val="Arial"/>
        <family val="0"/>
        <charset val="1"/>
      </rPr>
      <t xml:space="preserve">)</t>
    </r>
  </si>
  <si>
    <t xml:space="preserve">FRED: CPN3M, TB3MS, SOFR</t>
  </si>
  <si>
    <r>
      <rPr>
        <sz val="9"/>
        <rFont val="Arial"/>
        <family val="0"/>
        <charset val="1"/>
      </rPr>
      <t xml:space="preserve">SLOOS </t>
    </r>
    <r>
      <rPr>
        <sz val="9"/>
        <rFont val="WenQuanYi Zen Hei"/>
        <family val="2"/>
      </rPr>
      <t xml:space="preserve">銀行信貸標準</t>
    </r>
  </si>
  <si>
    <r>
      <rPr>
        <sz val="9"/>
        <rFont val="WenQuanYi Zen Hei"/>
        <family val="2"/>
      </rPr>
      <t xml:space="preserve">淨收緊</t>
    </r>
    <r>
      <rPr>
        <sz val="9"/>
        <rFont val="Arial"/>
        <family val="0"/>
        <charset val="1"/>
      </rPr>
      <t xml:space="preserve">% = </t>
    </r>
    <r>
      <rPr>
        <sz val="9"/>
        <rFont val="WenQuanYi Zen Hei"/>
        <family val="2"/>
      </rPr>
      <t xml:space="preserve">收緊銀行比例 − 放鬆比例 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工商貸款</t>
    </r>
    <r>
      <rPr>
        <sz val="9"/>
        <rFont val="Arial"/>
        <family val="0"/>
        <charset val="1"/>
      </rPr>
      <t xml:space="preserve">)</t>
    </r>
  </si>
  <si>
    <t xml:space="preserve">季調查</t>
  </si>
  <si>
    <r>
      <rPr>
        <sz val="9"/>
        <rFont val="Arial"/>
        <family val="0"/>
        <charset val="1"/>
      </rPr>
      <t xml:space="preserve">&gt;+20%</t>
    </r>
    <r>
      <rPr>
        <sz val="9"/>
        <rFont val="WenQuanYi Zen Hei"/>
        <family val="2"/>
      </rPr>
      <t xml:space="preserve">大幅收緊</t>
    </r>
    <r>
      <rPr>
        <sz val="9"/>
        <rFont val="Arial"/>
        <family val="0"/>
        <charset val="1"/>
      </rPr>
      <t xml:space="preserve">=</t>
    </r>
    <r>
      <rPr>
        <sz val="9"/>
        <rFont val="WenQuanYi Zen Hei"/>
        <family val="2"/>
      </rPr>
      <t xml:space="preserve">領先信貸緊縮</t>
    </r>
    <r>
      <rPr>
        <sz val="9"/>
        <rFont val="Arial"/>
        <family val="0"/>
        <charset val="1"/>
      </rPr>
      <t xml:space="preserve">1-2</t>
    </r>
    <r>
      <rPr>
        <sz val="9"/>
        <rFont val="WenQuanYi Zen Hei"/>
        <family val="2"/>
      </rPr>
      <t xml:space="preserve">季</t>
    </r>
  </si>
  <si>
    <r>
      <rPr>
        <sz val="9"/>
        <rFont val="Arial"/>
        <family val="0"/>
        <charset val="1"/>
      </rPr>
      <t xml:space="preserve">Fed SLOOS (federalreserve.gov, </t>
    </r>
    <r>
      <rPr>
        <sz val="9"/>
        <rFont val="WenQuanYi Zen Hei"/>
        <family val="2"/>
      </rPr>
      <t xml:space="preserve">季度</t>
    </r>
    <r>
      <rPr>
        <sz val="9"/>
        <rFont val="Arial"/>
        <family val="0"/>
        <charset val="1"/>
      </rPr>
      <t xml:space="preserve">)</t>
    </r>
  </si>
  <si>
    <t xml:space="preserve">季</t>
  </si>
  <si>
    <t xml:space="preserve">油價年變率</t>
  </si>
  <si>
    <r>
      <rPr>
        <sz val="9"/>
        <rFont val="WenQuanYi Zen Hei"/>
        <family val="2"/>
      </rPr>
      <t xml:space="preserve">商品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通脹</t>
    </r>
  </si>
  <si>
    <t xml:space="preserve">ROC12m = Brent_t / Brent_{t-12m} − 1</t>
  </si>
  <si>
    <r>
      <rPr>
        <sz val="9"/>
        <rFont val="Arial"/>
        <family val="0"/>
        <charset val="1"/>
      </rPr>
      <t xml:space="preserve">&gt; +80%=</t>
    </r>
    <r>
      <rPr>
        <sz val="9"/>
        <rFont val="WenQuanYi Zen Hei"/>
        <family val="2"/>
      </rPr>
      <t xml:space="preserve">油震盪衰退前兆</t>
    </r>
    <r>
      <rPr>
        <sz val="9"/>
        <rFont val="Arial"/>
        <family val="0"/>
        <charset val="1"/>
      </rPr>
      <t xml:space="preserve">(1973/79/90/22)</t>
    </r>
  </si>
  <si>
    <t xml:space="preserve">FRED: DCOILBRENTEU, DCOILWTICO / EIA</t>
  </si>
  <si>
    <t xml:space="preserve">黃金相對強度</t>
  </si>
  <si>
    <r>
      <rPr>
        <sz val="9"/>
        <rFont val="WenQuanYi Zen Hei"/>
        <family val="2"/>
      </rPr>
      <t xml:space="preserve">商品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避險</t>
    </r>
  </si>
  <si>
    <r>
      <rPr>
        <sz val="9"/>
        <rFont val="Arial"/>
        <family val="0"/>
        <charset val="1"/>
      </rPr>
      <t xml:space="preserve">RS = (Gold/SPX)</t>
    </r>
    <r>
      <rPr>
        <sz val="9"/>
        <rFont val="WenQuanYi Zen Hei"/>
        <family val="2"/>
      </rPr>
      <t xml:space="preserve">之</t>
    </r>
    <r>
      <rPr>
        <sz val="9"/>
        <rFont val="Arial"/>
        <family val="0"/>
        <charset val="1"/>
      </rPr>
      <t xml:space="preserve">13</t>
    </r>
    <r>
      <rPr>
        <sz val="9"/>
        <rFont val="WenQuanYi Zen Hei"/>
        <family val="2"/>
      </rPr>
      <t xml:space="preserve">週</t>
    </r>
    <r>
      <rPr>
        <sz val="9"/>
        <rFont val="Arial"/>
        <family val="0"/>
        <charset val="1"/>
      </rPr>
      <t xml:space="preserve">ROC</t>
    </r>
  </si>
  <si>
    <r>
      <rPr>
        <sz val="9"/>
        <rFont val="Arial"/>
        <family val="0"/>
        <charset val="1"/>
      </rPr>
      <t xml:space="preserve">13</t>
    </r>
    <r>
      <rPr>
        <sz val="9"/>
        <rFont val="WenQuanYi Zen Hei"/>
        <family val="2"/>
      </rPr>
      <t xml:space="preserve">週</t>
    </r>
  </si>
  <si>
    <r>
      <rPr>
        <sz val="9"/>
        <rFont val="WenQuanYi Zen Hei"/>
        <family val="2"/>
      </rPr>
      <t xml:space="preserve">持續走強</t>
    </r>
    <r>
      <rPr>
        <sz val="9"/>
        <rFont val="Arial"/>
        <family val="0"/>
        <charset val="1"/>
      </rPr>
      <t xml:space="preserve">=</t>
    </r>
    <r>
      <rPr>
        <sz val="9"/>
        <rFont val="WenQuanYi Zen Hei"/>
        <family val="2"/>
      </rPr>
      <t xml:space="preserve">避險需求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貨幣信心弱</t>
    </r>
  </si>
  <si>
    <r>
      <rPr>
        <sz val="9"/>
        <rFont val="Arial"/>
        <family val="0"/>
        <charset val="1"/>
      </rPr>
      <t xml:space="preserve">LBMA</t>
    </r>
    <r>
      <rPr>
        <sz val="9"/>
        <rFont val="WenQuanYi Zen Hei"/>
        <family val="2"/>
      </rPr>
      <t xml:space="preserve">金價</t>
    </r>
    <r>
      <rPr>
        <sz val="9"/>
        <rFont val="Arial"/>
        <family val="0"/>
        <charset val="1"/>
      </rPr>
      <t xml:space="preserve">+</t>
    </r>
    <r>
      <rPr>
        <sz val="9"/>
        <rFont val="WenQuanYi Zen Hei"/>
        <family val="2"/>
      </rPr>
      <t xml:space="preserve">指數行情自算</t>
    </r>
  </si>
  <si>
    <r>
      <rPr>
        <sz val="9"/>
        <rFont val="Arial"/>
        <family val="0"/>
        <charset val="1"/>
      </rPr>
      <t xml:space="preserve">EPS </t>
    </r>
    <r>
      <rPr>
        <sz val="9"/>
        <rFont val="WenQuanYi Zen Hei"/>
        <family val="2"/>
      </rPr>
      <t xml:space="preserve">修正廣度</t>
    </r>
  </si>
  <si>
    <t xml:space="preserve">盈利</t>
  </si>
  <si>
    <r>
      <rPr>
        <sz val="9"/>
        <rFont val="Arial"/>
        <family val="0"/>
        <charset val="1"/>
      </rPr>
      <t xml:space="preserve">Breadth = </t>
    </r>
    <r>
      <rPr>
        <sz val="9"/>
        <rFont val="WenQuanYi Zen Hei"/>
        <family val="2"/>
      </rPr>
      <t xml:space="preserve">上調家數</t>
    </r>
    <r>
      <rPr>
        <sz val="9"/>
        <rFont val="Arial"/>
        <family val="0"/>
        <charset val="1"/>
      </rPr>
      <t xml:space="preserve">/(</t>
    </r>
    <r>
      <rPr>
        <sz val="9"/>
        <rFont val="WenQuanYi Zen Hei"/>
        <family val="2"/>
      </rPr>
      <t xml:space="preserve">上調</t>
    </r>
    <r>
      <rPr>
        <sz val="9"/>
        <rFont val="Arial"/>
        <family val="0"/>
        <charset val="1"/>
      </rPr>
      <t xml:space="preserve">+</t>
    </r>
    <r>
      <rPr>
        <sz val="9"/>
        <rFont val="WenQuanYi Zen Hei"/>
        <family val="2"/>
      </rPr>
      <t xml:space="preserve">下調</t>
    </r>
    <r>
      <rPr>
        <sz val="9"/>
        <rFont val="Arial"/>
        <family val="0"/>
        <charset val="1"/>
      </rPr>
      <t xml:space="preserve">) (3</t>
    </r>
    <r>
      <rPr>
        <sz val="9"/>
        <rFont val="WenQuanYi Zen Hei"/>
        <family val="2"/>
      </rPr>
      <t xml:space="preserve">月均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</si>
  <si>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3</t>
    </r>
    <r>
      <rPr>
        <sz val="9"/>
        <rFont val="WenQuanYi Zen Hei"/>
        <family val="2"/>
      </rPr>
      <t xml:space="preserve">月均</t>
    </r>
  </si>
  <si>
    <r>
      <rPr>
        <sz val="9"/>
        <rFont val="Arial"/>
        <family val="0"/>
        <charset val="1"/>
      </rPr>
      <t xml:space="preserve">&gt;55%=</t>
    </r>
    <r>
      <rPr>
        <sz val="9"/>
        <rFont val="WenQuanYi Zen Hei"/>
        <family val="2"/>
      </rPr>
      <t xml:space="preserve">盈利動能佳</t>
    </r>
    <r>
      <rPr>
        <sz val="9"/>
        <rFont val="Arial"/>
        <family val="0"/>
        <charset val="1"/>
      </rPr>
      <t xml:space="preserve">; &lt;45%</t>
    </r>
    <r>
      <rPr>
        <sz val="9"/>
        <rFont val="WenQuanYi Zen Hei"/>
        <family val="2"/>
      </rPr>
      <t xml:space="preserve">下行</t>
    </r>
    <r>
      <rPr>
        <sz val="9"/>
        <rFont val="Arial"/>
        <family val="0"/>
        <charset val="1"/>
      </rPr>
      <t xml:space="preserve">=</t>
    </r>
    <r>
      <rPr>
        <sz val="9"/>
        <rFont val="WenQuanYi Zen Hei"/>
        <family val="2"/>
      </rPr>
      <t xml:space="preserve">盈利衰退前奏</t>
    </r>
  </si>
  <si>
    <t xml:space="preserve">LSEG(Refinitiv)/FactSet Earnings Revisions</t>
  </si>
  <si>
    <r>
      <rPr>
        <sz val="9"/>
        <rFont val="WenQuanYi Zen Hei"/>
        <family val="2"/>
      </rPr>
      <t xml:space="preserve">前瞻</t>
    </r>
    <r>
      <rPr>
        <sz val="9"/>
        <rFont val="Arial"/>
        <family val="0"/>
        <charset val="1"/>
      </rPr>
      <t xml:space="preserve">P/E</t>
    </r>
  </si>
  <si>
    <t xml:space="preserve">估值</t>
  </si>
  <si>
    <r>
      <rPr>
        <sz val="9"/>
        <rFont val="Arial"/>
        <family val="0"/>
        <charset val="1"/>
      </rPr>
      <t xml:space="preserve">FwdPE = P / </t>
    </r>
    <r>
      <rPr>
        <sz val="9"/>
        <rFont val="WenQuanYi Zen Hei"/>
        <family val="2"/>
      </rPr>
      <t xml:space="preserve">未來</t>
    </r>
    <r>
      <rPr>
        <sz val="9"/>
        <rFont val="Arial"/>
        <family val="0"/>
        <charset val="1"/>
      </rPr>
      <t xml:space="preserve">12</t>
    </r>
    <r>
      <rPr>
        <sz val="9"/>
        <rFont val="WenQuanYi Zen Hei"/>
        <family val="2"/>
      </rPr>
      <t xml:space="preserve">月共識</t>
    </r>
    <r>
      <rPr>
        <sz val="9"/>
        <rFont val="Arial"/>
        <family val="0"/>
        <charset val="1"/>
      </rPr>
      <t xml:space="preserve">EPS</t>
    </r>
  </si>
  <si>
    <t xml:space="preserve">NTM</t>
  </si>
  <si>
    <r>
      <rPr>
        <sz val="9"/>
        <rFont val="WenQuanYi Zen Hei"/>
        <family val="2"/>
      </rPr>
      <t xml:space="preserve">相對自身</t>
    </r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年分位判貴賤</t>
    </r>
    <r>
      <rPr>
        <sz val="9"/>
        <rFont val="Arial"/>
        <family val="0"/>
        <charset val="1"/>
      </rPr>
      <t xml:space="preserve">; &gt;90</t>
    </r>
    <r>
      <rPr>
        <sz val="9"/>
        <rFont val="WenQuanYi Zen Hei"/>
        <family val="2"/>
      </rPr>
      <t xml:space="preserve">分位</t>
    </r>
    <r>
      <rPr>
        <sz val="9"/>
        <rFont val="Arial"/>
        <family val="0"/>
        <charset val="1"/>
      </rPr>
      <t xml:space="preserve">+</t>
    </r>
    <r>
      <rPr>
        <sz val="9"/>
        <rFont val="WenQuanYi Zen Hei"/>
        <family val="2"/>
      </rPr>
      <t xml:space="preserve">利率上行</t>
    </r>
    <r>
      <rPr>
        <sz val="9"/>
        <rFont val="Arial"/>
        <family val="0"/>
        <charset val="1"/>
      </rPr>
      <t xml:space="preserve">=</t>
    </r>
    <r>
      <rPr>
        <sz val="9"/>
        <rFont val="WenQuanYi Zen Hei"/>
        <family val="2"/>
      </rPr>
      <t xml:space="preserve">危險</t>
    </r>
  </si>
  <si>
    <r>
      <rPr>
        <sz val="9"/>
        <rFont val="Arial"/>
        <family val="0"/>
        <charset val="1"/>
      </rPr>
      <t xml:space="preserve">FactSet Earnings Insight(</t>
    </r>
    <r>
      <rPr>
        <sz val="9"/>
        <rFont val="WenQuanYi Zen Hei"/>
        <family val="2"/>
      </rPr>
      <t xml:space="preserve">免費週報</t>
    </r>
    <r>
      <rPr>
        <sz val="9"/>
        <rFont val="Arial"/>
        <family val="0"/>
        <charset val="1"/>
      </rPr>
      <t xml:space="preserve">)/LSEG</t>
    </r>
  </si>
  <si>
    <r>
      <rPr>
        <sz val="9"/>
        <rFont val="WenQuanYi Zen Hei"/>
        <family val="2"/>
      </rPr>
      <t xml:space="preserve">股權風險溢價 </t>
    </r>
    <r>
      <rPr>
        <sz val="9"/>
        <rFont val="Arial"/>
        <family val="0"/>
        <charset val="1"/>
      </rPr>
      <t xml:space="preserve">ERP</t>
    </r>
  </si>
  <si>
    <r>
      <rPr>
        <sz val="9"/>
        <rFont val="Arial"/>
        <family val="0"/>
        <charset val="1"/>
      </rPr>
      <t xml:space="preserve">ERP = 1/FwdPE − 10Y</t>
    </r>
    <r>
      <rPr>
        <sz val="9"/>
        <rFont val="WenQuanYi Zen Hei"/>
        <family val="2"/>
      </rPr>
      <t xml:space="preserve">名義殖利率</t>
    </r>
  </si>
  <si>
    <r>
      <rPr>
        <sz val="9"/>
        <rFont val="Arial"/>
        <family val="0"/>
        <charset val="1"/>
      </rPr>
      <t xml:space="preserve">&gt;3%</t>
    </r>
    <r>
      <rPr>
        <sz val="9"/>
        <rFont val="WenQuanYi Zen Hei"/>
        <family val="2"/>
      </rPr>
      <t xml:space="preserve">股票吸引</t>
    </r>
    <r>
      <rPr>
        <sz val="9"/>
        <rFont val="Arial"/>
        <family val="0"/>
        <charset val="1"/>
      </rPr>
      <t xml:space="preserve">; &lt;0</t>
    </r>
    <r>
      <rPr>
        <sz val="9"/>
        <rFont val="WenQuanYi Zen Hei"/>
        <family val="2"/>
      </rPr>
      <t xml:space="preserve">股票貴過債券</t>
    </r>
  </si>
  <si>
    <r>
      <rPr>
        <sz val="9"/>
        <rFont val="WenQuanYi Zen Hei"/>
        <family val="2"/>
      </rPr>
      <t xml:space="preserve">自算</t>
    </r>
    <r>
      <rPr>
        <sz val="9"/>
        <rFont val="Arial"/>
        <family val="0"/>
        <charset val="1"/>
      </rPr>
      <t xml:space="preserve">: FactSet PE + FRED DGS10</t>
    </r>
  </si>
  <si>
    <t xml:space="preserve">Shiller CAPE</t>
  </si>
  <si>
    <r>
      <rPr>
        <sz val="9"/>
        <rFont val="Arial"/>
        <family val="0"/>
        <charset val="1"/>
      </rPr>
      <t xml:space="preserve">CAPE = </t>
    </r>
    <r>
      <rPr>
        <sz val="9"/>
        <rFont val="WenQuanYi Zen Hei"/>
        <family val="2"/>
      </rPr>
      <t xml:space="preserve">實質價格 </t>
    </r>
    <r>
      <rPr>
        <sz val="9"/>
        <rFont val="Arial"/>
        <family val="0"/>
        <charset val="1"/>
      </rPr>
      <t xml:space="preserve">/ </t>
    </r>
    <r>
      <rPr>
        <sz val="9"/>
        <rFont val="WenQuanYi Zen Hei"/>
        <family val="2"/>
      </rPr>
      <t xml:space="preserve">過去</t>
    </r>
    <r>
      <rPr>
        <sz val="9"/>
        <rFont val="Arial"/>
        <family val="0"/>
        <charset val="1"/>
      </rPr>
      <t xml:space="preserve">10</t>
    </r>
    <r>
      <rPr>
        <sz val="9"/>
        <rFont val="WenQuanYi Zen Hei"/>
        <family val="2"/>
      </rPr>
      <t xml:space="preserve">年實質</t>
    </r>
    <r>
      <rPr>
        <sz val="9"/>
        <rFont val="Arial"/>
        <family val="0"/>
        <charset val="1"/>
      </rPr>
      <t xml:space="preserve">EPS</t>
    </r>
    <r>
      <rPr>
        <sz val="9"/>
        <rFont val="WenQuanYi Zen Hei"/>
        <family val="2"/>
      </rPr>
      <t xml:space="preserve">平均</t>
    </r>
  </si>
  <si>
    <r>
      <rPr>
        <sz val="9"/>
        <rFont val="Arial"/>
        <family val="0"/>
        <charset val="1"/>
      </rPr>
      <t xml:space="preserve">10</t>
    </r>
    <r>
      <rPr>
        <sz val="9"/>
        <rFont val="WenQuanYi Zen Hei"/>
        <family val="2"/>
      </rPr>
      <t xml:space="preserve">年</t>
    </r>
  </si>
  <si>
    <r>
      <rPr>
        <sz val="9"/>
        <rFont val="WenQuanYi Zen Hei"/>
        <family val="2"/>
      </rPr>
      <t xml:space="preserve">相對自身</t>
    </r>
    <r>
      <rPr>
        <sz val="9"/>
        <rFont val="Arial"/>
        <family val="0"/>
        <charset val="1"/>
      </rPr>
      <t xml:space="preserve">10</t>
    </r>
    <r>
      <rPr>
        <sz val="9"/>
        <rFont val="WenQuanYi Zen Hei"/>
        <family val="2"/>
      </rPr>
      <t xml:space="preserve">年中位</t>
    </r>
    <r>
      <rPr>
        <sz val="9"/>
        <rFont val="Arial"/>
        <family val="0"/>
        <charset val="1"/>
      </rPr>
      <t xml:space="preserve">; </t>
    </r>
    <r>
      <rPr>
        <sz val="9"/>
        <rFont val="WenQuanYi Zen Hei"/>
        <family val="2"/>
      </rPr>
      <t xml:space="preserve">泡沫帶</t>
    </r>
    <r>
      <rPr>
        <sz val="9"/>
        <rFont val="Arial"/>
        <family val="0"/>
        <charset val="1"/>
      </rPr>
      <t xml:space="preserve">=</t>
    </r>
    <r>
      <rPr>
        <sz val="9"/>
        <rFont val="WenQuanYi Zen Hei"/>
        <family val="2"/>
      </rPr>
      <t xml:space="preserve">未來</t>
    </r>
    <r>
      <rPr>
        <sz val="9"/>
        <rFont val="Arial"/>
        <family val="0"/>
        <charset val="1"/>
      </rPr>
      <t xml:space="preserve">10</t>
    </r>
    <r>
      <rPr>
        <sz val="9"/>
        <rFont val="WenQuanYi Zen Hei"/>
        <family val="2"/>
      </rPr>
      <t xml:space="preserve">年報酬受壓</t>
    </r>
  </si>
  <si>
    <r>
      <rPr>
        <sz val="9"/>
        <rFont val="Arial"/>
        <family val="0"/>
        <charset val="1"/>
      </rPr>
      <t xml:space="preserve">Robert Shiller</t>
    </r>
    <r>
      <rPr>
        <sz val="9"/>
        <rFont val="WenQuanYi Zen Hei"/>
        <family val="2"/>
      </rPr>
      <t xml:space="preserve">數據集 </t>
    </r>
    <r>
      <rPr>
        <sz val="9"/>
        <rFont val="Arial"/>
        <family val="0"/>
        <charset val="1"/>
      </rPr>
      <t xml:space="preserve">(econ.yale.edu/~shiller/data.htm)</t>
    </r>
  </si>
  <si>
    <t xml:space="preserve">股息率與股息增長</t>
  </si>
  <si>
    <r>
      <rPr>
        <sz val="9"/>
        <rFont val="WenQuanYi Zen Hei"/>
        <family val="2"/>
      </rPr>
      <t xml:space="preserve">估值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現金流</t>
    </r>
  </si>
  <si>
    <r>
      <rPr>
        <sz val="9"/>
        <rFont val="Arial"/>
        <family val="0"/>
        <charset val="1"/>
      </rPr>
      <t xml:space="preserve">DY = </t>
    </r>
    <r>
      <rPr>
        <sz val="9"/>
        <rFont val="WenQuanYi Zen Hei"/>
        <family val="2"/>
      </rPr>
      <t xml:space="preserve">過去</t>
    </r>
    <r>
      <rPr>
        <sz val="9"/>
        <rFont val="Arial"/>
        <family val="0"/>
        <charset val="1"/>
      </rPr>
      <t xml:space="preserve">12</t>
    </r>
    <r>
      <rPr>
        <sz val="9"/>
        <rFont val="WenQuanYi Zen Hei"/>
        <family val="2"/>
      </rPr>
      <t xml:space="preserve">月股息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價格</t>
    </r>
    <r>
      <rPr>
        <sz val="9"/>
        <rFont val="Arial"/>
        <family val="0"/>
        <charset val="1"/>
      </rPr>
      <t xml:space="preserve">; DG = </t>
    </r>
    <r>
      <rPr>
        <sz val="9"/>
        <rFont val="WenQuanYi Zen Hei"/>
        <family val="2"/>
      </rPr>
      <t xml:space="preserve">股息</t>
    </r>
    <r>
      <rPr>
        <sz val="9"/>
        <rFont val="Arial"/>
        <family val="0"/>
        <charset val="1"/>
      </rPr>
      <t xml:space="preserve">YoY</t>
    </r>
  </si>
  <si>
    <t xml:space="preserve">TTM</t>
  </si>
  <si>
    <r>
      <rPr>
        <sz val="9"/>
        <rFont val="WenQuanYi Zen Hei"/>
        <family val="2"/>
      </rPr>
      <t xml:space="preserve">股息負增長</t>
    </r>
    <r>
      <rPr>
        <sz val="9"/>
        <rFont val="Arial"/>
        <family val="0"/>
        <charset val="1"/>
      </rPr>
      <t xml:space="preserve">=</t>
    </r>
    <r>
      <rPr>
        <sz val="9"/>
        <rFont val="WenQuanYi Zen Hei"/>
        <family val="2"/>
      </rPr>
      <t xml:space="preserve">現金流壓力訊號</t>
    </r>
  </si>
  <si>
    <r>
      <rPr>
        <sz val="9"/>
        <rFont val="Arial"/>
        <family val="0"/>
        <charset val="1"/>
      </rPr>
      <t xml:space="preserve">S&amp;P DJI</t>
    </r>
    <r>
      <rPr>
        <sz val="9"/>
        <rFont val="WenQuanYi Zen Hei"/>
        <family val="2"/>
      </rPr>
      <t xml:space="preserve">指數股息數據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供應商</t>
    </r>
  </si>
  <si>
    <t xml:space="preserve">巴菲特指標</t>
  </si>
  <si>
    <r>
      <rPr>
        <sz val="9"/>
        <rFont val="Arial"/>
        <family val="0"/>
        <charset val="1"/>
      </rPr>
      <t xml:space="preserve">Ratio = </t>
    </r>
    <r>
      <rPr>
        <sz val="9"/>
        <rFont val="WenQuanYi Zen Hei"/>
        <family val="2"/>
      </rPr>
      <t xml:space="preserve">美股總巿值 </t>
    </r>
    <r>
      <rPr>
        <sz val="9"/>
        <rFont val="Arial"/>
        <family val="0"/>
        <charset val="1"/>
      </rPr>
      <t xml:space="preserve">/ </t>
    </r>
    <r>
      <rPr>
        <sz val="9"/>
        <rFont val="WenQuanYi Zen Hei"/>
        <family val="2"/>
      </rPr>
      <t xml:space="preserve">名義</t>
    </r>
    <r>
      <rPr>
        <sz val="9"/>
        <rFont val="Arial"/>
        <family val="0"/>
        <charset val="1"/>
      </rPr>
      <t xml:space="preserve">GDP; </t>
    </r>
    <r>
      <rPr>
        <sz val="9"/>
        <rFont val="WenQuanYi Zen Hei"/>
        <family val="2"/>
      </rPr>
      <t xml:space="preserve">訊號</t>
    </r>
    <r>
      <rPr>
        <sz val="9"/>
        <rFont val="Arial"/>
        <family val="0"/>
        <charset val="1"/>
      </rPr>
      <t xml:space="preserve">=</t>
    </r>
    <r>
      <rPr>
        <sz val="9"/>
        <rFont val="WenQuanYi Zen Hei"/>
        <family val="2"/>
      </rPr>
      <t xml:space="preserve">相對自身</t>
    </r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年均值偏離</t>
    </r>
  </si>
  <si>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年均</t>
    </r>
  </si>
  <si>
    <r>
      <rPr>
        <sz val="9"/>
        <rFont val="WenQuanYi Zen Hei"/>
        <family val="2"/>
      </rPr>
      <t xml:space="preserve">歷史極端高位</t>
    </r>
    <r>
      <rPr>
        <sz val="9"/>
        <rFont val="Arial"/>
        <family val="0"/>
        <charset val="1"/>
      </rPr>
      <t xml:space="preserve">=</t>
    </r>
    <r>
      <rPr>
        <sz val="9"/>
        <rFont val="WenQuanYi Zen Hei"/>
        <family val="2"/>
      </rPr>
      <t xml:space="preserve">長週期報酬受壓</t>
    </r>
  </si>
  <si>
    <r>
      <rPr>
        <sz val="9"/>
        <rFont val="Arial"/>
        <family val="0"/>
        <charset val="1"/>
      </rPr>
      <t xml:space="preserve">FRED: </t>
    </r>
    <r>
      <rPr>
        <sz val="9"/>
        <rFont val="WenQuanYi Zen Hei"/>
        <family val="2"/>
      </rPr>
      <t xml:space="preserve">自算</t>
    </r>
    <r>
      <rPr>
        <sz val="9"/>
        <rFont val="Arial"/>
        <family val="0"/>
        <charset val="1"/>
      </rPr>
      <t xml:space="preserve">(Wilshire 5000×</t>
    </r>
    <r>
      <rPr>
        <sz val="9"/>
        <rFont val="WenQuanYi Zen Hei"/>
        <family val="2"/>
      </rPr>
      <t xml:space="preserve">係數 </t>
    </r>
    <r>
      <rPr>
        <sz val="9"/>
        <rFont val="Arial"/>
        <family val="0"/>
        <charset val="1"/>
      </rPr>
      <t xml:space="preserve">/ GDP)</t>
    </r>
  </si>
  <si>
    <r>
      <rPr>
        <sz val="9"/>
        <rFont val="WenQuanYi Zen Hei"/>
        <family val="2"/>
      </rPr>
      <t xml:space="preserve">滾動 </t>
    </r>
    <r>
      <rPr>
        <sz val="9"/>
        <rFont val="Arial"/>
        <family val="0"/>
        <charset val="1"/>
      </rPr>
      <t xml:space="preserve">Beta</t>
    </r>
  </si>
  <si>
    <t xml:space="preserve">風險</t>
  </si>
  <si>
    <r>
      <rPr>
        <sz val="9"/>
        <rFont val="Arial"/>
        <family val="0"/>
        <charset val="1"/>
      </rPr>
      <t xml:space="preserve">β = Cov(r_i, r_m)/Var(r_m), </t>
    </r>
    <r>
      <rPr>
        <sz val="9"/>
        <rFont val="WenQuanYi Zen Hei"/>
        <family val="2"/>
      </rPr>
      <t xml:space="preserve">滾動</t>
    </r>
    <r>
      <rPr>
        <sz val="9"/>
        <rFont val="Arial"/>
        <family val="0"/>
        <charset val="1"/>
      </rPr>
      <t xml:space="preserve">252</t>
    </r>
    <r>
      <rPr>
        <sz val="9"/>
        <rFont val="WenQuanYi Zen Hei"/>
        <family val="2"/>
      </rPr>
      <t xml:space="preserve">日</t>
    </r>
  </si>
  <si>
    <t xml:space="preserve">組合巿場暴露監控與對沖比率</t>
  </si>
  <si>
    <t xml:space="preserve">行情報酬序列自算</t>
  </si>
  <si>
    <r>
      <rPr>
        <sz val="9"/>
        <rFont val="WenQuanYi Zen Hei"/>
        <family val="2"/>
      </rPr>
      <t xml:space="preserve">買賣價差 </t>
    </r>
    <r>
      <rPr>
        <sz val="9"/>
        <rFont val="Arial"/>
        <family val="0"/>
        <charset val="1"/>
      </rPr>
      <t xml:space="preserve">Bid-Ask Spread</t>
    </r>
  </si>
  <si>
    <t xml:space="preserve">微結構</t>
  </si>
  <si>
    <t xml:space="preserve">五</t>
  </si>
  <si>
    <r>
      <rPr>
        <sz val="9"/>
        <rFont val="Arial"/>
        <family val="0"/>
        <charset val="1"/>
      </rPr>
      <t xml:space="preserve">Spread% = (Ask − Bid)/</t>
    </r>
    <r>
      <rPr>
        <sz val="9"/>
        <rFont val="WenQuanYi Zen Hei"/>
        <family val="2"/>
      </rPr>
      <t xml:space="preserve">中間價</t>
    </r>
  </si>
  <si>
    <r>
      <rPr>
        <sz val="9"/>
        <rFont val="Arial"/>
        <family val="0"/>
        <charset val="1"/>
      </rPr>
      <t xml:space="preserve">L1</t>
    </r>
    <r>
      <rPr>
        <sz val="9"/>
        <rFont val="WenQuanYi Zen Hei"/>
        <family val="2"/>
      </rPr>
      <t xml:space="preserve">報價</t>
    </r>
  </si>
  <si>
    <r>
      <rPr>
        <sz val="9"/>
        <rFont val="WenQuanYi Zen Hei"/>
        <family val="2"/>
      </rPr>
      <t xml:space="preserve">價差急闊</t>
    </r>
    <r>
      <rPr>
        <sz val="9"/>
        <rFont val="Arial"/>
        <family val="0"/>
        <charset val="1"/>
      </rPr>
      <t xml:space="preserve">=</t>
    </r>
    <r>
      <rPr>
        <sz val="9"/>
        <rFont val="WenQuanYi Zen Hei"/>
        <family val="2"/>
      </rPr>
      <t xml:space="preserve">流動性抽走預警</t>
    </r>
  </si>
  <si>
    <r>
      <rPr>
        <sz val="9"/>
        <rFont val="WenQuanYi Zen Hei"/>
        <family val="2"/>
      </rPr>
      <t xml:space="preserve">交易所</t>
    </r>
    <r>
      <rPr>
        <sz val="9"/>
        <rFont val="Arial"/>
        <family val="0"/>
        <charset val="1"/>
      </rPr>
      <t xml:space="preserve">L1</t>
    </r>
    <r>
      <rPr>
        <sz val="9"/>
        <rFont val="WenQuanYi Zen Hei"/>
        <family val="2"/>
      </rPr>
      <t xml:space="preserve">報價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券商</t>
    </r>
    <r>
      <rPr>
        <sz val="9"/>
        <rFont val="Arial"/>
        <family val="0"/>
        <charset val="1"/>
      </rPr>
      <t xml:space="preserve">API/TAQ</t>
    </r>
    <r>
      <rPr>
        <sz val="9"/>
        <rFont val="WenQuanYi Zen Hei"/>
        <family val="2"/>
      </rPr>
      <t xml:space="preserve">數據</t>
    </r>
    <r>
      <rPr>
        <sz val="9"/>
        <rFont val="Arial"/>
        <family val="0"/>
        <charset val="1"/>
      </rPr>
      <t xml:space="preserve">)</t>
    </r>
  </si>
  <si>
    <t xml:space="preserve">tick</t>
  </si>
  <si>
    <r>
      <rPr>
        <sz val="9"/>
        <rFont val="WenQuanYi Zen Hei"/>
        <family val="2"/>
      </rPr>
      <t xml:space="preserve">訂單簿失衡 </t>
    </r>
    <r>
      <rPr>
        <sz val="9"/>
        <rFont val="Arial"/>
        <family val="0"/>
        <charset val="1"/>
      </rPr>
      <t xml:space="preserve">OBI</t>
    </r>
  </si>
  <si>
    <r>
      <rPr>
        <sz val="9"/>
        <rFont val="Arial"/>
        <family val="0"/>
        <charset val="1"/>
      </rPr>
      <t xml:space="preserve">OBI = (ΣBidVol − ΣAskVol)/(ΣBidVol + ΣAskVol), </t>
    </r>
    <r>
      <rPr>
        <sz val="9"/>
        <rFont val="WenQuanYi Zen Hei"/>
        <family val="2"/>
      </rPr>
      <t xml:space="preserve">前</t>
    </r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檔</t>
    </r>
  </si>
  <si>
    <r>
      <rPr>
        <sz val="9"/>
        <rFont val="Arial"/>
        <family val="0"/>
        <charset val="1"/>
      </rPr>
      <t xml:space="preserve">L2</t>
    </r>
    <r>
      <rPr>
        <sz val="9"/>
        <rFont val="WenQuanYi Zen Hei"/>
        <family val="2"/>
      </rPr>
      <t xml:space="preserve">前</t>
    </r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檔</t>
    </r>
  </si>
  <si>
    <r>
      <rPr>
        <sz val="9"/>
        <rFont val="Arial"/>
        <family val="0"/>
        <charset val="1"/>
      </rPr>
      <t xml:space="preserve">&gt;0.3</t>
    </r>
    <r>
      <rPr>
        <sz val="9"/>
        <rFont val="WenQuanYi Zen Hei"/>
        <family val="2"/>
      </rPr>
      <t xml:space="preserve">短線偏多</t>
    </r>
    <r>
      <rPr>
        <sz val="9"/>
        <rFont val="Arial"/>
        <family val="0"/>
        <charset val="1"/>
      </rPr>
      <t xml:space="preserve">; </t>
    </r>
    <r>
      <rPr>
        <sz val="9"/>
        <rFont val="WenQuanYi Zen Hei"/>
        <family val="2"/>
      </rPr>
      <t xml:space="preserve">高頻方向預測因子</t>
    </r>
  </si>
  <si>
    <r>
      <rPr>
        <sz val="9"/>
        <rFont val="WenQuanYi Zen Hei"/>
        <family val="2"/>
      </rPr>
      <t xml:space="preserve">交易所</t>
    </r>
    <r>
      <rPr>
        <sz val="9"/>
        <rFont val="Arial"/>
        <family val="0"/>
        <charset val="1"/>
      </rPr>
      <t xml:space="preserve">L2</t>
    </r>
    <r>
      <rPr>
        <sz val="9"/>
        <rFont val="WenQuanYi Zen Hei"/>
        <family val="2"/>
      </rPr>
      <t xml:space="preserve">訂單簿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券商</t>
    </r>
    <r>
      <rPr>
        <sz val="9"/>
        <rFont val="Arial"/>
        <family val="0"/>
        <charset val="1"/>
      </rPr>
      <t xml:space="preserve">API)</t>
    </r>
  </si>
  <si>
    <r>
      <rPr>
        <sz val="9"/>
        <rFont val="WenQuanYi Zen Hei"/>
        <family val="2"/>
      </rPr>
      <t xml:space="preserve">訂單流 </t>
    </r>
    <r>
      <rPr>
        <sz val="9"/>
        <rFont val="Arial"/>
        <family val="0"/>
        <charset val="1"/>
      </rPr>
      <t xml:space="preserve">Delta / CVD</t>
    </r>
  </si>
  <si>
    <r>
      <rPr>
        <sz val="9"/>
        <rFont val="Arial"/>
        <family val="0"/>
        <charset val="1"/>
      </rPr>
      <t xml:space="preserve">Delta = </t>
    </r>
    <r>
      <rPr>
        <sz val="9"/>
        <rFont val="WenQuanYi Zen Hei"/>
        <family val="2"/>
      </rPr>
      <t xml:space="preserve">主動買量 − 主動賣量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按成交發生於買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賣價判定</t>
    </r>
    <r>
      <rPr>
        <sz val="9"/>
        <rFont val="Arial"/>
        <family val="0"/>
        <charset val="1"/>
      </rPr>
      <t xml:space="preserve">); CVD = </t>
    </r>
    <r>
      <rPr>
        <sz val="9"/>
        <rFont val="WenQuanYi Zen Hei"/>
        <family val="2"/>
      </rPr>
      <t xml:space="preserve">累計</t>
    </r>
    <r>
      <rPr>
        <sz val="9"/>
        <rFont val="Arial"/>
        <family val="0"/>
        <charset val="1"/>
      </rPr>
      <t xml:space="preserve">Delta</t>
    </r>
  </si>
  <si>
    <t xml:space="preserve">逐筆</t>
  </si>
  <si>
    <r>
      <rPr>
        <sz val="9"/>
        <rFont val="Arial"/>
        <family val="0"/>
        <charset val="1"/>
      </rPr>
      <t xml:space="preserve">CVD</t>
    </r>
    <r>
      <rPr>
        <sz val="9"/>
        <rFont val="WenQuanYi Zen Hei"/>
        <family val="2"/>
      </rPr>
      <t xml:space="preserve">與價背離</t>
    </r>
    <r>
      <rPr>
        <sz val="9"/>
        <rFont val="Arial"/>
        <family val="0"/>
        <charset val="1"/>
      </rPr>
      <t xml:space="preserve">=</t>
    </r>
    <r>
      <rPr>
        <sz val="9"/>
        <rFont val="WenQuanYi Zen Hei"/>
        <family val="2"/>
      </rPr>
      <t xml:space="preserve">吸收</t>
    </r>
    <r>
      <rPr>
        <sz val="9"/>
        <rFont val="Arial"/>
        <family val="0"/>
        <charset val="1"/>
      </rPr>
      <t xml:space="preserve">; </t>
    </r>
    <r>
      <rPr>
        <sz val="9"/>
        <rFont val="WenQuanYi Zen Hei"/>
        <family val="2"/>
      </rPr>
      <t xml:space="preserve">突破配合</t>
    </r>
    <r>
      <rPr>
        <sz val="9"/>
        <rFont val="Arial"/>
        <family val="0"/>
        <charset val="1"/>
      </rPr>
      <t xml:space="preserve">Delta</t>
    </r>
    <r>
      <rPr>
        <sz val="9"/>
        <rFont val="WenQuanYi Zen Hei"/>
        <family val="2"/>
      </rPr>
      <t xml:space="preserve">確認</t>
    </r>
  </si>
  <si>
    <r>
      <rPr>
        <sz val="9"/>
        <rFont val="WenQuanYi Zen Hei"/>
        <family val="2"/>
      </rPr>
      <t xml:space="preserve">交易所逐筆成交</t>
    </r>
    <r>
      <rPr>
        <sz val="9"/>
        <rFont val="Arial"/>
        <family val="0"/>
        <charset val="1"/>
      </rPr>
      <t xml:space="preserve">(tick data)</t>
    </r>
  </si>
  <si>
    <r>
      <rPr>
        <sz val="9"/>
        <rFont val="WenQuanYi Zen Hei"/>
        <family val="2"/>
      </rPr>
      <t xml:space="preserve">大單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區塊交易追蹤</t>
    </r>
  </si>
  <si>
    <r>
      <rPr>
        <sz val="9"/>
        <rFont val="WenQuanYi Zen Hei"/>
        <family val="2"/>
      </rPr>
      <t xml:space="preserve">微結構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籌碼</t>
    </r>
  </si>
  <si>
    <r>
      <rPr>
        <sz val="9"/>
        <rFont val="WenQuanYi Zen Hei"/>
        <family val="2"/>
      </rPr>
      <t xml:space="preserve">篩選單筆成交額 </t>
    </r>
    <r>
      <rPr>
        <sz val="9"/>
        <rFont val="Arial"/>
        <family val="0"/>
        <charset val="1"/>
      </rPr>
      <t xml:space="preserve">&gt; </t>
    </r>
    <r>
      <rPr>
        <sz val="9"/>
        <rFont val="WenQuanYi Zen Hei"/>
        <family val="2"/>
      </rPr>
      <t xml:space="preserve">閾值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如</t>
    </r>
    <r>
      <rPr>
        <sz val="9"/>
        <rFont val="Arial"/>
        <family val="0"/>
        <charset val="1"/>
      </rPr>
      <t xml:space="preserve">$1M)</t>
    </r>
    <r>
      <rPr>
        <sz val="9"/>
        <rFont val="WenQuanYi Zen Hei"/>
        <family val="2"/>
      </rPr>
      <t xml:space="preserve">之淨方向</t>
    </r>
  </si>
  <si>
    <t xml:space="preserve">自定閾值</t>
  </si>
  <si>
    <r>
      <rPr>
        <sz val="9"/>
        <rFont val="WenQuanYi Zen Hei"/>
        <family val="2"/>
      </rPr>
      <t xml:space="preserve">機構足跡</t>
    </r>
    <r>
      <rPr>
        <sz val="9"/>
        <rFont val="Arial"/>
        <family val="0"/>
        <charset val="1"/>
      </rPr>
      <t xml:space="preserve">; </t>
    </r>
    <r>
      <rPr>
        <sz val="9"/>
        <rFont val="WenQuanYi Zen Hei"/>
        <family val="2"/>
      </rPr>
      <t xml:space="preserve">暗池印花追蹤</t>
    </r>
  </si>
  <si>
    <r>
      <rPr>
        <sz val="9"/>
        <rFont val="Arial"/>
        <family val="0"/>
        <charset val="1"/>
      </rPr>
      <t xml:space="preserve">TAQ/</t>
    </r>
    <r>
      <rPr>
        <sz val="9"/>
        <rFont val="WenQuanYi Zen Hei"/>
        <family val="2"/>
      </rPr>
      <t xml:space="preserve">交易所</t>
    </r>
    <r>
      <rPr>
        <sz val="9"/>
        <rFont val="Arial"/>
        <family val="0"/>
        <charset val="1"/>
      </rPr>
      <t xml:space="preserve">tick, FINRA</t>
    </r>
    <r>
      <rPr>
        <sz val="9"/>
        <rFont val="WenQuanYi Zen Hei"/>
        <family val="2"/>
      </rPr>
      <t xml:space="preserve">暗池週報</t>
    </r>
    <r>
      <rPr>
        <sz val="9"/>
        <rFont val="Arial"/>
        <family val="0"/>
        <charset val="1"/>
      </rPr>
      <t xml:space="preserve">(ATS)</t>
    </r>
  </si>
  <si>
    <r>
      <rPr>
        <sz val="9"/>
        <rFont val="WenQuanYi Zen Hei"/>
        <family val="2"/>
      </rPr>
      <t xml:space="preserve">伽瑪暴露 </t>
    </r>
    <r>
      <rPr>
        <sz val="9"/>
        <rFont val="Arial"/>
        <family val="0"/>
        <charset val="1"/>
      </rPr>
      <t xml:space="preserve">GEX</t>
    </r>
  </si>
  <si>
    <t xml:space="preserve">期權結構</t>
  </si>
  <si>
    <r>
      <rPr>
        <sz val="9"/>
        <rFont val="Arial"/>
        <family val="0"/>
        <charset val="1"/>
      </rPr>
      <t xml:space="preserve">GEX = Σ(Γ_i × OI_i × 100 × S²) × </t>
    </r>
    <r>
      <rPr>
        <sz val="9"/>
        <rFont val="WenQuanYi Zen Hei"/>
        <family val="2"/>
      </rPr>
      <t xml:space="preserve">做巿商方向假設</t>
    </r>
    <r>
      <rPr>
        <sz val="9"/>
        <rFont val="Arial"/>
        <family val="0"/>
        <charset val="1"/>
      </rPr>
      <t xml:space="preserve">(Call+/Put−)</t>
    </r>
  </si>
  <si>
    <t xml:space="preserve">全期權鏈</t>
  </si>
  <si>
    <r>
      <rPr>
        <sz val="9"/>
        <rFont val="WenQuanYi Zen Hei"/>
        <family val="2"/>
      </rPr>
      <t xml:space="preserve">正伽瑪</t>
    </r>
    <r>
      <rPr>
        <sz val="9"/>
        <rFont val="Arial"/>
        <family val="0"/>
        <charset val="1"/>
      </rPr>
      <t xml:space="preserve">=</t>
    </r>
    <r>
      <rPr>
        <sz val="9"/>
        <rFont val="WenQuanYi Zen Hei"/>
        <family val="2"/>
      </rPr>
      <t xml:space="preserve">波動被壓</t>
    </r>
    <r>
      <rPr>
        <sz val="9"/>
        <rFont val="Arial"/>
        <family val="0"/>
        <charset val="1"/>
      </rPr>
      <t xml:space="preserve">; </t>
    </r>
    <r>
      <rPr>
        <sz val="9"/>
        <rFont val="WenQuanYi Zen Hei"/>
        <family val="2"/>
      </rPr>
      <t xml:space="preserve">深負伽瑪</t>
    </r>
    <r>
      <rPr>
        <sz val="9"/>
        <rFont val="Arial"/>
        <family val="0"/>
        <charset val="1"/>
      </rPr>
      <t xml:space="preserve">=</t>
    </r>
    <r>
      <rPr>
        <sz val="9"/>
        <rFont val="WenQuanYi Zen Hei"/>
        <family val="2"/>
      </rPr>
      <t xml:space="preserve">追漲殺跌放大</t>
    </r>
  </si>
  <si>
    <r>
      <rPr>
        <sz val="9"/>
        <rFont val="WenQuanYi Zen Hei"/>
        <family val="2"/>
      </rPr>
      <t xml:space="preserve">期權鏈</t>
    </r>
    <r>
      <rPr>
        <sz val="9"/>
        <rFont val="Arial"/>
        <family val="0"/>
        <charset val="1"/>
      </rPr>
      <t xml:space="preserve">OI+Greeks(CBOE/ORATS/SqueezeMetrics)</t>
    </r>
  </si>
  <si>
    <r>
      <rPr>
        <sz val="9"/>
        <rFont val="WenQuanYi Zen Hei"/>
        <family val="2"/>
      </rPr>
      <t xml:space="preserve">期權未平倉 </t>
    </r>
    <r>
      <rPr>
        <sz val="9"/>
        <rFont val="Arial"/>
        <family val="0"/>
        <charset val="1"/>
      </rPr>
      <t xml:space="preserve">OI </t>
    </r>
    <r>
      <rPr>
        <sz val="9"/>
        <rFont val="WenQuanYi Zen Hei"/>
        <family val="2"/>
      </rPr>
      <t xml:space="preserve">與 </t>
    </r>
    <r>
      <rPr>
        <sz val="9"/>
        <rFont val="Arial"/>
        <family val="0"/>
        <charset val="1"/>
      </rPr>
      <t xml:space="preserve">Max Pain</t>
    </r>
  </si>
  <si>
    <r>
      <rPr>
        <sz val="9"/>
        <rFont val="Arial"/>
        <family val="0"/>
        <charset val="1"/>
      </rPr>
      <t xml:space="preserve">MaxPain = argmin_K Σ(</t>
    </r>
    <r>
      <rPr>
        <sz val="9"/>
        <rFont val="WenQuanYi Zen Hei"/>
        <family val="2"/>
      </rPr>
      <t xml:space="preserve">期權買方到期內在值</t>
    </r>
    <r>
      <rPr>
        <sz val="9"/>
        <rFont val="Arial"/>
        <family val="0"/>
        <charset val="1"/>
      </rPr>
      <t xml:space="preserve">)</t>
    </r>
  </si>
  <si>
    <t xml:space="preserve">到期鏈</t>
  </si>
  <si>
    <r>
      <rPr>
        <sz val="9"/>
        <rFont val="WenQuanYi Zen Hei"/>
        <family val="2"/>
      </rPr>
      <t xml:space="preserve">到期日價格磁吸參考</t>
    </r>
    <r>
      <rPr>
        <sz val="9"/>
        <rFont val="Arial"/>
        <family val="0"/>
        <charset val="1"/>
      </rPr>
      <t xml:space="preserve">; OI</t>
    </r>
    <r>
      <rPr>
        <sz val="9"/>
        <rFont val="WenQuanYi Zen Hei"/>
        <family val="2"/>
      </rPr>
      <t xml:space="preserve">牆</t>
    </r>
    <r>
      <rPr>
        <sz val="9"/>
        <rFont val="Arial"/>
        <family val="0"/>
        <charset val="1"/>
      </rPr>
      <t xml:space="preserve">=</t>
    </r>
    <r>
      <rPr>
        <sz val="9"/>
        <rFont val="WenQuanYi Zen Hei"/>
        <family val="2"/>
      </rPr>
      <t xml:space="preserve">支撐阻力</t>
    </r>
  </si>
  <si>
    <r>
      <rPr>
        <sz val="9"/>
        <rFont val="WenQuanYi Zen Hei"/>
        <family val="2"/>
      </rPr>
      <t xml:space="preserve">期權鏈數據</t>
    </r>
    <r>
      <rPr>
        <sz val="9"/>
        <rFont val="Arial"/>
        <family val="0"/>
        <charset val="1"/>
      </rPr>
      <t xml:space="preserve">(CBOE/</t>
    </r>
    <r>
      <rPr>
        <sz val="9"/>
        <rFont val="WenQuanYi Zen Hei"/>
        <family val="2"/>
      </rPr>
      <t xml:space="preserve">券商</t>
    </r>
    <r>
      <rPr>
        <sz val="9"/>
        <rFont val="Arial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</si>
  <si>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期現基差 </t>
    </r>
    <r>
      <rPr>
        <sz val="9"/>
        <rFont val="Arial"/>
        <family val="0"/>
        <charset val="1"/>
      </rPr>
      <t xml:space="preserve">Basis</t>
    </r>
  </si>
  <si>
    <t xml:space="preserve">衍生品</t>
  </si>
  <si>
    <r>
      <rPr>
        <sz val="9"/>
        <rFont val="Arial"/>
        <family val="0"/>
        <charset val="1"/>
      </rPr>
      <t xml:space="preserve">Basis% = (F − S)/S × (365/</t>
    </r>
    <r>
      <rPr>
        <sz val="9"/>
        <rFont val="WenQuanYi Zen Hei"/>
        <family val="2"/>
      </rPr>
      <t xml:space="preserve">到期天數</t>
    </r>
    <r>
      <rPr>
        <sz val="9"/>
        <rFont val="Arial"/>
        <family val="0"/>
        <charset val="1"/>
      </rPr>
      <t xml:space="preserve">)</t>
    </r>
  </si>
  <si>
    <t xml:space="preserve">近月合約</t>
  </si>
  <si>
    <r>
      <rPr>
        <sz val="9"/>
        <rFont val="WenQuanYi Zen Hei"/>
        <family val="2"/>
      </rPr>
      <t xml:space="preserve">基差極端</t>
    </r>
    <r>
      <rPr>
        <sz val="9"/>
        <rFont val="Arial"/>
        <family val="0"/>
        <charset val="1"/>
      </rPr>
      <t xml:space="preserve">=</t>
    </r>
    <r>
      <rPr>
        <sz val="9"/>
        <rFont val="WenQuanYi Zen Hei"/>
        <family val="2"/>
      </rPr>
      <t xml:space="preserve">情緒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資金成本極端</t>
    </r>
  </si>
  <si>
    <r>
      <rPr>
        <sz val="9"/>
        <rFont val="WenQuanYi Zen Hei"/>
        <family val="2"/>
      </rPr>
      <t xml:space="preserve">期貨</t>
    </r>
    <r>
      <rPr>
        <sz val="9"/>
        <rFont val="Arial"/>
        <family val="0"/>
        <charset val="1"/>
      </rPr>
      <t xml:space="preserve">+</t>
    </r>
    <r>
      <rPr>
        <sz val="9"/>
        <rFont val="WenQuanYi Zen Hei"/>
        <family val="2"/>
      </rPr>
      <t xml:space="preserve">現貨行情</t>
    </r>
    <r>
      <rPr>
        <sz val="9"/>
        <rFont val="Arial"/>
        <family val="0"/>
        <charset val="1"/>
      </rPr>
      <t xml:space="preserve">(CME</t>
    </r>
    <r>
      <rPr>
        <sz val="9"/>
        <rFont val="WenQuanYi Zen Hei"/>
        <family val="2"/>
      </rPr>
      <t xml:space="preserve">等</t>
    </r>
    <r>
      <rPr>
        <sz val="9"/>
        <rFont val="Arial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</si>
  <si>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資金費率 </t>
    </r>
    <r>
      <rPr>
        <sz val="9"/>
        <rFont val="Arial"/>
        <family val="0"/>
        <charset val="1"/>
      </rPr>
      <t xml:space="preserve">Funding Rate</t>
    </r>
  </si>
  <si>
    <r>
      <rPr>
        <sz val="9"/>
        <rFont val="WenQuanYi Zen Hei"/>
        <family val="2"/>
      </rPr>
      <t xml:space="preserve">衍生品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加密</t>
    </r>
  </si>
  <si>
    <r>
      <rPr>
        <sz val="9"/>
        <rFont val="WenQuanYi Zen Hei"/>
        <family val="2"/>
      </rPr>
      <t xml:space="preserve">每</t>
    </r>
    <r>
      <rPr>
        <sz val="9"/>
        <rFont val="Arial"/>
        <family val="0"/>
        <charset val="1"/>
      </rPr>
      <t xml:space="preserve">8</t>
    </r>
    <r>
      <rPr>
        <sz val="9"/>
        <rFont val="WenQuanYi Zen Hei"/>
        <family val="2"/>
      </rPr>
      <t xml:space="preserve">小時費率 </t>
    </r>
    <r>
      <rPr>
        <sz val="9"/>
        <rFont val="Arial"/>
        <family val="0"/>
        <charset val="1"/>
      </rPr>
      <t xml:space="preserve">= clamp(</t>
    </r>
    <r>
      <rPr>
        <sz val="9"/>
        <rFont val="WenQuanYi Zen Hei"/>
        <family val="2"/>
      </rPr>
      <t xml:space="preserve">溢價指數</t>
    </r>
    <r>
      <rPr>
        <sz val="9"/>
        <rFont val="Arial"/>
        <family val="0"/>
        <charset val="1"/>
      </rPr>
      <t xml:space="preserve">, ±</t>
    </r>
    <r>
      <rPr>
        <sz val="9"/>
        <rFont val="WenQuanYi Zen Hei"/>
        <family val="2"/>
      </rPr>
      <t xml:space="preserve">上限</t>
    </r>
    <r>
      <rPr>
        <sz val="9"/>
        <rFont val="Arial"/>
        <family val="0"/>
        <charset val="1"/>
      </rPr>
      <t xml:space="preserve">); </t>
    </r>
    <r>
      <rPr>
        <sz val="9"/>
        <rFont val="WenQuanYi Zen Hei"/>
        <family val="2"/>
      </rPr>
      <t xml:space="preserve">年化≈費率</t>
    </r>
    <r>
      <rPr>
        <sz val="9"/>
        <rFont val="Arial"/>
        <family val="0"/>
        <charset val="1"/>
      </rPr>
      <t xml:space="preserve">×3×365</t>
    </r>
  </si>
  <si>
    <t xml:space="preserve">永續合約</t>
  </si>
  <si>
    <r>
      <rPr>
        <sz val="9"/>
        <rFont val="WenQuanYi Zen Hei"/>
        <family val="2"/>
      </rPr>
      <t xml:space="preserve">極高正費率</t>
    </r>
    <r>
      <rPr>
        <sz val="9"/>
        <rFont val="Arial"/>
        <family val="0"/>
        <charset val="1"/>
      </rPr>
      <t xml:space="preserve">=</t>
    </r>
    <r>
      <rPr>
        <sz val="9"/>
        <rFont val="WenQuanYi Zen Hei"/>
        <family val="2"/>
      </rPr>
      <t xml:space="preserve">多頭擁擠反向訊號</t>
    </r>
  </si>
  <si>
    <r>
      <rPr>
        <sz val="9"/>
        <rFont val="WenQuanYi Zen Hei"/>
        <family val="2"/>
      </rPr>
      <t xml:space="preserve">交易所</t>
    </r>
    <r>
      <rPr>
        <sz val="9"/>
        <rFont val="Arial"/>
        <family val="0"/>
        <charset val="1"/>
      </rPr>
      <t xml:space="preserve">API(Binance/OKX/Bybit)</t>
    </r>
  </si>
  <si>
    <r>
      <rPr>
        <sz val="9"/>
        <rFont val="Arial"/>
        <family val="0"/>
        <charset val="1"/>
      </rPr>
      <t xml:space="preserve">8</t>
    </r>
    <r>
      <rPr>
        <sz val="9"/>
        <rFont val="WenQuanYi Zen Hei"/>
        <family val="2"/>
      </rPr>
      <t xml:space="preserve">小時</t>
    </r>
  </si>
  <si>
    <r>
      <rPr>
        <sz val="9"/>
        <rFont val="WenQuanYi Zen Hei"/>
        <family val="2"/>
      </rPr>
      <t xml:space="preserve">期限結構 </t>
    </r>
    <r>
      <rPr>
        <sz val="9"/>
        <rFont val="Arial"/>
        <family val="0"/>
        <charset val="1"/>
      </rPr>
      <t xml:space="preserve">Contango/Backwardation</t>
    </r>
  </si>
  <si>
    <r>
      <rPr>
        <sz val="9"/>
        <rFont val="WenQuanYi Zen Hei"/>
        <family val="2"/>
      </rPr>
      <t xml:space="preserve">衍生品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商品</t>
    </r>
  </si>
  <si>
    <r>
      <rPr>
        <sz val="9"/>
        <rFont val="Arial"/>
        <family val="0"/>
        <charset val="1"/>
      </rPr>
      <t xml:space="preserve">Slope = (F2 − F1)/F1 (</t>
    </r>
    <r>
      <rPr>
        <sz val="9"/>
        <rFont val="WenQuanYi Zen Hei"/>
        <family val="2"/>
      </rPr>
      <t xml:space="preserve">次月−近月</t>
    </r>
    <r>
      <rPr>
        <sz val="9"/>
        <rFont val="Arial"/>
        <family val="0"/>
        <charset val="1"/>
      </rPr>
      <t xml:space="preserve">)</t>
    </r>
  </si>
  <si>
    <t xml:space="preserve">近兩月合約</t>
  </si>
  <si>
    <r>
      <rPr>
        <sz val="9"/>
        <rFont val="Arial"/>
        <family val="0"/>
        <charset val="1"/>
      </rPr>
      <t xml:space="preserve">Backwardation=</t>
    </r>
    <r>
      <rPr>
        <sz val="9"/>
        <rFont val="WenQuanYi Zen Hei"/>
        <family val="2"/>
      </rPr>
      <t xml:space="preserve">現貨緊張</t>
    </r>
    <r>
      <rPr>
        <sz val="9"/>
        <rFont val="Arial"/>
        <family val="0"/>
        <charset val="1"/>
      </rPr>
      <t xml:space="preserve">; </t>
    </r>
    <r>
      <rPr>
        <sz val="9"/>
        <rFont val="WenQuanYi Zen Hei"/>
        <family val="2"/>
      </rPr>
      <t xml:space="preserve">展期收益方向</t>
    </r>
  </si>
  <si>
    <r>
      <rPr>
        <sz val="9"/>
        <rFont val="WenQuanYi Zen Hei"/>
        <family val="2"/>
      </rPr>
      <t xml:space="preserve">期貨鏈行情</t>
    </r>
    <r>
      <rPr>
        <sz val="9"/>
        <rFont val="Arial"/>
        <family val="0"/>
        <charset val="1"/>
      </rPr>
      <t xml:space="preserve">(CME/ICE)</t>
    </r>
  </si>
  <si>
    <r>
      <rPr>
        <sz val="9"/>
        <rFont val="WenQuanYi Zen Hei"/>
        <family val="2"/>
      </rPr>
      <t xml:space="preserve">融券餘額 </t>
    </r>
    <r>
      <rPr>
        <sz val="9"/>
        <rFont val="Arial"/>
        <family val="0"/>
        <charset val="1"/>
      </rPr>
      <t xml:space="preserve">Short Interest</t>
    </r>
  </si>
  <si>
    <t xml:space="preserve">籌碼</t>
  </si>
  <si>
    <r>
      <rPr>
        <sz val="9"/>
        <rFont val="Arial"/>
        <family val="0"/>
        <charset val="1"/>
      </rPr>
      <t xml:space="preserve">SI% = </t>
    </r>
    <r>
      <rPr>
        <sz val="9"/>
        <rFont val="WenQuanYi Zen Hei"/>
        <family val="2"/>
      </rPr>
      <t xml:space="preserve">融券股數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流通股本</t>
    </r>
    <r>
      <rPr>
        <sz val="9"/>
        <rFont val="Arial"/>
        <family val="0"/>
        <charset val="1"/>
      </rPr>
      <t xml:space="preserve">; DTC = </t>
    </r>
    <r>
      <rPr>
        <sz val="9"/>
        <rFont val="WenQuanYi Zen Hei"/>
        <family val="2"/>
      </rPr>
      <t xml:space="preserve">融券股數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日均量</t>
    </r>
  </si>
  <si>
    <t xml:space="preserve">雙週數據</t>
  </si>
  <si>
    <r>
      <rPr>
        <sz val="9"/>
        <rFont val="Arial"/>
        <family val="0"/>
        <charset val="1"/>
      </rPr>
      <t xml:space="preserve">SI</t>
    </r>
    <r>
      <rPr>
        <sz val="9"/>
        <rFont val="WenQuanYi Zen Hei"/>
        <family val="2"/>
      </rPr>
      <t xml:space="preserve">高</t>
    </r>
    <r>
      <rPr>
        <sz val="9"/>
        <rFont val="Arial"/>
        <family val="0"/>
        <charset val="1"/>
      </rPr>
      <t xml:space="preserve">+</t>
    </r>
    <r>
      <rPr>
        <sz val="9"/>
        <rFont val="WenQuanYi Zen Hei"/>
        <family val="2"/>
      </rPr>
      <t xml:space="preserve">突破</t>
    </r>
    <r>
      <rPr>
        <sz val="9"/>
        <rFont val="Arial"/>
        <family val="0"/>
        <charset val="1"/>
      </rPr>
      <t xml:space="preserve">=</t>
    </r>
    <r>
      <rPr>
        <sz val="9"/>
        <rFont val="WenQuanYi Zen Hei"/>
        <family val="2"/>
      </rPr>
      <t xml:space="preserve">軋空燃料</t>
    </r>
    <r>
      <rPr>
        <sz val="9"/>
        <rFont val="Arial"/>
        <family val="0"/>
        <charset val="1"/>
      </rPr>
      <t xml:space="preserve">; DTC&gt;5</t>
    </r>
    <r>
      <rPr>
        <sz val="9"/>
        <rFont val="WenQuanYi Zen Hei"/>
        <family val="2"/>
      </rPr>
      <t xml:space="preserve">天危險</t>
    </r>
  </si>
  <si>
    <r>
      <rPr>
        <sz val="9"/>
        <rFont val="WenQuanYi Zen Hei"/>
        <family val="2"/>
      </rPr>
      <t xml:space="preserve">交易所雙週</t>
    </r>
    <r>
      <rPr>
        <sz val="9"/>
        <rFont val="Arial"/>
        <family val="0"/>
        <charset val="1"/>
      </rPr>
      <t xml:space="preserve">SI</t>
    </r>
    <r>
      <rPr>
        <sz val="9"/>
        <rFont val="WenQuanYi Zen Hei"/>
        <family val="2"/>
      </rPr>
      <t xml:space="preserve">報告</t>
    </r>
    <r>
      <rPr>
        <sz val="9"/>
        <rFont val="Arial"/>
        <family val="0"/>
        <charset val="1"/>
      </rPr>
      <t xml:space="preserve">(NASDAQ/NYSE)/FINRA</t>
    </r>
  </si>
  <si>
    <t xml:space="preserve">雙週</t>
  </si>
  <si>
    <r>
      <rPr>
        <sz val="9"/>
        <rFont val="WenQuanYi Zen Hei"/>
        <family val="2"/>
      </rPr>
      <t xml:space="preserve">融資餘額 </t>
    </r>
    <r>
      <rPr>
        <sz val="9"/>
        <rFont val="Arial"/>
        <family val="0"/>
        <charset val="1"/>
      </rPr>
      <t xml:space="preserve">Margin Debt</t>
    </r>
  </si>
  <si>
    <t xml:space="preserve">槓桿</t>
  </si>
  <si>
    <t xml:space="preserve">YoY = MarginDebt_t / MarginDebt_{t-12} − 1</t>
  </si>
  <si>
    <r>
      <rPr>
        <sz val="9"/>
        <rFont val="Arial"/>
        <family val="0"/>
        <charset val="1"/>
      </rPr>
      <t xml:space="preserve">&gt; +50%</t>
    </r>
    <r>
      <rPr>
        <sz val="9"/>
        <rFont val="WenQuanYi Zen Hei"/>
        <family val="2"/>
      </rPr>
      <t xml:space="preserve">過熱</t>
    </r>
    <r>
      <rPr>
        <sz val="9"/>
        <rFont val="Arial"/>
        <family val="0"/>
        <charset val="1"/>
      </rPr>
      <t xml:space="preserve">; </t>
    </r>
    <r>
      <rPr>
        <sz val="9"/>
        <rFont val="WenQuanYi Zen Hei"/>
        <family val="2"/>
      </rPr>
      <t xml:space="preserve">頂部前融資往往先見頂</t>
    </r>
  </si>
  <si>
    <r>
      <rPr>
        <sz val="9"/>
        <rFont val="Arial"/>
        <family val="0"/>
        <charset val="1"/>
      </rPr>
      <t xml:space="preserve">FINRA</t>
    </r>
    <r>
      <rPr>
        <sz val="9"/>
        <rFont val="WenQuanYi Zen Hei"/>
        <family val="2"/>
      </rPr>
      <t xml:space="preserve">月度統計 </t>
    </r>
    <r>
      <rPr>
        <sz val="9"/>
        <rFont val="Arial"/>
        <family val="0"/>
        <charset val="1"/>
      </rPr>
      <t xml:space="preserve">(finra.org margin statistics)</t>
    </r>
  </si>
  <si>
    <t xml:space="preserve">基金資金流</t>
  </si>
  <si>
    <t xml:space="preserve">資金流</t>
  </si>
  <si>
    <r>
      <rPr>
        <sz val="9"/>
        <rFont val="Arial"/>
        <family val="0"/>
        <charset val="1"/>
      </rPr>
      <t xml:space="preserve">4</t>
    </r>
    <r>
      <rPr>
        <sz val="9"/>
        <rFont val="WenQuanYi Zen Hei"/>
        <family val="2"/>
      </rPr>
      <t xml:space="preserve">週淨流入 </t>
    </r>
    <r>
      <rPr>
        <sz val="9"/>
        <rFont val="Arial"/>
        <family val="0"/>
        <charset val="1"/>
      </rPr>
      <t xml:space="preserve">/ </t>
    </r>
    <r>
      <rPr>
        <sz val="9"/>
        <rFont val="WenQuanYi Zen Hei"/>
        <family val="2"/>
      </rPr>
      <t xml:space="preserve">資產規模</t>
    </r>
  </si>
  <si>
    <r>
      <rPr>
        <sz val="9"/>
        <rFont val="Arial"/>
        <family val="0"/>
        <charset val="1"/>
      </rPr>
      <t xml:space="preserve">4</t>
    </r>
    <r>
      <rPr>
        <sz val="9"/>
        <rFont val="WenQuanYi Zen Hei"/>
        <family val="2"/>
      </rPr>
      <t xml:space="preserve">週累計</t>
    </r>
  </si>
  <si>
    <r>
      <rPr>
        <sz val="9"/>
        <rFont val="WenQuanYi Zen Hei"/>
        <family val="2"/>
      </rPr>
      <t xml:space="preserve">極端流出</t>
    </r>
    <r>
      <rPr>
        <sz val="9"/>
        <rFont val="Arial"/>
        <family val="0"/>
        <charset val="1"/>
      </rPr>
      <t xml:space="preserve">=</t>
    </r>
    <r>
      <rPr>
        <sz val="9"/>
        <rFont val="WenQuanYi Zen Hei"/>
        <family val="2"/>
      </rPr>
      <t xml:space="preserve">反向底部訊號</t>
    </r>
  </si>
  <si>
    <r>
      <rPr>
        <sz val="9"/>
        <rFont val="Arial"/>
        <family val="0"/>
        <charset val="1"/>
      </rPr>
      <t xml:space="preserve">ICI</t>
    </r>
    <r>
      <rPr>
        <sz val="9"/>
        <rFont val="WenQuanYi Zen Hei"/>
        <family val="2"/>
      </rPr>
      <t xml:space="preserve">週報 </t>
    </r>
    <r>
      <rPr>
        <sz val="9"/>
        <rFont val="Arial"/>
        <family val="0"/>
        <charset val="1"/>
      </rPr>
      <t xml:space="preserve">(ici.org) / EPFR(</t>
    </r>
    <r>
      <rPr>
        <sz val="9"/>
        <rFont val="WenQuanYi Zen Hei"/>
        <family val="2"/>
      </rPr>
      <t xml:space="preserve">付費</t>
    </r>
    <r>
      <rPr>
        <sz val="9"/>
        <rFont val="Arial"/>
        <family val="0"/>
        <charset val="1"/>
      </rPr>
      <t xml:space="preserve">)</t>
    </r>
  </si>
  <si>
    <t xml:space="preserve">內部人買賣比</t>
  </si>
  <si>
    <r>
      <rPr>
        <sz val="9"/>
        <rFont val="Arial"/>
        <family val="0"/>
        <charset val="1"/>
      </rPr>
      <t xml:space="preserve">Ratio = </t>
    </r>
    <r>
      <rPr>
        <sz val="9"/>
        <rFont val="WenQuanYi Zen Hei"/>
        <family val="2"/>
      </rPr>
      <t xml:space="preserve">內部人買入金額 </t>
    </r>
    <r>
      <rPr>
        <sz val="9"/>
        <rFont val="Arial"/>
        <family val="0"/>
        <charset val="1"/>
      </rPr>
      <t xml:space="preserve">/ </t>
    </r>
    <r>
      <rPr>
        <sz val="9"/>
        <rFont val="WenQuanYi Zen Hei"/>
        <family val="2"/>
      </rPr>
      <t xml:space="preserve">賣出金額 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全巿場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月度</t>
    </r>
    <r>
      <rPr>
        <sz val="9"/>
        <rFont val="Arial"/>
        <family val="0"/>
        <charset val="1"/>
      </rPr>
      <t xml:space="preserve">)</t>
    </r>
  </si>
  <si>
    <t xml:space="preserve">月度</t>
  </si>
  <si>
    <r>
      <rPr>
        <sz val="9"/>
        <rFont val="WenQuanYi Zen Hei"/>
        <family val="2"/>
      </rPr>
      <t xml:space="preserve">急升</t>
    </r>
    <r>
      <rPr>
        <sz val="9"/>
        <rFont val="Arial"/>
        <family val="0"/>
        <charset val="1"/>
      </rPr>
      <t xml:space="preserve">&gt;1=</t>
    </r>
    <r>
      <rPr>
        <sz val="9"/>
        <rFont val="WenQuanYi Zen Hei"/>
        <family val="2"/>
      </rPr>
      <t xml:space="preserve">大跌後聰明錢進場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反向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</si>
  <si>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SEC Form 4 (EDGAR) / OpenInsider</t>
    </r>
    <r>
      <rPr>
        <sz val="9"/>
        <rFont val="WenQuanYi Zen Hei"/>
        <family val="2"/>
      </rPr>
      <t xml:space="preserve">匯總</t>
    </r>
  </si>
  <si>
    <r>
      <rPr>
        <sz val="9"/>
        <rFont val="WenQuanYi Zen Hei"/>
        <family val="2"/>
      </rPr>
      <t xml:space="preserve">週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月</t>
    </r>
  </si>
  <si>
    <t xml:space="preserve">季節性效應</t>
  </si>
  <si>
    <t xml:space="preserve">統計</t>
  </si>
  <si>
    <r>
      <rPr>
        <sz val="9"/>
        <rFont val="WenQuanYi Zen Hei"/>
        <family val="2"/>
      </rPr>
      <t xml:space="preserve">同月平均報酬與勝率</t>
    </r>
    <r>
      <rPr>
        <sz val="9"/>
        <rFont val="Arial"/>
        <family val="0"/>
        <charset val="1"/>
      </rPr>
      <t xml:space="preserve">: mean(r_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m), P(r_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m&gt;0), </t>
    </r>
    <r>
      <rPr>
        <sz val="9"/>
        <rFont val="WenQuanYi Zen Hei"/>
        <family val="2"/>
      </rPr>
      <t xml:space="preserve">排除重疊樣本</t>
    </r>
  </si>
  <si>
    <r>
      <rPr>
        <sz val="9"/>
        <rFont val="Arial"/>
        <family val="0"/>
        <charset val="1"/>
      </rPr>
      <t xml:space="preserve">30</t>
    </r>
    <r>
      <rPr>
        <sz val="9"/>
        <rFont val="WenQuanYi Zen Hei"/>
        <family val="2"/>
      </rPr>
      <t xml:space="preserve">年</t>
    </r>
    <r>
      <rPr>
        <sz val="9"/>
        <rFont val="Arial"/>
        <family val="0"/>
        <charset val="1"/>
      </rPr>
      <t xml:space="preserve">+</t>
    </r>
    <r>
      <rPr>
        <sz val="9"/>
        <rFont val="WenQuanYi Zen Hei"/>
        <family val="2"/>
      </rPr>
      <t xml:space="preserve">樣本</t>
    </r>
  </si>
  <si>
    <r>
      <rPr>
        <sz val="9"/>
        <rFont val="Arial"/>
        <family val="0"/>
        <charset val="1"/>
      </rPr>
      <t xml:space="preserve">11-4</t>
    </r>
    <r>
      <rPr>
        <sz val="9"/>
        <rFont val="WenQuanYi Zen Hei"/>
        <family val="2"/>
      </rPr>
      <t xml:space="preserve">月強於</t>
    </r>
    <r>
      <rPr>
        <sz val="9"/>
        <rFont val="Arial"/>
        <family val="0"/>
        <charset val="1"/>
      </rPr>
      <t xml:space="preserve">5-10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; </t>
    </r>
    <r>
      <rPr>
        <sz val="9"/>
        <rFont val="WenQuanYi Zen Hei"/>
        <family val="2"/>
      </rPr>
      <t xml:space="preserve">選舉週期第</t>
    </r>
    <r>
      <rPr>
        <sz val="9"/>
        <rFont val="Arial"/>
        <family val="0"/>
        <charset val="1"/>
      </rPr>
      <t xml:space="preserve">3</t>
    </r>
    <r>
      <rPr>
        <sz val="9"/>
        <rFont val="WenQuanYi Zen Hei"/>
        <family val="2"/>
      </rPr>
      <t xml:space="preserve">年最強</t>
    </r>
  </si>
  <si>
    <r>
      <rPr>
        <sz val="9"/>
        <rFont val="WenQuanYi Zen Hei"/>
        <family val="2"/>
      </rPr>
      <t xml:space="preserve">歷史行情自算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需長樣本</t>
    </r>
    <r>
      <rPr>
        <sz val="9"/>
        <rFont val="Arial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</si>
  <si>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新聞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社交情緒 </t>
    </r>
    <r>
      <rPr>
        <sz val="9"/>
        <rFont val="Arial"/>
        <family val="0"/>
        <charset val="1"/>
      </rPr>
      <t xml:space="preserve">NLP</t>
    </r>
  </si>
  <si>
    <t xml:space="preserve">另類數據</t>
  </si>
  <si>
    <r>
      <rPr>
        <sz val="9"/>
        <rFont val="WenQuanYi Zen Hei"/>
        <family val="2"/>
      </rPr>
      <t xml:space="preserve">情緒分數 </t>
    </r>
    <r>
      <rPr>
        <sz val="9"/>
        <rFont val="Arial"/>
        <family val="0"/>
        <charset val="1"/>
      </rPr>
      <t xml:space="preserve">= (</t>
    </r>
    <r>
      <rPr>
        <sz val="9"/>
        <rFont val="WenQuanYi Zen Hei"/>
        <family val="2"/>
      </rPr>
      <t xml:space="preserve">正面詞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文章 − 負面</t>
    </r>
    <r>
      <rPr>
        <sz val="9"/>
        <rFont val="Arial"/>
        <family val="0"/>
        <charset val="1"/>
      </rPr>
      <t xml:space="preserve">)/</t>
    </r>
    <r>
      <rPr>
        <sz val="9"/>
        <rFont val="WenQuanYi Zen Hei"/>
        <family val="2"/>
      </rPr>
      <t xml:space="preserve">總數 或 </t>
    </r>
    <r>
      <rPr>
        <sz val="9"/>
        <rFont val="Arial"/>
        <family val="0"/>
        <charset val="1"/>
      </rPr>
      <t xml:space="preserve">LLM</t>
    </r>
    <r>
      <rPr>
        <sz val="9"/>
        <rFont val="WenQuanYi Zen Hei"/>
        <family val="2"/>
      </rPr>
      <t xml:space="preserve">評分之滾動</t>
    </r>
    <r>
      <rPr>
        <sz val="9"/>
        <rFont val="Arial"/>
        <family val="0"/>
        <charset val="1"/>
      </rPr>
      <t xml:space="preserve">Z-score</t>
    </r>
  </si>
  <si>
    <r>
      <rPr>
        <sz val="9"/>
        <rFont val="Arial"/>
        <family val="0"/>
        <charset val="1"/>
      </rPr>
      <t xml:space="preserve">7</t>
    </r>
    <r>
      <rPr>
        <sz val="9"/>
        <rFont val="WenQuanYi Zen Hei"/>
        <family val="2"/>
      </rPr>
      <t xml:space="preserve">日</t>
    </r>
    <r>
      <rPr>
        <sz val="9"/>
        <rFont val="Arial"/>
        <family val="0"/>
        <charset val="1"/>
      </rPr>
      <t xml:space="preserve">Z</t>
    </r>
  </si>
  <si>
    <r>
      <rPr>
        <sz val="9"/>
        <rFont val="WenQuanYi Zen Hei"/>
        <family val="2"/>
      </rPr>
      <t xml:space="preserve">極端負面</t>
    </r>
    <r>
      <rPr>
        <sz val="9"/>
        <rFont val="Arial"/>
        <family val="0"/>
        <charset val="1"/>
      </rPr>
      <t xml:space="preserve">+</t>
    </r>
    <r>
      <rPr>
        <sz val="9"/>
        <rFont val="WenQuanYi Zen Hei"/>
        <family val="2"/>
      </rPr>
      <t xml:space="preserve">價格鈍化</t>
    </r>
    <r>
      <rPr>
        <sz val="9"/>
        <rFont val="Arial"/>
        <family val="0"/>
        <charset val="1"/>
      </rPr>
      <t xml:space="preserve">=</t>
    </r>
    <r>
      <rPr>
        <sz val="9"/>
        <rFont val="WenQuanYi Zen Hei"/>
        <family val="2"/>
      </rPr>
      <t xml:space="preserve">利空出盡</t>
    </r>
  </si>
  <si>
    <r>
      <rPr>
        <sz val="9"/>
        <rFont val="Arial"/>
        <family val="0"/>
        <charset val="1"/>
      </rPr>
      <t xml:space="preserve">GDELT(</t>
    </r>
    <r>
      <rPr>
        <sz val="9"/>
        <rFont val="WenQuanYi Zen Hei"/>
        <family val="2"/>
      </rPr>
      <t xml:space="preserve">免費</t>
    </r>
    <r>
      <rPr>
        <sz val="9"/>
        <rFont val="Arial"/>
        <family val="0"/>
        <charset val="1"/>
      </rPr>
      <t xml:space="preserve">)/RavenPack(</t>
    </r>
    <r>
      <rPr>
        <sz val="9"/>
        <rFont val="WenQuanYi Zen Hei"/>
        <family val="2"/>
      </rPr>
      <t xml:space="preserve">付費</t>
    </r>
    <r>
      <rPr>
        <sz val="9"/>
        <rFont val="Arial"/>
        <family val="0"/>
        <charset val="1"/>
      </rPr>
      <t xml:space="preserve">)/X-API</t>
    </r>
  </si>
  <si>
    <r>
      <rPr>
        <sz val="9"/>
        <rFont val="Arial"/>
        <family val="0"/>
        <charset val="1"/>
      </rPr>
      <t xml:space="preserve">Z-score </t>
    </r>
    <r>
      <rPr>
        <sz val="9"/>
        <rFont val="WenQuanYi Zen Hei"/>
        <family val="2"/>
      </rPr>
      <t xml:space="preserve">偏離度</t>
    </r>
  </si>
  <si>
    <t xml:space="preserve">統計套利</t>
  </si>
  <si>
    <t xml:space="preserve">六</t>
  </si>
  <si>
    <r>
      <rPr>
        <sz val="9"/>
        <rFont val="Arial"/>
        <family val="0"/>
        <charset val="1"/>
      </rPr>
      <t xml:space="preserve">Z = (P − SMA_n)/σ_n (</t>
    </r>
    <r>
      <rPr>
        <sz val="9"/>
        <rFont val="WenQuanYi Zen Hei"/>
        <family val="2"/>
      </rPr>
      <t xml:space="preserve">單資產</t>
    </r>
    <r>
      <rPr>
        <sz val="9"/>
        <rFont val="Arial"/>
        <family val="0"/>
        <charset val="1"/>
      </rPr>
      <t xml:space="preserve">) </t>
    </r>
    <r>
      <rPr>
        <sz val="9"/>
        <rFont val="WenQuanYi Zen Hei"/>
        <family val="2"/>
      </rPr>
      <t xml:space="preserve">或 </t>
    </r>
    <r>
      <rPr>
        <sz val="9"/>
        <rFont val="Arial"/>
        <family val="0"/>
        <charset val="1"/>
      </rPr>
      <t xml:space="preserve">spread</t>
    </r>
    <r>
      <rPr>
        <sz val="9"/>
        <rFont val="WenQuanYi Zen Hei"/>
        <family val="2"/>
      </rPr>
      <t xml:space="preserve">之</t>
    </r>
    <r>
      <rPr>
        <sz val="9"/>
        <rFont val="Arial"/>
        <family val="0"/>
        <charset val="1"/>
      </rPr>
      <t xml:space="preserve">Z (</t>
    </r>
    <r>
      <rPr>
        <sz val="9"/>
        <rFont val="WenQuanYi Zen Hei"/>
        <family val="2"/>
      </rPr>
      <t xml:space="preserve">配對</t>
    </r>
    <r>
      <rPr>
        <sz val="9"/>
        <rFont val="Arial"/>
        <family val="0"/>
        <charset val="1"/>
      </rPr>
      <t xml:space="preserve">)</t>
    </r>
  </si>
  <si>
    <t xml:space="preserve">n=20-60</t>
  </si>
  <si>
    <r>
      <rPr>
        <sz val="9"/>
        <rFont val="Arial"/>
        <family val="0"/>
        <charset val="1"/>
      </rPr>
      <t xml:space="preserve">|Z|&gt;2</t>
    </r>
    <r>
      <rPr>
        <sz val="9"/>
        <rFont val="WenQuanYi Zen Hei"/>
        <family val="2"/>
      </rPr>
      <t xml:space="preserve">進場回歸</t>
    </r>
    <r>
      <rPr>
        <sz val="9"/>
        <rFont val="Arial"/>
        <family val="0"/>
        <charset val="1"/>
      </rPr>
      <t xml:space="preserve">, Z→0</t>
    </r>
    <r>
      <rPr>
        <sz val="9"/>
        <rFont val="WenQuanYi Zen Hei"/>
        <family val="2"/>
      </rPr>
      <t xml:space="preserve">平倉</t>
    </r>
  </si>
  <si>
    <t xml:space="preserve">行情自算</t>
  </si>
  <si>
    <t xml:space="preserve">協整檢驗</t>
  </si>
  <si>
    <r>
      <rPr>
        <sz val="9"/>
        <rFont val="Arial"/>
        <family val="0"/>
        <charset val="1"/>
      </rPr>
      <t xml:space="preserve">Engle-Granger: </t>
    </r>
    <r>
      <rPr>
        <sz val="9"/>
        <rFont val="WenQuanYi Zen Hei"/>
        <family val="2"/>
      </rPr>
      <t xml:space="preserve">迴歸</t>
    </r>
    <r>
      <rPr>
        <sz val="9"/>
        <rFont val="Arial"/>
        <family val="0"/>
        <charset val="1"/>
      </rPr>
      <t xml:space="preserve">P_A=α+β·P_B+ε, </t>
    </r>
    <r>
      <rPr>
        <sz val="9"/>
        <rFont val="WenQuanYi Zen Hei"/>
        <family val="2"/>
      </rPr>
      <t xml:space="preserve">對</t>
    </r>
    <r>
      <rPr>
        <sz val="9"/>
        <rFont val="Arial"/>
        <family val="0"/>
        <charset val="1"/>
      </rPr>
      <t xml:space="preserve">ε</t>
    </r>
    <r>
      <rPr>
        <sz val="9"/>
        <rFont val="WenQuanYi Zen Hei"/>
        <family val="2"/>
      </rPr>
      <t xml:space="preserve">做</t>
    </r>
    <r>
      <rPr>
        <sz val="9"/>
        <rFont val="Arial"/>
        <family val="0"/>
        <charset val="1"/>
      </rPr>
      <t xml:space="preserve">ADF</t>
    </r>
    <r>
      <rPr>
        <sz val="9"/>
        <rFont val="WenQuanYi Zen Hei"/>
        <family val="2"/>
      </rPr>
      <t xml:space="preserve">單位根檢驗 </t>
    </r>
    <r>
      <rPr>
        <sz val="9"/>
        <rFont val="Arial"/>
        <family val="0"/>
        <charset val="1"/>
      </rPr>
      <t xml:space="preserve">p&lt;0.05</t>
    </r>
  </si>
  <si>
    <r>
      <rPr>
        <sz val="9"/>
        <rFont val="Arial"/>
        <family val="0"/>
        <charset val="1"/>
      </rPr>
      <t xml:space="preserve">2-3</t>
    </r>
    <r>
      <rPr>
        <sz val="9"/>
        <rFont val="WenQuanYi Zen Hei"/>
        <family val="2"/>
      </rPr>
      <t xml:space="preserve">年窗</t>
    </r>
  </si>
  <si>
    <r>
      <rPr>
        <sz val="9"/>
        <rFont val="WenQuanYi Zen Hei"/>
        <family val="2"/>
      </rPr>
      <t xml:space="preserve">協整對→配對交易</t>
    </r>
    <r>
      <rPr>
        <sz val="9"/>
        <rFont val="Arial"/>
        <family val="0"/>
        <charset val="1"/>
      </rPr>
      <t xml:space="preserve">; </t>
    </r>
    <r>
      <rPr>
        <sz val="9"/>
        <rFont val="WenQuanYi Zen Hei"/>
        <family val="2"/>
      </rPr>
      <t xml:space="preserve">破裂監控</t>
    </r>
  </si>
  <si>
    <r>
      <rPr>
        <sz val="9"/>
        <rFont val="WenQuanYi Zen Hei"/>
        <family val="2"/>
      </rPr>
      <t xml:space="preserve">行情自算</t>
    </r>
    <r>
      <rPr>
        <sz val="9"/>
        <rFont val="Arial"/>
        <family val="0"/>
        <charset val="1"/>
      </rPr>
      <t xml:space="preserve">(statsmodels)</t>
    </r>
  </si>
  <si>
    <r>
      <rPr>
        <sz val="9"/>
        <rFont val="Arial"/>
        <family val="0"/>
        <charset val="1"/>
      </rPr>
      <t xml:space="preserve">Hurst </t>
    </r>
    <r>
      <rPr>
        <sz val="9"/>
        <rFont val="WenQuanYi Zen Hei"/>
        <family val="2"/>
      </rPr>
      <t xml:space="preserve">指數</t>
    </r>
  </si>
  <si>
    <r>
      <rPr>
        <sz val="9"/>
        <rFont val="Arial"/>
        <family val="0"/>
        <charset val="1"/>
      </rPr>
      <t xml:space="preserve">R/S</t>
    </r>
    <r>
      <rPr>
        <sz val="9"/>
        <rFont val="WenQuanYi Zen Hei"/>
        <family val="2"/>
      </rPr>
      <t xml:space="preserve">分析</t>
    </r>
    <r>
      <rPr>
        <sz val="9"/>
        <rFont val="Arial"/>
        <family val="0"/>
        <charset val="1"/>
      </rPr>
      <t xml:space="preserve">: E[R(n)/S(n)] ∝ n^H, </t>
    </r>
    <r>
      <rPr>
        <sz val="9"/>
        <rFont val="WenQuanYi Zen Hei"/>
        <family val="2"/>
      </rPr>
      <t xml:space="preserve">取</t>
    </r>
    <r>
      <rPr>
        <sz val="9"/>
        <rFont val="Arial"/>
        <family val="0"/>
        <charset val="1"/>
      </rPr>
      <t xml:space="preserve">log-log</t>
    </r>
    <r>
      <rPr>
        <sz val="9"/>
        <rFont val="WenQuanYi Zen Hei"/>
        <family val="2"/>
      </rPr>
      <t xml:space="preserve">斜率</t>
    </r>
  </si>
  <si>
    <r>
      <rPr>
        <sz val="9"/>
        <rFont val="Arial"/>
        <family val="0"/>
        <charset val="1"/>
      </rPr>
      <t xml:space="preserve">H</t>
    </r>
    <r>
      <rPr>
        <sz val="9"/>
        <rFont val="WenQuanYi Zen Hei"/>
        <family val="2"/>
      </rPr>
      <t xml:space="preserve">閾</t>
    </r>
    <r>
      <rPr>
        <sz val="9"/>
        <rFont val="Arial"/>
        <family val="0"/>
        <charset val="1"/>
      </rPr>
      <t xml:space="preserve">0.5</t>
    </r>
  </si>
  <si>
    <r>
      <rPr>
        <sz val="9"/>
        <rFont val="Arial"/>
        <family val="0"/>
        <charset val="1"/>
      </rPr>
      <t xml:space="preserve">H&gt;0.55</t>
    </r>
    <r>
      <rPr>
        <sz val="9"/>
        <rFont val="WenQuanYi Zen Hei"/>
        <family val="2"/>
      </rPr>
      <t xml:space="preserve">趨勢市用順勢</t>
    </r>
    <r>
      <rPr>
        <sz val="9"/>
        <rFont val="Arial"/>
        <family val="0"/>
        <charset val="1"/>
      </rPr>
      <t xml:space="preserve">; &lt;0.45</t>
    </r>
    <r>
      <rPr>
        <sz val="9"/>
        <rFont val="WenQuanYi Zen Hei"/>
        <family val="2"/>
      </rPr>
      <t xml:space="preserve">用均值回歸</t>
    </r>
  </si>
  <si>
    <r>
      <rPr>
        <sz val="9"/>
        <rFont val="Arial"/>
        <family val="0"/>
        <charset val="1"/>
      </rPr>
      <t xml:space="preserve">GARCH </t>
    </r>
    <r>
      <rPr>
        <sz val="9"/>
        <rFont val="WenQuanYi Zen Hei"/>
        <family val="2"/>
      </rPr>
      <t xml:space="preserve">波動率預測</t>
    </r>
  </si>
  <si>
    <t xml:space="preserve">GARCH(1,1): σ²_t = ω + α·ε²_{t-1} + β·σ²_{t-1}</t>
  </si>
  <si>
    <t xml:space="preserve">(1,1)</t>
  </si>
  <si>
    <r>
      <rPr>
        <sz val="9"/>
        <rFont val="WenQuanYi Zen Hei"/>
        <family val="2"/>
      </rPr>
      <t xml:space="preserve">事前波動率預測→倉位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期權定價</t>
    </r>
  </si>
  <si>
    <r>
      <rPr>
        <sz val="9"/>
        <rFont val="WenQuanYi Zen Hei"/>
        <family val="2"/>
      </rPr>
      <t xml:space="preserve">報酬序列自算</t>
    </r>
    <r>
      <rPr>
        <sz val="9"/>
        <rFont val="Arial"/>
        <family val="0"/>
        <charset val="1"/>
      </rPr>
      <t xml:space="preserve">(arch</t>
    </r>
    <r>
      <rPr>
        <sz val="9"/>
        <rFont val="WenQuanYi Zen Hei"/>
        <family val="2"/>
      </rPr>
      <t xml:space="preserve">套件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</si>
  <si>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Kalman </t>
    </r>
    <r>
      <rPr>
        <sz val="9"/>
        <rFont val="WenQuanYi Zen Hei"/>
        <family val="2"/>
      </rPr>
      <t xml:space="preserve">濾波</t>
    </r>
  </si>
  <si>
    <r>
      <rPr>
        <sz val="9"/>
        <rFont val="WenQuanYi Zen Hei"/>
        <family val="2"/>
      </rPr>
      <t xml:space="preserve">狀態空間</t>
    </r>
    <r>
      <rPr>
        <sz val="9"/>
        <rFont val="Arial"/>
        <family val="0"/>
        <charset val="1"/>
      </rPr>
      <t xml:space="preserve">: β_t = β_{t-1}+w; y_t = β_t·x_t+v; </t>
    </r>
    <r>
      <rPr>
        <sz val="9"/>
        <rFont val="WenQuanYi Zen Hei"/>
        <family val="2"/>
      </rPr>
      <t xml:space="preserve">遞歸更新後驗</t>
    </r>
  </si>
  <si>
    <r>
      <rPr>
        <sz val="9"/>
        <rFont val="Arial"/>
        <family val="0"/>
        <charset val="1"/>
      </rPr>
      <t xml:space="preserve">Q/R</t>
    </r>
    <r>
      <rPr>
        <sz val="9"/>
        <rFont val="WenQuanYi Zen Hei"/>
        <family val="2"/>
      </rPr>
      <t xml:space="preserve">自校</t>
    </r>
  </si>
  <si>
    <r>
      <rPr>
        <sz val="9"/>
        <rFont val="WenQuanYi Zen Hei"/>
        <family val="2"/>
      </rPr>
      <t xml:space="preserve">時變對沖比率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動態</t>
    </r>
    <r>
      <rPr>
        <sz val="9"/>
        <rFont val="Arial"/>
        <family val="0"/>
        <charset val="1"/>
      </rPr>
      <t xml:space="preserve">α</t>
    </r>
    <r>
      <rPr>
        <sz val="9"/>
        <rFont val="WenQuanYi Zen Hei"/>
        <family val="2"/>
      </rPr>
      <t xml:space="preserve">估計</t>
    </r>
  </si>
  <si>
    <r>
      <rPr>
        <sz val="9"/>
        <rFont val="WenQuanYi Zen Hei"/>
        <family val="2"/>
      </rPr>
      <t xml:space="preserve">行情自算</t>
    </r>
    <r>
      <rPr>
        <sz val="9"/>
        <rFont val="Arial"/>
        <family val="0"/>
        <charset val="1"/>
      </rPr>
      <t xml:space="preserve">(pykalman</t>
    </r>
    <r>
      <rPr>
        <sz val="9"/>
        <rFont val="WenQuanYi Zen Hei"/>
        <family val="2"/>
      </rPr>
      <t xml:space="preserve">等</t>
    </r>
    <r>
      <rPr>
        <sz val="9"/>
        <rFont val="Arial"/>
        <family val="0"/>
        <charset val="1"/>
      </rPr>
      <t xml:space="preserve">)</t>
    </r>
  </si>
  <si>
    <t xml:space="preserve">因子暴露分析</t>
  </si>
  <si>
    <t xml:space="preserve">因子</t>
  </si>
  <si>
    <r>
      <rPr>
        <sz val="9"/>
        <rFont val="WenQuanYi Zen Hei"/>
        <family val="2"/>
      </rPr>
      <t xml:space="preserve">時序迴歸</t>
    </r>
    <r>
      <rPr>
        <sz val="9"/>
        <rFont val="Arial"/>
        <family val="0"/>
        <charset val="1"/>
      </rPr>
      <t xml:space="preserve">: r_i − rf = α + β_mkt·MKT + β_smb·SMB + β_hml·HML + β_mom·MOM + ε</t>
    </r>
  </si>
  <si>
    <r>
      <rPr>
        <sz val="9"/>
        <rFont val="Arial"/>
        <family val="0"/>
        <charset val="1"/>
      </rPr>
      <t xml:space="preserve">FF3/FF5+</t>
    </r>
    <r>
      <rPr>
        <sz val="9"/>
        <rFont val="WenQuanYi Zen Hei"/>
        <family val="2"/>
      </rPr>
      <t xml:space="preserve">動能</t>
    </r>
  </si>
  <si>
    <r>
      <rPr>
        <sz val="9"/>
        <rFont val="WenQuanYi Zen Hei"/>
        <family val="2"/>
      </rPr>
      <t xml:space="preserve">組合風格歸因</t>
    </r>
    <r>
      <rPr>
        <sz val="9"/>
        <rFont val="Arial"/>
        <family val="0"/>
        <charset val="1"/>
      </rPr>
      <t xml:space="preserve">; </t>
    </r>
    <r>
      <rPr>
        <sz val="9"/>
        <rFont val="WenQuanYi Zen Hei"/>
        <family val="2"/>
      </rPr>
      <t xml:space="preserve">非意圖暴露對沖</t>
    </r>
  </si>
  <si>
    <r>
      <rPr>
        <sz val="9"/>
        <rFont val="Arial"/>
        <family val="0"/>
        <charset val="1"/>
      </rPr>
      <t xml:space="preserve">Ken French Data Library(</t>
    </r>
    <r>
      <rPr>
        <sz val="9"/>
        <rFont val="WenQuanYi Zen Hei"/>
        <family val="2"/>
      </rPr>
      <t xml:space="preserve">免費</t>
    </r>
    <r>
      <rPr>
        <sz val="9"/>
        <rFont val="Arial"/>
        <family val="0"/>
        <charset val="1"/>
      </rPr>
      <t xml:space="preserve">, dartmouth.edu)</t>
    </r>
  </si>
  <si>
    <t xml:space="preserve">滾動相關性矩陣</t>
  </si>
  <si>
    <t xml:space="preserve">風控</t>
  </si>
  <si>
    <r>
      <rPr>
        <sz val="9"/>
        <rFont val="Arial"/>
        <family val="0"/>
        <charset val="1"/>
      </rPr>
      <t xml:space="preserve">ρ_ij = Cov(r_i,r_j)/(σ_i·σ_j), </t>
    </r>
    <r>
      <rPr>
        <sz val="9"/>
        <rFont val="WenQuanYi Zen Hei"/>
        <family val="2"/>
      </rPr>
      <t xml:space="preserve">滾動</t>
    </r>
    <r>
      <rPr>
        <sz val="9"/>
        <rFont val="Arial"/>
        <family val="0"/>
        <charset val="1"/>
      </rPr>
      <t xml:space="preserve">60</t>
    </r>
    <r>
      <rPr>
        <sz val="9"/>
        <rFont val="WenQuanYi Zen Hei"/>
        <family val="2"/>
      </rPr>
      <t xml:space="preserve">日</t>
    </r>
  </si>
  <si>
    <r>
      <rPr>
        <sz val="9"/>
        <rFont val="Arial"/>
        <family val="0"/>
        <charset val="1"/>
      </rPr>
      <t xml:space="preserve">60</t>
    </r>
    <r>
      <rPr>
        <sz val="9"/>
        <rFont val="WenQuanYi Zen Hei"/>
        <family val="2"/>
      </rPr>
      <t xml:space="preserve">日</t>
    </r>
  </si>
  <si>
    <r>
      <rPr>
        <sz val="9"/>
        <rFont val="WenQuanYi Zen Hei"/>
        <family val="2"/>
      </rPr>
      <t xml:space="preserve">分散度監控</t>
    </r>
    <r>
      <rPr>
        <sz val="9"/>
        <rFont val="Arial"/>
        <family val="0"/>
        <charset val="1"/>
      </rPr>
      <t xml:space="preserve">; </t>
    </r>
    <r>
      <rPr>
        <sz val="9"/>
        <rFont val="WenQuanYi Zen Hei"/>
        <family val="2"/>
      </rPr>
      <t xml:space="preserve">危機時相關性→</t>
    </r>
    <r>
      <rPr>
        <sz val="9"/>
        <rFont val="Arial"/>
        <family val="0"/>
        <charset val="1"/>
      </rPr>
      <t xml:space="preserve">1</t>
    </r>
  </si>
  <si>
    <t xml:space="preserve">報酬序列自算</t>
  </si>
  <si>
    <r>
      <rPr>
        <sz val="9"/>
        <rFont val="WenQuanYi Zen Hei"/>
        <family val="2"/>
      </rPr>
      <t xml:space="preserve">夏普比率 </t>
    </r>
    <r>
      <rPr>
        <sz val="9"/>
        <rFont val="Arial"/>
        <family val="0"/>
        <charset val="1"/>
      </rPr>
      <t xml:space="preserve">Sharpe</t>
    </r>
  </si>
  <si>
    <t xml:space="preserve">績效</t>
  </si>
  <si>
    <r>
      <rPr>
        <sz val="9"/>
        <rFont val="Arial"/>
        <family val="0"/>
        <charset val="1"/>
      </rPr>
      <t xml:space="preserve">Sharpe = (R_p − R_f)/σ_p × √252 (</t>
    </r>
    <r>
      <rPr>
        <sz val="9"/>
        <rFont val="WenQuanYi Zen Hei"/>
        <family val="2"/>
      </rPr>
      <t xml:space="preserve">日頻年化</t>
    </r>
    <r>
      <rPr>
        <sz val="9"/>
        <rFont val="Arial"/>
        <family val="0"/>
        <charset val="1"/>
      </rPr>
      <t xml:space="preserve">)</t>
    </r>
  </si>
  <si>
    <t xml:space="preserve">年化</t>
  </si>
  <si>
    <r>
      <rPr>
        <sz val="9"/>
        <rFont val="Arial"/>
        <family val="0"/>
        <charset val="1"/>
      </rPr>
      <t xml:space="preserve">&gt;1</t>
    </r>
    <r>
      <rPr>
        <sz val="9"/>
        <rFont val="WenQuanYi Zen Hei"/>
        <family val="2"/>
      </rPr>
      <t xml:space="preserve">可用</t>
    </r>
    <r>
      <rPr>
        <sz val="9"/>
        <rFont val="Arial"/>
        <family val="0"/>
        <charset val="1"/>
      </rPr>
      <t xml:space="preserve">; &gt;2</t>
    </r>
    <r>
      <rPr>
        <sz val="9"/>
        <rFont val="WenQuanYi Zen Hei"/>
        <family val="2"/>
      </rPr>
      <t xml:space="preserve">優秀</t>
    </r>
    <r>
      <rPr>
        <sz val="9"/>
        <rFont val="Arial"/>
        <family val="0"/>
        <charset val="1"/>
      </rPr>
      <t xml:space="preserve">; </t>
    </r>
    <r>
      <rPr>
        <sz val="9"/>
        <rFont val="WenQuanYi Zen Hei"/>
        <family val="2"/>
      </rPr>
      <t xml:space="preserve">比較策略標準</t>
    </r>
  </si>
  <si>
    <r>
      <rPr>
        <sz val="9"/>
        <rFont val="WenQuanYi Zen Hei"/>
        <family val="2"/>
      </rPr>
      <t xml:space="preserve">策略淨值序列自算</t>
    </r>
    <r>
      <rPr>
        <sz val="9"/>
        <rFont val="Arial"/>
        <family val="0"/>
        <charset val="1"/>
      </rPr>
      <t xml:space="preserve">; R_f</t>
    </r>
    <r>
      <rPr>
        <sz val="9"/>
        <rFont val="WenQuanYi Zen Hei"/>
        <family val="2"/>
      </rPr>
      <t xml:space="preserve">用</t>
    </r>
    <r>
      <rPr>
        <sz val="9"/>
        <rFont val="Arial"/>
        <family val="0"/>
        <charset val="1"/>
      </rPr>
      <t xml:space="preserve">FRED: DGS3MO</t>
    </r>
  </si>
  <si>
    <r>
      <rPr>
        <sz val="9"/>
        <rFont val="WenQuanYi Zen Hei"/>
        <family val="2"/>
      </rPr>
      <t xml:space="preserve">索提諾比率 </t>
    </r>
    <r>
      <rPr>
        <sz val="9"/>
        <rFont val="Arial"/>
        <family val="0"/>
        <charset val="1"/>
      </rPr>
      <t xml:space="preserve">Sortino</t>
    </r>
  </si>
  <si>
    <r>
      <rPr>
        <sz val="9"/>
        <rFont val="Arial"/>
        <family val="0"/>
        <charset val="1"/>
      </rPr>
      <t xml:space="preserve">Sortino = (R_p − R_f)/</t>
    </r>
    <r>
      <rPr>
        <sz val="9"/>
        <rFont val="WenQuanYi Zen Hei"/>
        <family val="2"/>
      </rPr>
      <t xml:space="preserve">下行偏差</t>
    </r>
    <r>
      <rPr>
        <sz val="9"/>
        <rFont val="Arial"/>
        <family val="0"/>
        <charset val="1"/>
      </rPr>
      <t xml:space="preserve">σ_d × √252</t>
    </r>
  </si>
  <si>
    <r>
      <rPr>
        <sz val="9"/>
        <rFont val="WenQuanYi Zen Hei"/>
        <family val="2"/>
      </rPr>
      <t xml:space="preserve">只罰下行波動</t>
    </r>
    <r>
      <rPr>
        <sz val="9"/>
        <rFont val="Arial"/>
        <family val="0"/>
        <charset val="1"/>
      </rPr>
      <t xml:space="preserve">; </t>
    </r>
    <r>
      <rPr>
        <sz val="9"/>
        <rFont val="WenQuanYi Zen Hei"/>
        <family val="2"/>
      </rPr>
      <t xml:space="preserve">適合偏態策略</t>
    </r>
  </si>
  <si>
    <t xml:space="preserve">策略淨值自算</t>
  </si>
  <si>
    <r>
      <rPr>
        <sz val="9"/>
        <rFont val="WenQuanYi Zen Hei"/>
        <family val="2"/>
      </rPr>
      <t xml:space="preserve">最大回撤 </t>
    </r>
    <r>
      <rPr>
        <sz val="9"/>
        <rFont val="Arial"/>
        <family val="0"/>
        <charset val="1"/>
      </rPr>
      <t xml:space="preserve">MaxDD</t>
    </r>
  </si>
  <si>
    <t xml:space="preserve">MaxDD = max_t(1 − Equity_t / max_{s≤t}Equity_s)</t>
  </si>
  <si>
    <t xml:space="preserve">全樣本</t>
  </si>
  <si>
    <r>
      <rPr>
        <sz val="9"/>
        <rFont val="WenQuanYi Zen Hei"/>
        <family val="2"/>
      </rPr>
      <t xml:space="preserve">生存能力量度</t>
    </r>
    <r>
      <rPr>
        <sz val="9"/>
        <rFont val="Arial"/>
        <family val="0"/>
        <charset val="1"/>
      </rPr>
      <t xml:space="preserve">; </t>
    </r>
    <r>
      <rPr>
        <sz val="9"/>
        <rFont val="WenQuanYi Zen Hei"/>
        <family val="2"/>
      </rPr>
      <t xml:space="preserve">決定槓桿上限</t>
    </r>
  </si>
  <si>
    <r>
      <rPr>
        <sz val="9"/>
        <rFont val="WenQuanYi Zen Hei"/>
        <family val="2"/>
      </rPr>
      <t xml:space="preserve">卡瑪比率 </t>
    </r>
    <r>
      <rPr>
        <sz val="9"/>
        <rFont val="Arial"/>
        <family val="0"/>
        <charset val="1"/>
      </rPr>
      <t xml:space="preserve">Calmar</t>
    </r>
  </si>
  <si>
    <r>
      <rPr>
        <sz val="9"/>
        <rFont val="Arial"/>
        <family val="0"/>
        <charset val="1"/>
      </rPr>
      <t xml:space="preserve">Calmar = CAGR / |MaxDD| (</t>
    </r>
    <r>
      <rPr>
        <sz val="9"/>
        <rFont val="WenQuanYi Zen Hei"/>
        <family val="2"/>
      </rPr>
      <t xml:space="preserve">常用近</t>
    </r>
    <r>
      <rPr>
        <sz val="9"/>
        <rFont val="Arial"/>
        <family val="0"/>
        <charset val="1"/>
      </rPr>
      <t xml:space="preserve">3</t>
    </r>
    <r>
      <rPr>
        <sz val="9"/>
        <rFont val="WenQuanYi Zen Hei"/>
        <family val="2"/>
      </rPr>
      <t xml:space="preserve">年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</si>
  <si>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3</t>
    </r>
    <r>
      <rPr>
        <sz val="9"/>
        <rFont val="WenQuanYi Zen Hei"/>
        <family val="2"/>
      </rPr>
      <t xml:space="preserve">年窗</t>
    </r>
  </si>
  <si>
    <r>
      <rPr>
        <sz val="9"/>
        <rFont val="Arial"/>
        <family val="0"/>
        <charset val="1"/>
      </rPr>
      <t xml:space="preserve">&gt;1</t>
    </r>
    <r>
      <rPr>
        <sz val="9"/>
        <rFont val="WenQuanYi Zen Hei"/>
        <family val="2"/>
      </rPr>
      <t xml:space="preserve">合格</t>
    </r>
    <r>
      <rPr>
        <sz val="9"/>
        <rFont val="Arial"/>
        <family val="0"/>
        <charset val="1"/>
      </rPr>
      <t xml:space="preserve">; </t>
    </r>
    <r>
      <rPr>
        <sz val="9"/>
        <rFont val="WenQuanYi Zen Hei"/>
        <family val="2"/>
      </rPr>
      <t xml:space="preserve">趨勢</t>
    </r>
    <r>
      <rPr>
        <sz val="9"/>
        <rFont val="Arial"/>
        <family val="0"/>
        <charset val="1"/>
      </rPr>
      <t xml:space="preserve">CTA</t>
    </r>
    <r>
      <rPr>
        <sz val="9"/>
        <rFont val="WenQuanYi Zen Hei"/>
        <family val="2"/>
      </rPr>
      <t xml:space="preserve">常用</t>
    </r>
  </si>
  <si>
    <r>
      <rPr>
        <sz val="9"/>
        <rFont val="WenQuanYi Zen Hei"/>
        <family val="2"/>
      </rPr>
      <t xml:space="preserve">資訊比率 </t>
    </r>
    <r>
      <rPr>
        <sz val="9"/>
        <rFont val="Arial"/>
        <family val="0"/>
        <charset val="1"/>
      </rPr>
      <t xml:space="preserve">IR</t>
    </r>
  </si>
  <si>
    <r>
      <rPr>
        <sz val="9"/>
        <rFont val="Arial"/>
        <family val="0"/>
        <charset val="1"/>
      </rPr>
      <t xml:space="preserve">IR = (R_p − R_bench)/TrackingError, TE = std(</t>
    </r>
    <r>
      <rPr>
        <sz val="9"/>
        <rFont val="WenQuanYi Zen Hei"/>
        <family val="2"/>
      </rPr>
      <t xml:space="preserve">超額報酬</t>
    </r>
    <r>
      <rPr>
        <sz val="9"/>
        <rFont val="Arial"/>
        <family val="0"/>
        <charset val="1"/>
      </rPr>
      <t xml:space="preserve">)×√252</t>
    </r>
  </si>
  <si>
    <t xml:space="preserve">主動管理超額報酬穩定性</t>
  </si>
  <si>
    <r>
      <rPr>
        <sz val="9"/>
        <rFont val="WenQuanYi Zen Hei"/>
        <family val="2"/>
      </rPr>
      <t xml:space="preserve">策略</t>
    </r>
    <r>
      <rPr>
        <sz val="9"/>
        <rFont val="Arial"/>
        <family val="0"/>
        <charset val="1"/>
      </rPr>
      <t xml:space="preserve">+</t>
    </r>
    <r>
      <rPr>
        <sz val="9"/>
        <rFont val="WenQuanYi Zen Hei"/>
        <family val="2"/>
      </rPr>
      <t xml:space="preserve">基準淨值自算</t>
    </r>
  </si>
  <si>
    <t xml:space="preserve">勝率與盈虧比</t>
  </si>
  <si>
    <r>
      <rPr>
        <sz val="9"/>
        <rFont val="Arial"/>
        <family val="0"/>
        <charset val="1"/>
      </rPr>
      <t xml:space="preserve">WinRate = </t>
    </r>
    <r>
      <rPr>
        <sz val="9"/>
        <rFont val="WenQuanYi Zen Hei"/>
        <family val="2"/>
      </rPr>
      <t xml:space="preserve">獲利筆數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總筆數</t>
    </r>
    <r>
      <rPr>
        <sz val="9"/>
        <rFont val="Arial"/>
        <family val="0"/>
        <charset val="1"/>
      </rPr>
      <t xml:space="preserve">; Payoff = </t>
    </r>
    <r>
      <rPr>
        <sz val="9"/>
        <rFont val="WenQuanYi Zen Hei"/>
        <family val="2"/>
      </rPr>
      <t xml:space="preserve">平均獲利</t>
    </r>
    <r>
      <rPr>
        <sz val="9"/>
        <rFont val="Arial"/>
        <family val="0"/>
        <charset val="1"/>
      </rPr>
      <t xml:space="preserve">/|</t>
    </r>
    <r>
      <rPr>
        <sz val="9"/>
        <rFont val="WenQuanYi Zen Hei"/>
        <family val="2"/>
      </rPr>
      <t xml:space="preserve">平均虧損</t>
    </r>
    <r>
      <rPr>
        <sz val="9"/>
        <rFont val="Arial"/>
        <family val="0"/>
        <charset val="1"/>
      </rPr>
      <t xml:space="preserve">|</t>
    </r>
  </si>
  <si>
    <r>
      <rPr>
        <sz val="9"/>
        <rFont val="WenQuanYi Zen Hei"/>
        <family val="2"/>
      </rPr>
      <t xml:space="preserve">期望值 </t>
    </r>
    <r>
      <rPr>
        <sz val="9"/>
        <rFont val="Arial"/>
        <family val="0"/>
        <charset val="1"/>
      </rPr>
      <t xml:space="preserve">= WR×Payoff − (1−WR); </t>
    </r>
    <r>
      <rPr>
        <sz val="9"/>
        <rFont val="WenQuanYi Zen Hei"/>
        <family val="2"/>
      </rPr>
      <t xml:space="preserve">兩者需合看</t>
    </r>
  </si>
  <si>
    <t xml:space="preserve">交易紀錄自算</t>
  </si>
  <si>
    <r>
      <rPr>
        <sz val="9"/>
        <rFont val="WenQuanYi Zen Hei"/>
        <family val="2"/>
      </rPr>
      <t xml:space="preserve">盈虧因子 </t>
    </r>
    <r>
      <rPr>
        <sz val="9"/>
        <rFont val="Arial"/>
        <family val="0"/>
        <charset val="1"/>
      </rPr>
      <t xml:space="preserve">Profit Factor</t>
    </r>
  </si>
  <si>
    <r>
      <rPr>
        <sz val="9"/>
        <rFont val="Arial"/>
        <family val="0"/>
        <charset val="1"/>
      </rPr>
      <t xml:space="preserve">PF = Σ</t>
    </r>
    <r>
      <rPr>
        <sz val="9"/>
        <rFont val="WenQuanYi Zen Hei"/>
        <family val="2"/>
      </rPr>
      <t xml:space="preserve">獲利 </t>
    </r>
    <r>
      <rPr>
        <sz val="9"/>
        <rFont val="Arial"/>
        <family val="0"/>
        <charset val="1"/>
      </rPr>
      <t xml:space="preserve">/ |Σ</t>
    </r>
    <r>
      <rPr>
        <sz val="9"/>
        <rFont val="WenQuanYi Zen Hei"/>
        <family val="2"/>
      </rPr>
      <t xml:space="preserve">虧損</t>
    </r>
    <r>
      <rPr>
        <sz val="9"/>
        <rFont val="Arial"/>
        <family val="0"/>
        <charset val="1"/>
      </rPr>
      <t xml:space="preserve">|</t>
    </r>
  </si>
  <si>
    <r>
      <rPr>
        <sz val="9"/>
        <rFont val="Arial"/>
        <family val="0"/>
        <charset val="1"/>
      </rPr>
      <t xml:space="preserve">&gt;1.5</t>
    </r>
    <r>
      <rPr>
        <sz val="9"/>
        <rFont val="WenQuanYi Zen Hei"/>
        <family val="2"/>
      </rPr>
      <t xml:space="preserve">合格</t>
    </r>
    <r>
      <rPr>
        <sz val="9"/>
        <rFont val="Arial"/>
        <family val="0"/>
        <charset val="1"/>
      </rPr>
      <t xml:space="preserve">; &gt;3</t>
    </r>
    <r>
      <rPr>
        <sz val="9"/>
        <rFont val="WenQuanYi Zen Hei"/>
        <family val="2"/>
      </rPr>
      <t xml:space="preserve">優秀</t>
    </r>
  </si>
  <si>
    <r>
      <rPr>
        <sz val="9"/>
        <rFont val="WenQuanYi Zen Hei"/>
        <family val="2"/>
      </rPr>
      <t xml:space="preserve">凱利公式 </t>
    </r>
    <r>
      <rPr>
        <sz val="9"/>
        <rFont val="Arial"/>
        <family val="0"/>
        <charset val="1"/>
      </rPr>
      <t xml:space="preserve">Kelly %</t>
    </r>
  </si>
  <si>
    <t xml:space="preserve">倉位管理</t>
  </si>
  <si>
    <r>
      <rPr>
        <sz val="9"/>
        <rFont val="Arial"/>
        <family val="0"/>
        <charset val="1"/>
      </rPr>
      <t xml:space="preserve">f* = W − (1−W)/R, W=</t>
    </r>
    <r>
      <rPr>
        <sz val="9"/>
        <rFont val="WenQuanYi Zen Hei"/>
        <family val="2"/>
      </rPr>
      <t xml:space="preserve">勝率</t>
    </r>
    <r>
      <rPr>
        <sz val="9"/>
        <rFont val="Arial"/>
        <family val="0"/>
        <charset val="1"/>
      </rPr>
      <t xml:space="preserve">, R=</t>
    </r>
    <r>
      <rPr>
        <sz val="9"/>
        <rFont val="WenQuanYi Zen Hei"/>
        <family val="2"/>
      </rPr>
      <t xml:space="preserve">盈虧比</t>
    </r>
    <r>
      <rPr>
        <sz val="9"/>
        <rFont val="Arial"/>
        <family val="0"/>
        <charset val="1"/>
      </rPr>
      <t xml:space="preserve">; </t>
    </r>
    <r>
      <rPr>
        <sz val="9"/>
        <rFont val="WenQuanYi Zen Hei"/>
        <family val="2"/>
      </rPr>
      <t xml:space="preserve">實務用半凱利</t>
    </r>
    <r>
      <rPr>
        <sz val="9"/>
        <rFont val="Arial"/>
        <family val="0"/>
        <charset val="1"/>
      </rPr>
      <t xml:space="preserve">f*/2</t>
    </r>
  </si>
  <si>
    <t xml:space="preserve">半凱利</t>
  </si>
  <si>
    <t xml:space="preserve">由統計優勢推最優倉位比例</t>
  </si>
  <si>
    <r>
      <rPr>
        <b val="true"/>
        <sz val="12"/>
        <rFont val="Arial"/>
        <family val="0"/>
        <charset val="1"/>
      </rPr>
      <t xml:space="preserve">12</t>
    </r>
    <r>
      <rPr>
        <b val="true"/>
        <sz val="12"/>
        <rFont val="WenQuanYi Zen Hei"/>
        <family val="2"/>
      </rPr>
      <t xml:space="preserve">個代表指標活公式示範 </t>
    </r>
    <r>
      <rPr>
        <b val="true"/>
        <sz val="12"/>
        <rFont val="Arial"/>
        <family val="0"/>
        <charset val="1"/>
      </rPr>
      <t xml:space="preserve">| </t>
    </r>
    <r>
      <rPr>
        <b val="true"/>
        <sz val="12"/>
        <rFont val="WenQuanYi Zen Hei"/>
        <family val="2"/>
      </rPr>
      <t xml:space="preserve">數據</t>
    </r>
    <r>
      <rPr>
        <b val="true"/>
        <sz val="12"/>
        <rFont val="Arial"/>
        <family val="0"/>
        <charset val="1"/>
      </rPr>
      <t xml:space="preserve">=</t>
    </r>
    <r>
      <rPr>
        <b val="true"/>
        <sz val="12"/>
        <rFont val="WenQuanYi Zen Hei"/>
        <family val="2"/>
      </rPr>
      <t xml:space="preserve">原工作簿</t>
    </r>
    <r>
      <rPr>
        <b val="true"/>
        <sz val="12"/>
        <rFont val="Arial"/>
        <family val="0"/>
        <charset val="1"/>
      </rPr>
      <t xml:space="preserve">02A</t>
    </r>
    <r>
      <rPr>
        <b val="true"/>
        <sz val="12"/>
        <rFont val="WenQuanYi Zen Hei"/>
        <family val="2"/>
      </rPr>
      <t xml:space="preserve">之</t>
    </r>
    <r>
      <rPr>
        <b val="true"/>
        <sz val="12"/>
        <rFont val="Arial"/>
        <family val="0"/>
        <charset val="1"/>
      </rPr>
      <t xml:space="preserve">NDX</t>
    </r>
    <r>
      <rPr>
        <b val="true"/>
        <sz val="12"/>
        <rFont val="WenQuanYi Zen Hei"/>
        <family val="2"/>
      </rPr>
      <t xml:space="preserve">真實收盤</t>
    </r>
    <r>
      <rPr>
        <b val="true"/>
        <sz val="12"/>
        <rFont val="Arial"/>
        <family val="0"/>
        <charset val="1"/>
      </rPr>
      <t xml:space="preserve">(2016-07-08..2026-07-10, 2515</t>
    </r>
    <r>
      <rPr>
        <b val="true"/>
        <sz val="12"/>
        <rFont val="WenQuanYi Zen Hei"/>
        <family val="2"/>
      </rPr>
      <t xml:space="preserve">日</t>
    </r>
    <r>
      <rPr>
        <b val="true"/>
        <sz val="12"/>
        <rFont val="Arial"/>
        <family val="0"/>
        <charset val="1"/>
      </rPr>
      <t xml:space="preserve">) | </t>
    </r>
    <r>
      <rPr>
        <b val="true"/>
        <sz val="12"/>
        <rFont val="WenQuanYi Zen Hei"/>
        <family val="2"/>
      </rPr>
      <t xml:space="preserve">每格公式可點開查看 </t>
    </r>
    <r>
      <rPr>
        <b val="true"/>
        <sz val="12"/>
        <rFont val="Arial"/>
        <family val="0"/>
        <charset val="1"/>
      </rPr>
      <t xml:space="preserve">| </t>
    </r>
    <r>
      <rPr>
        <b val="true"/>
        <sz val="12"/>
        <rFont val="WenQuanYi Zen Hei"/>
        <family val="2"/>
      </rPr>
      <t xml:space="preserve">對應</t>
    </r>
    <r>
      <rPr>
        <b val="true"/>
        <sz val="12"/>
        <rFont val="Arial"/>
        <family val="0"/>
        <charset val="1"/>
      </rPr>
      <t xml:space="preserve">01</t>
    </r>
    <r>
      <rPr>
        <b val="true"/>
        <sz val="12"/>
        <rFont val="WenQuanYi Zen Hei"/>
        <family val="2"/>
      </rPr>
      <t xml:space="preserve">表序號標於第</t>
    </r>
    <r>
      <rPr>
        <b val="true"/>
        <sz val="12"/>
        <rFont val="Arial"/>
        <family val="0"/>
        <charset val="1"/>
      </rPr>
      <t xml:space="preserve">2</t>
    </r>
    <r>
      <rPr>
        <b val="true"/>
        <sz val="12"/>
        <rFont val="WenQuanYi Zen Hei"/>
        <family val="2"/>
      </rPr>
      <t xml:space="preserve">行 </t>
    </r>
    <r>
      <rPr>
        <b val="true"/>
        <sz val="12"/>
        <rFont val="Arial"/>
        <family val="0"/>
        <charset val="1"/>
      </rPr>
      <t xml:space="preserve">| </t>
    </r>
    <r>
      <rPr>
        <b val="true"/>
        <sz val="12"/>
        <rFont val="WenQuanYi Zen Hei"/>
        <family val="2"/>
      </rPr>
      <t xml:space="preserve">收盤價</t>
    </r>
    <r>
      <rPr>
        <b val="true"/>
        <sz val="12"/>
        <rFont val="Arial"/>
        <family val="0"/>
        <charset val="1"/>
      </rPr>
      <t xml:space="preserve">only, </t>
    </r>
    <r>
      <rPr>
        <b val="true"/>
        <sz val="12"/>
        <rFont val="WenQuanYi Zen Hei"/>
        <family val="2"/>
      </rPr>
      <t xml:space="preserve">需</t>
    </r>
    <r>
      <rPr>
        <b val="true"/>
        <sz val="12"/>
        <rFont val="Arial"/>
        <family val="0"/>
        <charset val="1"/>
      </rPr>
      <t xml:space="preserve">H/L/V</t>
    </r>
    <r>
      <rPr>
        <b val="true"/>
        <sz val="12"/>
        <rFont val="WenQuanYi Zen Hei"/>
        <family val="2"/>
      </rPr>
      <t xml:space="preserve">之指標</t>
    </r>
    <r>
      <rPr>
        <b val="true"/>
        <sz val="12"/>
        <rFont val="Arial"/>
        <family val="0"/>
        <charset val="1"/>
      </rPr>
      <t xml:space="preserve">(ATR/KD</t>
    </r>
    <r>
      <rPr>
        <b val="true"/>
        <sz val="12"/>
        <rFont val="WenQuanYi Zen Hei"/>
        <family val="2"/>
      </rPr>
      <t xml:space="preserve">等</t>
    </r>
    <r>
      <rPr>
        <b val="true"/>
        <sz val="12"/>
        <rFont val="Arial"/>
        <family val="0"/>
        <charset val="1"/>
      </rPr>
      <t xml:space="preserve">)</t>
    </r>
    <r>
      <rPr>
        <b val="true"/>
        <sz val="12"/>
        <rFont val="WenQuanYi Zen Hei"/>
        <family val="2"/>
      </rPr>
      <t xml:space="preserve">見</t>
    </r>
    <r>
      <rPr>
        <b val="true"/>
        <sz val="12"/>
        <rFont val="Arial"/>
        <family val="0"/>
        <charset val="1"/>
      </rPr>
      <t xml:space="preserve">01</t>
    </r>
    <r>
      <rPr>
        <b val="true"/>
        <sz val="12"/>
        <rFont val="WenQuanYi Zen Hei"/>
        <family val="2"/>
      </rPr>
      <t xml:space="preserve">表公式</t>
    </r>
  </si>
  <si>
    <t xml:space="preserve">日期</t>
  </si>
  <si>
    <r>
      <rPr>
        <b val="true"/>
        <sz val="9"/>
        <rFont val="Arial"/>
        <family val="0"/>
        <charset val="1"/>
      </rPr>
      <t xml:space="preserve">NDX</t>
    </r>
    <r>
      <rPr>
        <b val="true"/>
        <sz val="9"/>
        <rFont val="WenQuanYi Zen Hei"/>
        <family val="2"/>
      </rPr>
      <t xml:space="preserve">收盤</t>
    </r>
  </si>
  <si>
    <t xml:space="preserve">日報酬</t>
  </si>
  <si>
    <t xml:space="preserve">SMA50</t>
  </si>
  <si>
    <t xml:space="preserve">SMA200</t>
  </si>
  <si>
    <t xml:space="preserve">EMA12</t>
  </si>
  <si>
    <t xml:space="preserve">EMA26</t>
  </si>
  <si>
    <t xml:space="preserve">Signal9</t>
  </si>
  <si>
    <t xml:space="preserve">Hist</t>
  </si>
  <si>
    <r>
      <rPr>
        <b val="true"/>
        <sz val="9"/>
        <rFont val="WenQuanYi Zen Hei"/>
        <family val="2"/>
      </rPr>
      <t xml:space="preserve">漲幅</t>
    </r>
    <r>
      <rPr>
        <b val="true"/>
        <sz val="9"/>
        <rFont val="Arial"/>
        <family val="0"/>
        <charset val="1"/>
      </rPr>
      <t xml:space="preserve">U</t>
    </r>
  </si>
  <si>
    <r>
      <rPr>
        <b val="true"/>
        <sz val="9"/>
        <rFont val="WenQuanYi Zen Hei"/>
        <family val="2"/>
      </rPr>
      <t xml:space="preserve">跌幅</t>
    </r>
    <r>
      <rPr>
        <b val="true"/>
        <sz val="9"/>
        <rFont val="Arial"/>
        <family val="0"/>
        <charset val="1"/>
      </rPr>
      <t xml:space="preserve">D</t>
    </r>
  </si>
  <si>
    <t xml:space="preserve">AvgU14</t>
  </si>
  <si>
    <t xml:space="preserve">AvgD14</t>
  </si>
  <si>
    <t xml:space="preserve">RSI14</t>
  </si>
  <si>
    <t xml:space="preserve">布林上軌</t>
  </si>
  <si>
    <t xml:space="preserve">布林下軌</t>
  </si>
  <si>
    <t xml:space="preserve">ROC20</t>
  </si>
  <si>
    <r>
      <rPr>
        <b val="true"/>
        <sz val="9"/>
        <rFont val="Arial"/>
        <family val="0"/>
        <charset val="1"/>
      </rPr>
      <t xml:space="preserve">HV20</t>
    </r>
    <r>
      <rPr>
        <b val="true"/>
        <sz val="9"/>
        <rFont val="WenQuanYi Zen Hei"/>
        <family val="2"/>
      </rPr>
      <t xml:space="preserve">年化</t>
    </r>
    <r>
      <rPr>
        <b val="true"/>
        <sz val="9"/>
        <rFont val="Arial"/>
        <family val="0"/>
        <charset val="1"/>
      </rPr>
      <t xml:space="preserve">%</t>
    </r>
  </si>
  <si>
    <r>
      <rPr>
        <b val="true"/>
        <sz val="9"/>
        <rFont val="Arial"/>
        <family val="0"/>
        <charset val="1"/>
      </rPr>
      <t xml:space="preserve">12-1</t>
    </r>
    <r>
      <rPr>
        <b val="true"/>
        <sz val="9"/>
        <rFont val="WenQuanYi Zen Hei"/>
        <family val="2"/>
      </rPr>
      <t xml:space="preserve">動能</t>
    </r>
  </si>
  <si>
    <r>
      <rPr>
        <b val="true"/>
        <sz val="9"/>
        <rFont val="WenQuanYi Zen Hei"/>
        <family val="2"/>
      </rPr>
      <t xml:space="preserve">距</t>
    </r>
    <r>
      <rPr>
        <b val="true"/>
        <sz val="9"/>
        <rFont val="Arial"/>
        <family val="0"/>
        <charset val="1"/>
      </rPr>
      <t xml:space="preserve">52</t>
    </r>
    <r>
      <rPr>
        <b val="true"/>
        <sz val="9"/>
        <rFont val="WenQuanYi Zen Hei"/>
        <family val="2"/>
      </rPr>
      <t xml:space="preserve">週高</t>
    </r>
  </si>
  <si>
    <t xml:space="preserve">Z-score20</t>
  </si>
  <si>
    <t xml:space="preserve">數據</t>
  </si>
  <si>
    <t xml:space="preserve">#1/#3</t>
  </si>
  <si>
    <t xml:space="preserve">#1</t>
  </si>
  <si>
    <t xml:space="preserve">#12</t>
  </si>
  <si>
    <t xml:space="preserve">#4</t>
  </si>
  <si>
    <t xml:space="preserve">#5</t>
  </si>
  <si>
    <t xml:space="preserve">#8</t>
  </si>
  <si>
    <t xml:space="preserve">#31</t>
  </si>
  <si>
    <t xml:space="preserve">#26</t>
  </si>
  <si>
    <t xml:space="preserve">#2</t>
  </si>
  <si>
    <t xml:space="preserve">#9</t>
  </si>
  <si>
    <t xml:space="preserve">#86</t>
  </si>
  <si>
    <t xml:space="preserve">2016-07-08</t>
  </si>
  <si>
    <t xml:space="preserve">2016-07-11</t>
  </si>
  <si>
    <t xml:space="preserve">2016-07-12</t>
  </si>
  <si>
    <t xml:space="preserve">2016-07-13</t>
  </si>
  <si>
    <t xml:space="preserve">2016-07-14</t>
  </si>
  <si>
    <t xml:space="preserve">2016-07-15</t>
  </si>
  <si>
    <t xml:space="preserve">2016-07-18</t>
  </si>
  <si>
    <t xml:space="preserve">2016-07-19</t>
  </si>
  <si>
    <t xml:space="preserve">2016-07-20</t>
  </si>
  <si>
    <t xml:space="preserve">2016-07-21</t>
  </si>
  <si>
    <t xml:space="preserve">2016-07-22</t>
  </si>
  <si>
    <t xml:space="preserve">2016-07-25</t>
  </si>
  <si>
    <t xml:space="preserve">2016-07-26</t>
  </si>
  <si>
    <t xml:space="preserve">2016-07-27</t>
  </si>
  <si>
    <t xml:space="preserve">2016-07-28</t>
  </si>
  <si>
    <t xml:space="preserve">2016-07-29</t>
  </si>
  <si>
    <t xml:space="preserve">2016-08-01</t>
  </si>
  <si>
    <t xml:space="preserve">2016-08-02</t>
  </si>
  <si>
    <t xml:space="preserve">2016-08-03</t>
  </si>
  <si>
    <t xml:space="preserve">2016-08-04</t>
  </si>
  <si>
    <t xml:space="preserve">2016-08-05</t>
  </si>
  <si>
    <t xml:space="preserve">2016-08-08</t>
  </si>
  <si>
    <t xml:space="preserve">2016-08-09</t>
  </si>
  <si>
    <t xml:space="preserve">2016-08-10</t>
  </si>
  <si>
    <t xml:space="preserve">2016-08-11</t>
  </si>
  <si>
    <t xml:space="preserve">2016-08-12</t>
  </si>
  <si>
    <t xml:space="preserve">2016-08-15</t>
  </si>
  <si>
    <t xml:space="preserve">2016-08-16</t>
  </si>
  <si>
    <t xml:space="preserve">2016-08-17</t>
  </si>
  <si>
    <t xml:space="preserve">2016-08-18</t>
  </si>
  <si>
    <t xml:space="preserve">2016-08-19</t>
  </si>
  <si>
    <t xml:space="preserve">2016-08-22</t>
  </si>
  <si>
    <t xml:space="preserve">2016-08-23</t>
  </si>
  <si>
    <t xml:space="preserve">2016-08-24</t>
  </si>
  <si>
    <t xml:space="preserve">2016-08-25</t>
  </si>
  <si>
    <t xml:space="preserve">2016-08-26</t>
  </si>
  <si>
    <t xml:space="preserve">2016-08-29</t>
  </si>
  <si>
    <t xml:space="preserve">2016-08-30</t>
  </si>
  <si>
    <t xml:space="preserve">2016-08-31</t>
  </si>
  <si>
    <t xml:space="preserve">2016-09-01</t>
  </si>
  <si>
    <t xml:space="preserve">2016-09-02</t>
  </si>
  <si>
    <t xml:space="preserve">2016-09-06</t>
  </si>
  <si>
    <t xml:space="preserve">2016-09-07</t>
  </si>
  <si>
    <t xml:space="preserve">2016-09-08</t>
  </si>
  <si>
    <t xml:space="preserve">2016-09-09</t>
  </si>
  <si>
    <t xml:space="preserve">2016-09-12</t>
  </si>
  <si>
    <t xml:space="preserve">2016-09-13</t>
  </si>
  <si>
    <t xml:space="preserve">2016-09-14</t>
  </si>
  <si>
    <t xml:space="preserve">2016-09-15</t>
  </si>
  <si>
    <t xml:space="preserve">2016-09-16</t>
  </si>
  <si>
    <t xml:space="preserve">2016-09-19</t>
  </si>
  <si>
    <t xml:space="preserve">2016-09-20</t>
  </si>
  <si>
    <t xml:space="preserve">2016-09-21</t>
  </si>
  <si>
    <t xml:space="preserve">2016-09-22</t>
  </si>
  <si>
    <t xml:space="preserve">2016-09-23</t>
  </si>
  <si>
    <t xml:space="preserve">2016-09-26</t>
  </si>
  <si>
    <t xml:space="preserve">2016-09-27</t>
  </si>
  <si>
    <t xml:space="preserve">2016-09-28</t>
  </si>
  <si>
    <t xml:space="preserve">2016-09-29</t>
  </si>
  <si>
    <t xml:space="preserve">2016-09-30</t>
  </si>
  <si>
    <t xml:space="preserve">2016-10-03</t>
  </si>
  <si>
    <t xml:space="preserve">2016-10-04</t>
  </si>
  <si>
    <t xml:space="preserve">2016-10-05</t>
  </si>
  <si>
    <t xml:space="preserve">2016-10-06</t>
  </si>
  <si>
    <t xml:space="preserve">2016-10-07</t>
  </si>
  <si>
    <t xml:space="preserve">2016-10-10</t>
  </si>
  <si>
    <t xml:space="preserve">2016-10-11</t>
  </si>
  <si>
    <t xml:space="preserve">2016-10-12</t>
  </si>
  <si>
    <t xml:space="preserve">2016-10-13</t>
  </si>
  <si>
    <t xml:space="preserve">2016-10-14</t>
  </si>
  <si>
    <t xml:space="preserve">2016-10-17</t>
  </si>
  <si>
    <t xml:space="preserve">2016-10-18</t>
  </si>
  <si>
    <t xml:space="preserve">2016-10-19</t>
  </si>
  <si>
    <t xml:space="preserve">2016-10-20</t>
  </si>
  <si>
    <t xml:space="preserve">2016-10-21</t>
  </si>
  <si>
    <t xml:space="preserve">2016-10-24</t>
  </si>
  <si>
    <t xml:space="preserve">2016-10-25</t>
  </si>
  <si>
    <t xml:space="preserve">2016-10-26</t>
  </si>
  <si>
    <t xml:space="preserve">2016-10-27</t>
  </si>
  <si>
    <t xml:space="preserve">2016-10-28</t>
  </si>
  <si>
    <t xml:space="preserve">2016-10-31</t>
  </si>
  <si>
    <t xml:space="preserve">2016-11-01</t>
  </si>
  <si>
    <t xml:space="preserve">2016-11-02</t>
  </si>
  <si>
    <t xml:space="preserve">2016-11-03</t>
  </si>
  <si>
    <t xml:space="preserve">2016-11-04</t>
  </si>
  <si>
    <t xml:space="preserve">2016-11-07</t>
  </si>
  <si>
    <t xml:space="preserve">2016-11-08</t>
  </si>
  <si>
    <t xml:space="preserve">2016-11-09</t>
  </si>
  <si>
    <t xml:space="preserve">2016-11-10</t>
  </si>
  <si>
    <t xml:space="preserve">2016-11-11</t>
  </si>
  <si>
    <t xml:space="preserve">2016-11-14</t>
  </si>
  <si>
    <t xml:space="preserve">2016-11-15</t>
  </si>
  <si>
    <t xml:space="preserve">2016-11-16</t>
  </si>
  <si>
    <t xml:space="preserve">2016-11-17</t>
  </si>
  <si>
    <t xml:space="preserve">2016-11-18</t>
  </si>
  <si>
    <t xml:space="preserve">2016-11-21</t>
  </si>
  <si>
    <t xml:space="preserve">2016-11-22</t>
  </si>
  <si>
    <t xml:space="preserve">2016-11-23</t>
  </si>
  <si>
    <t xml:space="preserve">2016-11-25</t>
  </si>
  <si>
    <t xml:space="preserve">2016-11-28</t>
  </si>
  <si>
    <t xml:space="preserve">2016-11-29</t>
  </si>
  <si>
    <t xml:space="preserve">2016-11-30</t>
  </si>
  <si>
    <t xml:space="preserve">2016-12-01</t>
  </si>
  <si>
    <t xml:space="preserve">2016-12-02</t>
  </si>
  <si>
    <t xml:space="preserve">2016-12-05</t>
  </si>
  <si>
    <t xml:space="preserve">2016-12-06</t>
  </si>
  <si>
    <t xml:space="preserve">2016-12-07</t>
  </si>
  <si>
    <t xml:space="preserve">2016-12-08</t>
  </si>
  <si>
    <t xml:space="preserve">2016-12-09</t>
  </si>
  <si>
    <t xml:space="preserve">2016-12-12</t>
  </si>
  <si>
    <t xml:space="preserve">2016-12-13</t>
  </si>
  <si>
    <t xml:space="preserve">2016-12-14</t>
  </si>
  <si>
    <t xml:space="preserve">2016-12-15</t>
  </si>
  <si>
    <t xml:space="preserve">2016-12-16</t>
  </si>
  <si>
    <t xml:space="preserve">2016-12-19</t>
  </si>
  <si>
    <t xml:space="preserve">2016-12-20</t>
  </si>
  <si>
    <t xml:space="preserve">2016-12-21</t>
  </si>
  <si>
    <t xml:space="preserve">2016-12-22</t>
  </si>
  <si>
    <t xml:space="preserve">2016-12-23</t>
  </si>
  <si>
    <t xml:space="preserve">2016-12-27</t>
  </si>
  <si>
    <t xml:space="preserve">2016-12-28</t>
  </si>
  <si>
    <t xml:space="preserve">2016-12-29</t>
  </si>
  <si>
    <t xml:space="preserve">2016-12-30</t>
  </si>
  <si>
    <t xml:space="preserve">2017-01-03</t>
  </si>
  <si>
    <t xml:space="preserve">2017-01-04</t>
  </si>
  <si>
    <t xml:space="preserve">2017-01-05</t>
  </si>
  <si>
    <t xml:space="preserve">2017-01-06</t>
  </si>
  <si>
    <t xml:space="preserve">2017-01-09</t>
  </si>
  <si>
    <t xml:space="preserve">2017-01-10</t>
  </si>
  <si>
    <t xml:space="preserve">2017-01-11</t>
  </si>
  <si>
    <t xml:space="preserve">2017-01-12</t>
  </si>
  <si>
    <t xml:space="preserve">2017-01-13</t>
  </si>
  <si>
    <t xml:space="preserve">2017-01-17</t>
  </si>
  <si>
    <t xml:space="preserve">2017-01-18</t>
  </si>
  <si>
    <t xml:space="preserve">2017-01-19</t>
  </si>
  <si>
    <t xml:space="preserve">2017-01-20</t>
  </si>
  <si>
    <t xml:space="preserve">2017-01-23</t>
  </si>
  <si>
    <t xml:space="preserve">2017-01-24</t>
  </si>
  <si>
    <t xml:space="preserve">2017-01-25</t>
  </si>
  <si>
    <t xml:space="preserve">2017-01-26</t>
  </si>
  <si>
    <t xml:space="preserve">2017-01-27</t>
  </si>
  <si>
    <t xml:space="preserve">2017-01-30</t>
  </si>
  <si>
    <t xml:space="preserve">2017-01-31</t>
  </si>
  <si>
    <t xml:space="preserve">2017-02-01</t>
  </si>
  <si>
    <t xml:space="preserve">2017-02-02</t>
  </si>
  <si>
    <t xml:space="preserve">2017-02-03</t>
  </si>
  <si>
    <t xml:space="preserve">2017-02-06</t>
  </si>
  <si>
    <t xml:space="preserve">2017-02-07</t>
  </si>
  <si>
    <t xml:space="preserve">2017-02-08</t>
  </si>
  <si>
    <t xml:space="preserve">2017-02-09</t>
  </si>
  <si>
    <t xml:space="preserve">2017-02-10</t>
  </si>
  <si>
    <t xml:space="preserve">2017-02-13</t>
  </si>
  <si>
    <t xml:space="preserve">2017-02-14</t>
  </si>
  <si>
    <t xml:space="preserve">2017-02-15</t>
  </si>
  <si>
    <t xml:space="preserve">2017-02-16</t>
  </si>
  <si>
    <t xml:space="preserve">2017-02-17</t>
  </si>
  <si>
    <t xml:space="preserve">2017-02-21</t>
  </si>
  <si>
    <t xml:space="preserve">2017-02-22</t>
  </si>
  <si>
    <t xml:space="preserve">2017-02-23</t>
  </si>
  <si>
    <t xml:space="preserve">2017-02-24</t>
  </si>
  <si>
    <t xml:space="preserve">2017-02-27</t>
  </si>
  <si>
    <t xml:space="preserve">2017-02-28</t>
  </si>
  <si>
    <t xml:space="preserve">2017-03-01</t>
  </si>
  <si>
    <t xml:space="preserve">2017-03-02</t>
  </si>
  <si>
    <t xml:space="preserve">2017-03-03</t>
  </si>
  <si>
    <t xml:space="preserve">2017-03-06</t>
  </si>
  <si>
    <t xml:space="preserve">2017-03-07</t>
  </si>
  <si>
    <t xml:space="preserve">2017-03-08</t>
  </si>
  <si>
    <t xml:space="preserve">2017-03-09</t>
  </si>
  <si>
    <t xml:space="preserve">2017-03-10</t>
  </si>
  <si>
    <t xml:space="preserve">2017-03-13</t>
  </si>
  <si>
    <t xml:space="preserve">2017-03-14</t>
  </si>
  <si>
    <t xml:space="preserve">2017-03-15</t>
  </si>
  <si>
    <t xml:space="preserve">2017-03-16</t>
  </si>
  <si>
    <t xml:space="preserve">2017-03-17</t>
  </si>
  <si>
    <t xml:space="preserve">2017-03-20</t>
  </si>
  <si>
    <t xml:space="preserve">2017-03-21</t>
  </si>
  <si>
    <t xml:space="preserve">2017-03-22</t>
  </si>
  <si>
    <t xml:space="preserve">2017-03-23</t>
  </si>
  <si>
    <t xml:space="preserve">2017-03-24</t>
  </si>
  <si>
    <t xml:space="preserve">2017-03-27</t>
  </si>
  <si>
    <t xml:space="preserve">2017-03-28</t>
  </si>
  <si>
    <t xml:space="preserve">2017-03-29</t>
  </si>
  <si>
    <t xml:space="preserve">2017-03-30</t>
  </si>
  <si>
    <t xml:space="preserve">2017-03-31</t>
  </si>
  <si>
    <t xml:space="preserve">2017-04-03</t>
  </si>
  <si>
    <t xml:space="preserve">2017-04-04</t>
  </si>
  <si>
    <t xml:space="preserve">2017-04-05</t>
  </si>
  <si>
    <t xml:space="preserve">2017-04-06</t>
  </si>
  <si>
    <t xml:space="preserve">2017-04-07</t>
  </si>
  <si>
    <t xml:space="preserve">2017-04-10</t>
  </si>
  <si>
    <t xml:space="preserve">2017-04-11</t>
  </si>
  <si>
    <t xml:space="preserve">2017-04-12</t>
  </si>
  <si>
    <t xml:space="preserve">2017-04-13</t>
  </si>
  <si>
    <t xml:space="preserve">2017-04-17</t>
  </si>
  <si>
    <t xml:space="preserve">2017-04-18</t>
  </si>
  <si>
    <t xml:space="preserve">2017-04-19</t>
  </si>
  <si>
    <t xml:space="preserve">2017-04-20</t>
  </si>
  <si>
    <t xml:space="preserve">2017-04-21</t>
  </si>
  <si>
    <t xml:space="preserve">2017-04-24</t>
  </si>
  <si>
    <t xml:space="preserve">2017-04-25</t>
  </si>
  <si>
    <t xml:space="preserve">2017-04-26</t>
  </si>
  <si>
    <t xml:space="preserve">2017-04-27</t>
  </si>
  <si>
    <t xml:space="preserve">2017-04-28</t>
  </si>
  <si>
    <t xml:space="preserve">2017-05-01</t>
  </si>
  <si>
    <t xml:space="preserve">2017-05-02</t>
  </si>
  <si>
    <t xml:space="preserve">2017-05-03</t>
  </si>
  <si>
    <t xml:space="preserve">2017-05-04</t>
  </si>
  <si>
    <t xml:space="preserve">2017-05-05</t>
  </si>
  <si>
    <t xml:space="preserve">2017-05-08</t>
  </si>
  <si>
    <t xml:space="preserve">2017-05-09</t>
  </si>
  <si>
    <t xml:space="preserve">2017-05-10</t>
  </si>
  <si>
    <t xml:space="preserve">2017-05-11</t>
  </si>
  <si>
    <t xml:space="preserve">2017-05-12</t>
  </si>
  <si>
    <t xml:space="preserve">2017-05-15</t>
  </si>
  <si>
    <t xml:space="preserve">2017-05-16</t>
  </si>
  <si>
    <t xml:space="preserve">2017-05-17</t>
  </si>
  <si>
    <t xml:space="preserve">2017-05-18</t>
  </si>
  <si>
    <t xml:space="preserve">2017-05-19</t>
  </si>
  <si>
    <t xml:space="preserve">2017-05-22</t>
  </si>
  <si>
    <t xml:space="preserve">2017-05-23</t>
  </si>
  <si>
    <t xml:space="preserve">2017-05-24</t>
  </si>
  <si>
    <t xml:space="preserve">2017-05-25</t>
  </si>
  <si>
    <t xml:space="preserve">2017-05-26</t>
  </si>
  <si>
    <t xml:space="preserve">2017-05-30</t>
  </si>
  <si>
    <t xml:space="preserve">2017-05-31</t>
  </si>
  <si>
    <t xml:space="preserve">2017-06-01</t>
  </si>
  <si>
    <t xml:space="preserve">2017-06-02</t>
  </si>
  <si>
    <t xml:space="preserve">2017-06-05</t>
  </si>
  <si>
    <t xml:space="preserve">2017-06-06</t>
  </si>
  <si>
    <t xml:space="preserve">2017-06-07</t>
  </si>
  <si>
    <t xml:space="preserve">2017-06-08</t>
  </si>
  <si>
    <t xml:space="preserve">2017-06-09</t>
  </si>
  <si>
    <t xml:space="preserve">2017-06-12</t>
  </si>
  <si>
    <t xml:space="preserve">2017-06-13</t>
  </si>
  <si>
    <t xml:space="preserve">2017-06-14</t>
  </si>
  <si>
    <t xml:space="preserve">2017-06-15</t>
  </si>
  <si>
    <t xml:space="preserve">2017-06-16</t>
  </si>
  <si>
    <t xml:space="preserve">2017-06-19</t>
  </si>
  <si>
    <t xml:space="preserve">2017-06-20</t>
  </si>
  <si>
    <t xml:space="preserve">2017-06-21</t>
  </si>
  <si>
    <t xml:space="preserve">2017-06-22</t>
  </si>
  <si>
    <t xml:space="preserve">2017-06-23</t>
  </si>
  <si>
    <t xml:space="preserve">2017-06-26</t>
  </si>
  <si>
    <t xml:space="preserve">2017-06-27</t>
  </si>
  <si>
    <t xml:space="preserve">2017-06-28</t>
  </si>
  <si>
    <t xml:space="preserve">2017-06-29</t>
  </si>
  <si>
    <t xml:space="preserve">2017-06-30</t>
  </si>
  <si>
    <t xml:space="preserve">2017-07-03</t>
  </si>
  <si>
    <t xml:space="preserve">2017-07-05</t>
  </si>
  <si>
    <t xml:space="preserve">2017-07-06</t>
  </si>
  <si>
    <t xml:space="preserve">2017-07-07</t>
  </si>
  <si>
    <t xml:space="preserve">2017-07-10</t>
  </si>
  <si>
    <t xml:space="preserve">2017-07-11</t>
  </si>
  <si>
    <t xml:space="preserve">2017-07-12</t>
  </si>
  <si>
    <t xml:space="preserve">2017-07-13</t>
  </si>
  <si>
    <t xml:space="preserve">2017-07-14</t>
  </si>
  <si>
    <t xml:space="preserve">2017-07-17</t>
  </si>
  <si>
    <t xml:space="preserve">2017-07-18</t>
  </si>
  <si>
    <t xml:space="preserve">2017-07-19</t>
  </si>
  <si>
    <t xml:space="preserve">2017-07-20</t>
  </si>
  <si>
    <t xml:space="preserve">2017-07-21</t>
  </si>
  <si>
    <t xml:space="preserve">2017-07-24</t>
  </si>
  <si>
    <t xml:space="preserve">2017-07-25</t>
  </si>
  <si>
    <t xml:space="preserve">2017-07-26</t>
  </si>
  <si>
    <t xml:space="preserve">2017-07-27</t>
  </si>
  <si>
    <t xml:space="preserve">2017-07-28</t>
  </si>
  <si>
    <t xml:space="preserve">2017-07-31</t>
  </si>
  <si>
    <t xml:space="preserve">2017-08-01</t>
  </si>
  <si>
    <t xml:space="preserve">2017-08-02</t>
  </si>
  <si>
    <t xml:space="preserve">2017-08-03</t>
  </si>
  <si>
    <t xml:space="preserve">2017-08-04</t>
  </si>
  <si>
    <t xml:space="preserve">2017-08-07</t>
  </si>
  <si>
    <t xml:space="preserve">2017-08-08</t>
  </si>
  <si>
    <t xml:space="preserve">2017-08-09</t>
  </si>
  <si>
    <t xml:space="preserve">2017-08-10</t>
  </si>
  <si>
    <t xml:space="preserve">2017-08-11</t>
  </si>
  <si>
    <t xml:space="preserve">2017-08-14</t>
  </si>
  <si>
    <t xml:space="preserve">2017-08-15</t>
  </si>
  <si>
    <t xml:space="preserve">2017-08-16</t>
  </si>
  <si>
    <t xml:space="preserve">2017-08-17</t>
  </si>
  <si>
    <t xml:space="preserve">2017-08-18</t>
  </si>
  <si>
    <t xml:space="preserve">2017-08-21</t>
  </si>
  <si>
    <t xml:space="preserve">2017-08-22</t>
  </si>
  <si>
    <t xml:space="preserve">2017-08-23</t>
  </si>
  <si>
    <t xml:space="preserve">2017-08-24</t>
  </si>
  <si>
    <t xml:space="preserve">2017-08-25</t>
  </si>
  <si>
    <t xml:space="preserve">2017-08-28</t>
  </si>
  <si>
    <t xml:space="preserve">2017-08-29</t>
  </si>
  <si>
    <t xml:space="preserve">2017-08-30</t>
  </si>
  <si>
    <t xml:space="preserve">2017-08-31</t>
  </si>
  <si>
    <t xml:space="preserve">2017-09-01</t>
  </si>
  <si>
    <t xml:space="preserve">2017-09-05</t>
  </si>
  <si>
    <t xml:space="preserve">2017-09-06</t>
  </si>
  <si>
    <t xml:space="preserve">2017-09-07</t>
  </si>
  <si>
    <t xml:space="preserve">2017-09-08</t>
  </si>
  <si>
    <t xml:space="preserve">2017-09-11</t>
  </si>
  <si>
    <t xml:space="preserve">2017-09-12</t>
  </si>
  <si>
    <t xml:space="preserve">2017-09-13</t>
  </si>
  <si>
    <t xml:space="preserve">2017-09-14</t>
  </si>
  <si>
    <t xml:space="preserve">2017-09-15</t>
  </si>
  <si>
    <t xml:space="preserve">2017-09-18</t>
  </si>
  <si>
    <t xml:space="preserve">2017-09-19</t>
  </si>
  <si>
    <t xml:space="preserve">2017-09-20</t>
  </si>
  <si>
    <t xml:space="preserve">2017-09-21</t>
  </si>
  <si>
    <t xml:space="preserve">2017-09-22</t>
  </si>
  <si>
    <t xml:space="preserve">2017-09-25</t>
  </si>
  <si>
    <t xml:space="preserve">2017-09-26</t>
  </si>
  <si>
    <t xml:space="preserve">2017-09-27</t>
  </si>
  <si>
    <t xml:space="preserve">2017-09-28</t>
  </si>
  <si>
    <t xml:space="preserve">2017-09-29</t>
  </si>
  <si>
    <t xml:space="preserve">2017-10-02</t>
  </si>
  <si>
    <t xml:space="preserve">2017-10-03</t>
  </si>
  <si>
    <t xml:space="preserve">2017-10-04</t>
  </si>
  <si>
    <t xml:space="preserve">2017-10-05</t>
  </si>
  <si>
    <t xml:space="preserve">2017-10-06</t>
  </si>
  <si>
    <t xml:space="preserve">2017-10-09</t>
  </si>
  <si>
    <t xml:space="preserve">2017-10-10</t>
  </si>
  <si>
    <t xml:space="preserve">2017-10-11</t>
  </si>
  <si>
    <t xml:space="preserve">2017-10-12</t>
  </si>
  <si>
    <t xml:space="preserve">2017-10-13</t>
  </si>
  <si>
    <t xml:space="preserve">2017-10-16</t>
  </si>
  <si>
    <t xml:space="preserve">2017-10-17</t>
  </si>
  <si>
    <t xml:space="preserve">2017-10-18</t>
  </si>
  <si>
    <t xml:space="preserve">2017-10-19</t>
  </si>
  <si>
    <t xml:space="preserve">2017-10-20</t>
  </si>
  <si>
    <t xml:space="preserve">2017-10-23</t>
  </si>
  <si>
    <t xml:space="preserve">2017-10-24</t>
  </si>
  <si>
    <t xml:space="preserve">2017-10-25</t>
  </si>
  <si>
    <t xml:space="preserve">2017-10-26</t>
  </si>
  <si>
    <t xml:space="preserve">2017-10-27</t>
  </si>
  <si>
    <t xml:space="preserve">2017-10-30</t>
  </si>
  <si>
    <t xml:space="preserve">2017-10-31</t>
  </si>
  <si>
    <t xml:space="preserve">2017-11-01</t>
  </si>
  <si>
    <t xml:space="preserve">2017-11-02</t>
  </si>
  <si>
    <t xml:space="preserve">2017-11-03</t>
  </si>
  <si>
    <t xml:space="preserve">2017-11-06</t>
  </si>
  <si>
    <t xml:space="preserve">2017-11-07</t>
  </si>
  <si>
    <t xml:space="preserve">2017-11-08</t>
  </si>
  <si>
    <t xml:space="preserve">2017-11-09</t>
  </si>
  <si>
    <t xml:space="preserve">2017-11-10</t>
  </si>
  <si>
    <t xml:space="preserve">2017-11-13</t>
  </si>
  <si>
    <t xml:space="preserve">2017-11-14</t>
  </si>
  <si>
    <t xml:space="preserve">2017-11-15</t>
  </si>
  <si>
    <t xml:space="preserve">2017-11-16</t>
  </si>
  <si>
    <t xml:space="preserve">2017-11-17</t>
  </si>
  <si>
    <t xml:space="preserve">2017-11-20</t>
  </si>
  <si>
    <t xml:space="preserve">2017-11-21</t>
  </si>
  <si>
    <t xml:space="preserve">2017-11-22</t>
  </si>
  <si>
    <t xml:space="preserve">2017-11-24</t>
  </si>
  <si>
    <t xml:space="preserve">2017-11-27</t>
  </si>
  <si>
    <t xml:space="preserve">2017-11-28</t>
  </si>
  <si>
    <t xml:space="preserve">2017-11-29</t>
  </si>
  <si>
    <t xml:space="preserve">2017-11-30</t>
  </si>
  <si>
    <t xml:space="preserve">2017-12-01</t>
  </si>
  <si>
    <t xml:space="preserve">2017-12-04</t>
  </si>
  <si>
    <t xml:space="preserve">2017-12-05</t>
  </si>
  <si>
    <t xml:space="preserve">2017-12-06</t>
  </si>
  <si>
    <t xml:space="preserve">2017-12-07</t>
  </si>
  <si>
    <t xml:space="preserve">2017-12-08</t>
  </si>
  <si>
    <t xml:space="preserve">2017-12-11</t>
  </si>
  <si>
    <t xml:space="preserve">2017-12-12</t>
  </si>
  <si>
    <t xml:space="preserve">2017-12-13</t>
  </si>
  <si>
    <t xml:space="preserve">2017-12-14</t>
  </si>
  <si>
    <t xml:space="preserve">2017-12-15</t>
  </si>
  <si>
    <t xml:space="preserve">2017-12-18</t>
  </si>
  <si>
    <t xml:space="preserve">2017-12-19</t>
  </si>
  <si>
    <t xml:space="preserve">2017-12-20</t>
  </si>
  <si>
    <t xml:space="preserve">2017-12-21</t>
  </si>
  <si>
    <t xml:space="preserve">2017-12-22</t>
  </si>
  <si>
    <t xml:space="preserve">2017-12-26</t>
  </si>
  <si>
    <t xml:space="preserve">2017-12-27</t>
  </si>
  <si>
    <t xml:space="preserve">2017-12-28</t>
  </si>
  <si>
    <t xml:space="preserve">2017-12-29</t>
  </si>
  <si>
    <t xml:space="preserve">2018-01-02</t>
  </si>
  <si>
    <t xml:space="preserve">2018-01-03</t>
  </si>
  <si>
    <t xml:space="preserve">2018-01-04</t>
  </si>
  <si>
    <t xml:space="preserve">2018-01-05</t>
  </si>
  <si>
    <t xml:space="preserve">2018-01-08</t>
  </si>
  <si>
    <t xml:space="preserve">2018-01-09</t>
  </si>
  <si>
    <t xml:space="preserve">2018-01-10</t>
  </si>
  <si>
    <t xml:space="preserve">2018-01-11</t>
  </si>
  <si>
    <t xml:space="preserve">2018-01-12</t>
  </si>
  <si>
    <t xml:space="preserve">2018-01-16</t>
  </si>
  <si>
    <t xml:space="preserve">2018-01-17</t>
  </si>
  <si>
    <t xml:space="preserve">2018-01-18</t>
  </si>
  <si>
    <t xml:space="preserve">2018-01-19</t>
  </si>
  <si>
    <t xml:space="preserve">2018-01-22</t>
  </si>
  <si>
    <t xml:space="preserve">2018-01-23</t>
  </si>
  <si>
    <t xml:space="preserve">2018-01-24</t>
  </si>
  <si>
    <t xml:space="preserve">2018-01-25</t>
  </si>
  <si>
    <t xml:space="preserve">2018-01-26</t>
  </si>
  <si>
    <t xml:space="preserve">2018-01-29</t>
  </si>
  <si>
    <t xml:space="preserve">2018-01-30</t>
  </si>
  <si>
    <t xml:space="preserve">2018-01-31</t>
  </si>
  <si>
    <t xml:space="preserve">2018-02-01</t>
  </si>
  <si>
    <t xml:space="preserve">2018-02-02</t>
  </si>
  <si>
    <t xml:space="preserve">2018-02-05</t>
  </si>
  <si>
    <t xml:space="preserve">2018-02-06</t>
  </si>
  <si>
    <t xml:space="preserve">2018-02-07</t>
  </si>
  <si>
    <t xml:space="preserve">2018-02-08</t>
  </si>
  <si>
    <t xml:space="preserve">2018-02-09</t>
  </si>
  <si>
    <t xml:space="preserve">2018-02-12</t>
  </si>
  <si>
    <t xml:space="preserve">2018-02-13</t>
  </si>
  <si>
    <t xml:space="preserve">2018-02-14</t>
  </si>
  <si>
    <t xml:space="preserve">2018-02-15</t>
  </si>
  <si>
    <t xml:space="preserve">2018-02-16</t>
  </si>
  <si>
    <t xml:space="preserve">2018-02-20</t>
  </si>
  <si>
    <t xml:space="preserve">2018-02-21</t>
  </si>
  <si>
    <t xml:space="preserve">2018-02-22</t>
  </si>
  <si>
    <t xml:space="preserve">2018-02-23</t>
  </si>
  <si>
    <t xml:space="preserve">2018-02-26</t>
  </si>
  <si>
    <t xml:space="preserve">2018-02-27</t>
  </si>
  <si>
    <t xml:space="preserve">2018-02-28</t>
  </si>
  <si>
    <t xml:space="preserve">2018-03-01</t>
  </si>
  <si>
    <t xml:space="preserve">2018-03-02</t>
  </si>
  <si>
    <t xml:space="preserve">2018-03-05</t>
  </si>
  <si>
    <t xml:space="preserve">2018-03-06</t>
  </si>
  <si>
    <t xml:space="preserve">2018-03-07</t>
  </si>
  <si>
    <t xml:space="preserve">2018-03-08</t>
  </si>
  <si>
    <t xml:space="preserve">2018-03-09</t>
  </si>
  <si>
    <t xml:space="preserve">2018-03-12</t>
  </si>
  <si>
    <t xml:space="preserve">2018-03-13</t>
  </si>
  <si>
    <t xml:space="preserve">2018-03-14</t>
  </si>
  <si>
    <t xml:space="preserve">2018-03-15</t>
  </si>
  <si>
    <t xml:space="preserve">2018-03-16</t>
  </si>
  <si>
    <t xml:space="preserve">2018-03-19</t>
  </si>
  <si>
    <t xml:space="preserve">2018-03-20</t>
  </si>
  <si>
    <t xml:space="preserve">2018-03-21</t>
  </si>
  <si>
    <t xml:space="preserve">2018-03-22</t>
  </si>
  <si>
    <t xml:space="preserve">2018-03-23</t>
  </si>
  <si>
    <t xml:space="preserve">2018-03-26</t>
  </si>
  <si>
    <t xml:space="preserve">2018-03-27</t>
  </si>
  <si>
    <t xml:space="preserve">2018-03-28</t>
  </si>
  <si>
    <t xml:space="preserve">2018-03-29</t>
  </si>
  <si>
    <t xml:space="preserve">2018-04-02</t>
  </si>
  <si>
    <t xml:space="preserve">2018-04-03</t>
  </si>
  <si>
    <t xml:space="preserve">2018-04-04</t>
  </si>
  <si>
    <t xml:space="preserve">2018-04-05</t>
  </si>
  <si>
    <t xml:space="preserve">2018-04-06</t>
  </si>
  <si>
    <t xml:space="preserve">2018-04-09</t>
  </si>
  <si>
    <t xml:space="preserve">2018-04-10</t>
  </si>
  <si>
    <t xml:space="preserve">2018-04-11</t>
  </si>
  <si>
    <t xml:space="preserve">2018-04-12</t>
  </si>
  <si>
    <t xml:space="preserve">2018-04-13</t>
  </si>
  <si>
    <t xml:space="preserve">2018-04-16</t>
  </si>
  <si>
    <t xml:space="preserve">2018-04-17</t>
  </si>
  <si>
    <t xml:space="preserve">2018-04-18</t>
  </si>
  <si>
    <t xml:space="preserve">2018-04-19</t>
  </si>
  <si>
    <t xml:space="preserve">2018-04-20</t>
  </si>
  <si>
    <t xml:space="preserve">2018-04-23</t>
  </si>
  <si>
    <t xml:space="preserve">2018-04-24</t>
  </si>
  <si>
    <t xml:space="preserve">2018-04-25</t>
  </si>
  <si>
    <t xml:space="preserve">2018-04-26</t>
  </si>
  <si>
    <t xml:space="preserve">2018-04-27</t>
  </si>
  <si>
    <t xml:space="preserve">2018-04-30</t>
  </si>
  <si>
    <t xml:space="preserve">2018-05-01</t>
  </si>
  <si>
    <t xml:space="preserve">2018-05-02</t>
  </si>
  <si>
    <t xml:space="preserve">2018-05-03</t>
  </si>
  <si>
    <t xml:space="preserve">2018-05-04</t>
  </si>
  <si>
    <t xml:space="preserve">2018-05-07</t>
  </si>
  <si>
    <t xml:space="preserve">2018-05-08</t>
  </si>
  <si>
    <t xml:space="preserve">2018-05-09</t>
  </si>
  <si>
    <t xml:space="preserve">2018-05-10</t>
  </si>
  <si>
    <t xml:space="preserve">2018-05-11</t>
  </si>
  <si>
    <t xml:space="preserve">2018-05-14</t>
  </si>
  <si>
    <t xml:space="preserve">2018-05-15</t>
  </si>
  <si>
    <t xml:space="preserve">2018-05-16</t>
  </si>
  <si>
    <t xml:space="preserve">2018-05-17</t>
  </si>
  <si>
    <t xml:space="preserve">2018-05-18</t>
  </si>
  <si>
    <t xml:space="preserve">2018-05-21</t>
  </si>
  <si>
    <t xml:space="preserve">2018-05-22</t>
  </si>
  <si>
    <t xml:space="preserve">2018-05-23</t>
  </si>
  <si>
    <t xml:space="preserve">2018-05-24</t>
  </si>
  <si>
    <t xml:space="preserve">2018-05-25</t>
  </si>
  <si>
    <t xml:space="preserve">2018-05-29</t>
  </si>
  <si>
    <t xml:space="preserve">2018-05-30</t>
  </si>
  <si>
    <t xml:space="preserve">2018-05-31</t>
  </si>
  <si>
    <t xml:space="preserve">2018-06-01</t>
  </si>
  <si>
    <t xml:space="preserve">2018-06-04</t>
  </si>
  <si>
    <t xml:space="preserve">2018-06-05</t>
  </si>
  <si>
    <t xml:space="preserve">2018-06-06</t>
  </si>
  <si>
    <t xml:space="preserve">2018-06-07</t>
  </si>
  <si>
    <t xml:space="preserve">2018-06-08</t>
  </si>
  <si>
    <t xml:space="preserve">2018-06-11</t>
  </si>
  <si>
    <t xml:space="preserve">2018-06-12</t>
  </si>
  <si>
    <t xml:space="preserve">2018-06-13</t>
  </si>
  <si>
    <t xml:space="preserve">2018-06-14</t>
  </si>
  <si>
    <t xml:space="preserve">2018-06-15</t>
  </si>
  <si>
    <t xml:space="preserve">2018-06-18</t>
  </si>
  <si>
    <t xml:space="preserve">2018-06-19</t>
  </si>
  <si>
    <t xml:space="preserve">2018-06-20</t>
  </si>
  <si>
    <t xml:space="preserve">2018-06-21</t>
  </si>
  <si>
    <t xml:space="preserve">2018-06-22</t>
  </si>
  <si>
    <t xml:space="preserve">2018-06-25</t>
  </si>
  <si>
    <t xml:space="preserve">2018-06-26</t>
  </si>
  <si>
    <t xml:space="preserve">2018-06-27</t>
  </si>
  <si>
    <t xml:space="preserve">2018-06-28</t>
  </si>
  <si>
    <t xml:space="preserve">2018-06-29</t>
  </si>
  <si>
    <t xml:space="preserve">2018-07-02</t>
  </si>
  <si>
    <t xml:space="preserve">2018-07-03</t>
  </si>
  <si>
    <t xml:space="preserve">2018-07-05</t>
  </si>
  <si>
    <t xml:space="preserve">2018-07-06</t>
  </si>
  <si>
    <t xml:space="preserve">2018-07-09</t>
  </si>
  <si>
    <t xml:space="preserve">2018-07-10</t>
  </si>
  <si>
    <t xml:space="preserve">2018-07-11</t>
  </si>
  <si>
    <t xml:space="preserve">2018-07-12</t>
  </si>
  <si>
    <t xml:space="preserve">2018-07-13</t>
  </si>
  <si>
    <t xml:space="preserve">2018-07-16</t>
  </si>
  <si>
    <t xml:space="preserve">2018-07-17</t>
  </si>
  <si>
    <t xml:space="preserve">2018-07-18</t>
  </si>
  <si>
    <t xml:space="preserve">2018-07-19</t>
  </si>
  <si>
    <t xml:space="preserve">2018-07-20</t>
  </si>
  <si>
    <t xml:space="preserve">2018-07-23</t>
  </si>
  <si>
    <t xml:space="preserve">2018-07-24</t>
  </si>
  <si>
    <t xml:space="preserve">2018-07-25</t>
  </si>
  <si>
    <t xml:space="preserve">2018-07-26</t>
  </si>
  <si>
    <t xml:space="preserve">2018-07-27</t>
  </si>
  <si>
    <t xml:space="preserve">2018-07-30</t>
  </si>
  <si>
    <t xml:space="preserve">2018-07-31</t>
  </si>
  <si>
    <t xml:space="preserve">2018-08-01</t>
  </si>
  <si>
    <t xml:space="preserve">2018-08-02</t>
  </si>
  <si>
    <t xml:space="preserve">2018-08-03</t>
  </si>
  <si>
    <t xml:space="preserve">2018-08-06</t>
  </si>
  <si>
    <t xml:space="preserve">2018-08-07</t>
  </si>
  <si>
    <t xml:space="preserve">2018-08-08</t>
  </si>
  <si>
    <t xml:space="preserve">2018-08-09</t>
  </si>
  <si>
    <t xml:space="preserve">2018-08-10</t>
  </si>
  <si>
    <t xml:space="preserve">2018-08-13</t>
  </si>
  <si>
    <t xml:space="preserve">2018-08-14</t>
  </si>
  <si>
    <t xml:space="preserve">2018-08-15</t>
  </si>
  <si>
    <t xml:space="preserve">2018-08-16</t>
  </si>
  <si>
    <t xml:space="preserve">2018-08-17</t>
  </si>
  <si>
    <t xml:space="preserve">2018-08-20</t>
  </si>
  <si>
    <t xml:space="preserve">2018-08-21</t>
  </si>
  <si>
    <t xml:space="preserve">2018-08-22</t>
  </si>
  <si>
    <t xml:space="preserve">2018-08-23</t>
  </si>
  <si>
    <t xml:space="preserve">2018-08-24</t>
  </si>
  <si>
    <t xml:space="preserve">2018-08-27</t>
  </si>
  <si>
    <t xml:space="preserve">2018-08-28</t>
  </si>
  <si>
    <t xml:space="preserve">2018-08-29</t>
  </si>
  <si>
    <t xml:space="preserve">2018-08-30</t>
  </si>
  <si>
    <t xml:space="preserve">2018-08-31</t>
  </si>
  <si>
    <t xml:space="preserve">2018-09-04</t>
  </si>
  <si>
    <t xml:space="preserve">2018-09-05</t>
  </si>
  <si>
    <t xml:space="preserve">2018-09-06</t>
  </si>
  <si>
    <t xml:space="preserve">2018-09-07</t>
  </si>
  <si>
    <t xml:space="preserve">2018-09-10</t>
  </si>
  <si>
    <t xml:space="preserve">2018-09-11</t>
  </si>
  <si>
    <t xml:space="preserve">2018-09-12</t>
  </si>
  <si>
    <t xml:space="preserve">2018-09-13</t>
  </si>
  <si>
    <t xml:space="preserve">2018-09-14</t>
  </si>
  <si>
    <t xml:space="preserve">2018-09-17</t>
  </si>
  <si>
    <t xml:space="preserve">2018-09-18</t>
  </si>
  <si>
    <t xml:space="preserve">2018-09-19</t>
  </si>
  <si>
    <t xml:space="preserve">2018-09-20</t>
  </si>
  <si>
    <t xml:space="preserve">2018-09-21</t>
  </si>
  <si>
    <t xml:space="preserve">2018-09-24</t>
  </si>
  <si>
    <t xml:space="preserve">2018-09-25</t>
  </si>
  <si>
    <t xml:space="preserve">2018-09-26</t>
  </si>
  <si>
    <t xml:space="preserve">2018-09-27</t>
  </si>
  <si>
    <t xml:space="preserve">2018-09-28</t>
  </si>
  <si>
    <t xml:space="preserve">2018-10-01</t>
  </si>
  <si>
    <t xml:space="preserve">2018-10-02</t>
  </si>
  <si>
    <t xml:space="preserve">2018-10-03</t>
  </si>
  <si>
    <t xml:space="preserve">2018-10-04</t>
  </si>
  <si>
    <t xml:space="preserve">2018-10-05</t>
  </si>
  <si>
    <t xml:space="preserve">2018-10-08</t>
  </si>
  <si>
    <t xml:space="preserve">2018-10-09</t>
  </si>
  <si>
    <t xml:space="preserve">2018-10-10</t>
  </si>
  <si>
    <t xml:space="preserve">2018-10-11</t>
  </si>
  <si>
    <t xml:space="preserve">2018-10-12</t>
  </si>
  <si>
    <t xml:space="preserve">2018-10-15</t>
  </si>
  <si>
    <t xml:space="preserve">2018-10-16</t>
  </si>
  <si>
    <t xml:space="preserve">2018-10-17</t>
  </si>
  <si>
    <t xml:space="preserve">2018-10-18</t>
  </si>
  <si>
    <t xml:space="preserve">2018-10-19</t>
  </si>
  <si>
    <t xml:space="preserve">2018-10-22</t>
  </si>
  <si>
    <t xml:space="preserve">2018-10-23</t>
  </si>
  <si>
    <t xml:space="preserve">2018-10-24</t>
  </si>
  <si>
    <t xml:space="preserve">2018-10-25</t>
  </si>
  <si>
    <t xml:space="preserve">2018-10-26</t>
  </si>
  <si>
    <t xml:space="preserve">2018-10-29</t>
  </si>
  <si>
    <t xml:space="preserve">2018-10-30</t>
  </si>
  <si>
    <t xml:space="preserve">2018-10-31</t>
  </si>
  <si>
    <t xml:space="preserve">2018-11-01</t>
  </si>
  <si>
    <t xml:space="preserve">2018-11-02</t>
  </si>
  <si>
    <t xml:space="preserve">2018-11-05</t>
  </si>
  <si>
    <t xml:space="preserve">2018-11-06</t>
  </si>
  <si>
    <t xml:space="preserve">2018-11-07</t>
  </si>
  <si>
    <t xml:space="preserve">2018-11-08</t>
  </si>
  <si>
    <t xml:space="preserve">2018-11-09</t>
  </si>
  <si>
    <t xml:space="preserve">2018-11-12</t>
  </si>
  <si>
    <t xml:space="preserve">2018-11-13</t>
  </si>
  <si>
    <t xml:space="preserve">2018-11-14</t>
  </si>
  <si>
    <t xml:space="preserve">2018-11-15</t>
  </si>
  <si>
    <t xml:space="preserve">2018-11-16</t>
  </si>
  <si>
    <t xml:space="preserve">2018-11-19</t>
  </si>
  <si>
    <t xml:space="preserve">2018-11-20</t>
  </si>
  <si>
    <t xml:space="preserve">2018-11-21</t>
  </si>
  <si>
    <t xml:space="preserve">2018-11-23</t>
  </si>
  <si>
    <t xml:space="preserve">2018-11-26</t>
  </si>
  <si>
    <t xml:space="preserve">2018-11-27</t>
  </si>
  <si>
    <t xml:space="preserve">2018-11-28</t>
  </si>
  <si>
    <t xml:space="preserve">2018-11-29</t>
  </si>
  <si>
    <t xml:space="preserve">2018-11-30</t>
  </si>
  <si>
    <t xml:space="preserve">2018-12-03</t>
  </si>
  <si>
    <t xml:space="preserve">2018-12-04</t>
  </si>
  <si>
    <t xml:space="preserve">2018-12-06</t>
  </si>
  <si>
    <t xml:space="preserve">2018-12-07</t>
  </si>
  <si>
    <t xml:space="preserve">2018-12-10</t>
  </si>
  <si>
    <t xml:space="preserve">2018-12-11</t>
  </si>
  <si>
    <t xml:space="preserve">2018-12-12</t>
  </si>
  <si>
    <t xml:space="preserve">2018-12-13</t>
  </si>
  <si>
    <t xml:space="preserve">2018-12-14</t>
  </si>
  <si>
    <t xml:space="preserve">2018-12-17</t>
  </si>
  <si>
    <t xml:space="preserve">2018-12-18</t>
  </si>
  <si>
    <t xml:space="preserve">2018-12-19</t>
  </si>
  <si>
    <t xml:space="preserve">2018-12-20</t>
  </si>
  <si>
    <t xml:space="preserve">2018-12-21</t>
  </si>
  <si>
    <t xml:space="preserve">2018-12-24</t>
  </si>
  <si>
    <t xml:space="preserve">2018-12-26</t>
  </si>
  <si>
    <t xml:space="preserve">2018-12-27</t>
  </si>
  <si>
    <t xml:space="preserve">2018-12-28</t>
  </si>
  <si>
    <t xml:space="preserve">2018-12-31</t>
  </si>
  <si>
    <t xml:space="preserve">2019-01-02</t>
  </si>
  <si>
    <t xml:space="preserve">2019-01-03</t>
  </si>
  <si>
    <t xml:space="preserve">2019-01-04</t>
  </si>
  <si>
    <t xml:space="preserve">2019-01-07</t>
  </si>
  <si>
    <t xml:space="preserve">2019-01-08</t>
  </si>
  <si>
    <t xml:space="preserve">2019-01-09</t>
  </si>
  <si>
    <t xml:space="preserve">2019-01-10</t>
  </si>
  <si>
    <t xml:space="preserve">2019-01-11</t>
  </si>
  <si>
    <t xml:space="preserve">2019-01-14</t>
  </si>
  <si>
    <t xml:space="preserve">2019-01-15</t>
  </si>
  <si>
    <t xml:space="preserve">2019-01-16</t>
  </si>
  <si>
    <t xml:space="preserve">2019-01-17</t>
  </si>
  <si>
    <t xml:space="preserve">2019-01-18</t>
  </si>
  <si>
    <t xml:space="preserve">2019-01-22</t>
  </si>
  <si>
    <t xml:space="preserve">2019-01-23</t>
  </si>
  <si>
    <t xml:space="preserve">2019-01-24</t>
  </si>
  <si>
    <t xml:space="preserve">2019-01-25</t>
  </si>
  <si>
    <t xml:space="preserve">2019-01-28</t>
  </si>
  <si>
    <t xml:space="preserve">2019-01-29</t>
  </si>
  <si>
    <t xml:space="preserve">2019-01-30</t>
  </si>
  <si>
    <t xml:space="preserve">2019-01-31</t>
  </si>
  <si>
    <t xml:space="preserve">2019-02-01</t>
  </si>
  <si>
    <t xml:space="preserve">2019-02-04</t>
  </si>
  <si>
    <t xml:space="preserve">2019-02-05</t>
  </si>
  <si>
    <t xml:space="preserve">2019-02-06</t>
  </si>
  <si>
    <t xml:space="preserve">2019-02-07</t>
  </si>
  <si>
    <t xml:space="preserve">2019-02-08</t>
  </si>
  <si>
    <t xml:space="preserve">2019-02-11</t>
  </si>
  <si>
    <t xml:space="preserve">2019-02-12</t>
  </si>
  <si>
    <t xml:space="preserve">2019-02-13</t>
  </si>
  <si>
    <t xml:space="preserve">2019-02-14</t>
  </si>
  <si>
    <t xml:space="preserve">2019-02-15</t>
  </si>
  <si>
    <t xml:space="preserve">2019-02-19</t>
  </si>
  <si>
    <t xml:space="preserve">2019-02-20</t>
  </si>
  <si>
    <t xml:space="preserve">2019-02-21</t>
  </si>
  <si>
    <t xml:space="preserve">2019-02-22</t>
  </si>
  <si>
    <t xml:space="preserve">2019-02-25</t>
  </si>
  <si>
    <t xml:space="preserve">2019-02-26</t>
  </si>
  <si>
    <t xml:space="preserve">2019-02-27</t>
  </si>
  <si>
    <t xml:space="preserve">2019-02-28</t>
  </si>
  <si>
    <t xml:space="preserve">2019-03-01</t>
  </si>
  <si>
    <t xml:space="preserve">2019-03-04</t>
  </si>
  <si>
    <t xml:space="preserve">2019-03-05</t>
  </si>
  <si>
    <t xml:space="preserve">2019-03-06</t>
  </si>
  <si>
    <t xml:space="preserve">2019-03-07</t>
  </si>
  <si>
    <t xml:space="preserve">2019-03-08</t>
  </si>
  <si>
    <t xml:space="preserve">2019-03-11</t>
  </si>
  <si>
    <t xml:space="preserve">2019-03-12</t>
  </si>
  <si>
    <t xml:space="preserve">2019-03-13</t>
  </si>
  <si>
    <t xml:space="preserve">2019-03-14</t>
  </si>
  <si>
    <t xml:space="preserve">2019-03-15</t>
  </si>
  <si>
    <t xml:space="preserve">2019-03-18</t>
  </si>
  <si>
    <t xml:space="preserve">2019-03-19</t>
  </si>
  <si>
    <t xml:space="preserve">2019-03-20</t>
  </si>
  <si>
    <t xml:space="preserve">2019-03-21</t>
  </si>
  <si>
    <t xml:space="preserve">2019-03-22</t>
  </si>
  <si>
    <t xml:space="preserve">2019-03-25</t>
  </si>
  <si>
    <t xml:space="preserve">2019-03-26</t>
  </si>
  <si>
    <t xml:space="preserve">2019-03-27</t>
  </si>
  <si>
    <t xml:space="preserve">2019-03-28</t>
  </si>
  <si>
    <t xml:space="preserve">2019-03-29</t>
  </si>
  <si>
    <t xml:space="preserve">2019-04-01</t>
  </si>
  <si>
    <t xml:space="preserve">2019-04-02</t>
  </si>
  <si>
    <t xml:space="preserve">2019-04-03</t>
  </si>
  <si>
    <t xml:space="preserve">2019-04-04</t>
  </si>
  <si>
    <t xml:space="preserve">2019-04-05</t>
  </si>
  <si>
    <t xml:space="preserve">2019-04-08</t>
  </si>
  <si>
    <t xml:space="preserve">2019-04-09</t>
  </si>
  <si>
    <t xml:space="preserve">2019-04-10</t>
  </si>
  <si>
    <t xml:space="preserve">2019-04-11</t>
  </si>
  <si>
    <t xml:space="preserve">2019-04-12</t>
  </si>
  <si>
    <t xml:space="preserve">2019-04-15</t>
  </si>
  <si>
    <t xml:space="preserve">2019-04-16</t>
  </si>
  <si>
    <t xml:space="preserve">2019-04-17</t>
  </si>
  <si>
    <t xml:space="preserve">2019-04-18</t>
  </si>
  <si>
    <t xml:space="preserve">2019-04-22</t>
  </si>
  <si>
    <t xml:space="preserve">2019-04-23</t>
  </si>
  <si>
    <t xml:space="preserve">2019-04-24</t>
  </si>
  <si>
    <t xml:space="preserve">2019-04-25</t>
  </si>
  <si>
    <t xml:space="preserve">2019-04-26</t>
  </si>
  <si>
    <t xml:space="preserve">2019-04-29</t>
  </si>
  <si>
    <t xml:space="preserve">2019-04-30</t>
  </si>
  <si>
    <t xml:space="preserve">2019-05-01</t>
  </si>
  <si>
    <t xml:space="preserve">2019-05-02</t>
  </si>
  <si>
    <t xml:space="preserve">2019-05-03</t>
  </si>
  <si>
    <t xml:space="preserve">2019-05-06</t>
  </si>
  <si>
    <t xml:space="preserve">2019-05-07</t>
  </si>
  <si>
    <t xml:space="preserve">2019-05-08</t>
  </si>
  <si>
    <t xml:space="preserve">2019-05-09</t>
  </si>
  <si>
    <t xml:space="preserve">2019-05-10</t>
  </si>
  <si>
    <t xml:space="preserve">2019-05-13</t>
  </si>
  <si>
    <t xml:space="preserve">2019-05-14</t>
  </si>
  <si>
    <t xml:space="preserve">2019-05-15</t>
  </si>
  <si>
    <t xml:space="preserve">2019-05-16</t>
  </si>
  <si>
    <t xml:space="preserve">2019-05-17</t>
  </si>
  <si>
    <t xml:space="preserve">2019-05-20</t>
  </si>
  <si>
    <t xml:space="preserve">2019-05-21</t>
  </si>
  <si>
    <t xml:space="preserve">2019-05-22</t>
  </si>
  <si>
    <t xml:space="preserve">2019-05-23</t>
  </si>
  <si>
    <t xml:space="preserve">2019-05-24</t>
  </si>
  <si>
    <t xml:space="preserve">2019-05-28</t>
  </si>
  <si>
    <t xml:space="preserve">2019-05-29</t>
  </si>
  <si>
    <t xml:space="preserve">2019-05-30</t>
  </si>
  <si>
    <t xml:space="preserve">2019-05-31</t>
  </si>
  <si>
    <t xml:space="preserve">2019-06-03</t>
  </si>
  <si>
    <t xml:space="preserve">2019-06-04</t>
  </si>
  <si>
    <t xml:space="preserve">2019-06-05</t>
  </si>
  <si>
    <t xml:space="preserve">2019-06-06</t>
  </si>
  <si>
    <t xml:space="preserve">2019-06-07</t>
  </si>
  <si>
    <t xml:space="preserve">2019-06-10</t>
  </si>
  <si>
    <t xml:space="preserve">2019-06-11</t>
  </si>
  <si>
    <t xml:space="preserve">2019-06-12</t>
  </si>
  <si>
    <t xml:space="preserve">2019-06-13</t>
  </si>
  <si>
    <t xml:space="preserve">2019-06-14</t>
  </si>
  <si>
    <t xml:space="preserve">2019-06-17</t>
  </si>
  <si>
    <t xml:space="preserve">2019-06-18</t>
  </si>
  <si>
    <t xml:space="preserve">2019-06-19</t>
  </si>
  <si>
    <t xml:space="preserve">2019-06-20</t>
  </si>
  <si>
    <t xml:space="preserve">2019-06-21</t>
  </si>
  <si>
    <t xml:space="preserve">2019-06-24</t>
  </si>
  <si>
    <t xml:space="preserve">2019-06-25</t>
  </si>
  <si>
    <t xml:space="preserve">2019-06-26</t>
  </si>
  <si>
    <t xml:space="preserve">2019-06-27</t>
  </si>
  <si>
    <t xml:space="preserve">2019-06-28</t>
  </si>
  <si>
    <t xml:space="preserve">2019-07-01</t>
  </si>
  <si>
    <t xml:space="preserve">2019-07-02</t>
  </si>
  <si>
    <t xml:space="preserve">2019-07-03</t>
  </si>
  <si>
    <t xml:space="preserve">2019-07-05</t>
  </si>
  <si>
    <t xml:space="preserve">2019-07-08</t>
  </si>
  <si>
    <t xml:space="preserve">2019-07-09</t>
  </si>
  <si>
    <t xml:space="preserve">2019-07-10</t>
  </si>
  <si>
    <t xml:space="preserve">2019-07-11</t>
  </si>
  <si>
    <t xml:space="preserve">2019-07-12</t>
  </si>
  <si>
    <t xml:space="preserve">2019-07-15</t>
  </si>
  <si>
    <t xml:space="preserve">2019-07-16</t>
  </si>
  <si>
    <t xml:space="preserve">2019-07-17</t>
  </si>
  <si>
    <t xml:space="preserve">2019-07-18</t>
  </si>
  <si>
    <t xml:space="preserve">2019-07-19</t>
  </si>
  <si>
    <t xml:space="preserve">2019-07-22</t>
  </si>
  <si>
    <t xml:space="preserve">2019-07-23</t>
  </si>
  <si>
    <t xml:space="preserve">2019-07-24</t>
  </si>
  <si>
    <t xml:space="preserve">2019-07-25</t>
  </si>
  <si>
    <t xml:space="preserve">2019-07-26</t>
  </si>
  <si>
    <t xml:space="preserve">2019-07-29</t>
  </si>
  <si>
    <t xml:space="preserve">2019-07-30</t>
  </si>
  <si>
    <t xml:space="preserve">2019-07-31</t>
  </si>
  <si>
    <t xml:space="preserve">2019-08-01</t>
  </si>
  <si>
    <t xml:space="preserve">2019-08-02</t>
  </si>
  <si>
    <t xml:space="preserve">2019-08-05</t>
  </si>
  <si>
    <t xml:space="preserve">2019-08-06</t>
  </si>
  <si>
    <t xml:space="preserve">2019-08-07</t>
  </si>
  <si>
    <t xml:space="preserve">2019-08-08</t>
  </si>
  <si>
    <t xml:space="preserve">2019-08-09</t>
  </si>
  <si>
    <t xml:space="preserve">2019-08-12</t>
  </si>
  <si>
    <t xml:space="preserve">2019-08-13</t>
  </si>
  <si>
    <t xml:space="preserve">2019-08-14</t>
  </si>
  <si>
    <t xml:space="preserve">2019-08-15</t>
  </si>
  <si>
    <t xml:space="preserve">2019-08-16</t>
  </si>
  <si>
    <t xml:space="preserve">2019-08-19</t>
  </si>
  <si>
    <t xml:space="preserve">2019-08-20</t>
  </si>
  <si>
    <t xml:space="preserve">2019-08-21</t>
  </si>
  <si>
    <t xml:space="preserve">2019-08-22</t>
  </si>
  <si>
    <t xml:space="preserve">2019-08-23</t>
  </si>
  <si>
    <t xml:space="preserve">2019-08-26</t>
  </si>
  <si>
    <t xml:space="preserve">2019-08-27</t>
  </si>
  <si>
    <t xml:space="preserve">2019-08-28</t>
  </si>
  <si>
    <t xml:space="preserve">2019-08-29</t>
  </si>
  <si>
    <t xml:space="preserve">2019-08-30</t>
  </si>
  <si>
    <t xml:space="preserve">2019-09-03</t>
  </si>
  <si>
    <t xml:space="preserve">2019-09-04</t>
  </si>
  <si>
    <t xml:space="preserve">2019-09-05</t>
  </si>
  <si>
    <t xml:space="preserve">2019-09-06</t>
  </si>
  <si>
    <t xml:space="preserve">2019-09-09</t>
  </si>
  <si>
    <t xml:space="preserve">2019-09-10</t>
  </si>
  <si>
    <t xml:space="preserve">2019-09-11</t>
  </si>
  <si>
    <t xml:space="preserve">2019-09-12</t>
  </si>
  <si>
    <t xml:space="preserve">2019-09-13</t>
  </si>
  <si>
    <t xml:space="preserve">2019-09-16</t>
  </si>
  <si>
    <t xml:space="preserve">2019-09-17</t>
  </si>
  <si>
    <t xml:space="preserve">2019-09-18</t>
  </si>
  <si>
    <t xml:space="preserve">2019-09-19</t>
  </si>
  <si>
    <t xml:space="preserve">2019-09-20</t>
  </si>
  <si>
    <t xml:space="preserve">2019-09-23</t>
  </si>
  <si>
    <t xml:space="preserve">2019-09-24</t>
  </si>
  <si>
    <t xml:space="preserve">2019-09-25</t>
  </si>
  <si>
    <t xml:space="preserve">2019-09-26</t>
  </si>
  <si>
    <t xml:space="preserve">2019-09-27</t>
  </si>
  <si>
    <t xml:space="preserve">2019-09-30</t>
  </si>
  <si>
    <t xml:space="preserve">2019-10-01</t>
  </si>
  <si>
    <t xml:space="preserve">2019-10-02</t>
  </si>
  <si>
    <t xml:space="preserve">2019-10-03</t>
  </si>
  <si>
    <t xml:space="preserve">2019-10-04</t>
  </si>
  <si>
    <t xml:space="preserve">2019-10-07</t>
  </si>
  <si>
    <t xml:space="preserve">2019-10-08</t>
  </si>
  <si>
    <t xml:space="preserve">2019-10-09</t>
  </si>
  <si>
    <t xml:space="preserve">2019-10-10</t>
  </si>
  <si>
    <t xml:space="preserve">2019-10-11</t>
  </si>
  <si>
    <t xml:space="preserve">2019-10-14</t>
  </si>
  <si>
    <t xml:space="preserve">2019-10-15</t>
  </si>
  <si>
    <t xml:space="preserve">2019-10-16</t>
  </si>
  <si>
    <t xml:space="preserve">2019-10-17</t>
  </si>
  <si>
    <t xml:space="preserve">2019-10-18</t>
  </si>
  <si>
    <t xml:space="preserve">2019-10-21</t>
  </si>
  <si>
    <t xml:space="preserve">2019-10-22</t>
  </si>
  <si>
    <t xml:space="preserve">2019-10-23</t>
  </si>
  <si>
    <t xml:space="preserve">2019-10-24</t>
  </si>
  <si>
    <t xml:space="preserve">2019-10-25</t>
  </si>
  <si>
    <t xml:space="preserve">2019-10-28</t>
  </si>
  <si>
    <t xml:space="preserve">2019-10-29</t>
  </si>
  <si>
    <t xml:space="preserve">2019-10-30</t>
  </si>
  <si>
    <t xml:space="preserve">2019-10-31</t>
  </si>
  <si>
    <t xml:space="preserve">2019-11-01</t>
  </si>
  <si>
    <t xml:space="preserve">2019-11-04</t>
  </si>
  <si>
    <t xml:space="preserve">2019-11-05</t>
  </si>
  <si>
    <t xml:space="preserve">2019-11-06</t>
  </si>
  <si>
    <t xml:space="preserve">2019-11-07</t>
  </si>
  <si>
    <t xml:space="preserve">2019-11-08</t>
  </si>
  <si>
    <t xml:space="preserve">2019-11-11</t>
  </si>
  <si>
    <t xml:space="preserve">2019-11-12</t>
  </si>
  <si>
    <t xml:space="preserve">2019-11-13</t>
  </si>
  <si>
    <t xml:space="preserve">2019-11-14</t>
  </si>
  <si>
    <t xml:space="preserve">2019-11-15</t>
  </si>
  <si>
    <t xml:space="preserve">2019-11-18</t>
  </si>
  <si>
    <t xml:space="preserve">2019-11-19</t>
  </si>
  <si>
    <t xml:space="preserve">2019-11-20</t>
  </si>
  <si>
    <t xml:space="preserve">2019-11-21</t>
  </si>
  <si>
    <t xml:space="preserve">2019-11-22</t>
  </si>
  <si>
    <t xml:space="preserve">2019-11-25</t>
  </si>
  <si>
    <t xml:space="preserve">2019-11-26</t>
  </si>
  <si>
    <t xml:space="preserve">2019-11-27</t>
  </si>
  <si>
    <t xml:space="preserve">2019-11-29</t>
  </si>
  <si>
    <t xml:space="preserve">2019-12-02</t>
  </si>
  <si>
    <t xml:space="preserve">2019-12-03</t>
  </si>
  <si>
    <t xml:space="preserve">2019-12-04</t>
  </si>
  <si>
    <t xml:space="preserve">2019-12-05</t>
  </si>
  <si>
    <t xml:space="preserve">2019-12-06</t>
  </si>
  <si>
    <t xml:space="preserve">2019-12-09</t>
  </si>
  <si>
    <t xml:space="preserve">2019-12-10</t>
  </si>
  <si>
    <t xml:space="preserve">2019-12-11</t>
  </si>
  <si>
    <t xml:space="preserve">2019-12-12</t>
  </si>
  <si>
    <t xml:space="preserve">2019-12-13</t>
  </si>
  <si>
    <t xml:space="preserve">2019-12-16</t>
  </si>
  <si>
    <t xml:space="preserve">2019-12-17</t>
  </si>
  <si>
    <t xml:space="preserve">2019-12-18</t>
  </si>
  <si>
    <t xml:space="preserve">2019-12-19</t>
  </si>
  <si>
    <t xml:space="preserve">2019-12-20</t>
  </si>
  <si>
    <t xml:space="preserve">2019-12-23</t>
  </si>
  <si>
    <t xml:space="preserve">2019-12-24</t>
  </si>
  <si>
    <t xml:space="preserve">2019-12-26</t>
  </si>
  <si>
    <t xml:space="preserve">2019-12-27</t>
  </si>
  <si>
    <t xml:space="preserve">2019-12-30</t>
  </si>
  <si>
    <t xml:space="preserve">2019-12-31</t>
  </si>
  <si>
    <t xml:space="preserve">2020-01-02</t>
  </si>
  <si>
    <t xml:space="preserve">2020-01-03</t>
  </si>
  <si>
    <t xml:space="preserve">2020-01-06</t>
  </si>
  <si>
    <t xml:space="preserve">2020-01-07</t>
  </si>
  <si>
    <t xml:space="preserve">2020-01-08</t>
  </si>
  <si>
    <t xml:space="preserve">2020-01-09</t>
  </si>
  <si>
    <t xml:space="preserve">2020-01-10</t>
  </si>
  <si>
    <t xml:space="preserve">2020-01-13</t>
  </si>
  <si>
    <t xml:space="preserve">2020-01-14</t>
  </si>
  <si>
    <t xml:space="preserve">2020-01-15</t>
  </si>
  <si>
    <t xml:space="preserve">2020-01-16</t>
  </si>
  <si>
    <t xml:space="preserve">2020-01-17</t>
  </si>
  <si>
    <t xml:space="preserve">2020-01-21</t>
  </si>
  <si>
    <t xml:space="preserve">2020-01-22</t>
  </si>
  <si>
    <t xml:space="preserve">2020-01-23</t>
  </si>
  <si>
    <t xml:space="preserve">2020-01-24</t>
  </si>
  <si>
    <t xml:space="preserve">2020-01-27</t>
  </si>
  <si>
    <t xml:space="preserve">2020-01-28</t>
  </si>
  <si>
    <t xml:space="preserve">2020-01-29</t>
  </si>
  <si>
    <t xml:space="preserve">2020-01-30</t>
  </si>
  <si>
    <t xml:space="preserve">2020-01-31</t>
  </si>
  <si>
    <t xml:space="preserve">2020-02-03</t>
  </si>
  <si>
    <t xml:space="preserve">2020-02-04</t>
  </si>
  <si>
    <t xml:space="preserve">2020-02-05</t>
  </si>
  <si>
    <t xml:space="preserve">2020-02-06</t>
  </si>
  <si>
    <t xml:space="preserve">2020-02-07</t>
  </si>
  <si>
    <t xml:space="preserve">2020-02-10</t>
  </si>
  <si>
    <t xml:space="preserve">2020-02-11</t>
  </si>
  <si>
    <t xml:space="preserve">2020-02-12</t>
  </si>
  <si>
    <t xml:space="preserve">2020-02-13</t>
  </si>
  <si>
    <t xml:space="preserve">2020-02-14</t>
  </si>
  <si>
    <t xml:space="preserve">2020-02-18</t>
  </si>
  <si>
    <t xml:space="preserve">2020-02-19</t>
  </si>
  <si>
    <t xml:space="preserve">2020-02-20</t>
  </si>
  <si>
    <t xml:space="preserve">2020-02-21</t>
  </si>
  <si>
    <t xml:space="preserve">2020-02-24</t>
  </si>
  <si>
    <t xml:space="preserve">2020-02-25</t>
  </si>
  <si>
    <t xml:space="preserve">2020-02-26</t>
  </si>
  <si>
    <t xml:space="preserve">2020-02-27</t>
  </si>
  <si>
    <t xml:space="preserve">2020-02-28</t>
  </si>
  <si>
    <t xml:space="preserve">2020-03-02</t>
  </si>
  <si>
    <t xml:space="preserve">2020-03-03</t>
  </si>
  <si>
    <t xml:space="preserve">2020-03-04</t>
  </si>
  <si>
    <t xml:space="preserve">2020-03-05</t>
  </si>
  <si>
    <t xml:space="preserve">2020-03-06</t>
  </si>
  <si>
    <t xml:space="preserve">2020-03-09</t>
  </si>
  <si>
    <t xml:space="preserve">2020-03-10</t>
  </si>
  <si>
    <t xml:space="preserve">2020-03-11</t>
  </si>
  <si>
    <t xml:space="preserve">2020-03-12</t>
  </si>
  <si>
    <t xml:space="preserve">2020-03-13</t>
  </si>
  <si>
    <t xml:space="preserve">2020-03-16</t>
  </si>
  <si>
    <t xml:space="preserve">2020-03-17</t>
  </si>
  <si>
    <t xml:space="preserve">2020-03-18</t>
  </si>
  <si>
    <t xml:space="preserve">2020-03-19</t>
  </si>
  <si>
    <t xml:space="preserve">2020-03-20</t>
  </si>
  <si>
    <t xml:space="preserve">2020-03-23</t>
  </si>
  <si>
    <t xml:space="preserve">2020-03-24</t>
  </si>
  <si>
    <t xml:space="preserve">2020-03-25</t>
  </si>
  <si>
    <t xml:space="preserve">2020-03-26</t>
  </si>
  <si>
    <t xml:space="preserve">2020-03-27</t>
  </si>
  <si>
    <t xml:space="preserve">2020-03-30</t>
  </si>
  <si>
    <t xml:space="preserve">2020-03-31</t>
  </si>
  <si>
    <t xml:space="preserve">2020-04-01</t>
  </si>
  <si>
    <t xml:space="preserve">2020-04-02</t>
  </si>
  <si>
    <t xml:space="preserve">2020-04-03</t>
  </si>
  <si>
    <t xml:space="preserve">2020-04-06</t>
  </si>
  <si>
    <t xml:space="preserve">2020-04-07</t>
  </si>
  <si>
    <t xml:space="preserve">2020-04-08</t>
  </si>
  <si>
    <t xml:space="preserve">2020-04-09</t>
  </si>
  <si>
    <t xml:space="preserve">2020-04-13</t>
  </si>
  <si>
    <t xml:space="preserve">2020-04-14</t>
  </si>
  <si>
    <t xml:space="preserve">2020-04-15</t>
  </si>
  <si>
    <t xml:space="preserve">2020-04-16</t>
  </si>
  <si>
    <t xml:space="preserve">2020-04-17</t>
  </si>
  <si>
    <t xml:space="preserve">2020-04-20</t>
  </si>
  <si>
    <t xml:space="preserve">2020-04-21</t>
  </si>
  <si>
    <t xml:space="preserve">2020-04-22</t>
  </si>
  <si>
    <t xml:space="preserve">2020-04-23</t>
  </si>
  <si>
    <t xml:space="preserve">2020-04-24</t>
  </si>
  <si>
    <t xml:space="preserve">2020-04-27</t>
  </si>
  <si>
    <t xml:space="preserve">2020-04-28</t>
  </si>
  <si>
    <t xml:space="preserve">2020-04-29</t>
  </si>
  <si>
    <t xml:space="preserve">2020-04-30</t>
  </si>
  <si>
    <t xml:space="preserve">2020-05-01</t>
  </si>
  <si>
    <t xml:space="preserve">2020-05-04</t>
  </si>
  <si>
    <t xml:space="preserve">2020-05-05</t>
  </si>
  <si>
    <t xml:space="preserve">2020-05-06</t>
  </si>
  <si>
    <t xml:space="preserve">2020-05-07</t>
  </si>
  <si>
    <t xml:space="preserve">2020-05-08</t>
  </si>
  <si>
    <t xml:space="preserve">2020-05-11</t>
  </si>
  <si>
    <t xml:space="preserve">2020-05-12</t>
  </si>
  <si>
    <t xml:space="preserve">2020-05-13</t>
  </si>
  <si>
    <t xml:space="preserve">2020-05-14</t>
  </si>
  <si>
    <t xml:space="preserve">2020-05-15</t>
  </si>
  <si>
    <t xml:space="preserve">2020-05-18</t>
  </si>
  <si>
    <t xml:space="preserve">2020-05-19</t>
  </si>
  <si>
    <t xml:space="preserve">2020-05-20</t>
  </si>
  <si>
    <t xml:space="preserve">2020-05-21</t>
  </si>
  <si>
    <t xml:space="preserve">2020-05-22</t>
  </si>
  <si>
    <t xml:space="preserve">2020-05-26</t>
  </si>
  <si>
    <t xml:space="preserve">2020-05-27</t>
  </si>
  <si>
    <t xml:space="preserve">2020-05-28</t>
  </si>
  <si>
    <t xml:space="preserve">2020-05-29</t>
  </si>
  <si>
    <t xml:space="preserve">2020-06-01</t>
  </si>
  <si>
    <t xml:space="preserve">2020-06-02</t>
  </si>
  <si>
    <t xml:space="preserve">2020-06-03</t>
  </si>
  <si>
    <t xml:space="preserve">2020-06-04</t>
  </si>
  <si>
    <t xml:space="preserve">2020-06-05</t>
  </si>
  <si>
    <t xml:space="preserve">2020-06-08</t>
  </si>
  <si>
    <t xml:space="preserve">2020-06-09</t>
  </si>
  <si>
    <t xml:space="preserve">2020-06-10</t>
  </si>
  <si>
    <t xml:space="preserve">2020-06-11</t>
  </si>
  <si>
    <t xml:space="preserve">2020-06-12</t>
  </si>
  <si>
    <t xml:space="preserve">2020-06-15</t>
  </si>
  <si>
    <t xml:space="preserve">2020-06-16</t>
  </si>
  <si>
    <t xml:space="preserve">2020-06-17</t>
  </si>
  <si>
    <t xml:space="preserve">2020-06-18</t>
  </si>
  <si>
    <t xml:space="preserve">2020-06-19</t>
  </si>
  <si>
    <t xml:space="preserve">2020-06-22</t>
  </si>
  <si>
    <t xml:space="preserve">2020-06-23</t>
  </si>
  <si>
    <t xml:space="preserve">2020-06-24</t>
  </si>
  <si>
    <t xml:space="preserve">2020-06-25</t>
  </si>
  <si>
    <t xml:space="preserve">2020-06-26</t>
  </si>
  <si>
    <t xml:space="preserve">2020-06-29</t>
  </si>
  <si>
    <t xml:space="preserve">2020-06-30</t>
  </si>
  <si>
    <t xml:space="preserve">2020-07-01</t>
  </si>
  <si>
    <t xml:space="preserve">2020-07-02</t>
  </si>
  <si>
    <t xml:space="preserve">2020-07-06</t>
  </si>
  <si>
    <t xml:space="preserve">2020-07-07</t>
  </si>
  <si>
    <t xml:space="preserve">2020-07-08</t>
  </si>
  <si>
    <t xml:space="preserve">2020-07-09</t>
  </si>
  <si>
    <t xml:space="preserve">2020-07-10</t>
  </si>
  <si>
    <t xml:space="preserve">2020-07-13</t>
  </si>
  <si>
    <t xml:space="preserve">2020-07-14</t>
  </si>
  <si>
    <t xml:space="preserve">2020-07-15</t>
  </si>
  <si>
    <t xml:space="preserve">2020-07-16</t>
  </si>
  <si>
    <t xml:space="preserve">2020-07-17</t>
  </si>
  <si>
    <t xml:space="preserve">2020-07-20</t>
  </si>
  <si>
    <t xml:space="preserve">2020-07-21</t>
  </si>
  <si>
    <t xml:space="preserve">2020-07-22</t>
  </si>
  <si>
    <t xml:space="preserve">2020-07-23</t>
  </si>
  <si>
    <t xml:space="preserve">2020-07-24</t>
  </si>
  <si>
    <t xml:space="preserve">2020-07-27</t>
  </si>
  <si>
    <t xml:space="preserve">2020-07-28</t>
  </si>
  <si>
    <t xml:space="preserve">2020-07-29</t>
  </si>
  <si>
    <t xml:space="preserve">2020-07-30</t>
  </si>
  <si>
    <t xml:space="preserve">2020-07-31</t>
  </si>
  <si>
    <t xml:space="preserve">2020-08-03</t>
  </si>
  <si>
    <t xml:space="preserve">2020-08-04</t>
  </si>
  <si>
    <t xml:space="preserve">2020-08-05</t>
  </si>
  <si>
    <t xml:space="preserve">2020-08-06</t>
  </si>
  <si>
    <t xml:space="preserve">2020-08-07</t>
  </si>
  <si>
    <t xml:space="preserve">2020-08-10</t>
  </si>
  <si>
    <t xml:space="preserve">2020-08-11</t>
  </si>
  <si>
    <t xml:space="preserve">2020-08-12</t>
  </si>
  <si>
    <t xml:space="preserve">2020-08-13</t>
  </si>
  <si>
    <t xml:space="preserve">2020-08-14</t>
  </si>
  <si>
    <t xml:space="preserve">2020-08-17</t>
  </si>
  <si>
    <t xml:space="preserve">2020-08-18</t>
  </si>
  <si>
    <t xml:space="preserve">2020-08-19</t>
  </si>
  <si>
    <t xml:space="preserve">2020-08-20</t>
  </si>
  <si>
    <t xml:space="preserve">2020-08-21</t>
  </si>
  <si>
    <t xml:space="preserve">2020-08-24</t>
  </si>
  <si>
    <t xml:space="preserve">2020-08-25</t>
  </si>
  <si>
    <t xml:space="preserve">2020-08-26</t>
  </si>
  <si>
    <t xml:space="preserve">2020-08-27</t>
  </si>
  <si>
    <t xml:space="preserve">2020-08-28</t>
  </si>
  <si>
    <t xml:space="preserve">2020-08-31</t>
  </si>
  <si>
    <t xml:space="preserve">2020-09-01</t>
  </si>
  <si>
    <t xml:space="preserve">2020-09-02</t>
  </si>
  <si>
    <t xml:space="preserve">2020-09-03</t>
  </si>
  <si>
    <t xml:space="preserve">2020-09-04</t>
  </si>
  <si>
    <t xml:space="preserve">2020-09-08</t>
  </si>
  <si>
    <t xml:space="preserve">2020-09-09</t>
  </si>
  <si>
    <t xml:space="preserve">2020-09-10</t>
  </si>
  <si>
    <t xml:space="preserve">2020-09-11</t>
  </si>
  <si>
    <t xml:space="preserve">2020-09-14</t>
  </si>
  <si>
    <t xml:space="preserve">2020-09-15</t>
  </si>
  <si>
    <t xml:space="preserve">2020-09-16</t>
  </si>
  <si>
    <t xml:space="preserve">2020-09-17</t>
  </si>
  <si>
    <t xml:space="preserve">2020-09-18</t>
  </si>
  <si>
    <t xml:space="preserve">2020-09-21</t>
  </si>
  <si>
    <t xml:space="preserve">2020-09-22</t>
  </si>
  <si>
    <t xml:space="preserve">2020-09-23</t>
  </si>
  <si>
    <t xml:space="preserve">2020-09-24</t>
  </si>
  <si>
    <t xml:space="preserve">2020-09-25</t>
  </si>
  <si>
    <t xml:space="preserve">2020-09-28</t>
  </si>
  <si>
    <t xml:space="preserve">2020-09-29</t>
  </si>
  <si>
    <t xml:space="preserve">2020-09-30</t>
  </si>
  <si>
    <t xml:space="preserve">2020-10-01</t>
  </si>
  <si>
    <t xml:space="preserve">2020-10-02</t>
  </si>
  <si>
    <t xml:space="preserve">2020-10-05</t>
  </si>
  <si>
    <t xml:space="preserve">2020-10-06</t>
  </si>
  <si>
    <t xml:space="preserve">2020-10-07</t>
  </si>
  <si>
    <t xml:space="preserve">2020-10-08</t>
  </si>
  <si>
    <t xml:space="preserve">2020-10-09</t>
  </si>
  <si>
    <t xml:space="preserve">2020-10-12</t>
  </si>
  <si>
    <t xml:space="preserve">2020-10-13</t>
  </si>
  <si>
    <t xml:space="preserve">2020-10-14</t>
  </si>
  <si>
    <t xml:space="preserve">2020-10-15</t>
  </si>
  <si>
    <t xml:space="preserve">2020-10-16</t>
  </si>
  <si>
    <t xml:space="preserve">2020-10-19</t>
  </si>
  <si>
    <t xml:space="preserve">2020-10-20</t>
  </si>
  <si>
    <t xml:space="preserve">2020-10-21</t>
  </si>
  <si>
    <t xml:space="preserve">2020-10-22</t>
  </si>
  <si>
    <t xml:space="preserve">2020-10-23</t>
  </si>
  <si>
    <t xml:space="preserve">2020-10-26</t>
  </si>
  <si>
    <t xml:space="preserve">2020-10-27</t>
  </si>
  <si>
    <t xml:space="preserve">2020-10-28</t>
  </si>
  <si>
    <t xml:space="preserve">2020-10-29</t>
  </si>
  <si>
    <t xml:space="preserve">2020-10-30</t>
  </si>
  <si>
    <t xml:space="preserve">2020-11-02</t>
  </si>
  <si>
    <t xml:space="preserve">2020-11-03</t>
  </si>
  <si>
    <t xml:space="preserve">2020-11-04</t>
  </si>
  <si>
    <t xml:space="preserve">2020-11-05</t>
  </si>
  <si>
    <t xml:space="preserve">2020-11-06</t>
  </si>
  <si>
    <t xml:space="preserve">2020-11-09</t>
  </si>
  <si>
    <t xml:space="preserve">2020-11-10</t>
  </si>
  <si>
    <t xml:space="preserve">2020-11-11</t>
  </si>
  <si>
    <t xml:space="preserve">2020-11-12</t>
  </si>
  <si>
    <t xml:space="preserve">2020-11-13</t>
  </si>
  <si>
    <t xml:space="preserve">2020-11-16</t>
  </si>
  <si>
    <t xml:space="preserve">2020-11-17</t>
  </si>
  <si>
    <t xml:space="preserve">2020-11-18</t>
  </si>
  <si>
    <t xml:space="preserve">2020-11-19</t>
  </si>
  <si>
    <t xml:space="preserve">2020-11-20</t>
  </si>
  <si>
    <t xml:space="preserve">2020-11-23</t>
  </si>
  <si>
    <t xml:space="preserve">2020-11-24</t>
  </si>
  <si>
    <t xml:space="preserve">2020-11-25</t>
  </si>
  <si>
    <t xml:space="preserve">2020-11-27</t>
  </si>
  <si>
    <t xml:space="preserve">2020-11-30</t>
  </si>
  <si>
    <t xml:space="preserve">2020-12-01</t>
  </si>
  <si>
    <t xml:space="preserve">2020-12-02</t>
  </si>
  <si>
    <t xml:space="preserve">2020-12-03</t>
  </si>
  <si>
    <t xml:space="preserve">2020-12-04</t>
  </si>
  <si>
    <t xml:space="preserve">2020-12-07</t>
  </si>
  <si>
    <t xml:space="preserve">2020-12-08</t>
  </si>
  <si>
    <t xml:space="preserve">2020-12-09</t>
  </si>
  <si>
    <t xml:space="preserve">2020-12-10</t>
  </si>
  <si>
    <t xml:space="preserve">2020-12-11</t>
  </si>
  <si>
    <t xml:space="preserve">2020-12-14</t>
  </si>
  <si>
    <t xml:space="preserve">2020-12-15</t>
  </si>
  <si>
    <t xml:space="preserve">2020-12-16</t>
  </si>
  <si>
    <t xml:space="preserve">2020-12-17</t>
  </si>
  <si>
    <t xml:space="preserve">2020-12-18</t>
  </si>
  <si>
    <t xml:space="preserve">2020-12-21</t>
  </si>
  <si>
    <t xml:space="preserve">2020-12-22</t>
  </si>
  <si>
    <t xml:space="preserve">2020-12-23</t>
  </si>
  <si>
    <t xml:space="preserve">2020-12-24</t>
  </si>
  <si>
    <t xml:space="preserve">2020-12-28</t>
  </si>
  <si>
    <t xml:space="preserve">2020-12-29</t>
  </si>
  <si>
    <t xml:space="preserve">2020-12-30</t>
  </si>
  <si>
    <t xml:space="preserve">2020-12-31</t>
  </si>
  <si>
    <t xml:space="preserve">2021-01-04</t>
  </si>
  <si>
    <t xml:space="preserve">2021-01-05</t>
  </si>
  <si>
    <t xml:space="preserve">2021-01-06</t>
  </si>
  <si>
    <t xml:space="preserve">2021-01-07</t>
  </si>
  <si>
    <t xml:space="preserve">2021-01-08</t>
  </si>
  <si>
    <t xml:space="preserve">2021-01-11</t>
  </si>
  <si>
    <t xml:space="preserve">2021-01-12</t>
  </si>
  <si>
    <t xml:space="preserve">2021-01-13</t>
  </si>
  <si>
    <t xml:space="preserve">2021-01-14</t>
  </si>
  <si>
    <t xml:space="preserve">2021-01-15</t>
  </si>
  <si>
    <t xml:space="preserve">2021-01-19</t>
  </si>
  <si>
    <t xml:space="preserve">2021-01-20</t>
  </si>
  <si>
    <t xml:space="preserve">2021-01-21</t>
  </si>
  <si>
    <t xml:space="preserve">2021-01-22</t>
  </si>
  <si>
    <t xml:space="preserve">2021-01-25</t>
  </si>
  <si>
    <t xml:space="preserve">2021-01-26</t>
  </si>
  <si>
    <t xml:space="preserve">2021-01-27</t>
  </si>
  <si>
    <t xml:space="preserve">2021-01-28</t>
  </si>
  <si>
    <t xml:space="preserve">2021-01-29</t>
  </si>
  <si>
    <t xml:space="preserve">2021-02-01</t>
  </si>
  <si>
    <t xml:space="preserve">2021-02-02</t>
  </si>
  <si>
    <t xml:space="preserve">2021-02-03</t>
  </si>
  <si>
    <t xml:space="preserve">2021-02-04</t>
  </si>
  <si>
    <t xml:space="preserve">2021-02-05</t>
  </si>
  <si>
    <t xml:space="preserve">2021-02-08</t>
  </si>
  <si>
    <t xml:space="preserve">2021-02-09</t>
  </si>
  <si>
    <t xml:space="preserve">2021-02-10</t>
  </si>
  <si>
    <t xml:space="preserve">2021-02-11</t>
  </si>
  <si>
    <t xml:space="preserve">2021-02-12</t>
  </si>
  <si>
    <t xml:space="preserve">2021-02-16</t>
  </si>
  <si>
    <t xml:space="preserve">2021-02-17</t>
  </si>
  <si>
    <t xml:space="preserve">2021-02-18</t>
  </si>
  <si>
    <t xml:space="preserve">2021-02-19</t>
  </si>
  <si>
    <t xml:space="preserve">2021-02-22</t>
  </si>
  <si>
    <t xml:space="preserve">2021-02-23</t>
  </si>
  <si>
    <t xml:space="preserve">2021-02-24</t>
  </si>
  <si>
    <t xml:space="preserve">2021-02-25</t>
  </si>
  <si>
    <t xml:space="preserve">2021-02-26</t>
  </si>
  <si>
    <t xml:space="preserve">2021-03-01</t>
  </si>
  <si>
    <t xml:space="preserve">2021-03-02</t>
  </si>
  <si>
    <t xml:space="preserve">2021-03-03</t>
  </si>
  <si>
    <t xml:space="preserve">2021-03-04</t>
  </si>
  <si>
    <t xml:space="preserve">2021-03-05</t>
  </si>
  <si>
    <t xml:space="preserve">2021-03-08</t>
  </si>
  <si>
    <t xml:space="preserve">2021-03-09</t>
  </si>
  <si>
    <t xml:space="preserve">2021-03-10</t>
  </si>
  <si>
    <t xml:space="preserve">2021-03-11</t>
  </si>
  <si>
    <t xml:space="preserve">2021-03-12</t>
  </si>
  <si>
    <t xml:space="preserve">2021-03-15</t>
  </si>
  <si>
    <t xml:space="preserve">2021-03-16</t>
  </si>
  <si>
    <t xml:space="preserve">2021-03-17</t>
  </si>
  <si>
    <t xml:space="preserve">2021-03-18</t>
  </si>
  <si>
    <t xml:space="preserve">2021-03-19</t>
  </si>
  <si>
    <t xml:space="preserve">2021-03-22</t>
  </si>
  <si>
    <t xml:space="preserve">2021-03-23</t>
  </si>
  <si>
    <t xml:space="preserve">2021-03-24</t>
  </si>
  <si>
    <t xml:space="preserve">2021-03-25</t>
  </si>
  <si>
    <t xml:space="preserve">2021-03-26</t>
  </si>
  <si>
    <t xml:space="preserve">2021-03-29</t>
  </si>
  <si>
    <t xml:space="preserve">2021-03-30</t>
  </si>
  <si>
    <t xml:space="preserve">2021-03-31</t>
  </si>
  <si>
    <t xml:space="preserve">2021-04-01</t>
  </si>
  <si>
    <t xml:space="preserve">2021-04-05</t>
  </si>
  <si>
    <t xml:space="preserve">2021-04-06</t>
  </si>
  <si>
    <t xml:space="preserve">2021-04-07</t>
  </si>
  <si>
    <t xml:space="preserve">2021-04-08</t>
  </si>
  <si>
    <t xml:space="preserve">2021-04-09</t>
  </si>
  <si>
    <t xml:space="preserve">2021-04-12</t>
  </si>
  <si>
    <t xml:space="preserve">2021-04-13</t>
  </si>
  <si>
    <t xml:space="preserve">2021-04-14</t>
  </si>
  <si>
    <t xml:space="preserve">2021-04-15</t>
  </si>
  <si>
    <t xml:space="preserve">2021-04-16</t>
  </si>
  <si>
    <t xml:space="preserve">2021-04-19</t>
  </si>
  <si>
    <t xml:space="preserve">2021-04-20</t>
  </si>
  <si>
    <t xml:space="preserve">2021-04-21</t>
  </si>
  <si>
    <t xml:space="preserve">2021-04-22</t>
  </si>
  <si>
    <t xml:space="preserve">2021-04-23</t>
  </si>
  <si>
    <t xml:space="preserve">2021-04-26</t>
  </si>
  <si>
    <t xml:space="preserve">2021-04-27</t>
  </si>
  <si>
    <t xml:space="preserve">2021-04-28</t>
  </si>
  <si>
    <t xml:space="preserve">2021-04-29</t>
  </si>
  <si>
    <t xml:space="preserve">2021-04-30</t>
  </si>
  <si>
    <t xml:space="preserve">2021-05-03</t>
  </si>
  <si>
    <t xml:space="preserve">2021-05-04</t>
  </si>
  <si>
    <t xml:space="preserve">2021-05-05</t>
  </si>
  <si>
    <t xml:space="preserve">2021-05-06</t>
  </si>
  <si>
    <t xml:space="preserve">2021-05-07</t>
  </si>
  <si>
    <t xml:space="preserve">2021-05-10</t>
  </si>
  <si>
    <t xml:space="preserve">2021-05-11</t>
  </si>
  <si>
    <t xml:space="preserve">2021-05-12</t>
  </si>
  <si>
    <t xml:space="preserve">2021-05-13</t>
  </si>
  <si>
    <t xml:space="preserve">2021-05-14</t>
  </si>
  <si>
    <t xml:space="preserve">2021-05-17</t>
  </si>
  <si>
    <t xml:space="preserve">2021-05-18</t>
  </si>
  <si>
    <t xml:space="preserve">2021-05-19</t>
  </si>
  <si>
    <t xml:space="preserve">2021-05-20</t>
  </si>
  <si>
    <t xml:space="preserve">2021-05-21</t>
  </si>
  <si>
    <t xml:space="preserve">2021-05-24</t>
  </si>
  <si>
    <t xml:space="preserve">2021-05-25</t>
  </si>
  <si>
    <t xml:space="preserve">2021-05-26</t>
  </si>
  <si>
    <t xml:space="preserve">2021-05-27</t>
  </si>
  <si>
    <t xml:space="preserve">2021-05-28</t>
  </si>
  <si>
    <t xml:space="preserve">2021-06-01</t>
  </si>
  <si>
    <t xml:space="preserve">2021-06-02</t>
  </si>
  <si>
    <t xml:space="preserve">2021-06-03</t>
  </si>
  <si>
    <t xml:space="preserve">2021-06-04</t>
  </si>
  <si>
    <t xml:space="preserve">2021-06-07</t>
  </si>
  <si>
    <t xml:space="preserve">2021-06-08</t>
  </si>
  <si>
    <t xml:space="preserve">2021-06-09</t>
  </si>
  <si>
    <t xml:space="preserve">2021-06-10</t>
  </si>
  <si>
    <t xml:space="preserve">2021-06-11</t>
  </si>
  <si>
    <t xml:space="preserve">2021-06-14</t>
  </si>
  <si>
    <t xml:space="preserve">2021-06-15</t>
  </si>
  <si>
    <t xml:space="preserve">2021-06-16</t>
  </si>
  <si>
    <t xml:space="preserve">2021-06-17</t>
  </si>
  <si>
    <t xml:space="preserve">2021-06-18</t>
  </si>
  <si>
    <t xml:space="preserve">2021-06-21</t>
  </si>
  <si>
    <t xml:space="preserve">2021-06-22</t>
  </si>
  <si>
    <t xml:space="preserve">2021-06-23</t>
  </si>
  <si>
    <t xml:space="preserve">2021-06-24</t>
  </si>
  <si>
    <t xml:space="preserve">2021-06-25</t>
  </si>
  <si>
    <t xml:space="preserve">2021-06-28</t>
  </si>
  <si>
    <t xml:space="preserve">2021-06-29</t>
  </si>
  <si>
    <t xml:space="preserve">2021-06-30</t>
  </si>
  <si>
    <t xml:space="preserve">2021-07-01</t>
  </si>
  <si>
    <t xml:space="preserve">2021-07-02</t>
  </si>
  <si>
    <t xml:space="preserve">2021-07-06</t>
  </si>
  <si>
    <t xml:space="preserve">2021-07-07</t>
  </si>
  <si>
    <t xml:space="preserve">2021-07-08</t>
  </si>
  <si>
    <t xml:space="preserve">2021-07-09</t>
  </si>
  <si>
    <t xml:space="preserve">2021-07-12</t>
  </si>
  <si>
    <t xml:space="preserve">2021-07-13</t>
  </si>
  <si>
    <t xml:space="preserve">2021-07-14</t>
  </si>
  <si>
    <t xml:space="preserve">2021-07-15</t>
  </si>
  <si>
    <t xml:space="preserve">2021-07-16</t>
  </si>
  <si>
    <t xml:space="preserve">2021-07-19</t>
  </si>
  <si>
    <t xml:space="preserve">2021-07-20</t>
  </si>
  <si>
    <t xml:space="preserve">2021-07-21</t>
  </si>
  <si>
    <t xml:space="preserve">2021-07-22</t>
  </si>
  <si>
    <t xml:space="preserve">2021-07-23</t>
  </si>
  <si>
    <t xml:space="preserve">2021-07-26</t>
  </si>
  <si>
    <t xml:space="preserve">2021-07-27</t>
  </si>
  <si>
    <t xml:space="preserve">2021-07-28</t>
  </si>
  <si>
    <t xml:space="preserve">2021-07-29</t>
  </si>
  <si>
    <t xml:space="preserve">2021-07-30</t>
  </si>
  <si>
    <t xml:space="preserve">2021-08-02</t>
  </si>
  <si>
    <t xml:space="preserve">2021-08-03</t>
  </si>
  <si>
    <t xml:space="preserve">2021-08-04</t>
  </si>
  <si>
    <t xml:space="preserve">2021-08-05</t>
  </si>
  <si>
    <t xml:space="preserve">2021-08-06</t>
  </si>
  <si>
    <t xml:space="preserve">2021-08-09</t>
  </si>
  <si>
    <t xml:space="preserve">2021-08-10</t>
  </si>
  <si>
    <t xml:space="preserve">2021-08-11</t>
  </si>
  <si>
    <t xml:space="preserve">2021-08-12</t>
  </si>
  <si>
    <t xml:space="preserve">2021-08-13</t>
  </si>
  <si>
    <t xml:space="preserve">2021-08-16</t>
  </si>
  <si>
    <t xml:space="preserve">2021-08-17</t>
  </si>
  <si>
    <t xml:space="preserve">2021-08-18</t>
  </si>
  <si>
    <t xml:space="preserve">2021-08-19</t>
  </si>
  <si>
    <t xml:space="preserve">2021-08-20</t>
  </si>
  <si>
    <t xml:space="preserve">2021-08-23</t>
  </si>
  <si>
    <t xml:space="preserve">2021-08-24</t>
  </si>
  <si>
    <t xml:space="preserve">2021-08-25</t>
  </si>
  <si>
    <t xml:space="preserve">2021-08-26</t>
  </si>
  <si>
    <t xml:space="preserve">2021-08-27</t>
  </si>
  <si>
    <t xml:space="preserve">2021-08-30</t>
  </si>
  <si>
    <t xml:space="preserve">2021-08-31</t>
  </si>
  <si>
    <t xml:space="preserve">2021-09-01</t>
  </si>
  <si>
    <t xml:space="preserve">2021-09-02</t>
  </si>
  <si>
    <t xml:space="preserve">2021-09-03</t>
  </si>
  <si>
    <t xml:space="preserve">2021-09-07</t>
  </si>
  <si>
    <t xml:space="preserve">2021-09-08</t>
  </si>
  <si>
    <t xml:space="preserve">2021-09-09</t>
  </si>
  <si>
    <t xml:space="preserve">2021-09-10</t>
  </si>
  <si>
    <t xml:space="preserve">2021-09-13</t>
  </si>
  <si>
    <t xml:space="preserve">2021-09-14</t>
  </si>
  <si>
    <t xml:space="preserve">2021-09-15</t>
  </si>
  <si>
    <t xml:space="preserve">2021-09-16</t>
  </si>
  <si>
    <t xml:space="preserve">2021-09-17</t>
  </si>
  <si>
    <t xml:space="preserve">2021-09-20</t>
  </si>
  <si>
    <t xml:space="preserve">2021-09-21</t>
  </si>
  <si>
    <t xml:space="preserve">2021-09-22</t>
  </si>
  <si>
    <t xml:space="preserve">2021-09-23</t>
  </si>
  <si>
    <t xml:space="preserve">2021-09-24</t>
  </si>
  <si>
    <t xml:space="preserve">2021-09-27</t>
  </si>
  <si>
    <t xml:space="preserve">2021-09-28</t>
  </si>
  <si>
    <t xml:space="preserve">2021-09-29</t>
  </si>
  <si>
    <t xml:space="preserve">2021-09-30</t>
  </si>
  <si>
    <t xml:space="preserve">2021-10-01</t>
  </si>
  <si>
    <t xml:space="preserve">2021-10-04</t>
  </si>
  <si>
    <t xml:space="preserve">2021-10-05</t>
  </si>
  <si>
    <t xml:space="preserve">2021-10-06</t>
  </si>
  <si>
    <t xml:space="preserve">2021-10-07</t>
  </si>
  <si>
    <t xml:space="preserve">2021-10-08</t>
  </si>
  <si>
    <t xml:space="preserve">2021-10-11</t>
  </si>
  <si>
    <t xml:space="preserve">2021-10-12</t>
  </si>
  <si>
    <t xml:space="preserve">2021-10-13</t>
  </si>
  <si>
    <t xml:space="preserve">2021-10-14</t>
  </si>
  <si>
    <t xml:space="preserve">2021-10-15</t>
  </si>
  <si>
    <t xml:space="preserve">2021-10-18</t>
  </si>
  <si>
    <t xml:space="preserve">2021-10-19</t>
  </si>
  <si>
    <t xml:space="preserve">2021-10-20</t>
  </si>
  <si>
    <t xml:space="preserve">2021-10-21</t>
  </si>
  <si>
    <t xml:space="preserve">2021-10-22</t>
  </si>
  <si>
    <t xml:space="preserve">2021-10-25</t>
  </si>
  <si>
    <t xml:space="preserve">2021-10-26</t>
  </si>
  <si>
    <t xml:space="preserve">2021-10-27</t>
  </si>
  <si>
    <t xml:space="preserve">2021-10-28</t>
  </si>
  <si>
    <t xml:space="preserve">2021-10-29</t>
  </si>
  <si>
    <t xml:space="preserve">2021-11-01</t>
  </si>
  <si>
    <t xml:space="preserve">2021-11-02</t>
  </si>
  <si>
    <t xml:space="preserve">2021-11-03</t>
  </si>
  <si>
    <t xml:space="preserve">2021-11-04</t>
  </si>
  <si>
    <t xml:space="preserve">2021-11-05</t>
  </si>
  <si>
    <t xml:space="preserve">2021-11-08</t>
  </si>
  <si>
    <t xml:space="preserve">2021-11-09</t>
  </si>
  <si>
    <t xml:space="preserve">2021-11-10</t>
  </si>
  <si>
    <t xml:space="preserve">2021-11-11</t>
  </si>
  <si>
    <t xml:space="preserve">2021-11-12</t>
  </si>
  <si>
    <t xml:space="preserve">2021-11-15</t>
  </si>
  <si>
    <t xml:space="preserve">2021-11-16</t>
  </si>
  <si>
    <t xml:space="preserve">2021-11-17</t>
  </si>
  <si>
    <t xml:space="preserve">2021-11-18</t>
  </si>
  <si>
    <t xml:space="preserve">2021-11-19</t>
  </si>
  <si>
    <t xml:space="preserve">2021-11-22</t>
  </si>
  <si>
    <t xml:space="preserve">2021-11-23</t>
  </si>
  <si>
    <t xml:space="preserve">2021-11-24</t>
  </si>
  <si>
    <t xml:space="preserve">2021-11-26</t>
  </si>
  <si>
    <t xml:space="preserve">2021-11-29</t>
  </si>
  <si>
    <t xml:space="preserve">2021-11-30</t>
  </si>
  <si>
    <t xml:space="preserve">2021-12-01</t>
  </si>
  <si>
    <t xml:space="preserve">2021-12-02</t>
  </si>
  <si>
    <t xml:space="preserve">2021-12-03</t>
  </si>
  <si>
    <t xml:space="preserve">2021-12-06</t>
  </si>
  <si>
    <t xml:space="preserve">2021-12-07</t>
  </si>
  <si>
    <t xml:space="preserve">2021-12-08</t>
  </si>
  <si>
    <t xml:space="preserve">2021-12-09</t>
  </si>
  <si>
    <t xml:space="preserve">2021-12-10</t>
  </si>
  <si>
    <t xml:space="preserve">2021-12-13</t>
  </si>
  <si>
    <t xml:space="preserve">2021-12-14</t>
  </si>
  <si>
    <t xml:space="preserve">2021-12-15</t>
  </si>
  <si>
    <t xml:space="preserve">2021-12-16</t>
  </si>
  <si>
    <t xml:space="preserve">2021-12-17</t>
  </si>
  <si>
    <t xml:space="preserve">2021-12-20</t>
  </si>
  <si>
    <t xml:space="preserve">2021-12-21</t>
  </si>
  <si>
    <t xml:space="preserve">2021-12-22</t>
  </si>
  <si>
    <t xml:space="preserve">2021-12-23</t>
  </si>
  <si>
    <t xml:space="preserve">2021-12-27</t>
  </si>
  <si>
    <t xml:space="preserve">2021-12-28</t>
  </si>
  <si>
    <t xml:space="preserve">2021-12-29</t>
  </si>
  <si>
    <t xml:space="preserve">2021-12-30</t>
  </si>
  <si>
    <t xml:space="preserve">2021-12-31</t>
  </si>
  <si>
    <t xml:space="preserve">2022-01-03</t>
  </si>
  <si>
    <t xml:space="preserve">2022-01-04</t>
  </si>
  <si>
    <t xml:space="preserve">2022-01-05</t>
  </si>
  <si>
    <t xml:space="preserve">2022-01-06</t>
  </si>
  <si>
    <t xml:space="preserve">2022-01-07</t>
  </si>
  <si>
    <t xml:space="preserve">2022-01-10</t>
  </si>
  <si>
    <t xml:space="preserve">2022-01-11</t>
  </si>
  <si>
    <t xml:space="preserve">2022-01-12</t>
  </si>
  <si>
    <t xml:space="preserve">2022-01-13</t>
  </si>
  <si>
    <t xml:space="preserve">2022-01-14</t>
  </si>
  <si>
    <t xml:space="preserve">2022-01-18</t>
  </si>
  <si>
    <t xml:space="preserve">2022-01-19</t>
  </si>
  <si>
    <t xml:space="preserve">2022-01-20</t>
  </si>
  <si>
    <t xml:space="preserve">2022-01-21</t>
  </si>
  <si>
    <t xml:space="preserve">2022-01-24</t>
  </si>
  <si>
    <t xml:space="preserve">2022-01-25</t>
  </si>
  <si>
    <t xml:space="preserve">2022-01-26</t>
  </si>
  <si>
    <t xml:space="preserve">2022-01-27</t>
  </si>
  <si>
    <t xml:space="preserve">2022-01-28</t>
  </si>
  <si>
    <t xml:space="preserve">2022-01-31</t>
  </si>
  <si>
    <t xml:space="preserve">2022-02-01</t>
  </si>
  <si>
    <t xml:space="preserve">2022-02-02</t>
  </si>
  <si>
    <t xml:space="preserve">2022-02-03</t>
  </si>
  <si>
    <t xml:space="preserve">2022-02-04</t>
  </si>
  <si>
    <t xml:space="preserve">2022-02-07</t>
  </si>
  <si>
    <t xml:space="preserve">2022-02-08</t>
  </si>
  <si>
    <t xml:space="preserve">2022-02-09</t>
  </si>
  <si>
    <t xml:space="preserve">2022-02-10</t>
  </si>
  <si>
    <t xml:space="preserve">2022-02-11</t>
  </si>
  <si>
    <t xml:space="preserve">2022-02-14</t>
  </si>
  <si>
    <t xml:space="preserve">2022-02-15</t>
  </si>
  <si>
    <t xml:space="preserve">2022-02-16</t>
  </si>
  <si>
    <t xml:space="preserve">2022-02-17</t>
  </si>
  <si>
    <t xml:space="preserve">2022-02-18</t>
  </si>
  <si>
    <t xml:space="preserve">2022-02-22</t>
  </si>
  <si>
    <t xml:space="preserve">2022-02-23</t>
  </si>
  <si>
    <t xml:space="preserve">2022-02-24</t>
  </si>
  <si>
    <t xml:space="preserve">2022-02-25</t>
  </si>
  <si>
    <t xml:space="preserve">2022-02-28</t>
  </si>
  <si>
    <t xml:space="preserve">2022-03-01</t>
  </si>
  <si>
    <t xml:space="preserve">2022-03-02</t>
  </si>
  <si>
    <t xml:space="preserve">2022-03-03</t>
  </si>
  <si>
    <t xml:space="preserve">2022-03-04</t>
  </si>
  <si>
    <t xml:space="preserve">2022-03-07</t>
  </si>
  <si>
    <t xml:space="preserve">2022-03-08</t>
  </si>
  <si>
    <t xml:space="preserve">2022-03-09</t>
  </si>
  <si>
    <t xml:space="preserve">2022-03-10</t>
  </si>
  <si>
    <t xml:space="preserve">2022-03-11</t>
  </si>
  <si>
    <t xml:space="preserve">2022-03-14</t>
  </si>
  <si>
    <t xml:space="preserve">2022-03-15</t>
  </si>
  <si>
    <t xml:space="preserve">2022-03-16</t>
  </si>
  <si>
    <t xml:space="preserve">2022-03-17</t>
  </si>
  <si>
    <t xml:space="preserve">2022-03-18</t>
  </si>
  <si>
    <t xml:space="preserve">2022-03-21</t>
  </si>
  <si>
    <t xml:space="preserve">2022-03-22</t>
  </si>
  <si>
    <t xml:space="preserve">2022-03-23</t>
  </si>
  <si>
    <t xml:space="preserve">2022-03-24</t>
  </si>
  <si>
    <t xml:space="preserve">2022-03-25</t>
  </si>
  <si>
    <t xml:space="preserve">2022-03-28</t>
  </si>
  <si>
    <t xml:space="preserve">2022-03-29</t>
  </si>
  <si>
    <t xml:space="preserve">2022-03-30</t>
  </si>
  <si>
    <t xml:space="preserve">2022-03-31</t>
  </si>
  <si>
    <t xml:space="preserve">2022-04-01</t>
  </si>
  <si>
    <t xml:space="preserve">2022-04-04</t>
  </si>
  <si>
    <t xml:space="preserve">2022-04-05</t>
  </si>
  <si>
    <t xml:space="preserve">2022-04-06</t>
  </si>
  <si>
    <t xml:space="preserve">2022-04-07</t>
  </si>
  <si>
    <t xml:space="preserve">2022-04-08</t>
  </si>
  <si>
    <t xml:space="preserve">2022-04-11</t>
  </si>
  <si>
    <t xml:space="preserve">2022-04-12</t>
  </si>
  <si>
    <t xml:space="preserve">2022-04-13</t>
  </si>
  <si>
    <t xml:space="preserve">2022-04-14</t>
  </si>
  <si>
    <t xml:space="preserve">2022-04-18</t>
  </si>
  <si>
    <t xml:space="preserve">2022-04-19</t>
  </si>
  <si>
    <t xml:space="preserve">2022-04-20</t>
  </si>
  <si>
    <t xml:space="preserve">2022-04-21</t>
  </si>
  <si>
    <t xml:space="preserve">2022-04-22</t>
  </si>
  <si>
    <t xml:space="preserve">2022-04-25</t>
  </si>
  <si>
    <t xml:space="preserve">2022-04-26</t>
  </si>
  <si>
    <t xml:space="preserve">2022-04-27</t>
  </si>
  <si>
    <t xml:space="preserve">2022-04-28</t>
  </si>
  <si>
    <t xml:space="preserve">2022-04-29</t>
  </si>
  <si>
    <t xml:space="preserve">2022-05-02</t>
  </si>
  <si>
    <t xml:space="preserve">2022-05-03</t>
  </si>
  <si>
    <t xml:space="preserve">2022-05-04</t>
  </si>
  <si>
    <t xml:space="preserve">2022-05-05</t>
  </si>
  <si>
    <t xml:space="preserve">2022-05-06</t>
  </si>
  <si>
    <t xml:space="preserve">2022-05-09</t>
  </si>
  <si>
    <t xml:space="preserve">2022-05-10</t>
  </si>
  <si>
    <t xml:space="preserve">2022-05-11</t>
  </si>
  <si>
    <t xml:space="preserve">2022-05-12</t>
  </si>
  <si>
    <t xml:space="preserve">2022-05-13</t>
  </si>
  <si>
    <t xml:space="preserve">2022-05-16</t>
  </si>
  <si>
    <t xml:space="preserve">2022-05-17</t>
  </si>
  <si>
    <t xml:space="preserve">2022-05-18</t>
  </si>
  <si>
    <t xml:space="preserve">2022-05-19</t>
  </si>
  <si>
    <t xml:space="preserve">2022-05-20</t>
  </si>
  <si>
    <t xml:space="preserve">2022-05-23</t>
  </si>
  <si>
    <t xml:space="preserve">2022-05-24</t>
  </si>
  <si>
    <t xml:space="preserve">2022-05-25</t>
  </si>
  <si>
    <t xml:space="preserve">2022-05-26</t>
  </si>
  <si>
    <t xml:space="preserve">2022-05-27</t>
  </si>
  <si>
    <t xml:space="preserve">2022-05-31</t>
  </si>
  <si>
    <t xml:space="preserve">2022-06-01</t>
  </si>
  <si>
    <t xml:space="preserve">2022-06-02</t>
  </si>
  <si>
    <t xml:space="preserve">2022-06-03</t>
  </si>
  <si>
    <t xml:space="preserve">2022-06-06</t>
  </si>
  <si>
    <t xml:space="preserve">2022-06-07</t>
  </si>
  <si>
    <t xml:space="preserve">2022-06-08</t>
  </si>
  <si>
    <t xml:space="preserve">2022-06-09</t>
  </si>
  <si>
    <t xml:space="preserve">2022-06-10</t>
  </si>
  <si>
    <t xml:space="preserve">2022-06-13</t>
  </si>
  <si>
    <t xml:space="preserve">2022-06-14</t>
  </si>
  <si>
    <t xml:space="preserve">2022-06-15</t>
  </si>
  <si>
    <t xml:space="preserve">2022-06-16</t>
  </si>
  <si>
    <t xml:space="preserve">2022-06-17</t>
  </si>
  <si>
    <t xml:space="preserve">2022-06-21</t>
  </si>
  <si>
    <t xml:space="preserve">2022-06-22</t>
  </si>
  <si>
    <t xml:space="preserve">2022-06-23</t>
  </si>
  <si>
    <t xml:space="preserve">2022-06-24</t>
  </si>
  <si>
    <t xml:space="preserve">2022-06-27</t>
  </si>
  <si>
    <t xml:space="preserve">2022-06-28</t>
  </si>
  <si>
    <t xml:space="preserve">2022-06-29</t>
  </si>
  <si>
    <t xml:space="preserve">2022-06-30</t>
  </si>
  <si>
    <t xml:space="preserve">2022-07-01</t>
  </si>
  <si>
    <t xml:space="preserve">2022-07-05</t>
  </si>
  <si>
    <t xml:space="preserve">2022-07-06</t>
  </si>
  <si>
    <t xml:space="preserve">2022-07-07</t>
  </si>
  <si>
    <t xml:space="preserve">2022-07-08</t>
  </si>
  <si>
    <t xml:space="preserve">2022-07-11</t>
  </si>
  <si>
    <t xml:space="preserve">2022-07-12</t>
  </si>
  <si>
    <t xml:space="preserve">2022-07-13</t>
  </si>
  <si>
    <t xml:space="preserve">2022-07-14</t>
  </si>
  <si>
    <t xml:space="preserve">2022-07-15</t>
  </si>
  <si>
    <t xml:space="preserve">2022-07-18</t>
  </si>
  <si>
    <t xml:space="preserve">2022-07-19</t>
  </si>
  <si>
    <t xml:space="preserve">2022-07-20</t>
  </si>
  <si>
    <t xml:space="preserve">2022-07-21</t>
  </si>
  <si>
    <t xml:space="preserve">2022-07-22</t>
  </si>
  <si>
    <t xml:space="preserve">2022-07-25</t>
  </si>
  <si>
    <t xml:space="preserve">2022-07-26</t>
  </si>
  <si>
    <t xml:space="preserve">2022-07-27</t>
  </si>
  <si>
    <t xml:space="preserve">2022-07-28</t>
  </si>
  <si>
    <t xml:space="preserve">2022-07-29</t>
  </si>
  <si>
    <t xml:space="preserve">2022-08-01</t>
  </si>
  <si>
    <t xml:space="preserve">2022-08-02</t>
  </si>
  <si>
    <t xml:space="preserve">2022-08-03</t>
  </si>
  <si>
    <t xml:space="preserve">2022-08-04</t>
  </si>
  <si>
    <t xml:space="preserve">2022-08-05</t>
  </si>
  <si>
    <t xml:space="preserve">2022-08-08</t>
  </si>
  <si>
    <t xml:space="preserve">2022-08-09</t>
  </si>
  <si>
    <t xml:space="preserve">2022-08-10</t>
  </si>
  <si>
    <t xml:space="preserve">2022-08-11</t>
  </si>
  <si>
    <t xml:space="preserve">2022-08-12</t>
  </si>
  <si>
    <t xml:space="preserve">2022-08-15</t>
  </si>
  <si>
    <t xml:space="preserve">2022-08-16</t>
  </si>
  <si>
    <t xml:space="preserve">2022-08-17</t>
  </si>
  <si>
    <t xml:space="preserve">2022-08-18</t>
  </si>
  <si>
    <t xml:space="preserve">2022-08-19</t>
  </si>
  <si>
    <t xml:space="preserve">2022-08-22</t>
  </si>
  <si>
    <t xml:space="preserve">2022-08-23</t>
  </si>
  <si>
    <t xml:space="preserve">2022-08-24</t>
  </si>
  <si>
    <t xml:space="preserve">2022-08-25</t>
  </si>
  <si>
    <t xml:space="preserve">2022-08-26</t>
  </si>
  <si>
    <t xml:space="preserve">2022-08-29</t>
  </si>
  <si>
    <t xml:space="preserve">2022-08-30</t>
  </si>
  <si>
    <t xml:space="preserve">2022-08-31</t>
  </si>
  <si>
    <t xml:space="preserve">2022-09-01</t>
  </si>
  <si>
    <t xml:space="preserve">2022-09-02</t>
  </si>
  <si>
    <t xml:space="preserve">2022-09-06</t>
  </si>
  <si>
    <t xml:space="preserve">2022-09-07</t>
  </si>
  <si>
    <t xml:space="preserve">2022-09-08</t>
  </si>
  <si>
    <t xml:space="preserve">2022-09-09</t>
  </si>
  <si>
    <t xml:space="preserve">2022-09-12</t>
  </si>
  <si>
    <t xml:space="preserve">2022-09-13</t>
  </si>
  <si>
    <t xml:space="preserve">2022-09-14</t>
  </si>
  <si>
    <t xml:space="preserve">2022-09-15</t>
  </si>
  <si>
    <t xml:space="preserve">2022-09-16</t>
  </si>
  <si>
    <t xml:space="preserve">2022-09-19</t>
  </si>
  <si>
    <t xml:space="preserve">2022-09-20</t>
  </si>
  <si>
    <t xml:space="preserve">2022-09-21</t>
  </si>
  <si>
    <t xml:space="preserve">2022-09-22</t>
  </si>
  <si>
    <t xml:space="preserve">2022-09-23</t>
  </si>
  <si>
    <t xml:space="preserve">2022-09-26</t>
  </si>
  <si>
    <t xml:space="preserve">2022-09-27</t>
  </si>
  <si>
    <t xml:space="preserve">2022-09-28</t>
  </si>
  <si>
    <t xml:space="preserve">2022-09-29</t>
  </si>
  <si>
    <t xml:space="preserve">2022-09-30</t>
  </si>
  <si>
    <t xml:space="preserve">2022-10-03</t>
  </si>
  <si>
    <t xml:space="preserve">2022-10-04</t>
  </si>
  <si>
    <t xml:space="preserve">2022-10-05</t>
  </si>
  <si>
    <t xml:space="preserve">2022-10-06</t>
  </si>
  <si>
    <t xml:space="preserve">2022-10-07</t>
  </si>
  <si>
    <t xml:space="preserve">2022-10-10</t>
  </si>
  <si>
    <t xml:space="preserve">2022-10-11</t>
  </si>
  <si>
    <t xml:space="preserve">2022-10-12</t>
  </si>
  <si>
    <t xml:space="preserve">2022-10-13</t>
  </si>
  <si>
    <t xml:space="preserve">2022-10-14</t>
  </si>
  <si>
    <t xml:space="preserve">2022-10-17</t>
  </si>
  <si>
    <t xml:space="preserve">2022-10-18</t>
  </si>
  <si>
    <t xml:space="preserve">2022-10-19</t>
  </si>
  <si>
    <t xml:space="preserve">2022-10-20</t>
  </si>
  <si>
    <t xml:space="preserve">2022-10-21</t>
  </si>
  <si>
    <t xml:space="preserve">2022-10-24</t>
  </si>
  <si>
    <t xml:space="preserve">2022-10-25</t>
  </si>
  <si>
    <t xml:space="preserve">2022-10-26</t>
  </si>
  <si>
    <t xml:space="preserve">2022-10-27</t>
  </si>
  <si>
    <t xml:space="preserve">2022-10-28</t>
  </si>
  <si>
    <t xml:space="preserve">2022-10-31</t>
  </si>
  <si>
    <t xml:space="preserve">2022-11-01</t>
  </si>
  <si>
    <t xml:space="preserve">2022-11-02</t>
  </si>
  <si>
    <t xml:space="preserve">2022-11-03</t>
  </si>
  <si>
    <t xml:space="preserve">2022-11-04</t>
  </si>
  <si>
    <t xml:space="preserve">2022-11-07</t>
  </si>
  <si>
    <t xml:space="preserve">2022-11-08</t>
  </si>
  <si>
    <t xml:space="preserve">2022-11-09</t>
  </si>
  <si>
    <t xml:space="preserve">2022-11-10</t>
  </si>
  <si>
    <t xml:space="preserve">2022-11-11</t>
  </si>
  <si>
    <t xml:space="preserve">2022-11-14</t>
  </si>
  <si>
    <t xml:space="preserve">2022-11-15</t>
  </si>
  <si>
    <t xml:space="preserve">2022-11-16</t>
  </si>
  <si>
    <t xml:space="preserve">2022-11-17</t>
  </si>
  <si>
    <t xml:space="preserve">2022-11-18</t>
  </si>
  <si>
    <t xml:space="preserve">2022-11-21</t>
  </si>
  <si>
    <t xml:space="preserve">2022-11-22</t>
  </si>
  <si>
    <t xml:space="preserve">2022-11-23</t>
  </si>
  <si>
    <t xml:space="preserve">2022-11-25</t>
  </si>
  <si>
    <t xml:space="preserve">2022-11-28</t>
  </si>
  <si>
    <t xml:space="preserve">2022-11-29</t>
  </si>
  <si>
    <t xml:space="preserve">2022-11-30</t>
  </si>
  <si>
    <t xml:space="preserve">2022-12-01</t>
  </si>
  <si>
    <t xml:space="preserve">2022-12-02</t>
  </si>
  <si>
    <t xml:space="preserve">2022-12-05</t>
  </si>
  <si>
    <t xml:space="preserve">2022-12-06</t>
  </si>
  <si>
    <t xml:space="preserve">2022-12-07</t>
  </si>
  <si>
    <t xml:space="preserve">2022-12-08</t>
  </si>
  <si>
    <t xml:space="preserve">2022-12-09</t>
  </si>
  <si>
    <t xml:space="preserve">2022-12-12</t>
  </si>
  <si>
    <t xml:space="preserve">2022-12-13</t>
  </si>
  <si>
    <t xml:space="preserve">2022-12-14</t>
  </si>
  <si>
    <t xml:space="preserve">2022-12-15</t>
  </si>
  <si>
    <t xml:space="preserve">2022-12-16</t>
  </si>
  <si>
    <t xml:space="preserve">2022-12-19</t>
  </si>
  <si>
    <t xml:space="preserve">2022-12-20</t>
  </si>
  <si>
    <t xml:space="preserve">2022-12-21</t>
  </si>
  <si>
    <t xml:space="preserve">2022-12-22</t>
  </si>
  <si>
    <t xml:space="preserve">2022-12-23</t>
  </si>
  <si>
    <t xml:space="preserve">2022-12-27</t>
  </si>
  <si>
    <t xml:space="preserve">2022-12-28</t>
  </si>
  <si>
    <t xml:space="preserve">2022-12-29</t>
  </si>
  <si>
    <t xml:space="preserve">2022-12-30</t>
  </si>
  <si>
    <t xml:space="preserve">2023-01-03</t>
  </si>
  <si>
    <t xml:space="preserve">2023-01-04</t>
  </si>
  <si>
    <t xml:space="preserve">2023-01-05</t>
  </si>
  <si>
    <t xml:space="preserve">2023-01-06</t>
  </si>
  <si>
    <t xml:space="preserve">2023-01-09</t>
  </si>
  <si>
    <t xml:space="preserve">2023-01-10</t>
  </si>
  <si>
    <t xml:space="preserve">2023-01-11</t>
  </si>
  <si>
    <t xml:space="preserve">2023-01-12</t>
  </si>
  <si>
    <t xml:space="preserve">2023-01-13</t>
  </si>
  <si>
    <t xml:space="preserve">2023-01-17</t>
  </si>
  <si>
    <t xml:space="preserve">2023-01-18</t>
  </si>
  <si>
    <t xml:space="preserve">2023-01-19</t>
  </si>
  <si>
    <t xml:space="preserve">2023-01-20</t>
  </si>
  <si>
    <t xml:space="preserve">2023-01-23</t>
  </si>
  <si>
    <t xml:space="preserve">2023-01-24</t>
  </si>
  <si>
    <t xml:space="preserve">2023-01-25</t>
  </si>
  <si>
    <t xml:space="preserve">2023-01-26</t>
  </si>
  <si>
    <t xml:space="preserve">2023-01-27</t>
  </si>
  <si>
    <t xml:space="preserve">2023-01-30</t>
  </si>
  <si>
    <t xml:space="preserve">2023-01-31</t>
  </si>
  <si>
    <t xml:space="preserve">2023-02-01</t>
  </si>
  <si>
    <t xml:space="preserve">2023-02-02</t>
  </si>
  <si>
    <t xml:space="preserve">2023-02-03</t>
  </si>
  <si>
    <t xml:space="preserve">2023-02-06</t>
  </si>
  <si>
    <t xml:space="preserve">2023-02-07</t>
  </si>
  <si>
    <t xml:space="preserve">2023-02-08</t>
  </si>
  <si>
    <t xml:space="preserve">2023-02-09</t>
  </si>
  <si>
    <t xml:space="preserve">2023-02-10</t>
  </si>
  <si>
    <t xml:space="preserve">2023-02-13</t>
  </si>
  <si>
    <t xml:space="preserve">2023-02-14</t>
  </si>
  <si>
    <t xml:space="preserve">2023-02-15</t>
  </si>
  <si>
    <t xml:space="preserve">2023-02-16</t>
  </si>
  <si>
    <t xml:space="preserve">2023-02-17</t>
  </si>
  <si>
    <t xml:space="preserve">2023-02-21</t>
  </si>
  <si>
    <t xml:space="preserve">2023-02-22</t>
  </si>
  <si>
    <t xml:space="preserve">2023-02-23</t>
  </si>
  <si>
    <t xml:space="preserve">2023-02-24</t>
  </si>
  <si>
    <t xml:space="preserve">2023-02-27</t>
  </si>
  <si>
    <t xml:space="preserve">2023-02-28</t>
  </si>
  <si>
    <t xml:space="preserve">2023-03-01</t>
  </si>
  <si>
    <t xml:space="preserve">2023-03-02</t>
  </si>
  <si>
    <t xml:space="preserve">2023-03-03</t>
  </si>
  <si>
    <t xml:space="preserve">2023-03-06</t>
  </si>
  <si>
    <t xml:space="preserve">2023-03-07</t>
  </si>
  <si>
    <t xml:space="preserve">2023-03-08</t>
  </si>
  <si>
    <t xml:space="preserve">2023-03-09</t>
  </si>
  <si>
    <t xml:space="preserve">2023-03-10</t>
  </si>
  <si>
    <t xml:space="preserve">2023-03-13</t>
  </si>
  <si>
    <t xml:space="preserve">2023-03-14</t>
  </si>
  <si>
    <t xml:space="preserve">2023-03-15</t>
  </si>
  <si>
    <t xml:space="preserve">2023-03-16</t>
  </si>
  <si>
    <t xml:space="preserve">2023-03-17</t>
  </si>
  <si>
    <t xml:space="preserve">2023-03-20</t>
  </si>
  <si>
    <t xml:space="preserve">2023-03-21</t>
  </si>
  <si>
    <t xml:space="preserve">2023-03-22</t>
  </si>
  <si>
    <t xml:space="preserve">2023-03-23</t>
  </si>
  <si>
    <t xml:space="preserve">2023-03-24</t>
  </si>
  <si>
    <t xml:space="preserve">2023-03-27</t>
  </si>
  <si>
    <t xml:space="preserve">2023-03-28</t>
  </si>
  <si>
    <t xml:space="preserve">2023-03-29</t>
  </si>
  <si>
    <t xml:space="preserve">2023-03-30</t>
  </si>
  <si>
    <t xml:space="preserve">2023-03-31</t>
  </si>
  <si>
    <t xml:space="preserve">2023-04-03</t>
  </si>
  <si>
    <t xml:space="preserve">2023-04-04</t>
  </si>
  <si>
    <t xml:space="preserve">2023-04-05</t>
  </si>
  <si>
    <t xml:space="preserve">2023-04-06</t>
  </si>
  <si>
    <t xml:space="preserve">2023-04-10</t>
  </si>
  <si>
    <t xml:space="preserve">2023-04-11</t>
  </si>
  <si>
    <t xml:space="preserve">2023-04-12</t>
  </si>
  <si>
    <t xml:space="preserve">2023-04-13</t>
  </si>
  <si>
    <t xml:space="preserve">2023-04-14</t>
  </si>
  <si>
    <t xml:space="preserve">2023-04-17</t>
  </si>
  <si>
    <t xml:space="preserve">2023-04-18</t>
  </si>
  <si>
    <t xml:space="preserve">2023-04-19</t>
  </si>
  <si>
    <t xml:space="preserve">2023-04-20</t>
  </si>
  <si>
    <t xml:space="preserve">2023-04-21</t>
  </si>
  <si>
    <t xml:space="preserve">2023-04-24</t>
  </si>
  <si>
    <t xml:space="preserve">2023-04-25</t>
  </si>
  <si>
    <t xml:space="preserve">2023-04-26</t>
  </si>
  <si>
    <t xml:space="preserve">2023-04-27</t>
  </si>
  <si>
    <t xml:space="preserve">2023-04-28</t>
  </si>
  <si>
    <t xml:space="preserve">2023-05-01</t>
  </si>
  <si>
    <t xml:space="preserve">2023-05-02</t>
  </si>
  <si>
    <t xml:space="preserve">2023-05-03</t>
  </si>
  <si>
    <t xml:space="preserve">2023-05-04</t>
  </si>
  <si>
    <t xml:space="preserve">2023-05-05</t>
  </si>
  <si>
    <t xml:space="preserve">2023-05-08</t>
  </si>
  <si>
    <t xml:space="preserve">2023-05-09</t>
  </si>
  <si>
    <t xml:space="preserve">2023-05-10</t>
  </si>
  <si>
    <t xml:space="preserve">2023-05-11</t>
  </si>
  <si>
    <t xml:space="preserve">2023-05-12</t>
  </si>
  <si>
    <t xml:space="preserve">2023-05-15</t>
  </si>
  <si>
    <t xml:space="preserve">2023-05-16</t>
  </si>
  <si>
    <t xml:space="preserve">2023-05-17</t>
  </si>
  <si>
    <t xml:space="preserve">2023-05-18</t>
  </si>
  <si>
    <t xml:space="preserve">2023-05-19</t>
  </si>
  <si>
    <t xml:space="preserve">2023-05-22</t>
  </si>
  <si>
    <t xml:space="preserve">2023-05-23</t>
  </si>
  <si>
    <t xml:space="preserve">2023-05-24</t>
  </si>
  <si>
    <t xml:space="preserve">2023-05-25</t>
  </si>
  <si>
    <t xml:space="preserve">2023-05-26</t>
  </si>
  <si>
    <t xml:space="preserve">2023-05-30</t>
  </si>
  <si>
    <t xml:space="preserve">2023-05-31</t>
  </si>
  <si>
    <t xml:space="preserve">2023-06-01</t>
  </si>
  <si>
    <t xml:space="preserve">2023-06-02</t>
  </si>
  <si>
    <t xml:space="preserve">2023-06-05</t>
  </si>
  <si>
    <t xml:space="preserve">2023-06-06</t>
  </si>
  <si>
    <t xml:space="preserve">2023-06-07</t>
  </si>
  <si>
    <t xml:space="preserve">2023-06-08</t>
  </si>
  <si>
    <t xml:space="preserve">2023-06-09</t>
  </si>
  <si>
    <t xml:space="preserve">2023-06-12</t>
  </si>
  <si>
    <t xml:space="preserve">2023-06-13</t>
  </si>
  <si>
    <t xml:space="preserve">2023-06-14</t>
  </si>
  <si>
    <t xml:space="preserve">2023-06-15</t>
  </si>
  <si>
    <t xml:space="preserve">2023-06-16</t>
  </si>
  <si>
    <t xml:space="preserve">2023-06-20</t>
  </si>
  <si>
    <t xml:space="preserve">2023-06-21</t>
  </si>
  <si>
    <t xml:space="preserve">2023-06-22</t>
  </si>
  <si>
    <t xml:space="preserve">2023-06-23</t>
  </si>
  <si>
    <t xml:space="preserve">2023-06-26</t>
  </si>
  <si>
    <t xml:space="preserve">2023-06-27</t>
  </si>
  <si>
    <t xml:space="preserve">2023-06-28</t>
  </si>
  <si>
    <t xml:space="preserve">2023-06-29</t>
  </si>
  <si>
    <t xml:space="preserve">2023-06-30</t>
  </si>
  <si>
    <t xml:space="preserve">2023-07-03</t>
  </si>
  <si>
    <t xml:space="preserve">2023-07-05</t>
  </si>
  <si>
    <t xml:space="preserve">2023-07-06</t>
  </si>
  <si>
    <t xml:space="preserve">2023-07-07</t>
  </si>
  <si>
    <t xml:space="preserve">2023-07-10</t>
  </si>
  <si>
    <t xml:space="preserve">2023-07-11</t>
  </si>
  <si>
    <t xml:space="preserve">2023-07-12</t>
  </si>
  <si>
    <t xml:space="preserve">2023-07-13</t>
  </si>
  <si>
    <t xml:space="preserve">2023-07-14</t>
  </si>
  <si>
    <t xml:space="preserve">2023-07-17</t>
  </si>
  <si>
    <t xml:space="preserve">2023-07-18</t>
  </si>
  <si>
    <t xml:space="preserve">2023-07-19</t>
  </si>
  <si>
    <t xml:space="preserve">2023-07-20</t>
  </si>
  <si>
    <t xml:space="preserve">2023-07-21</t>
  </si>
  <si>
    <t xml:space="preserve">2023-07-24</t>
  </si>
  <si>
    <t xml:space="preserve">2023-07-25</t>
  </si>
  <si>
    <t xml:space="preserve">2023-07-26</t>
  </si>
  <si>
    <t xml:space="preserve">2023-07-27</t>
  </si>
  <si>
    <t xml:space="preserve">2023-07-28</t>
  </si>
  <si>
    <t xml:space="preserve">2023-07-31</t>
  </si>
  <si>
    <t xml:space="preserve">2023-08-01</t>
  </si>
  <si>
    <t xml:space="preserve">2023-08-02</t>
  </si>
  <si>
    <t xml:space="preserve">2023-08-03</t>
  </si>
  <si>
    <t xml:space="preserve">2023-08-04</t>
  </si>
  <si>
    <t xml:space="preserve">2023-08-07</t>
  </si>
  <si>
    <t xml:space="preserve">2023-08-08</t>
  </si>
  <si>
    <t xml:space="preserve">2023-08-09</t>
  </si>
  <si>
    <t xml:space="preserve">2023-08-10</t>
  </si>
  <si>
    <t xml:space="preserve">2023-08-11</t>
  </si>
  <si>
    <t xml:space="preserve">2023-08-14</t>
  </si>
  <si>
    <t xml:space="preserve">2023-08-15</t>
  </si>
  <si>
    <t xml:space="preserve">2023-08-16</t>
  </si>
  <si>
    <t xml:space="preserve">2023-08-17</t>
  </si>
  <si>
    <t xml:space="preserve">2023-08-18</t>
  </si>
  <si>
    <t xml:space="preserve">2023-08-21</t>
  </si>
  <si>
    <t xml:space="preserve">2023-08-22</t>
  </si>
  <si>
    <t xml:space="preserve">2023-08-23</t>
  </si>
  <si>
    <t xml:space="preserve">2023-08-24</t>
  </si>
  <si>
    <t xml:space="preserve">2023-08-25</t>
  </si>
  <si>
    <t xml:space="preserve">2023-08-28</t>
  </si>
  <si>
    <t xml:space="preserve">2023-08-29</t>
  </si>
  <si>
    <t xml:space="preserve">2023-08-30</t>
  </si>
  <si>
    <t xml:space="preserve">2023-08-31</t>
  </si>
  <si>
    <t xml:space="preserve">2023-09-01</t>
  </si>
  <si>
    <t xml:space="preserve">2023-09-05</t>
  </si>
  <si>
    <t xml:space="preserve">2023-09-06</t>
  </si>
  <si>
    <t xml:space="preserve">2023-09-07</t>
  </si>
  <si>
    <t xml:space="preserve">2023-09-08</t>
  </si>
  <si>
    <t xml:space="preserve">2023-09-11</t>
  </si>
  <si>
    <t xml:space="preserve">2023-09-12</t>
  </si>
  <si>
    <t xml:space="preserve">2023-09-13</t>
  </si>
  <si>
    <t xml:space="preserve">2023-09-14</t>
  </si>
  <si>
    <t xml:space="preserve">2023-09-15</t>
  </si>
  <si>
    <t xml:space="preserve">2023-09-18</t>
  </si>
  <si>
    <t xml:space="preserve">2023-09-19</t>
  </si>
  <si>
    <t xml:space="preserve">2023-09-20</t>
  </si>
  <si>
    <t xml:space="preserve">2023-09-21</t>
  </si>
  <si>
    <t xml:space="preserve">2023-09-22</t>
  </si>
  <si>
    <t xml:space="preserve">2023-09-25</t>
  </si>
  <si>
    <t xml:space="preserve">2023-09-26</t>
  </si>
  <si>
    <t xml:space="preserve">2023-09-27</t>
  </si>
  <si>
    <t xml:space="preserve">2023-09-28</t>
  </si>
  <si>
    <t xml:space="preserve">2023-09-29</t>
  </si>
  <si>
    <t xml:space="preserve">2023-10-02</t>
  </si>
  <si>
    <t xml:space="preserve">2023-10-03</t>
  </si>
  <si>
    <t xml:space="preserve">2023-10-04</t>
  </si>
  <si>
    <t xml:space="preserve">2023-10-05</t>
  </si>
  <si>
    <t xml:space="preserve">2023-10-06</t>
  </si>
  <si>
    <t xml:space="preserve">2023-10-09</t>
  </si>
  <si>
    <t xml:space="preserve">2023-10-10</t>
  </si>
  <si>
    <t xml:space="preserve">2023-10-11</t>
  </si>
  <si>
    <t xml:space="preserve">2023-10-12</t>
  </si>
  <si>
    <t xml:space="preserve">2023-10-13</t>
  </si>
  <si>
    <t xml:space="preserve">2023-10-16</t>
  </si>
  <si>
    <t xml:space="preserve">2023-10-17</t>
  </si>
  <si>
    <t xml:space="preserve">2023-10-18</t>
  </si>
  <si>
    <t xml:space="preserve">2023-10-19</t>
  </si>
  <si>
    <t xml:space="preserve">2023-10-20</t>
  </si>
  <si>
    <t xml:space="preserve">2023-10-23</t>
  </si>
  <si>
    <t xml:space="preserve">2023-10-24</t>
  </si>
  <si>
    <t xml:space="preserve">2023-10-25</t>
  </si>
  <si>
    <t xml:space="preserve">2023-10-26</t>
  </si>
  <si>
    <t xml:space="preserve">2023-10-27</t>
  </si>
  <si>
    <t xml:space="preserve">2023-10-30</t>
  </si>
  <si>
    <t xml:space="preserve">2023-10-31</t>
  </si>
  <si>
    <t xml:space="preserve">2023-11-01</t>
  </si>
  <si>
    <t xml:space="preserve">2023-11-02</t>
  </si>
  <si>
    <t xml:space="preserve">2023-11-03</t>
  </si>
  <si>
    <t xml:space="preserve">2023-11-06</t>
  </si>
  <si>
    <t xml:space="preserve">2023-11-07</t>
  </si>
  <si>
    <t xml:space="preserve">2023-11-08</t>
  </si>
  <si>
    <t xml:space="preserve">2023-11-09</t>
  </si>
  <si>
    <t xml:space="preserve">2023-11-10</t>
  </si>
  <si>
    <t xml:space="preserve">2023-11-13</t>
  </si>
  <si>
    <t xml:space="preserve">2023-11-14</t>
  </si>
  <si>
    <t xml:space="preserve">2023-11-15</t>
  </si>
  <si>
    <t xml:space="preserve">2023-11-16</t>
  </si>
  <si>
    <t xml:space="preserve">2023-11-17</t>
  </si>
  <si>
    <t xml:space="preserve">2023-11-20</t>
  </si>
  <si>
    <t xml:space="preserve">2023-11-21</t>
  </si>
  <si>
    <t xml:space="preserve">2023-11-22</t>
  </si>
  <si>
    <t xml:space="preserve">2023-11-24</t>
  </si>
  <si>
    <t xml:space="preserve">2023-11-27</t>
  </si>
  <si>
    <t xml:space="preserve">2023-11-28</t>
  </si>
  <si>
    <t xml:space="preserve">2023-11-29</t>
  </si>
  <si>
    <t xml:space="preserve">2023-11-30</t>
  </si>
  <si>
    <t xml:space="preserve">2023-12-01</t>
  </si>
  <si>
    <t xml:space="preserve">2023-12-04</t>
  </si>
  <si>
    <t xml:space="preserve">2023-12-05</t>
  </si>
  <si>
    <t xml:space="preserve">2023-12-06</t>
  </si>
  <si>
    <t xml:space="preserve">2023-12-07</t>
  </si>
  <si>
    <t xml:space="preserve">2023-12-08</t>
  </si>
  <si>
    <t xml:space="preserve">2023-12-11</t>
  </si>
  <si>
    <t xml:space="preserve">2023-12-12</t>
  </si>
  <si>
    <t xml:space="preserve">2023-12-13</t>
  </si>
  <si>
    <t xml:space="preserve">2023-12-14</t>
  </si>
  <si>
    <t xml:space="preserve">2023-12-15</t>
  </si>
  <si>
    <t xml:space="preserve">2023-12-18</t>
  </si>
  <si>
    <t xml:space="preserve">2023-12-19</t>
  </si>
  <si>
    <t xml:space="preserve">2023-12-20</t>
  </si>
  <si>
    <t xml:space="preserve">2023-12-21</t>
  </si>
  <si>
    <t xml:space="preserve">2023-12-22</t>
  </si>
  <si>
    <t xml:space="preserve">2023-12-26</t>
  </si>
  <si>
    <t xml:space="preserve">2023-12-27</t>
  </si>
  <si>
    <t xml:space="preserve">2023-12-28</t>
  </si>
  <si>
    <t xml:space="preserve">2023-12-29</t>
  </si>
  <si>
    <t xml:space="preserve">2024-01-02</t>
  </si>
  <si>
    <t xml:space="preserve">2024-01-03</t>
  </si>
  <si>
    <t xml:space="preserve">2024-01-04</t>
  </si>
  <si>
    <t xml:space="preserve">2024-01-05</t>
  </si>
  <si>
    <t xml:space="preserve">2024-01-08</t>
  </si>
  <si>
    <t xml:space="preserve">2024-01-09</t>
  </si>
  <si>
    <t xml:space="preserve">2024-01-10</t>
  </si>
  <si>
    <t xml:space="preserve">2024-01-11</t>
  </si>
  <si>
    <t xml:space="preserve">2024-01-12</t>
  </si>
  <si>
    <t xml:space="preserve">2024-01-16</t>
  </si>
  <si>
    <t xml:space="preserve">2024-01-17</t>
  </si>
  <si>
    <t xml:space="preserve">2024-01-18</t>
  </si>
  <si>
    <t xml:space="preserve">2024-01-19</t>
  </si>
  <si>
    <t xml:space="preserve">2024-01-22</t>
  </si>
  <si>
    <t xml:space="preserve">2024-01-23</t>
  </si>
  <si>
    <t xml:space="preserve">2024-01-24</t>
  </si>
  <si>
    <t xml:space="preserve">2024-01-25</t>
  </si>
  <si>
    <t xml:space="preserve">2024-01-26</t>
  </si>
  <si>
    <t xml:space="preserve">2024-01-29</t>
  </si>
  <si>
    <t xml:space="preserve">2024-01-30</t>
  </si>
  <si>
    <t xml:space="preserve">2024-01-31</t>
  </si>
  <si>
    <t xml:space="preserve">2024-02-01</t>
  </si>
  <si>
    <t xml:space="preserve">2024-02-02</t>
  </si>
  <si>
    <t xml:space="preserve">2024-02-05</t>
  </si>
  <si>
    <t xml:space="preserve">2024-02-06</t>
  </si>
  <si>
    <t xml:space="preserve">2024-02-07</t>
  </si>
  <si>
    <t xml:space="preserve">2024-02-08</t>
  </si>
  <si>
    <t xml:space="preserve">2024-02-09</t>
  </si>
  <si>
    <t xml:space="preserve">2024-02-12</t>
  </si>
  <si>
    <t xml:space="preserve">2024-02-13</t>
  </si>
  <si>
    <t xml:space="preserve">2024-02-14</t>
  </si>
  <si>
    <t xml:space="preserve">2024-02-15</t>
  </si>
  <si>
    <t xml:space="preserve">2024-02-16</t>
  </si>
  <si>
    <t xml:space="preserve">2024-02-20</t>
  </si>
  <si>
    <t xml:space="preserve">2024-02-21</t>
  </si>
  <si>
    <t xml:space="preserve">2024-02-22</t>
  </si>
  <si>
    <t xml:space="preserve">2024-02-23</t>
  </si>
  <si>
    <t xml:space="preserve">2024-02-26</t>
  </si>
  <si>
    <t xml:space="preserve">2024-02-27</t>
  </si>
  <si>
    <t xml:space="preserve">2024-02-28</t>
  </si>
  <si>
    <t xml:space="preserve">2024-02-29</t>
  </si>
  <si>
    <t xml:space="preserve">2024-03-01</t>
  </si>
  <si>
    <t xml:space="preserve">2024-03-04</t>
  </si>
  <si>
    <t xml:space="preserve">2024-03-05</t>
  </si>
  <si>
    <t xml:space="preserve">2024-03-06</t>
  </si>
  <si>
    <t xml:space="preserve">2024-03-07</t>
  </si>
  <si>
    <t xml:space="preserve">2024-03-08</t>
  </si>
  <si>
    <t xml:space="preserve">2024-03-11</t>
  </si>
  <si>
    <t xml:space="preserve">2024-03-12</t>
  </si>
  <si>
    <t xml:space="preserve">2024-03-13</t>
  </si>
  <si>
    <t xml:space="preserve">2024-03-14</t>
  </si>
  <si>
    <t xml:space="preserve">2024-03-15</t>
  </si>
  <si>
    <t xml:space="preserve">2024-03-18</t>
  </si>
  <si>
    <t xml:space="preserve">2024-03-19</t>
  </si>
  <si>
    <t xml:space="preserve">2024-03-20</t>
  </si>
  <si>
    <t xml:space="preserve">2024-03-21</t>
  </si>
  <si>
    <t xml:space="preserve">2024-03-22</t>
  </si>
  <si>
    <t xml:space="preserve">2024-03-25</t>
  </si>
  <si>
    <t xml:space="preserve">2024-03-26</t>
  </si>
  <si>
    <t xml:space="preserve">2024-03-27</t>
  </si>
  <si>
    <t xml:space="preserve">2024-03-28</t>
  </si>
  <si>
    <t xml:space="preserve">2024-04-01</t>
  </si>
  <si>
    <t xml:space="preserve">2024-04-02</t>
  </si>
  <si>
    <t xml:space="preserve">2024-04-03</t>
  </si>
  <si>
    <t xml:space="preserve">2024-04-04</t>
  </si>
  <si>
    <t xml:space="preserve">2024-04-05</t>
  </si>
  <si>
    <t xml:space="preserve">2024-04-08</t>
  </si>
  <si>
    <t xml:space="preserve">2024-04-09</t>
  </si>
  <si>
    <t xml:space="preserve">2024-04-10</t>
  </si>
  <si>
    <t xml:space="preserve">2024-04-11</t>
  </si>
  <si>
    <t xml:space="preserve">2024-04-12</t>
  </si>
  <si>
    <t xml:space="preserve">2024-04-15</t>
  </si>
  <si>
    <t xml:space="preserve">2024-04-16</t>
  </si>
  <si>
    <t xml:space="preserve">2024-04-17</t>
  </si>
  <si>
    <t xml:space="preserve">2024-04-18</t>
  </si>
  <si>
    <t xml:space="preserve">2024-04-19</t>
  </si>
  <si>
    <t xml:space="preserve">2024-04-22</t>
  </si>
  <si>
    <t xml:space="preserve">2024-04-23</t>
  </si>
  <si>
    <t xml:space="preserve">2024-04-24</t>
  </si>
  <si>
    <t xml:space="preserve">2024-04-25</t>
  </si>
  <si>
    <t xml:space="preserve">2024-04-26</t>
  </si>
  <si>
    <t xml:space="preserve">2024-04-29</t>
  </si>
  <si>
    <t xml:space="preserve">2024-04-30</t>
  </si>
  <si>
    <t xml:space="preserve">2024-05-01</t>
  </si>
  <si>
    <t xml:space="preserve">2024-05-02</t>
  </si>
  <si>
    <t xml:space="preserve">2024-05-03</t>
  </si>
  <si>
    <t xml:space="preserve">2024-05-06</t>
  </si>
  <si>
    <t xml:space="preserve">2024-05-07</t>
  </si>
  <si>
    <t xml:space="preserve">2024-05-08</t>
  </si>
  <si>
    <t xml:space="preserve">2024-05-09</t>
  </si>
  <si>
    <t xml:space="preserve">2024-05-10</t>
  </si>
  <si>
    <t xml:space="preserve">2024-05-13</t>
  </si>
  <si>
    <t xml:space="preserve">2024-05-14</t>
  </si>
  <si>
    <t xml:space="preserve">2024-05-15</t>
  </si>
  <si>
    <t xml:space="preserve">2024-05-16</t>
  </si>
  <si>
    <t xml:space="preserve">2024-05-17</t>
  </si>
  <si>
    <t xml:space="preserve">2024-05-20</t>
  </si>
  <si>
    <t xml:space="preserve">2024-05-21</t>
  </si>
  <si>
    <t xml:space="preserve">2024-05-22</t>
  </si>
  <si>
    <t xml:space="preserve">2024-05-23</t>
  </si>
  <si>
    <t xml:space="preserve">2024-05-24</t>
  </si>
  <si>
    <t xml:space="preserve">2024-05-28</t>
  </si>
  <si>
    <t xml:space="preserve">2024-05-29</t>
  </si>
  <si>
    <t xml:space="preserve">2024-05-30</t>
  </si>
  <si>
    <t xml:space="preserve">2024-05-31</t>
  </si>
  <si>
    <t xml:space="preserve">2024-06-03</t>
  </si>
  <si>
    <t xml:space="preserve">2024-06-04</t>
  </si>
  <si>
    <t xml:space="preserve">2024-06-05</t>
  </si>
  <si>
    <t xml:space="preserve">2024-06-06</t>
  </si>
  <si>
    <t xml:space="preserve">2024-06-07</t>
  </si>
  <si>
    <t xml:space="preserve">2024-06-10</t>
  </si>
  <si>
    <t xml:space="preserve">2024-06-11</t>
  </si>
  <si>
    <t xml:space="preserve">2024-06-12</t>
  </si>
  <si>
    <t xml:space="preserve">2024-06-13</t>
  </si>
  <si>
    <t xml:space="preserve">2024-06-14</t>
  </si>
  <si>
    <t xml:space="preserve">2024-06-17</t>
  </si>
  <si>
    <t xml:space="preserve">2024-06-18</t>
  </si>
  <si>
    <t xml:space="preserve">2024-06-20</t>
  </si>
  <si>
    <t xml:space="preserve">2024-06-21</t>
  </si>
  <si>
    <t xml:space="preserve">2024-06-24</t>
  </si>
  <si>
    <t xml:space="preserve">2024-06-25</t>
  </si>
  <si>
    <t xml:space="preserve">2024-06-26</t>
  </si>
  <si>
    <t xml:space="preserve">2024-06-27</t>
  </si>
  <si>
    <t xml:space="preserve">2024-06-28</t>
  </si>
  <si>
    <t xml:space="preserve">2024-07-01</t>
  </si>
  <si>
    <t xml:space="preserve">2024-07-02</t>
  </si>
  <si>
    <t xml:space="preserve">2024-07-03</t>
  </si>
  <si>
    <t xml:space="preserve">2024-07-05</t>
  </si>
  <si>
    <t xml:space="preserve">2024-07-08</t>
  </si>
  <si>
    <t xml:space="preserve">2024-07-09</t>
  </si>
  <si>
    <t xml:space="preserve">2024-07-10</t>
  </si>
  <si>
    <t xml:space="preserve">2024-07-11</t>
  </si>
  <si>
    <t xml:space="preserve">2024-07-12</t>
  </si>
  <si>
    <t xml:space="preserve">2024-07-15</t>
  </si>
  <si>
    <t xml:space="preserve">2024-07-16</t>
  </si>
  <si>
    <t xml:space="preserve">2024-07-17</t>
  </si>
  <si>
    <t xml:space="preserve">2024-07-18</t>
  </si>
  <si>
    <t xml:space="preserve">2024-07-19</t>
  </si>
  <si>
    <t xml:space="preserve">2024-07-22</t>
  </si>
  <si>
    <t xml:space="preserve">2024-07-23</t>
  </si>
  <si>
    <t xml:space="preserve">2024-07-24</t>
  </si>
  <si>
    <t xml:space="preserve">2024-07-25</t>
  </si>
  <si>
    <t xml:space="preserve">2024-07-26</t>
  </si>
  <si>
    <t xml:space="preserve">2024-07-29</t>
  </si>
  <si>
    <t xml:space="preserve">2024-07-30</t>
  </si>
  <si>
    <t xml:space="preserve">2024-07-31</t>
  </si>
  <si>
    <t xml:space="preserve">2024-08-01</t>
  </si>
  <si>
    <t xml:space="preserve">2024-08-02</t>
  </si>
  <si>
    <t xml:space="preserve">2024-08-05</t>
  </si>
  <si>
    <t xml:space="preserve">2024-08-06</t>
  </si>
  <si>
    <t xml:space="preserve">2024-08-07</t>
  </si>
  <si>
    <t xml:space="preserve">2024-08-08</t>
  </si>
  <si>
    <t xml:space="preserve">2024-08-09</t>
  </si>
  <si>
    <t xml:space="preserve">2024-08-12</t>
  </si>
  <si>
    <t xml:space="preserve">2024-08-13</t>
  </si>
  <si>
    <t xml:space="preserve">2024-08-14</t>
  </si>
  <si>
    <t xml:space="preserve">2024-08-15</t>
  </si>
  <si>
    <t xml:space="preserve">2024-08-16</t>
  </si>
  <si>
    <t xml:space="preserve">2024-08-19</t>
  </si>
  <si>
    <t xml:space="preserve">2024-08-20</t>
  </si>
  <si>
    <t xml:space="preserve">2024-08-21</t>
  </si>
  <si>
    <t xml:space="preserve">2024-08-22</t>
  </si>
  <si>
    <t xml:space="preserve">2024-08-23</t>
  </si>
  <si>
    <t xml:space="preserve">2024-08-26</t>
  </si>
  <si>
    <t xml:space="preserve">2024-08-27</t>
  </si>
  <si>
    <t xml:space="preserve">2024-08-28</t>
  </si>
  <si>
    <t xml:space="preserve">2024-08-29</t>
  </si>
  <si>
    <t xml:space="preserve">2024-08-30</t>
  </si>
  <si>
    <t xml:space="preserve">2024-09-03</t>
  </si>
  <si>
    <t xml:space="preserve">2024-09-04</t>
  </si>
  <si>
    <t xml:space="preserve">2024-09-05</t>
  </si>
  <si>
    <t xml:space="preserve">2024-09-06</t>
  </si>
  <si>
    <t xml:space="preserve">2024-09-09</t>
  </si>
  <si>
    <t xml:space="preserve">2024-09-10</t>
  </si>
  <si>
    <t xml:space="preserve">2024-09-11</t>
  </si>
  <si>
    <t xml:space="preserve">2024-09-12</t>
  </si>
  <si>
    <t xml:space="preserve">2024-09-13</t>
  </si>
  <si>
    <t xml:space="preserve">2024-09-16</t>
  </si>
  <si>
    <t xml:space="preserve">2024-09-17</t>
  </si>
  <si>
    <t xml:space="preserve">2024-09-18</t>
  </si>
  <si>
    <t xml:space="preserve">2024-09-19</t>
  </si>
  <si>
    <t xml:space="preserve">2024-09-20</t>
  </si>
  <si>
    <t xml:space="preserve">2024-09-23</t>
  </si>
  <si>
    <t xml:space="preserve">2024-09-24</t>
  </si>
  <si>
    <t xml:space="preserve">2024-09-25</t>
  </si>
  <si>
    <t xml:space="preserve">2024-09-26</t>
  </si>
  <si>
    <t xml:space="preserve">2024-09-27</t>
  </si>
  <si>
    <t xml:space="preserve">2024-09-30</t>
  </si>
  <si>
    <t xml:space="preserve">2024-10-01</t>
  </si>
  <si>
    <t xml:space="preserve">2024-10-02</t>
  </si>
  <si>
    <t xml:space="preserve">2024-10-03</t>
  </si>
  <si>
    <t xml:space="preserve">2024-10-04</t>
  </si>
  <si>
    <t xml:space="preserve">2024-10-07</t>
  </si>
  <si>
    <t xml:space="preserve">2024-10-08</t>
  </si>
  <si>
    <t xml:space="preserve">2024-10-09</t>
  </si>
  <si>
    <t xml:space="preserve">2024-10-10</t>
  </si>
  <si>
    <t xml:space="preserve">2024-10-11</t>
  </si>
  <si>
    <t xml:space="preserve">2024-10-14</t>
  </si>
  <si>
    <t xml:space="preserve">2024-10-15</t>
  </si>
  <si>
    <t xml:space="preserve">2024-10-16</t>
  </si>
  <si>
    <t xml:space="preserve">2024-10-17</t>
  </si>
  <si>
    <t xml:space="preserve">2024-10-18</t>
  </si>
  <si>
    <t xml:space="preserve">2024-10-21</t>
  </si>
  <si>
    <t xml:space="preserve">2024-10-22</t>
  </si>
  <si>
    <t xml:space="preserve">2024-10-23</t>
  </si>
  <si>
    <t xml:space="preserve">2024-10-24</t>
  </si>
  <si>
    <t xml:space="preserve">2024-10-25</t>
  </si>
  <si>
    <t xml:space="preserve">2024-10-28</t>
  </si>
  <si>
    <t xml:space="preserve">2024-10-29</t>
  </si>
  <si>
    <t xml:space="preserve">2024-10-30</t>
  </si>
  <si>
    <t xml:space="preserve">2024-10-31</t>
  </si>
  <si>
    <t xml:space="preserve">2024-11-01</t>
  </si>
  <si>
    <t xml:space="preserve">2024-11-04</t>
  </si>
  <si>
    <t xml:space="preserve">2024-11-05</t>
  </si>
  <si>
    <t xml:space="preserve">2024-11-06</t>
  </si>
  <si>
    <t xml:space="preserve">2024-11-07</t>
  </si>
  <si>
    <t xml:space="preserve">2024-11-08</t>
  </si>
  <si>
    <t xml:space="preserve">2024-11-11</t>
  </si>
  <si>
    <t xml:space="preserve">2024-11-12</t>
  </si>
  <si>
    <t xml:space="preserve">2024-11-13</t>
  </si>
  <si>
    <t xml:space="preserve">2024-11-14</t>
  </si>
  <si>
    <t xml:space="preserve">2024-11-15</t>
  </si>
  <si>
    <t xml:space="preserve">2024-11-18</t>
  </si>
  <si>
    <t xml:space="preserve">2024-11-19</t>
  </si>
  <si>
    <t xml:space="preserve">2024-11-20</t>
  </si>
  <si>
    <t xml:space="preserve">2024-11-21</t>
  </si>
  <si>
    <t xml:space="preserve">2024-11-22</t>
  </si>
  <si>
    <t xml:space="preserve">2024-11-25</t>
  </si>
  <si>
    <t xml:space="preserve">2024-11-26</t>
  </si>
  <si>
    <t xml:space="preserve">2024-11-27</t>
  </si>
  <si>
    <t xml:space="preserve">2024-11-29</t>
  </si>
  <si>
    <t xml:space="preserve">2024-12-02</t>
  </si>
  <si>
    <t xml:space="preserve">2024-12-03</t>
  </si>
  <si>
    <t xml:space="preserve">2024-12-04</t>
  </si>
  <si>
    <t xml:space="preserve">2024-12-05</t>
  </si>
  <si>
    <t xml:space="preserve">2024-12-06</t>
  </si>
  <si>
    <t xml:space="preserve">2024-12-09</t>
  </si>
  <si>
    <t xml:space="preserve">2024-12-10</t>
  </si>
  <si>
    <t xml:space="preserve">2024-12-11</t>
  </si>
  <si>
    <t xml:space="preserve">2024-12-12</t>
  </si>
  <si>
    <t xml:space="preserve">2024-12-13</t>
  </si>
  <si>
    <t xml:space="preserve">2024-12-16</t>
  </si>
  <si>
    <t xml:space="preserve">2024-12-17</t>
  </si>
  <si>
    <t xml:space="preserve">2024-12-18</t>
  </si>
  <si>
    <t xml:space="preserve">2024-12-19</t>
  </si>
  <si>
    <t xml:space="preserve">2024-12-20</t>
  </si>
  <si>
    <t xml:space="preserve">2024-12-23</t>
  </si>
  <si>
    <t xml:space="preserve">2024-12-24</t>
  </si>
  <si>
    <t xml:space="preserve">2024-12-26</t>
  </si>
  <si>
    <t xml:space="preserve">2024-12-27</t>
  </si>
  <si>
    <t xml:space="preserve">2024-12-30</t>
  </si>
  <si>
    <t xml:space="preserve">2024-12-31</t>
  </si>
  <si>
    <t xml:space="preserve">2025-01-02</t>
  </si>
  <si>
    <t xml:space="preserve">2025-01-03</t>
  </si>
  <si>
    <t xml:space="preserve">2025-01-06</t>
  </si>
  <si>
    <t xml:space="preserve">2025-01-07</t>
  </si>
  <si>
    <t xml:space="preserve">2025-01-08</t>
  </si>
  <si>
    <t xml:space="preserve">2025-01-10</t>
  </si>
  <si>
    <t xml:space="preserve">2025-01-13</t>
  </si>
  <si>
    <t xml:space="preserve">2025-01-14</t>
  </si>
  <si>
    <t xml:space="preserve">2025-01-15</t>
  </si>
  <si>
    <t xml:space="preserve">2025-01-16</t>
  </si>
  <si>
    <t xml:space="preserve">2025-01-17</t>
  </si>
  <si>
    <t xml:space="preserve">2025-01-21</t>
  </si>
  <si>
    <t xml:space="preserve">2025-01-22</t>
  </si>
  <si>
    <t xml:space="preserve">2025-01-23</t>
  </si>
  <si>
    <t xml:space="preserve">2025-01-24</t>
  </si>
  <si>
    <t xml:space="preserve">2025-01-27</t>
  </si>
  <si>
    <t xml:space="preserve">2025-01-28</t>
  </si>
  <si>
    <t xml:space="preserve">2025-01-29</t>
  </si>
  <si>
    <t xml:space="preserve">2025-01-30</t>
  </si>
  <si>
    <t xml:space="preserve">2025-01-31</t>
  </si>
  <si>
    <t xml:space="preserve">2025-02-03</t>
  </si>
  <si>
    <t xml:space="preserve">2025-02-04</t>
  </si>
  <si>
    <t xml:space="preserve">2025-02-05</t>
  </si>
  <si>
    <t xml:space="preserve">2025-02-06</t>
  </si>
  <si>
    <t xml:space="preserve">2025-02-07</t>
  </si>
  <si>
    <t xml:space="preserve">2025-02-10</t>
  </si>
  <si>
    <t xml:space="preserve">2025-02-11</t>
  </si>
  <si>
    <t xml:space="preserve">2025-02-12</t>
  </si>
  <si>
    <t xml:space="preserve">2025-02-13</t>
  </si>
  <si>
    <t xml:space="preserve">2025-02-14</t>
  </si>
  <si>
    <t xml:space="preserve">2025-02-18</t>
  </si>
  <si>
    <t xml:space="preserve">2025-02-19</t>
  </si>
  <si>
    <t xml:space="preserve">2025-02-20</t>
  </si>
  <si>
    <t xml:space="preserve">2025-02-21</t>
  </si>
  <si>
    <t xml:space="preserve">2025-02-24</t>
  </si>
  <si>
    <t xml:space="preserve">2025-02-25</t>
  </si>
  <si>
    <t xml:space="preserve">2025-02-26</t>
  </si>
  <si>
    <t xml:space="preserve">2025-02-27</t>
  </si>
  <si>
    <t xml:space="preserve">2025-02-28</t>
  </si>
  <si>
    <t xml:space="preserve">2025-03-03</t>
  </si>
  <si>
    <t xml:space="preserve">2025-03-04</t>
  </si>
  <si>
    <t xml:space="preserve">2025-03-05</t>
  </si>
  <si>
    <t xml:space="preserve">2025-03-06</t>
  </si>
  <si>
    <t xml:space="preserve">2025-03-07</t>
  </si>
  <si>
    <t xml:space="preserve">2025-03-10</t>
  </si>
  <si>
    <t xml:space="preserve">2025-03-11</t>
  </si>
  <si>
    <t xml:space="preserve">2025-03-12</t>
  </si>
  <si>
    <t xml:space="preserve">2025-03-13</t>
  </si>
  <si>
    <t xml:space="preserve">2025-03-14</t>
  </si>
  <si>
    <t xml:space="preserve">2025-03-17</t>
  </si>
  <si>
    <t xml:space="preserve">2025-03-18</t>
  </si>
  <si>
    <t xml:space="preserve">2025-03-19</t>
  </si>
  <si>
    <t xml:space="preserve">2025-03-20</t>
  </si>
  <si>
    <t xml:space="preserve">2025-03-21</t>
  </si>
  <si>
    <t xml:space="preserve">2025-03-24</t>
  </si>
  <si>
    <t xml:space="preserve">2025-03-25</t>
  </si>
  <si>
    <t xml:space="preserve">2025-03-26</t>
  </si>
  <si>
    <t xml:space="preserve">2025-03-27</t>
  </si>
  <si>
    <t xml:space="preserve">2025-03-28</t>
  </si>
  <si>
    <t xml:space="preserve">2025-03-31</t>
  </si>
  <si>
    <t xml:space="preserve">2025-04-01</t>
  </si>
  <si>
    <t xml:space="preserve">2025-04-02</t>
  </si>
  <si>
    <t xml:space="preserve">2025-04-03</t>
  </si>
  <si>
    <t xml:space="preserve">2025-04-04</t>
  </si>
  <si>
    <t xml:space="preserve">2025-04-07</t>
  </si>
  <si>
    <t xml:space="preserve">2025-04-08</t>
  </si>
  <si>
    <t xml:space="preserve">2025-04-09</t>
  </si>
  <si>
    <t xml:space="preserve">2025-04-10</t>
  </si>
  <si>
    <t xml:space="preserve">2025-04-11</t>
  </si>
  <si>
    <t xml:space="preserve">2025-04-14</t>
  </si>
  <si>
    <t xml:space="preserve">2025-04-15</t>
  </si>
  <si>
    <t xml:space="preserve">2025-04-16</t>
  </si>
  <si>
    <t xml:space="preserve">2025-04-17</t>
  </si>
  <si>
    <t xml:space="preserve">2025-04-21</t>
  </si>
  <si>
    <t xml:space="preserve">2025-04-22</t>
  </si>
  <si>
    <t xml:space="preserve">2025-04-23</t>
  </si>
  <si>
    <t xml:space="preserve">2025-04-24</t>
  </si>
  <si>
    <t xml:space="preserve">2025-04-25</t>
  </si>
  <si>
    <t xml:space="preserve">2025-04-28</t>
  </si>
  <si>
    <t xml:space="preserve">2025-04-29</t>
  </si>
  <si>
    <t xml:space="preserve">2025-04-30</t>
  </si>
  <si>
    <t xml:space="preserve">2025-05-01</t>
  </si>
  <si>
    <t xml:space="preserve">2025-05-02</t>
  </si>
  <si>
    <t xml:space="preserve">2025-05-05</t>
  </si>
  <si>
    <t xml:space="preserve">2025-05-06</t>
  </si>
  <si>
    <t xml:space="preserve">2025-05-07</t>
  </si>
  <si>
    <t xml:space="preserve">2025-05-08</t>
  </si>
  <si>
    <t xml:space="preserve">2025-05-09</t>
  </si>
  <si>
    <t xml:space="preserve">2025-05-12</t>
  </si>
  <si>
    <t xml:space="preserve">2025-05-13</t>
  </si>
  <si>
    <t xml:space="preserve">2025-05-14</t>
  </si>
  <si>
    <t xml:space="preserve">2025-05-15</t>
  </si>
  <si>
    <t xml:space="preserve">2025-05-16</t>
  </si>
  <si>
    <t xml:space="preserve">2025-05-19</t>
  </si>
  <si>
    <t xml:space="preserve">2025-05-20</t>
  </si>
  <si>
    <t xml:space="preserve">2025-05-21</t>
  </si>
  <si>
    <t xml:space="preserve">2025-05-22</t>
  </si>
  <si>
    <t xml:space="preserve">2025-05-23</t>
  </si>
  <si>
    <t xml:space="preserve">2025-05-27</t>
  </si>
  <si>
    <t xml:space="preserve">2025-05-28</t>
  </si>
  <si>
    <t xml:space="preserve">2025-05-29</t>
  </si>
  <si>
    <t xml:space="preserve">2025-05-30</t>
  </si>
  <si>
    <t xml:space="preserve">2025-06-02</t>
  </si>
  <si>
    <t xml:space="preserve">2025-06-03</t>
  </si>
  <si>
    <t xml:space="preserve">2025-06-04</t>
  </si>
  <si>
    <t xml:space="preserve">2025-06-05</t>
  </si>
  <si>
    <t xml:space="preserve">2025-06-06</t>
  </si>
  <si>
    <t xml:space="preserve">2025-06-09</t>
  </si>
  <si>
    <t xml:space="preserve">2025-06-10</t>
  </si>
  <si>
    <t xml:space="preserve">2025-06-11</t>
  </si>
  <si>
    <t xml:space="preserve">2025-06-12</t>
  </si>
  <si>
    <t xml:space="preserve">2025-06-13</t>
  </si>
  <si>
    <t xml:space="preserve">2025-06-16</t>
  </si>
  <si>
    <t xml:space="preserve">2025-06-17</t>
  </si>
  <si>
    <t xml:space="preserve">2025-06-18</t>
  </si>
  <si>
    <t xml:space="preserve">2025-06-20</t>
  </si>
  <si>
    <t xml:space="preserve">2025-06-23</t>
  </si>
  <si>
    <t xml:space="preserve">2025-06-24</t>
  </si>
  <si>
    <t xml:space="preserve">2025-06-25</t>
  </si>
  <si>
    <t xml:space="preserve">2025-06-26</t>
  </si>
  <si>
    <t xml:space="preserve">2025-06-27</t>
  </si>
  <si>
    <t xml:space="preserve">2025-06-30</t>
  </si>
  <si>
    <t xml:space="preserve">2025-07-01</t>
  </si>
  <si>
    <t xml:space="preserve">2025-07-02</t>
  </si>
  <si>
    <t xml:space="preserve">2025-07-03</t>
  </si>
  <si>
    <t xml:space="preserve">2025-07-07</t>
  </si>
  <si>
    <t xml:space="preserve">2025-07-08</t>
  </si>
  <si>
    <t xml:space="preserve">2025-07-09</t>
  </si>
  <si>
    <t xml:space="preserve">2025-07-10</t>
  </si>
  <si>
    <t xml:space="preserve">2025-07-11</t>
  </si>
  <si>
    <t xml:space="preserve">2025-07-14</t>
  </si>
  <si>
    <t xml:space="preserve">2025-07-15</t>
  </si>
  <si>
    <t xml:space="preserve">2025-07-16</t>
  </si>
  <si>
    <t xml:space="preserve">2025-07-17</t>
  </si>
  <si>
    <t xml:space="preserve">2025-07-18</t>
  </si>
  <si>
    <t xml:space="preserve">2025-07-21</t>
  </si>
  <si>
    <t xml:space="preserve">2025-07-22</t>
  </si>
  <si>
    <t xml:space="preserve">2025-07-23</t>
  </si>
  <si>
    <t xml:space="preserve">2025-07-24</t>
  </si>
  <si>
    <t xml:space="preserve">2025-07-25</t>
  </si>
  <si>
    <t xml:space="preserve">2025-07-28</t>
  </si>
  <si>
    <t xml:space="preserve">2025-07-29</t>
  </si>
  <si>
    <t xml:space="preserve">2025-07-30</t>
  </si>
  <si>
    <t xml:space="preserve">2025-07-31</t>
  </si>
  <si>
    <t xml:space="preserve">2025-08-01</t>
  </si>
  <si>
    <t xml:space="preserve">2025-08-04</t>
  </si>
  <si>
    <t xml:space="preserve">2025-08-05</t>
  </si>
  <si>
    <t xml:space="preserve">2025-08-06</t>
  </si>
  <si>
    <t xml:space="preserve">2025-08-07</t>
  </si>
  <si>
    <t xml:space="preserve">2025-08-08</t>
  </si>
  <si>
    <t xml:space="preserve">2025-08-11</t>
  </si>
  <si>
    <t xml:space="preserve">2025-08-12</t>
  </si>
  <si>
    <t xml:space="preserve">2025-08-13</t>
  </si>
  <si>
    <t xml:space="preserve">2025-08-14</t>
  </si>
  <si>
    <t xml:space="preserve">2025-08-15</t>
  </si>
  <si>
    <t xml:space="preserve">2025-08-18</t>
  </si>
  <si>
    <t xml:space="preserve">2025-08-19</t>
  </si>
  <si>
    <t xml:space="preserve">2025-08-20</t>
  </si>
  <si>
    <t xml:space="preserve">2025-08-21</t>
  </si>
  <si>
    <t xml:space="preserve">2025-08-22</t>
  </si>
  <si>
    <t xml:space="preserve">2025-08-25</t>
  </si>
  <si>
    <t xml:space="preserve">2025-08-26</t>
  </si>
  <si>
    <t xml:space="preserve">2025-08-27</t>
  </si>
  <si>
    <t xml:space="preserve">2025-08-28</t>
  </si>
  <si>
    <t xml:space="preserve">2025-08-29</t>
  </si>
  <si>
    <t xml:space="preserve">2025-09-02</t>
  </si>
  <si>
    <t xml:space="preserve">2025-09-03</t>
  </si>
  <si>
    <t xml:space="preserve">2025-09-04</t>
  </si>
  <si>
    <t xml:space="preserve">2025-09-05</t>
  </si>
  <si>
    <t xml:space="preserve">2025-09-08</t>
  </si>
  <si>
    <t xml:space="preserve">2025-09-09</t>
  </si>
  <si>
    <t xml:space="preserve">2025-09-10</t>
  </si>
  <si>
    <t xml:space="preserve">2025-09-11</t>
  </si>
  <si>
    <t xml:space="preserve">2025-09-12</t>
  </si>
  <si>
    <t xml:space="preserve">2025-09-15</t>
  </si>
  <si>
    <t xml:space="preserve">2025-09-16</t>
  </si>
  <si>
    <t xml:space="preserve">2025-09-17</t>
  </si>
  <si>
    <t xml:space="preserve">2025-09-18</t>
  </si>
  <si>
    <t xml:space="preserve">2025-09-19</t>
  </si>
  <si>
    <t xml:space="preserve">2025-09-22</t>
  </si>
  <si>
    <t xml:space="preserve">2025-09-23</t>
  </si>
  <si>
    <t xml:space="preserve">2025-09-24</t>
  </si>
  <si>
    <t xml:space="preserve">2025-09-25</t>
  </si>
  <si>
    <t xml:space="preserve">2025-09-26</t>
  </si>
  <si>
    <t xml:space="preserve">2025-09-29</t>
  </si>
  <si>
    <t xml:space="preserve">2025-09-30</t>
  </si>
  <si>
    <t xml:space="preserve">2025-10-01</t>
  </si>
  <si>
    <t xml:space="preserve">2025-10-02</t>
  </si>
  <si>
    <t xml:space="preserve">2025-10-03</t>
  </si>
  <si>
    <t xml:space="preserve">2025-10-06</t>
  </si>
  <si>
    <t xml:space="preserve">2025-10-07</t>
  </si>
  <si>
    <t xml:space="preserve">2025-10-08</t>
  </si>
  <si>
    <t xml:space="preserve">2025-10-09</t>
  </si>
  <si>
    <t xml:space="preserve">2025-10-10</t>
  </si>
  <si>
    <t xml:space="preserve">2025-10-13</t>
  </si>
  <si>
    <t xml:space="preserve">2025-10-14</t>
  </si>
  <si>
    <t xml:space="preserve">2025-10-15</t>
  </si>
  <si>
    <t xml:space="preserve">2025-10-16</t>
  </si>
  <si>
    <t xml:space="preserve">2025-10-17</t>
  </si>
  <si>
    <t xml:space="preserve">2025-10-20</t>
  </si>
  <si>
    <t xml:space="preserve">2025-10-21</t>
  </si>
  <si>
    <t xml:space="preserve">2025-10-22</t>
  </si>
  <si>
    <t xml:space="preserve">2025-10-23</t>
  </si>
  <si>
    <t xml:space="preserve">2025-10-24</t>
  </si>
  <si>
    <t xml:space="preserve">2025-10-27</t>
  </si>
  <si>
    <t xml:space="preserve">2025-10-28</t>
  </si>
  <si>
    <t xml:space="preserve">2025-10-29</t>
  </si>
  <si>
    <t xml:space="preserve">2025-10-30</t>
  </si>
  <si>
    <t xml:space="preserve">2025-10-31</t>
  </si>
  <si>
    <t xml:space="preserve">2025-11-03</t>
  </si>
  <si>
    <t xml:space="preserve">2025-11-04</t>
  </si>
  <si>
    <t xml:space="preserve">2025-11-05</t>
  </si>
  <si>
    <t xml:space="preserve">2025-11-06</t>
  </si>
  <si>
    <t xml:space="preserve">2025-11-07</t>
  </si>
  <si>
    <t xml:space="preserve">2025-11-10</t>
  </si>
  <si>
    <t xml:space="preserve">2025-11-11</t>
  </si>
  <si>
    <t xml:space="preserve">2025-11-12</t>
  </si>
  <si>
    <t xml:space="preserve">2025-11-13</t>
  </si>
  <si>
    <t xml:space="preserve">2025-11-14</t>
  </si>
  <si>
    <t xml:space="preserve">2025-11-17</t>
  </si>
  <si>
    <t xml:space="preserve">2025-11-18</t>
  </si>
  <si>
    <t xml:space="preserve">2025-11-19</t>
  </si>
  <si>
    <t xml:space="preserve">2025-11-20</t>
  </si>
  <si>
    <t xml:space="preserve">2025-11-21</t>
  </si>
  <si>
    <t xml:space="preserve">2025-11-24</t>
  </si>
  <si>
    <t xml:space="preserve">2025-11-25</t>
  </si>
  <si>
    <t xml:space="preserve">2025-11-26</t>
  </si>
  <si>
    <t xml:space="preserve">2025-11-28</t>
  </si>
  <si>
    <t xml:space="preserve">2025-12-01</t>
  </si>
  <si>
    <t xml:space="preserve">2025-12-02</t>
  </si>
  <si>
    <t xml:space="preserve">2025-12-03</t>
  </si>
  <si>
    <t xml:space="preserve">2025-12-04</t>
  </si>
  <si>
    <t xml:space="preserve">2025-12-05</t>
  </si>
  <si>
    <t xml:space="preserve">2025-12-08</t>
  </si>
  <si>
    <t xml:space="preserve">2025-12-09</t>
  </si>
  <si>
    <t xml:space="preserve">2025-12-10</t>
  </si>
  <si>
    <t xml:space="preserve">2025-12-11</t>
  </si>
  <si>
    <t xml:space="preserve">2025-12-12</t>
  </si>
  <si>
    <t xml:space="preserve">2025-12-15</t>
  </si>
  <si>
    <t xml:space="preserve">2025-12-16</t>
  </si>
  <si>
    <t xml:space="preserve">2025-12-17</t>
  </si>
  <si>
    <t xml:space="preserve">2025-12-18</t>
  </si>
  <si>
    <t xml:space="preserve">2025-12-19</t>
  </si>
  <si>
    <t xml:space="preserve">2025-12-22</t>
  </si>
  <si>
    <t xml:space="preserve">2025-12-23</t>
  </si>
  <si>
    <t xml:space="preserve">2025-12-24</t>
  </si>
  <si>
    <t xml:space="preserve">2025-12-26</t>
  </si>
  <si>
    <t xml:space="preserve">2025-12-29</t>
  </si>
  <si>
    <t xml:space="preserve">2025-12-30</t>
  </si>
  <si>
    <t xml:space="preserve">2025-12-31</t>
  </si>
  <si>
    <t xml:space="preserve">2026-01-02</t>
  </si>
  <si>
    <t xml:space="preserve">2026-01-05</t>
  </si>
  <si>
    <t xml:space="preserve">2026-01-06</t>
  </si>
  <si>
    <t xml:space="preserve">2026-01-07</t>
  </si>
  <si>
    <t xml:space="preserve">2026-01-08</t>
  </si>
  <si>
    <t xml:space="preserve">2026-01-09</t>
  </si>
  <si>
    <t xml:space="preserve">2026-01-12</t>
  </si>
  <si>
    <t xml:space="preserve">2026-01-13</t>
  </si>
  <si>
    <t xml:space="preserve">2026-01-14</t>
  </si>
  <si>
    <t xml:space="preserve">2026-01-15</t>
  </si>
  <si>
    <t xml:space="preserve">2026-01-16</t>
  </si>
  <si>
    <t xml:space="preserve">2026-01-20</t>
  </si>
  <si>
    <t xml:space="preserve">2026-01-21</t>
  </si>
  <si>
    <t xml:space="preserve">2026-01-22</t>
  </si>
  <si>
    <t xml:space="preserve">2026-01-23</t>
  </si>
  <si>
    <t xml:space="preserve">2026-01-26</t>
  </si>
  <si>
    <t xml:space="preserve">2026-01-27</t>
  </si>
  <si>
    <t xml:space="preserve">2026-01-28</t>
  </si>
  <si>
    <t xml:space="preserve">2026-01-29</t>
  </si>
  <si>
    <t xml:space="preserve">2026-01-30</t>
  </si>
  <si>
    <t xml:space="preserve">2026-02-02</t>
  </si>
  <si>
    <t xml:space="preserve">2026-02-03</t>
  </si>
  <si>
    <t xml:space="preserve">2026-02-04</t>
  </si>
  <si>
    <t xml:space="preserve">2026-02-05</t>
  </si>
  <si>
    <t xml:space="preserve">2026-02-06</t>
  </si>
  <si>
    <t xml:space="preserve">2026-02-09</t>
  </si>
  <si>
    <t xml:space="preserve">2026-02-10</t>
  </si>
  <si>
    <t xml:space="preserve">2026-02-11</t>
  </si>
  <si>
    <t xml:space="preserve">2026-02-12</t>
  </si>
  <si>
    <t xml:space="preserve">2026-02-13</t>
  </si>
  <si>
    <t xml:space="preserve">2026-02-17</t>
  </si>
  <si>
    <t xml:space="preserve">2026-02-18</t>
  </si>
  <si>
    <t xml:space="preserve">2026-02-19</t>
  </si>
  <si>
    <t xml:space="preserve">2026-02-20</t>
  </si>
  <si>
    <t xml:space="preserve">2026-02-23</t>
  </si>
  <si>
    <t xml:space="preserve">2026-02-24</t>
  </si>
  <si>
    <t xml:space="preserve">2026-02-25</t>
  </si>
  <si>
    <t xml:space="preserve">2026-02-26</t>
  </si>
  <si>
    <t xml:space="preserve">2026-02-27</t>
  </si>
  <si>
    <t xml:space="preserve">2026-03-02</t>
  </si>
  <si>
    <t xml:space="preserve">2026-03-03</t>
  </si>
  <si>
    <t xml:space="preserve">2026-03-04</t>
  </si>
  <si>
    <t xml:space="preserve">2026-03-05</t>
  </si>
  <si>
    <t xml:space="preserve">2026-03-06</t>
  </si>
  <si>
    <t xml:space="preserve">2026-03-09</t>
  </si>
  <si>
    <t xml:space="preserve">2026-03-10</t>
  </si>
  <si>
    <t xml:space="preserve">2026-03-11</t>
  </si>
  <si>
    <t xml:space="preserve">2026-03-12</t>
  </si>
  <si>
    <t xml:space="preserve">2026-03-13</t>
  </si>
  <si>
    <t xml:space="preserve">2026-03-16</t>
  </si>
  <si>
    <t xml:space="preserve">2026-03-17</t>
  </si>
  <si>
    <t xml:space="preserve">2026-03-18</t>
  </si>
  <si>
    <t xml:space="preserve">2026-03-19</t>
  </si>
  <si>
    <t xml:space="preserve">2026-03-20</t>
  </si>
  <si>
    <t xml:space="preserve">2026-03-23</t>
  </si>
  <si>
    <t xml:space="preserve">2026-03-24</t>
  </si>
  <si>
    <t xml:space="preserve">2026-03-25</t>
  </si>
  <si>
    <t xml:space="preserve">2026-03-26</t>
  </si>
  <si>
    <t xml:space="preserve">2026-03-27</t>
  </si>
  <si>
    <t xml:space="preserve">2026-03-30</t>
  </si>
  <si>
    <t xml:space="preserve">2026-03-31</t>
  </si>
  <si>
    <t xml:space="preserve">2026-04-01</t>
  </si>
  <si>
    <t xml:space="preserve">2026-04-02</t>
  </si>
  <si>
    <t xml:space="preserve">2026-04-06</t>
  </si>
  <si>
    <t xml:space="preserve">2026-04-07</t>
  </si>
  <si>
    <t xml:space="preserve">2026-04-08</t>
  </si>
  <si>
    <t xml:space="preserve">2026-04-09</t>
  </si>
  <si>
    <t xml:space="preserve">2026-04-10</t>
  </si>
  <si>
    <t xml:space="preserve">2026-04-13</t>
  </si>
  <si>
    <t xml:space="preserve">2026-04-14</t>
  </si>
  <si>
    <t xml:space="preserve">2026-04-15</t>
  </si>
  <si>
    <t xml:space="preserve">2026-04-16</t>
  </si>
  <si>
    <t xml:space="preserve">2026-04-17</t>
  </si>
  <si>
    <t xml:space="preserve">2026-04-20</t>
  </si>
  <si>
    <t xml:space="preserve">2026-04-21</t>
  </si>
  <si>
    <t xml:space="preserve">2026-04-22</t>
  </si>
  <si>
    <t xml:space="preserve">2026-04-23</t>
  </si>
  <si>
    <t xml:space="preserve">2026-04-24</t>
  </si>
  <si>
    <t xml:space="preserve">2026-04-27</t>
  </si>
  <si>
    <t xml:space="preserve">2026-04-28</t>
  </si>
  <si>
    <t xml:space="preserve">2026-04-29</t>
  </si>
  <si>
    <t xml:space="preserve">2026-04-30</t>
  </si>
  <si>
    <t xml:space="preserve">2026-05-01</t>
  </si>
  <si>
    <t xml:space="preserve">2026-05-04</t>
  </si>
  <si>
    <t xml:space="preserve">2026-05-05</t>
  </si>
  <si>
    <t xml:space="preserve">2026-05-06</t>
  </si>
  <si>
    <t xml:space="preserve">2026-05-07</t>
  </si>
  <si>
    <t xml:space="preserve">2026-05-08</t>
  </si>
  <si>
    <t xml:space="preserve">2026-05-11</t>
  </si>
  <si>
    <t xml:space="preserve">2026-05-12</t>
  </si>
  <si>
    <t xml:space="preserve">2026-05-13</t>
  </si>
  <si>
    <t xml:space="preserve">2026-05-14</t>
  </si>
  <si>
    <t xml:space="preserve">2026-05-15</t>
  </si>
  <si>
    <t xml:space="preserve">2026-05-18</t>
  </si>
  <si>
    <t xml:space="preserve">2026-05-19</t>
  </si>
  <si>
    <t xml:space="preserve">2026-05-20</t>
  </si>
  <si>
    <t xml:space="preserve">2026-05-21</t>
  </si>
  <si>
    <t xml:space="preserve">2026-05-22</t>
  </si>
  <si>
    <t xml:space="preserve">2026-05-26</t>
  </si>
  <si>
    <t xml:space="preserve">2026-05-27</t>
  </si>
  <si>
    <t xml:space="preserve">2026-05-28</t>
  </si>
  <si>
    <t xml:space="preserve">2026-05-29</t>
  </si>
  <si>
    <t xml:space="preserve">2026-06-01</t>
  </si>
  <si>
    <t xml:space="preserve">2026-06-02</t>
  </si>
  <si>
    <t xml:space="preserve">2026-06-03</t>
  </si>
  <si>
    <t xml:space="preserve">2026-06-04</t>
  </si>
  <si>
    <t xml:space="preserve">2026-06-05</t>
  </si>
  <si>
    <t xml:space="preserve">2026-06-08</t>
  </si>
  <si>
    <t xml:space="preserve">2026-06-09</t>
  </si>
  <si>
    <t xml:space="preserve">2026-06-10</t>
  </si>
  <si>
    <t xml:space="preserve">2026-06-11</t>
  </si>
  <si>
    <t xml:space="preserve">2026-06-12</t>
  </si>
  <si>
    <t xml:space="preserve">2026-06-15</t>
  </si>
  <si>
    <t xml:space="preserve">2026-06-16</t>
  </si>
  <si>
    <t xml:space="preserve">2026-06-17</t>
  </si>
  <si>
    <t xml:space="preserve">2026-06-18</t>
  </si>
  <si>
    <t xml:space="preserve">2026-06-22</t>
  </si>
  <si>
    <t xml:space="preserve">2026-06-23</t>
  </si>
  <si>
    <t xml:space="preserve">2026-06-24</t>
  </si>
  <si>
    <t xml:space="preserve">2026-06-25</t>
  </si>
  <si>
    <t xml:space="preserve">2026-06-26</t>
  </si>
  <si>
    <t xml:space="preserve">2026-06-29</t>
  </si>
  <si>
    <t xml:space="preserve">2026-06-30</t>
  </si>
  <si>
    <t xml:space="preserve">2026-07-01</t>
  </si>
  <si>
    <t xml:space="preserve">2026-07-02</t>
  </si>
  <si>
    <t xml:space="preserve">2026-07-06</t>
  </si>
  <si>
    <t xml:space="preserve">2026-07-07</t>
  </si>
  <si>
    <t xml:space="preserve">2026-07-08</t>
  </si>
  <si>
    <t xml:space="preserve">2026-07-09</t>
  </si>
  <si>
    <t xml:space="preserve">2026-07-10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</si>
</sst>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WenQuanYi Zen Hei"/>
      <family val="2"/>
    </font>
    <font>
      <b val="true"/>
      <sz val="12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name val="WenQuanYi Zen Hei"/>
      <family val="2"/>
    </font>
    <font>
      <sz val="9"/>
      <name val="WenQuanYi Zen Hei"/>
      <family val="2"/>
    </font>
    <font>
      <sz val="9"/>
      <color rgb="FF008000"/>
      <name val="Arial"/>
      <family val="0"/>
      <charset val="1"/>
    </font>
    <font>
      <sz val="9"/>
      <color rgb="FF008000"/>
      <name val="WenQuanYi Zen Hei"/>
      <family val="2"/>
    </font>
  </fonts>
  <fills count="9">
    <fill>
      <patternFill patternType="none"/>
    </fill>
    <fill>
      <patternFill patternType="gray125"/>
    </fill>
    <fill>
      <patternFill patternType="solid">
        <fgColor rgb="FFD9D9D9"/>
        <bgColor rgb="FFE4DFEC"/>
      </patternFill>
    </fill>
    <fill>
      <patternFill patternType="solid">
        <fgColor rgb="FFDDEBF7"/>
        <bgColor rgb="FFEDEDED"/>
      </patternFill>
    </fill>
    <fill>
      <patternFill patternType="solid">
        <fgColor rgb="FFE2EFDA"/>
        <bgColor rgb="FFEDEDED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E2EFDA"/>
      </patternFill>
    </fill>
    <fill>
      <patternFill patternType="solid">
        <fgColor rgb="FFE4DFEC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8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DFEC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50"/>
  </cols>
  <sheetData>
    <row r="1" customFormat="false" ht="16.4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/>
      <c r="B2" s="2"/>
    </row>
    <row r="3" customFormat="false" ht="15" hidden="false" customHeight="false" outlineLevel="0" collapsed="false">
      <c r="A3" s="4" t="s">
        <v>1</v>
      </c>
      <c r="B3" s="5" t="s">
        <v>2</v>
      </c>
    </row>
    <row r="4" customFormat="false" ht="15" hidden="false" customHeight="false" outlineLevel="0" collapsed="false">
      <c r="A4" s="4" t="s">
        <v>3</v>
      </c>
      <c r="B4" s="2" t="s">
        <v>4</v>
      </c>
    </row>
    <row r="5" customFormat="false" ht="37.3" hidden="false" customHeight="false" outlineLevel="0" collapsed="false">
      <c r="A5" s="4" t="s">
        <v>5</v>
      </c>
      <c r="B5" s="2" t="s">
        <v>6</v>
      </c>
    </row>
    <row r="6" customFormat="false" ht="15" hidden="false" customHeight="false" outlineLevel="0" collapsed="false">
      <c r="A6" s="4" t="s">
        <v>7</v>
      </c>
      <c r="B6" s="5" t="s">
        <v>8</v>
      </c>
    </row>
    <row r="7" customFormat="false" ht="15" hidden="false" customHeight="false" outlineLevel="0" collapsed="false">
      <c r="A7" s="4" t="s">
        <v>9</v>
      </c>
      <c r="B7" s="2" t="s">
        <v>10</v>
      </c>
    </row>
    <row r="8" customFormat="false" ht="15" hidden="false" customHeight="false" outlineLevel="0" collapsed="false">
      <c r="A8" s="4" t="s">
        <v>11</v>
      </c>
      <c r="B8" s="5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6"/>
    <col collapsed="false" customWidth="true" hidden="false" outlineLevel="0" max="5" min="5" style="0" width="52"/>
    <col collapsed="false" customWidth="true" hidden="false" outlineLevel="0" max="6" min="6" style="0" width="13"/>
    <col collapsed="false" customWidth="true" hidden="false" outlineLevel="0" max="7" min="7" style="0" width="34"/>
    <col collapsed="false" customWidth="true" hidden="false" outlineLevel="0" max="8" min="8" style="0" width="40"/>
    <col collapsed="false" customWidth="true" hidden="false" outlineLevel="0" max="9" min="9" style="0" width="7"/>
  </cols>
  <sheetData>
    <row r="1" customFormat="false" ht="16.4" hidden="false" customHeight="false" outlineLevel="0" collapsed="false">
      <c r="A1" s="1" t="s">
        <v>13</v>
      </c>
    </row>
    <row r="2" customFormat="false" ht="15" hidden="false" customHeight="false" outlineLevel="0" collapsed="false">
      <c r="A2" s="6" t="s">
        <v>14</v>
      </c>
      <c r="B2" s="6" t="s">
        <v>15</v>
      </c>
      <c r="C2" s="6" t="s">
        <v>16</v>
      </c>
      <c r="D2" s="6" t="s">
        <v>17</v>
      </c>
      <c r="E2" s="6" t="s">
        <v>18</v>
      </c>
      <c r="F2" s="6" t="s">
        <v>19</v>
      </c>
      <c r="G2" s="6" t="s">
        <v>20</v>
      </c>
      <c r="H2" s="6" t="s">
        <v>21</v>
      </c>
      <c r="I2" s="6" t="s">
        <v>22</v>
      </c>
    </row>
    <row r="3" customFormat="false" ht="15" hidden="false" customHeight="false" outlineLevel="0" collapsed="false">
      <c r="A3" s="2" t="n">
        <v>1</v>
      </c>
      <c r="B3" s="2" t="s">
        <v>23</v>
      </c>
      <c r="C3" s="5" t="s">
        <v>24</v>
      </c>
      <c r="D3" s="7" t="s">
        <v>25</v>
      </c>
      <c r="E3" s="2" t="s">
        <v>26</v>
      </c>
      <c r="F3" s="2" t="s">
        <v>27</v>
      </c>
      <c r="G3" s="2" t="s">
        <v>28</v>
      </c>
      <c r="H3" s="5" t="s">
        <v>29</v>
      </c>
      <c r="I3" s="5" t="s">
        <v>30</v>
      </c>
    </row>
    <row r="4" customFormat="false" ht="15" hidden="false" customHeight="false" outlineLevel="0" collapsed="false">
      <c r="A4" s="2" t="n">
        <v>2</v>
      </c>
      <c r="B4" s="2" t="s">
        <v>31</v>
      </c>
      <c r="C4" s="5" t="s">
        <v>32</v>
      </c>
      <c r="D4" s="7" t="s">
        <v>25</v>
      </c>
      <c r="E4" s="2" t="s">
        <v>33</v>
      </c>
      <c r="F4" s="5" t="s">
        <v>34</v>
      </c>
      <c r="G4" s="2" t="s">
        <v>35</v>
      </c>
      <c r="H4" s="2" t="s">
        <v>36</v>
      </c>
      <c r="I4" s="5" t="s">
        <v>37</v>
      </c>
    </row>
    <row r="5" customFormat="false" ht="15" hidden="false" customHeight="false" outlineLevel="0" collapsed="false">
      <c r="A5" s="2" t="n">
        <v>3</v>
      </c>
      <c r="B5" s="5" t="s">
        <v>38</v>
      </c>
      <c r="C5" s="5" t="s">
        <v>24</v>
      </c>
      <c r="D5" s="7" t="s">
        <v>25</v>
      </c>
      <c r="E5" s="5" t="s">
        <v>39</v>
      </c>
      <c r="F5" s="2" t="s">
        <v>40</v>
      </c>
      <c r="G5" s="5" t="s">
        <v>41</v>
      </c>
      <c r="H5" s="2" t="s">
        <v>42</v>
      </c>
      <c r="I5" s="5" t="s">
        <v>30</v>
      </c>
    </row>
    <row r="6" customFormat="false" ht="15" hidden="false" customHeight="false" outlineLevel="0" collapsed="false">
      <c r="A6" s="2" t="n">
        <v>4</v>
      </c>
      <c r="B6" s="2" t="s">
        <v>43</v>
      </c>
      <c r="C6" s="5" t="s">
        <v>44</v>
      </c>
      <c r="D6" s="7" t="s">
        <v>25</v>
      </c>
      <c r="E6" s="2" t="s">
        <v>45</v>
      </c>
      <c r="F6" s="2" t="s">
        <v>46</v>
      </c>
      <c r="G6" s="2" t="s">
        <v>47</v>
      </c>
      <c r="H6" s="2" t="s">
        <v>42</v>
      </c>
      <c r="I6" s="5" t="s">
        <v>30</v>
      </c>
    </row>
    <row r="7" customFormat="false" ht="15" hidden="false" customHeight="false" outlineLevel="0" collapsed="false">
      <c r="A7" s="2" t="n">
        <v>5</v>
      </c>
      <c r="B7" s="2" t="s">
        <v>48</v>
      </c>
      <c r="C7" s="5" t="s">
        <v>32</v>
      </c>
      <c r="D7" s="7" t="s">
        <v>25</v>
      </c>
      <c r="E7" s="2" t="s">
        <v>49</v>
      </c>
      <c r="F7" s="2" t="s">
        <v>50</v>
      </c>
      <c r="G7" s="2" t="s">
        <v>51</v>
      </c>
      <c r="H7" s="2" t="s">
        <v>42</v>
      </c>
      <c r="I7" s="5" t="s">
        <v>30</v>
      </c>
    </row>
    <row r="8" customFormat="false" ht="15" hidden="false" customHeight="false" outlineLevel="0" collapsed="false">
      <c r="A8" s="2" t="n">
        <v>6</v>
      </c>
      <c r="B8" s="2" t="s">
        <v>52</v>
      </c>
      <c r="C8" s="5" t="s">
        <v>53</v>
      </c>
      <c r="D8" s="7" t="s">
        <v>25</v>
      </c>
      <c r="E8" s="2" t="s">
        <v>54</v>
      </c>
      <c r="F8" s="2" t="s">
        <v>55</v>
      </c>
      <c r="G8" s="2" t="s">
        <v>56</v>
      </c>
      <c r="H8" s="2" t="s">
        <v>57</v>
      </c>
      <c r="I8" s="5" t="s">
        <v>30</v>
      </c>
    </row>
    <row r="9" customFormat="false" ht="15" hidden="false" customHeight="false" outlineLevel="0" collapsed="false">
      <c r="A9" s="2" t="n">
        <v>7</v>
      </c>
      <c r="B9" s="2" t="s">
        <v>58</v>
      </c>
      <c r="C9" s="5" t="s">
        <v>53</v>
      </c>
      <c r="D9" s="7" t="s">
        <v>25</v>
      </c>
      <c r="E9" s="2" t="s">
        <v>59</v>
      </c>
      <c r="F9" s="2" t="s">
        <v>50</v>
      </c>
      <c r="G9" s="5" t="s">
        <v>60</v>
      </c>
      <c r="H9" s="2" t="s">
        <v>61</v>
      </c>
      <c r="I9" s="5" t="s">
        <v>30</v>
      </c>
    </row>
    <row r="10" customFormat="false" ht="15" hidden="false" customHeight="false" outlineLevel="0" collapsed="false">
      <c r="A10" s="2" t="n">
        <v>8</v>
      </c>
      <c r="B10" s="5" t="s">
        <v>62</v>
      </c>
      <c r="C10" s="5" t="s">
        <v>63</v>
      </c>
      <c r="D10" s="7" t="s">
        <v>25</v>
      </c>
      <c r="E10" s="2" t="s">
        <v>64</v>
      </c>
      <c r="F10" s="2" t="s">
        <v>65</v>
      </c>
      <c r="G10" s="5" t="s">
        <v>66</v>
      </c>
      <c r="H10" s="2" t="s">
        <v>42</v>
      </c>
      <c r="I10" s="5" t="s">
        <v>30</v>
      </c>
    </row>
    <row r="11" customFormat="false" ht="15" hidden="false" customHeight="false" outlineLevel="0" collapsed="false">
      <c r="A11" s="2" t="n">
        <v>9</v>
      </c>
      <c r="B11" s="5" t="s">
        <v>67</v>
      </c>
      <c r="C11" s="5" t="s">
        <v>24</v>
      </c>
      <c r="D11" s="7" t="s">
        <v>25</v>
      </c>
      <c r="E11" s="2" t="s">
        <v>68</v>
      </c>
      <c r="F11" s="2" t="s">
        <v>69</v>
      </c>
      <c r="G11" s="2" t="s">
        <v>70</v>
      </c>
      <c r="H11" s="2" t="s">
        <v>42</v>
      </c>
      <c r="I11" s="5" t="s">
        <v>71</v>
      </c>
    </row>
    <row r="12" customFormat="false" ht="15" hidden="false" customHeight="false" outlineLevel="0" collapsed="false">
      <c r="A12" s="2" t="n">
        <v>10</v>
      </c>
      <c r="B12" s="5" t="s">
        <v>72</v>
      </c>
      <c r="C12" s="5" t="s">
        <v>73</v>
      </c>
      <c r="D12" s="7" t="s">
        <v>25</v>
      </c>
      <c r="E12" s="2" t="s">
        <v>74</v>
      </c>
      <c r="F12" s="2" t="s">
        <v>75</v>
      </c>
      <c r="G12" s="5" t="s">
        <v>76</v>
      </c>
      <c r="H12" s="2" t="s">
        <v>42</v>
      </c>
      <c r="I12" s="5" t="s">
        <v>30</v>
      </c>
    </row>
    <row r="13" customFormat="false" ht="15" hidden="false" customHeight="false" outlineLevel="0" collapsed="false">
      <c r="A13" s="2" t="n">
        <v>11</v>
      </c>
      <c r="B13" s="2" t="s">
        <v>77</v>
      </c>
      <c r="C13" s="5" t="s">
        <v>78</v>
      </c>
      <c r="D13" s="7" t="s">
        <v>25</v>
      </c>
      <c r="E13" s="2" t="s">
        <v>79</v>
      </c>
      <c r="F13" s="5" t="s">
        <v>80</v>
      </c>
      <c r="G13" s="5" t="s">
        <v>81</v>
      </c>
      <c r="H13" s="5" t="s">
        <v>82</v>
      </c>
      <c r="I13" s="5" t="s">
        <v>83</v>
      </c>
    </row>
    <row r="14" customFormat="false" ht="15" hidden="false" customHeight="false" outlineLevel="0" collapsed="false">
      <c r="A14" s="2" t="n">
        <v>12</v>
      </c>
      <c r="B14" s="2" t="s">
        <v>84</v>
      </c>
      <c r="C14" s="5" t="s">
        <v>24</v>
      </c>
      <c r="D14" s="7" t="s">
        <v>25</v>
      </c>
      <c r="E14" s="2" t="s">
        <v>85</v>
      </c>
      <c r="F14" s="2" t="s">
        <v>86</v>
      </c>
      <c r="G14" s="5" t="s">
        <v>87</v>
      </c>
      <c r="H14" s="2" t="s">
        <v>42</v>
      </c>
      <c r="I14" s="5" t="s">
        <v>30</v>
      </c>
    </row>
    <row r="15" customFormat="false" ht="15" hidden="false" customHeight="false" outlineLevel="0" collapsed="false">
      <c r="A15" s="2" t="n">
        <v>13</v>
      </c>
      <c r="B15" s="2" t="s">
        <v>88</v>
      </c>
      <c r="C15" s="5" t="s">
        <v>73</v>
      </c>
      <c r="D15" s="7" t="s">
        <v>25</v>
      </c>
      <c r="E15" s="2" t="s">
        <v>89</v>
      </c>
      <c r="F15" s="5" t="s">
        <v>90</v>
      </c>
      <c r="G15" s="2" t="s">
        <v>91</v>
      </c>
      <c r="H15" s="2" t="s">
        <v>42</v>
      </c>
      <c r="I15" s="5" t="s">
        <v>30</v>
      </c>
    </row>
    <row r="16" customFormat="false" ht="15" hidden="false" customHeight="false" outlineLevel="0" collapsed="false">
      <c r="A16" s="2" t="n">
        <v>14</v>
      </c>
      <c r="B16" s="2" t="s">
        <v>92</v>
      </c>
      <c r="C16" s="5" t="s">
        <v>93</v>
      </c>
      <c r="D16" s="7" t="s">
        <v>25</v>
      </c>
      <c r="E16" s="2" t="s">
        <v>94</v>
      </c>
      <c r="F16" s="2" t="s">
        <v>50</v>
      </c>
      <c r="G16" s="2" t="s">
        <v>95</v>
      </c>
      <c r="H16" s="2" t="s">
        <v>61</v>
      </c>
      <c r="I16" s="5" t="s">
        <v>30</v>
      </c>
    </row>
    <row r="17" customFormat="false" ht="15" hidden="false" customHeight="false" outlineLevel="0" collapsed="false">
      <c r="A17" s="2" t="n">
        <v>15</v>
      </c>
      <c r="B17" s="2" t="s">
        <v>96</v>
      </c>
      <c r="C17" s="5" t="s">
        <v>32</v>
      </c>
      <c r="D17" s="7" t="s">
        <v>25</v>
      </c>
      <c r="E17" s="2" t="s">
        <v>97</v>
      </c>
      <c r="F17" s="2" t="s">
        <v>98</v>
      </c>
      <c r="G17" s="2" t="s">
        <v>99</v>
      </c>
      <c r="H17" s="2" t="s">
        <v>61</v>
      </c>
      <c r="I17" s="5" t="s">
        <v>30</v>
      </c>
    </row>
    <row r="18" customFormat="false" ht="23.85" hidden="false" customHeight="false" outlineLevel="0" collapsed="false">
      <c r="A18" s="2" t="n">
        <v>16</v>
      </c>
      <c r="B18" s="5" t="s">
        <v>100</v>
      </c>
      <c r="C18" s="5" t="s">
        <v>101</v>
      </c>
      <c r="D18" s="8" t="s">
        <v>102</v>
      </c>
      <c r="E18" s="2" t="s">
        <v>103</v>
      </c>
      <c r="F18" s="5" t="s">
        <v>104</v>
      </c>
      <c r="G18" s="5" t="s">
        <v>105</v>
      </c>
      <c r="H18" s="2" t="s">
        <v>106</v>
      </c>
      <c r="I18" s="5" t="s">
        <v>30</v>
      </c>
    </row>
    <row r="19" customFormat="false" ht="15" hidden="false" customHeight="false" outlineLevel="0" collapsed="false">
      <c r="A19" s="2" t="n">
        <v>17</v>
      </c>
      <c r="B19" s="2" t="s">
        <v>107</v>
      </c>
      <c r="C19" s="5" t="s">
        <v>101</v>
      </c>
      <c r="D19" s="8" t="s">
        <v>102</v>
      </c>
      <c r="E19" s="2" t="s">
        <v>108</v>
      </c>
      <c r="F19" s="2" t="s">
        <v>109</v>
      </c>
      <c r="G19" s="2" t="s">
        <v>110</v>
      </c>
      <c r="H19" s="2" t="s">
        <v>111</v>
      </c>
      <c r="I19" s="5" t="s">
        <v>71</v>
      </c>
    </row>
    <row r="20" customFormat="false" ht="15" hidden="false" customHeight="false" outlineLevel="0" collapsed="false">
      <c r="A20" s="2" t="n">
        <v>18</v>
      </c>
      <c r="B20" s="5" t="s">
        <v>112</v>
      </c>
      <c r="C20" s="5" t="s">
        <v>101</v>
      </c>
      <c r="D20" s="8" t="s">
        <v>102</v>
      </c>
      <c r="E20" s="2" t="s">
        <v>113</v>
      </c>
      <c r="F20" s="2" t="s">
        <v>114</v>
      </c>
      <c r="G20" s="5" t="s">
        <v>115</v>
      </c>
      <c r="H20" s="5" t="s">
        <v>116</v>
      </c>
      <c r="I20" s="5" t="s">
        <v>30</v>
      </c>
    </row>
    <row r="21" customFormat="false" ht="15" hidden="false" customHeight="false" outlineLevel="0" collapsed="false">
      <c r="A21" s="2" t="n">
        <v>19</v>
      </c>
      <c r="B21" s="2" t="s">
        <v>117</v>
      </c>
      <c r="C21" s="5" t="s">
        <v>101</v>
      </c>
      <c r="D21" s="8" t="s">
        <v>102</v>
      </c>
      <c r="E21" s="2" t="s">
        <v>118</v>
      </c>
      <c r="F21" s="2" t="s">
        <v>119</v>
      </c>
      <c r="G21" s="2" t="s">
        <v>120</v>
      </c>
      <c r="H21" s="2" t="s">
        <v>121</v>
      </c>
      <c r="I21" s="5" t="s">
        <v>30</v>
      </c>
    </row>
    <row r="22" customFormat="false" ht="15" hidden="false" customHeight="false" outlineLevel="0" collapsed="false">
      <c r="A22" s="2" t="n">
        <v>20</v>
      </c>
      <c r="B22" s="5" t="s">
        <v>122</v>
      </c>
      <c r="C22" s="5" t="s">
        <v>123</v>
      </c>
      <c r="D22" s="8" t="s">
        <v>102</v>
      </c>
      <c r="E22" s="5" t="s">
        <v>124</v>
      </c>
      <c r="F22" s="2" t="s">
        <v>125</v>
      </c>
      <c r="G22" s="2" t="s">
        <v>126</v>
      </c>
      <c r="H22" s="2" t="s">
        <v>127</v>
      </c>
      <c r="I22" s="5" t="s">
        <v>30</v>
      </c>
    </row>
    <row r="23" customFormat="false" ht="15" hidden="false" customHeight="false" outlineLevel="0" collapsed="false">
      <c r="A23" s="2" t="n">
        <v>21</v>
      </c>
      <c r="B23" s="5" t="s">
        <v>128</v>
      </c>
      <c r="C23" s="5" t="s">
        <v>129</v>
      </c>
      <c r="D23" s="8" t="s">
        <v>102</v>
      </c>
      <c r="E23" s="2" t="s">
        <v>130</v>
      </c>
      <c r="F23" s="2" t="s">
        <v>131</v>
      </c>
      <c r="G23" s="5" t="s">
        <v>132</v>
      </c>
      <c r="H23" s="2" t="s">
        <v>133</v>
      </c>
      <c r="I23" s="5" t="s">
        <v>30</v>
      </c>
    </row>
    <row r="24" customFormat="false" ht="15" hidden="false" customHeight="false" outlineLevel="0" collapsed="false">
      <c r="A24" s="2" t="n">
        <v>22</v>
      </c>
      <c r="B24" s="2" t="s">
        <v>134</v>
      </c>
      <c r="C24" s="5" t="s">
        <v>135</v>
      </c>
      <c r="D24" s="8" t="s">
        <v>102</v>
      </c>
      <c r="E24" s="5" t="s">
        <v>136</v>
      </c>
      <c r="F24" s="2" t="s">
        <v>137</v>
      </c>
      <c r="G24" s="5" t="s">
        <v>138</v>
      </c>
      <c r="H24" s="2" t="s">
        <v>139</v>
      </c>
      <c r="I24" s="5" t="s">
        <v>30</v>
      </c>
    </row>
    <row r="25" customFormat="false" ht="15" hidden="false" customHeight="false" outlineLevel="0" collapsed="false">
      <c r="A25" s="2" t="n">
        <v>23</v>
      </c>
      <c r="B25" s="2" t="s">
        <v>140</v>
      </c>
      <c r="C25" s="5" t="s">
        <v>141</v>
      </c>
      <c r="D25" s="8" t="s">
        <v>102</v>
      </c>
      <c r="E25" s="2" t="s">
        <v>142</v>
      </c>
      <c r="F25" s="2" t="s">
        <v>143</v>
      </c>
      <c r="G25" s="2" t="s">
        <v>144</v>
      </c>
      <c r="H25" s="2" t="s">
        <v>145</v>
      </c>
      <c r="I25" s="5" t="s">
        <v>30</v>
      </c>
    </row>
    <row r="26" customFormat="false" ht="15" hidden="false" customHeight="false" outlineLevel="0" collapsed="false">
      <c r="A26" s="2" t="n">
        <v>24</v>
      </c>
      <c r="B26" s="2" t="s">
        <v>146</v>
      </c>
      <c r="C26" s="5" t="s">
        <v>53</v>
      </c>
      <c r="D26" s="8" t="s">
        <v>102</v>
      </c>
      <c r="E26" s="2" t="s">
        <v>147</v>
      </c>
      <c r="F26" s="2" t="s">
        <v>148</v>
      </c>
      <c r="G26" s="2" t="s">
        <v>149</v>
      </c>
      <c r="H26" s="2" t="s">
        <v>150</v>
      </c>
      <c r="I26" s="5" t="s">
        <v>30</v>
      </c>
    </row>
    <row r="27" customFormat="false" ht="15" hidden="false" customHeight="false" outlineLevel="0" collapsed="false">
      <c r="A27" s="2" t="n">
        <v>25</v>
      </c>
      <c r="B27" s="5" t="s">
        <v>151</v>
      </c>
      <c r="C27" s="5" t="s">
        <v>152</v>
      </c>
      <c r="D27" s="8" t="s">
        <v>102</v>
      </c>
      <c r="E27" s="2" t="s">
        <v>153</v>
      </c>
      <c r="F27" s="2" t="s">
        <v>154</v>
      </c>
      <c r="G27" s="5" t="s">
        <v>155</v>
      </c>
      <c r="H27" s="2" t="s">
        <v>156</v>
      </c>
      <c r="I27" s="5" t="s">
        <v>30</v>
      </c>
    </row>
    <row r="28" customFormat="false" ht="15" hidden="false" customHeight="false" outlineLevel="0" collapsed="false">
      <c r="A28" s="2" t="n">
        <v>26</v>
      </c>
      <c r="B28" s="5" t="s">
        <v>157</v>
      </c>
      <c r="C28" s="5" t="s">
        <v>53</v>
      </c>
      <c r="D28" s="8" t="s">
        <v>102</v>
      </c>
      <c r="E28" s="2" t="s">
        <v>158</v>
      </c>
      <c r="F28" s="2" t="s">
        <v>159</v>
      </c>
      <c r="G28" s="5" t="s">
        <v>160</v>
      </c>
      <c r="H28" s="2" t="s">
        <v>161</v>
      </c>
      <c r="I28" s="5" t="s">
        <v>30</v>
      </c>
    </row>
    <row r="29" customFormat="false" ht="15" hidden="false" customHeight="false" outlineLevel="0" collapsed="false">
      <c r="A29" s="2" t="n">
        <v>27</v>
      </c>
      <c r="B29" s="2" t="s">
        <v>162</v>
      </c>
      <c r="C29" s="5" t="s">
        <v>163</v>
      </c>
      <c r="D29" s="8" t="s">
        <v>102</v>
      </c>
      <c r="E29" s="2" t="s">
        <v>164</v>
      </c>
      <c r="F29" s="2" t="s">
        <v>165</v>
      </c>
      <c r="G29" s="2" t="s">
        <v>166</v>
      </c>
      <c r="H29" s="5" t="s">
        <v>167</v>
      </c>
      <c r="I29" s="5" t="s">
        <v>30</v>
      </c>
    </row>
    <row r="30" customFormat="false" ht="15" hidden="false" customHeight="false" outlineLevel="0" collapsed="false">
      <c r="A30" s="2" t="n">
        <v>28</v>
      </c>
      <c r="B30" s="5" t="s">
        <v>168</v>
      </c>
      <c r="C30" s="5" t="s">
        <v>152</v>
      </c>
      <c r="D30" s="8" t="s">
        <v>102</v>
      </c>
      <c r="E30" s="2" t="s">
        <v>169</v>
      </c>
      <c r="F30" s="2" t="s">
        <v>154</v>
      </c>
      <c r="G30" s="5" t="s">
        <v>170</v>
      </c>
      <c r="H30" s="2" t="s">
        <v>171</v>
      </c>
      <c r="I30" s="5" t="s">
        <v>30</v>
      </c>
    </row>
    <row r="31" customFormat="false" ht="15" hidden="false" customHeight="false" outlineLevel="0" collapsed="false">
      <c r="A31" s="2" t="n">
        <v>29</v>
      </c>
      <c r="B31" s="2" t="s">
        <v>172</v>
      </c>
      <c r="C31" s="5" t="s">
        <v>141</v>
      </c>
      <c r="D31" s="8" t="s">
        <v>102</v>
      </c>
      <c r="E31" s="2" t="s">
        <v>173</v>
      </c>
      <c r="F31" s="2" t="s">
        <v>174</v>
      </c>
      <c r="G31" s="2" t="s">
        <v>175</v>
      </c>
      <c r="H31" s="2" t="s">
        <v>176</v>
      </c>
      <c r="I31" s="5" t="s">
        <v>177</v>
      </c>
    </row>
    <row r="32" customFormat="false" ht="15" hidden="false" customHeight="false" outlineLevel="0" collapsed="false">
      <c r="A32" s="2" t="n">
        <v>30</v>
      </c>
      <c r="B32" s="2" t="s">
        <v>178</v>
      </c>
      <c r="C32" s="5" t="s">
        <v>179</v>
      </c>
      <c r="D32" s="8" t="s">
        <v>102</v>
      </c>
      <c r="E32" s="5" t="s">
        <v>180</v>
      </c>
      <c r="F32" s="2" t="s">
        <v>181</v>
      </c>
      <c r="G32" s="5" t="s">
        <v>182</v>
      </c>
      <c r="H32" s="2" t="s">
        <v>183</v>
      </c>
      <c r="I32" s="5" t="s">
        <v>177</v>
      </c>
    </row>
    <row r="33" customFormat="false" ht="15" hidden="false" customHeight="false" outlineLevel="0" collapsed="false">
      <c r="A33" s="2" t="n">
        <v>31</v>
      </c>
      <c r="B33" s="2" t="s">
        <v>184</v>
      </c>
      <c r="C33" s="5" t="s">
        <v>32</v>
      </c>
      <c r="D33" s="9" t="s">
        <v>185</v>
      </c>
      <c r="E33" s="2" t="s">
        <v>186</v>
      </c>
      <c r="F33" s="2" t="s">
        <v>187</v>
      </c>
      <c r="G33" s="5" t="s">
        <v>188</v>
      </c>
      <c r="H33" s="2" t="s">
        <v>42</v>
      </c>
      <c r="I33" s="5" t="s">
        <v>30</v>
      </c>
    </row>
    <row r="34" customFormat="false" ht="23.85" hidden="false" customHeight="false" outlineLevel="0" collapsed="false">
      <c r="A34" s="2" t="n">
        <v>32</v>
      </c>
      <c r="B34" s="2" t="s">
        <v>189</v>
      </c>
      <c r="C34" s="5" t="s">
        <v>24</v>
      </c>
      <c r="D34" s="9" t="s">
        <v>185</v>
      </c>
      <c r="E34" s="5" t="s">
        <v>190</v>
      </c>
      <c r="F34" s="2" t="s">
        <v>191</v>
      </c>
      <c r="G34" s="5" t="s">
        <v>192</v>
      </c>
      <c r="H34" s="2" t="s">
        <v>61</v>
      </c>
      <c r="I34" s="5" t="s">
        <v>30</v>
      </c>
    </row>
    <row r="35" customFormat="false" ht="15" hidden="false" customHeight="false" outlineLevel="0" collapsed="false">
      <c r="A35" s="2" t="n">
        <v>33</v>
      </c>
      <c r="B35" s="2" t="s">
        <v>193</v>
      </c>
      <c r="C35" s="5" t="s">
        <v>194</v>
      </c>
      <c r="D35" s="9" t="s">
        <v>185</v>
      </c>
      <c r="E35" s="2" t="s">
        <v>195</v>
      </c>
      <c r="F35" s="2" t="s">
        <v>196</v>
      </c>
      <c r="G35" s="5" t="s">
        <v>197</v>
      </c>
      <c r="H35" s="2" t="s">
        <v>42</v>
      </c>
      <c r="I35" s="5" t="s">
        <v>30</v>
      </c>
    </row>
    <row r="36" customFormat="false" ht="15" hidden="false" customHeight="false" outlineLevel="0" collapsed="false">
      <c r="A36" s="2" t="n">
        <v>34</v>
      </c>
      <c r="B36" s="2" t="s">
        <v>198</v>
      </c>
      <c r="C36" s="5" t="s">
        <v>53</v>
      </c>
      <c r="D36" s="9" t="s">
        <v>185</v>
      </c>
      <c r="E36" s="2" t="s">
        <v>199</v>
      </c>
      <c r="F36" s="2" t="s">
        <v>200</v>
      </c>
      <c r="G36" s="5" t="s">
        <v>201</v>
      </c>
      <c r="H36" s="2" t="s">
        <v>42</v>
      </c>
      <c r="I36" s="5" t="s">
        <v>30</v>
      </c>
    </row>
    <row r="37" customFormat="false" ht="15" hidden="false" customHeight="false" outlineLevel="0" collapsed="false">
      <c r="A37" s="2" t="n">
        <v>35</v>
      </c>
      <c r="B37" s="5" t="s">
        <v>202</v>
      </c>
      <c r="C37" s="5" t="s">
        <v>24</v>
      </c>
      <c r="D37" s="9" t="s">
        <v>185</v>
      </c>
      <c r="E37" s="2" t="s">
        <v>203</v>
      </c>
      <c r="F37" s="2" t="s">
        <v>204</v>
      </c>
      <c r="G37" s="5" t="s">
        <v>205</v>
      </c>
      <c r="H37" s="2" t="s">
        <v>42</v>
      </c>
      <c r="I37" s="5" t="s">
        <v>30</v>
      </c>
    </row>
    <row r="38" customFormat="false" ht="15" hidden="false" customHeight="false" outlineLevel="0" collapsed="false">
      <c r="A38" s="2" t="n">
        <v>36</v>
      </c>
      <c r="B38" s="2" t="s">
        <v>206</v>
      </c>
      <c r="C38" s="5" t="s">
        <v>24</v>
      </c>
      <c r="D38" s="9" t="s">
        <v>185</v>
      </c>
      <c r="E38" s="2" t="s">
        <v>207</v>
      </c>
      <c r="F38" s="2" t="s">
        <v>208</v>
      </c>
      <c r="G38" s="5" t="s">
        <v>209</v>
      </c>
      <c r="H38" s="2" t="s">
        <v>42</v>
      </c>
      <c r="I38" s="5" t="s">
        <v>30</v>
      </c>
    </row>
    <row r="39" customFormat="false" ht="15" hidden="false" customHeight="false" outlineLevel="0" collapsed="false">
      <c r="A39" s="2" t="n">
        <v>37</v>
      </c>
      <c r="B39" s="2" t="s">
        <v>210</v>
      </c>
      <c r="C39" s="5" t="s">
        <v>32</v>
      </c>
      <c r="D39" s="9" t="s">
        <v>185</v>
      </c>
      <c r="E39" s="2" t="s">
        <v>211</v>
      </c>
      <c r="F39" s="2" t="s">
        <v>50</v>
      </c>
      <c r="G39" s="2" t="s">
        <v>212</v>
      </c>
      <c r="H39" s="2" t="s">
        <v>42</v>
      </c>
      <c r="I39" s="5" t="s">
        <v>30</v>
      </c>
    </row>
    <row r="40" customFormat="false" ht="15" hidden="false" customHeight="false" outlineLevel="0" collapsed="false">
      <c r="A40" s="2" t="n">
        <v>38</v>
      </c>
      <c r="B40" s="2" t="s">
        <v>213</v>
      </c>
      <c r="C40" s="5" t="s">
        <v>32</v>
      </c>
      <c r="D40" s="9" t="s">
        <v>185</v>
      </c>
      <c r="E40" s="2" t="s">
        <v>214</v>
      </c>
      <c r="F40" s="2" t="s">
        <v>215</v>
      </c>
      <c r="G40" s="2" t="s">
        <v>216</v>
      </c>
      <c r="H40" s="2" t="s">
        <v>42</v>
      </c>
      <c r="I40" s="5" t="s">
        <v>30</v>
      </c>
    </row>
    <row r="41" customFormat="false" ht="15" hidden="false" customHeight="false" outlineLevel="0" collapsed="false">
      <c r="A41" s="2" t="n">
        <v>39</v>
      </c>
      <c r="B41" s="2" t="s">
        <v>217</v>
      </c>
      <c r="C41" s="5" t="s">
        <v>218</v>
      </c>
      <c r="D41" s="9" t="s">
        <v>185</v>
      </c>
      <c r="E41" s="2" t="s">
        <v>219</v>
      </c>
      <c r="F41" s="2" t="s">
        <v>50</v>
      </c>
      <c r="G41" s="5" t="s">
        <v>220</v>
      </c>
      <c r="H41" s="2" t="s">
        <v>42</v>
      </c>
      <c r="I41" s="5" t="s">
        <v>30</v>
      </c>
    </row>
    <row r="42" customFormat="false" ht="15" hidden="false" customHeight="false" outlineLevel="0" collapsed="false">
      <c r="A42" s="2" t="n">
        <v>40</v>
      </c>
      <c r="B42" s="2" t="s">
        <v>221</v>
      </c>
      <c r="C42" s="5" t="s">
        <v>218</v>
      </c>
      <c r="D42" s="9" t="s">
        <v>185</v>
      </c>
      <c r="E42" s="2" t="s">
        <v>222</v>
      </c>
      <c r="F42" s="2" t="s">
        <v>223</v>
      </c>
      <c r="G42" s="2" t="s">
        <v>224</v>
      </c>
      <c r="H42" s="2" t="s">
        <v>42</v>
      </c>
      <c r="I42" s="5" t="s">
        <v>30</v>
      </c>
    </row>
    <row r="43" customFormat="false" ht="15" hidden="false" customHeight="false" outlineLevel="0" collapsed="false">
      <c r="A43" s="2" t="n">
        <v>41</v>
      </c>
      <c r="B43" s="2" t="s">
        <v>225</v>
      </c>
      <c r="C43" s="5" t="s">
        <v>218</v>
      </c>
      <c r="D43" s="9" t="s">
        <v>185</v>
      </c>
      <c r="E43" s="2" t="s">
        <v>226</v>
      </c>
      <c r="F43" s="5" t="s">
        <v>90</v>
      </c>
      <c r="G43" s="5" t="s">
        <v>227</v>
      </c>
      <c r="H43" s="2" t="s">
        <v>42</v>
      </c>
      <c r="I43" s="5" t="s">
        <v>30</v>
      </c>
    </row>
    <row r="44" customFormat="false" ht="15" hidden="false" customHeight="false" outlineLevel="0" collapsed="false">
      <c r="A44" s="2" t="n">
        <v>42</v>
      </c>
      <c r="B44" s="2" t="s">
        <v>228</v>
      </c>
      <c r="C44" s="5" t="s">
        <v>218</v>
      </c>
      <c r="D44" s="9" t="s">
        <v>185</v>
      </c>
      <c r="E44" s="2" t="s">
        <v>229</v>
      </c>
      <c r="F44" s="2" t="s">
        <v>230</v>
      </c>
      <c r="G44" s="5" t="s">
        <v>231</v>
      </c>
      <c r="H44" s="2" t="s">
        <v>42</v>
      </c>
      <c r="I44" s="5" t="s">
        <v>30</v>
      </c>
    </row>
    <row r="45" customFormat="false" ht="15" hidden="false" customHeight="false" outlineLevel="0" collapsed="false">
      <c r="A45" s="2" t="n">
        <v>43</v>
      </c>
      <c r="B45" s="2" t="s">
        <v>232</v>
      </c>
      <c r="C45" s="5" t="s">
        <v>24</v>
      </c>
      <c r="D45" s="9" t="s">
        <v>185</v>
      </c>
      <c r="E45" s="2" t="s">
        <v>233</v>
      </c>
      <c r="F45" s="2" t="s">
        <v>234</v>
      </c>
      <c r="G45" s="5" t="s">
        <v>235</v>
      </c>
      <c r="H45" s="2" t="s">
        <v>42</v>
      </c>
      <c r="I45" s="5" t="s">
        <v>30</v>
      </c>
    </row>
    <row r="46" customFormat="false" ht="15" hidden="false" customHeight="false" outlineLevel="0" collapsed="false">
      <c r="A46" s="2" t="n">
        <v>44</v>
      </c>
      <c r="B46" s="2" t="s">
        <v>236</v>
      </c>
      <c r="C46" s="5" t="s">
        <v>24</v>
      </c>
      <c r="D46" s="9" t="s">
        <v>185</v>
      </c>
      <c r="E46" s="2" t="s">
        <v>237</v>
      </c>
      <c r="F46" s="2" t="s">
        <v>238</v>
      </c>
      <c r="G46" s="2" t="s">
        <v>239</v>
      </c>
      <c r="H46" s="2" t="s">
        <v>42</v>
      </c>
      <c r="I46" s="5" t="s">
        <v>30</v>
      </c>
    </row>
    <row r="47" customFormat="false" ht="15" hidden="false" customHeight="false" outlineLevel="0" collapsed="false">
      <c r="A47" s="2" t="n">
        <v>45</v>
      </c>
      <c r="B47" s="2" t="s">
        <v>240</v>
      </c>
      <c r="C47" s="5" t="s">
        <v>32</v>
      </c>
      <c r="D47" s="9" t="s">
        <v>185</v>
      </c>
      <c r="E47" s="2" t="s">
        <v>241</v>
      </c>
      <c r="F47" s="2" t="s">
        <v>242</v>
      </c>
      <c r="G47" s="5" t="s">
        <v>243</v>
      </c>
      <c r="H47" s="2" t="s">
        <v>42</v>
      </c>
      <c r="I47" s="5" t="s">
        <v>30</v>
      </c>
    </row>
    <row r="48" customFormat="false" ht="15" hidden="false" customHeight="false" outlineLevel="0" collapsed="false">
      <c r="A48" s="2" t="n">
        <v>46</v>
      </c>
      <c r="B48" s="2" t="s">
        <v>244</v>
      </c>
      <c r="C48" s="5" t="s">
        <v>24</v>
      </c>
      <c r="D48" s="9" t="s">
        <v>185</v>
      </c>
      <c r="E48" s="2" t="s">
        <v>245</v>
      </c>
      <c r="F48" s="2" t="s">
        <v>50</v>
      </c>
      <c r="G48" s="2" t="s">
        <v>246</v>
      </c>
      <c r="H48" s="2" t="s">
        <v>42</v>
      </c>
      <c r="I48" s="5" t="s">
        <v>30</v>
      </c>
    </row>
    <row r="49" customFormat="false" ht="15" hidden="false" customHeight="false" outlineLevel="0" collapsed="false">
      <c r="A49" s="2" t="n">
        <v>47</v>
      </c>
      <c r="B49" s="2" t="s">
        <v>247</v>
      </c>
      <c r="C49" s="5" t="s">
        <v>248</v>
      </c>
      <c r="D49" s="9" t="s">
        <v>185</v>
      </c>
      <c r="E49" s="2" t="s">
        <v>249</v>
      </c>
      <c r="F49" s="5" t="s">
        <v>250</v>
      </c>
      <c r="G49" s="5" t="s">
        <v>251</v>
      </c>
      <c r="H49" s="2" t="s">
        <v>42</v>
      </c>
      <c r="I49" s="5" t="s">
        <v>83</v>
      </c>
    </row>
    <row r="50" customFormat="false" ht="15" hidden="false" customHeight="false" outlineLevel="0" collapsed="false">
      <c r="A50" s="2" t="n">
        <v>48</v>
      </c>
      <c r="B50" s="5" t="s">
        <v>252</v>
      </c>
      <c r="C50" s="5" t="s">
        <v>248</v>
      </c>
      <c r="D50" s="9" t="s">
        <v>185</v>
      </c>
      <c r="E50" s="5" t="s">
        <v>253</v>
      </c>
      <c r="F50" s="2" t="s">
        <v>254</v>
      </c>
      <c r="G50" s="5" t="s">
        <v>255</v>
      </c>
      <c r="H50" s="2" t="s">
        <v>256</v>
      </c>
      <c r="I50" s="5" t="s">
        <v>257</v>
      </c>
    </row>
    <row r="51" customFormat="false" ht="15" hidden="false" customHeight="false" outlineLevel="0" collapsed="false">
      <c r="A51" s="2" t="n">
        <v>49</v>
      </c>
      <c r="B51" s="2" t="s">
        <v>258</v>
      </c>
      <c r="C51" s="5" t="s">
        <v>24</v>
      </c>
      <c r="D51" s="9" t="s">
        <v>185</v>
      </c>
      <c r="E51" s="2" t="s">
        <v>259</v>
      </c>
      <c r="F51" s="2" t="s">
        <v>131</v>
      </c>
      <c r="G51" s="5" t="s">
        <v>260</v>
      </c>
      <c r="H51" s="2" t="s">
        <v>42</v>
      </c>
      <c r="I51" s="5" t="s">
        <v>30</v>
      </c>
    </row>
    <row r="52" customFormat="false" ht="15" hidden="false" customHeight="false" outlineLevel="0" collapsed="false">
      <c r="A52" s="2" t="n">
        <v>50</v>
      </c>
      <c r="B52" s="5" t="s">
        <v>261</v>
      </c>
      <c r="C52" s="5" t="s">
        <v>262</v>
      </c>
      <c r="D52" s="9" t="s">
        <v>185</v>
      </c>
      <c r="E52" s="2" t="s">
        <v>263</v>
      </c>
      <c r="F52" s="2" t="s">
        <v>264</v>
      </c>
      <c r="G52" s="5" t="s">
        <v>265</v>
      </c>
      <c r="H52" s="2" t="s">
        <v>42</v>
      </c>
      <c r="I52" s="5" t="s">
        <v>30</v>
      </c>
    </row>
    <row r="53" customFormat="false" ht="15" hidden="false" customHeight="false" outlineLevel="0" collapsed="false">
      <c r="A53" s="2" t="n">
        <v>51</v>
      </c>
      <c r="B53" s="2" t="s">
        <v>266</v>
      </c>
      <c r="C53" s="5" t="s">
        <v>267</v>
      </c>
      <c r="D53" s="10" t="s">
        <v>268</v>
      </c>
      <c r="E53" s="2" t="s">
        <v>269</v>
      </c>
      <c r="F53" s="2" t="s">
        <v>270</v>
      </c>
      <c r="G53" s="5" t="s">
        <v>271</v>
      </c>
      <c r="H53" s="2" t="s">
        <v>272</v>
      </c>
      <c r="I53" s="5" t="s">
        <v>37</v>
      </c>
    </row>
    <row r="54" customFormat="false" ht="15" hidden="false" customHeight="false" outlineLevel="0" collapsed="false">
      <c r="A54" s="2" t="n">
        <v>52</v>
      </c>
      <c r="B54" s="5" t="s">
        <v>273</v>
      </c>
      <c r="C54" s="5" t="s">
        <v>267</v>
      </c>
      <c r="D54" s="10" t="s">
        <v>268</v>
      </c>
      <c r="E54" s="2" t="s">
        <v>274</v>
      </c>
      <c r="F54" s="5" t="s">
        <v>275</v>
      </c>
      <c r="G54" s="5" t="s">
        <v>276</v>
      </c>
      <c r="H54" s="2" t="s">
        <v>277</v>
      </c>
      <c r="I54" s="5" t="s">
        <v>177</v>
      </c>
    </row>
    <row r="55" customFormat="false" ht="15" hidden="false" customHeight="false" outlineLevel="0" collapsed="false">
      <c r="A55" s="2" t="n">
        <v>53</v>
      </c>
      <c r="B55" s="2" t="s">
        <v>278</v>
      </c>
      <c r="C55" s="5" t="s">
        <v>267</v>
      </c>
      <c r="D55" s="10" t="s">
        <v>268</v>
      </c>
      <c r="E55" s="5" t="s">
        <v>279</v>
      </c>
      <c r="F55" s="2" t="s">
        <v>131</v>
      </c>
      <c r="G55" s="2" t="s">
        <v>280</v>
      </c>
      <c r="H55" s="2" t="s">
        <v>281</v>
      </c>
      <c r="I55" s="5" t="s">
        <v>177</v>
      </c>
    </row>
    <row r="56" customFormat="false" ht="15" hidden="false" customHeight="false" outlineLevel="0" collapsed="false">
      <c r="A56" s="2" t="n">
        <v>54</v>
      </c>
      <c r="B56" s="5" t="s">
        <v>282</v>
      </c>
      <c r="C56" s="5" t="s">
        <v>283</v>
      </c>
      <c r="D56" s="10" t="s">
        <v>268</v>
      </c>
      <c r="E56" s="2" t="s">
        <v>284</v>
      </c>
      <c r="F56" s="2" t="s">
        <v>270</v>
      </c>
      <c r="G56" s="2" t="s">
        <v>285</v>
      </c>
      <c r="H56" s="2" t="s">
        <v>286</v>
      </c>
      <c r="I56" s="5" t="s">
        <v>37</v>
      </c>
    </row>
    <row r="57" customFormat="false" ht="15" hidden="false" customHeight="false" outlineLevel="0" collapsed="false">
      <c r="A57" s="2" t="n">
        <v>55</v>
      </c>
      <c r="B57" s="2" t="s">
        <v>287</v>
      </c>
      <c r="C57" s="5" t="s">
        <v>288</v>
      </c>
      <c r="D57" s="10" t="s">
        <v>268</v>
      </c>
      <c r="E57" s="2" t="s">
        <v>289</v>
      </c>
      <c r="F57" s="2" t="s">
        <v>290</v>
      </c>
      <c r="G57" s="2" t="s">
        <v>291</v>
      </c>
      <c r="H57" s="2" t="s">
        <v>292</v>
      </c>
      <c r="I57" s="5" t="s">
        <v>37</v>
      </c>
    </row>
    <row r="58" customFormat="false" ht="15" hidden="false" customHeight="false" outlineLevel="0" collapsed="false">
      <c r="A58" s="2" t="n">
        <v>56</v>
      </c>
      <c r="B58" s="2" t="s">
        <v>293</v>
      </c>
      <c r="C58" s="5" t="s">
        <v>288</v>
      </c>
      <c r="D58" s="10" t="s">
        <v>268</v>
      </c>
      <c r="E58" s="2" t="s">
        <v>294</v>
      </c>
      <c r="F58" s="2" t="s">
        <v>295</v>
      </c>
      <c r="G58" s="2" t="s">
        <v>296</v>
      </c>
      <c r="H58" s="2" t="s">
        <v>297</v>
      </c>
      <c r="I58" s="5" t="s">
        <v>37</v>
      </c>
    </row>
    <row r="59" customFormat="false" ht="15" hidden="false" customHeight="false" outlineLevel="0" collapsed="false">
      <c r="A59" s="2" t="n">
        <v>57</v>
      </c>
      <c r="B59" s="5" t="s">
        <v>298</v>
      </c>
      <c r="C59" s="5" t="s">
        <v>288</v>
      </c>
      <c r="D59" s="10" t="s">
        <v>268</v>
      </c>
      <c r="E59" s="2" t="s">
        <v>299</v>
      </c>
      <c r="F59" s="2" t="s">
        <v>174</v>
      </c>
      <c r="G59" s="2" t="s">
        <v>300</v>
      </c>
      <c r="H59" s="2" t="s">
        <v>301</v>
      </c>
      <c r="I59" s="5" t="s">
        <v>177</v>
      </c>
    </row>
    <row r="60" customFormat="false" ht="15" hidden="false" customHeight="false" outlineLevel="0" collapsed="false">
      <c r="A60" s="2" t="n">
        <v>58</v>
      </c>
      <c r="B60" s="2" t="s">
        <v>302</v>
      </c>
      <c r="C60" s="5" t="s">
        <v>288</v>
      </c>
      <c r="D60" s="10" t="s">
        <v>268</v>
      </c>
      <c r="E60" s="2" t="s">
        <v>303</v>
      </c>
      <c r="F60" s="2" t="s">
        <v>304</v>
      </c>
      <c r="G60" s="2" t="s">
        <v>305</v>
      </c>
      <c r="H60" s="2" t="s">
        <v>306</v>
      </c>
      <c r="I60" s="5" t="s">
        <v>37</v>
      </c>
    </row>
    <row r="61" customFormat="false" ht="25.35" hidden="false" customHeight="false" outlineLevel="0" collapsed="false">
      <c r="A61" s="2" t="n">
        <v>59</v>
      </c>
      <c r="B61" s="2" t="s">
        <v>307</v>
      </c>
      <c r="C61" s="5" t="s">
        <v>123</v>
      </c>
      <c r="D61" s="10" t="s">
        <v>268</v>
      </c>
      <c r="E61" s="2" t="s">
        <v>308</v>
      </c>
      <c r="F61" s="2" t="s">
        <v>131</v>
      </c>
      <c r="G61" s="2" t="s">
        <v>309</v>
      </c>
      <c r="H61" s="2" t="s">
        <v>310</v>
      </c>
      <c r="I61" s="5" t="s">
        <v>311</v>
      </c>
    </row>
    <row r="62" customFormat="false" ht="15" hidden="false" customHeight="false" outlineLevel="0" collapsed="false">
      <c r="A62" s="2" t="n">
        <v>60</v>
      </c>
      <c r="B62" s="5" t="s">
        <v>312</v>
      </c>
      <c r="C62" s="5" t="s">
        <v>313</v>
      </c>
      <c r="D62" s="10" t="s">
        <v>268</v>
      </c>
      <c r="E62" s="2" t="s">
        <v>314</v>
      </c>
      <c r="F62" s="2" t="s">
        <v>315</v>
      </c>
      <c r="G62" s="2" t="s">
        <v>316</v>
      </c>
      <c r="H62" s="2" t="s">
        <v>317</v>
      </c>
      <c r="I62" s="5" t="s">
        <v>30</v>
      </c>
    </row>
    <row r="63" customFormat="false" ht="15" hidden="false" customHeight="false" outlineLevel="0" collapsed="false">
      <c r="A63" s="2" t="n">
        <v>61</v>
      </c>
      <c r="B63" s="2" t="s">
        <v>318</v>
      </c>
      <c r="C63" s="5" t="s">
        <v>123</v>
      </c>
      <c r="D63" s="10" t="s">
        <v>268</v>
      </c>
      <c r="E63" s="5" t="s">
        <v>319</v>
      </c>
      <c r="F63" s="5" t="s">
        <v>320</v>
      </c>
      <c r="G63" s="2" t="s">
        <v>321</v>
      </c>
      <c r="H63" s="2" t="s">
        <v>322</v>
      </c>
      <c r="I63" s="5" t="s">
        <v>323</v>
      </c>
    </row>
    <row r="64" customFormat="false" ht="15" hidden="false" customHeight="false" outlineLevel="0" collapsed="false">
      <c r="A64" s="2" t="n">
        <v>62</v>
      </c>
      <c r="B64" s="5" t="s">
        <v>324</v>
      </c>
      <c r="C64" s="5" t="s">
        <v>325</v>
      </c>
      <c r="D64" s="10" t="s">
        <v>268</v>
      </c>
      <c r="E64" s="2" t="s">
        <v>326</v>
      </c>
      <c r="F64" s="2" t="s">
        <v>270</v>
      </c>
      <c r="G64" s="2" t="s">
        <v>327</v>
      </c>
      <c r="H64" s="2" t="s">
        <v>328</v>
      </c>
      <c r="I64" s="5" t="s">
        <v>30</v>
      </c>
    </row>
    <row r="65" customFormat="false" ht="15" hidden="false" customHeight="false" outlineLevel="0" collapsed="false">
      <c r="A65" s="2" t="n">
        <v>63</v>
      </c>
      <c r="B65" s="5" t="s">
        <v>329</v>
      </c>
      <c r="C65" s="5" t="s">
        <v>330</v>
      </c>
      <c r="D65" s="10" t="s">
        <v>268</v>
      </c>
      <c r="E65" s="2" t="s">
        <v>331</v>
      </c>
      <c r="F65" s="2" t="s">
        <v>332</v>
      </c>
      <c r="G65" s="5" t="s">
        <v>333</v>
      </c>
      <c r="H65" s="2" t="s">
        <v>334</v>
      </c>
      <c r="I65" s="5" t="s">
        <v>30</v>
      </c>
    </row>
    <row r="66" customFormat="false" ht="15" hidden="false" customHeight="false" outlineLevel="0" collapsed="false">
      <c r="A66" s="2" t="n">
        <v>64</v>
      </c>
      <c r="B66" s="2" t="s">
        <v>335</v>
      </c>
      <c r="C66" s="5" t="s">
        <v>336</v>
      </c>
      <c r="D66" s="10" t="s">
        <v>268</v>
      </c>
      <c r="E66" s="2" t="s">
        <v>337</v>
      </c>
      <c r="F66" s="2" t="s">
        <v>338</v>
      </c>
      <c r="G66" s="2" t="s">
        <v>339</v>
      </c>
      <c r="H66" s="2" t="s">
        <v>340</v>
      </c>
      <c r="I66" s="5" t="s">
        <v>177</v>
      </c>
    </row>
    <row r="67" customFormat="false" ht="15" hidden="false" customHeight="false" outlineLevel="0" collapsed="false">
      <c r="A67" s="2" t="n">
        <v>65</v>
      </c>
      <c r="B67" s="5" t="s">
        <v>341</v>
      </c>
      <c r="C67" s="5" t="s">
        <v>342</v>
      </c>
      <c r="D67" s="10" t="s">
        <v>268</v>
      </c>
      <c r="E67" s="2" t="s">
        <v>343</v>
      </c>
      <c r="F67" s="2" t="s">
        <v>344</v>
      </c>
      <c r="G67" s="5" t="s">
        <v>345</v>
      </c>
      <c r="H67" s="2" t="s">
        <v>346</v>
      </c>
      <c r="I67" s="5" t="s">
        <v>177</v>
      </c>
    </row>
    <row r="68" customFormat="false" ht="15" hidden="false" customHeight="false" outlineLevel="0" collapsed="false">
      <c r="A68" s="2" t="n">
        <v>66</v>
      </c>
      <c r="B68" s="5" t="s">
        <v>347</v>
      </c>
      <c r="C68" s="5" t="s">
        <v>342</v>
      </c>
      <c r="D68" s="10" t="s">
        <v>268</v>
      </c>
      <c r="E68" s="2" t="s">
        <v>348</v>
      </c>
      <c r="F68" s="2" t="s">
        <v>131</v>
      </c>
      <c r="G68" s="2" t="s">
        <v>349</v>
      </c>
      <c r="H68" s="5" t="s">
        <v>350</v>
      </c>
      <c r="I68" s="5" t="s">
        <v>37</v>
      </c>
    </row>
    <row r="69" customFormat="false" ht="15" hidden="false" customHeight="false" outlineLevel="0" collapsed="false">
      <c r="A69" s="2" t="n">
        <v>67</v>
      </c>
      <c r="B69" s="2" t="s">
        <v>351</v>
      </c>
      <c r="C69" s="5" t="s">
        <v>342</v>
      </c>
      <c r="D69" s="10" t="s">
        <v>268</v>
      </c>
      <c r="E69" s="2" t="s">
        <v>352</v>
      </c>
      <c r="F69" s="2" t="s">
        <v>353</v>
      </c>
      <c r="G69" s="5" t="s">
        <v>354</v>
      </c>
      <c r="H69" s="2" t="s">
        <v>355</v>
      </c>
      <c r="I69" s="5" t="s">
        <v>37</v>
      </c>
    </row>
    <row r="70" customFormat="false" ht="15" hidden="false" customHeight="false" outlineLevel="0" collapsed="false">
      <c r="A70" s="2" t="n">
        <v>68</v>
      </c>
      <c r="B70" s="5" t="s">
        <v>356</v>
      </c>
      <c r="C70" s="5" t="s">
        <v>357</v>
      </c>
      <c r="D70" s="10" t="s">
        <v>268</v>
      </c>
      <c r="E70" s="2" t="s">
        <v>358</v>
      </c>
      <c r="F70" s="2" t="s">
        <v>359</v>
      </c>
      <c r="G70" s="5" t="s">
        <v>360</v>
      </c>
      <c r="H70" s="2" t="s">
        <v>361</v>
      </c>
      <c r="I70" s="5" t="s">
        <v>323</v>
      </c>
    </row>
    <row r="71" customFormat="false" ht="15" hidden="false" customHeight="false" outlineLevel="0" collapsed="false">
      <c r="A71" s="2" t="n">
        <v>69</v>
      </c>
      <c r="B71" s="5" t="s">
        <v>362</v>
      </c>
      <c r="C71" s="5" t="s">
        <v>342</v>
      </c>
      <c r="D71" s="10" t="s">
        <v>268</v>
      </c>
      <c r="E71" s="2" t="s">
        <v>363</v>
      </c>
      <c r="F71" s="2" t="s">
        <v>364</v>
      </c>
      <c r="G71" s="5" t="s">
        <v>365</v>
      </c>
      <c r="H71" s="2" t="s">
        <v>366</v>
      </c>
      <c r="I71" s="5" t="s">
        <v>323</v>
      </c>
    </row>
    <row r="72" customFormat="false" ht="15" hidden="false" customHeight="false" outlineLevel="0" collapsed="false">
      <c r="A72" s="2" t="n">
        <v>70</v>
      </c>
      <c r="B72" s="5" t="s">
        <v>367</v>
      </c>
      <c r="C72" s="5" t="s">
        <v>368</v>
      </c>
      <c r="D72" s="10" t="s">
        <v>268</v>
      </c>
      <c r="E72" s="2" t="s">
        <v>369</v>
      </c>
      <c r="F72" s="2" t="s">
        <v>69</v>
      </c>
      <c r="G72" s="5" t="s">
        <v>370</v>
      </c>
      <c r="H72" s="5" t="s">
        <v>371</v>
      </c>
      <c r="I72" s="5" t="s">
        <v>30</v>
      </c>
    </row>
    <row r="73" customFormat="false" ht="15" hidden="false" customHeight="false" outlineLevel="0" collapsed="false">
      <c r="A73" s="2" t="n">
        <v>71</v>
      </c>
      <c r="B73" s="5" t="s">
        <v>372</v>
      </c>
      <c r="C73" s="5" t="s">
        <v>373</v>
      </c>
      <c r="D73" s="11" t="s">
        <v>374</v>
      </c>
      <c r="E73" s="2" t="s">
        <v>375</v>
      </c>
      <c r="F73" s="2" t="s">
        <v>376</v>
      </c>
      <c r="G73" s="5" t="s">
        <v>377</v>
      </c>
      <c r="H73" s="5" t="s">
        <v>378</v>
      </c>
      <c r="I73" s="2" t="s">
        <v>379</v>
      </c>
    </row>
    <row r="74" customFormat="false" ht="15" hidden="false" customHeight="false" outlineLevel="0" collapsed="false">
      <c r="A74" s="2" t="n">
        <v>72</v>
      </c>
      <c r="B74" s="5" t="s">
        <v>380</v>
      </c>
      <c r="C74" s="5" t="s">
        <v>373</v>
      </c>
      <c r="D74" s="11" t="s">
        <v>374</v>
      </c>
      <c r="E74" s="2" t="s">
        <v>381</v>
      </c>
      <c r="F74" s="2" t="s">
        <v>382</v>
      </c>
      <c r="G74" s="2" t="s">
        <v>383</v>
      </c>
      <c r="H74" s="5" t="s">
        <v>384</v>
      </c>
      <c r="I74" s="2" t="s">
        <v>379</v>
      </c>
    </row>
    <row r="75" customFormat="false" ht="15" hidden="false" customHeight="false" outlineLevel="0" collapsed="false">
      <c r="A75" s="2" t="n">
        <v>73</v>
      </c>
      <c r="B75" s="5" t="s">
        <v>385</v>
      </c>
      <c r="C75" s="5" t="s">
        <v>373</v>
      </c>
      <c r="D75" s="11" t="s">
        <v>374</v>
      </c>
      <c r="E75" s="2" t="s">
        <v>386</v>
      </c>
      <c r="F75" s="5" t="s">
        <v>387</v>
      </c>
      <c r="G75" s="2" t="s">
        <v>388</v>
      </c>
      <c r="H75" s="5" t="s">
        <v>389</v>
      </c>
      <c r="I75" s="2" t="s">
        <v>379</v>
      </c>
    </row>
    <row r="76" customFormat="false" ht="15" hidden="false" customHeight="false" outlineLevel="0" collapsed="false">
      <c r="A76" s="2" t="n">
        <v>74</v>
      </c>
      <c r="B76" s="5" t="s">
        <v>390</v>
      </c>
      <c r="C76" s="5" t="s">
        <v>391</v>
      </c>
      <c r="D76" s="11" t="s">
        <v>374</v>
      </c>
      <c r="E76" s="5" t="s">
        <v>392</v>
      </c>
      <c r="F76" s="5" t="s">
        <v>393</v>
      </c>
      <c r="G76" s="5" t="s">
        <v>394</v>
      </c>
      <c r="H76" s="2" t="s">
        <v>395</v>
      </c>
      <c r="I76" s="5" t="s">
        <v>30</v>
      </c>
    </row>
    <row r="77" customFormat="false" ht="15" hidden="false" customHeight="false" outlineLevel="0" collapsed="false">
      <c r="A77" s="2" t="n">
        <v>75</v>
      </c>
      <c r="B77" s="5" t="s">
        <v>396</v>
      </c>
      <c r="C77" s="5" t="s">
        <v>397</v>
      </c>
      <c r="D77" s="11" t="s">
        <v>374</v>
      </c>
      <c r="E77" s="2" t="s">
        <v>398</v>
      </c>
      <c r="F77" s="5" t="s">
        <v>399</v>
      </c>
      <c r="G77" s="5" t="s">
        <v>400</v>
      </c>
      <c r="H77" s="5" t="s">
        <v>401</v>
      </c>
      <c r="I77" s="5" t="s">
        <v>30</v>
      </c>
    </row>
    <row r="78" customFormat="false" ht="15" hidden="false" customHeight="false" outlineLevel="0" collapsed="false">
      <c r="A78" s="2" t="n">
        <v>76</v>
      </c>
      <c r="B78" s="5" t="s">
        <v>402</v>
      </c>
      <c r="C78" s="5" t="s">
        <v>397</v>
      </c>
      <c r="D78" s="11" t="s">
        <v>374</v>
      </c>
      <c r="E78" s="2" t="s">
        <v>403</v>
      </c>
      <c r="F78" s="5" t="s">
        <v>404</v>
      </c>
      <c r="G78" s="5" t="s">
        <v>405</v>
      </c>
      <c r="H78" s="5" t="s">
        <v>406</v>
      </c>
      <c r="I78" s="5" t="s">
        <v>30</v>
      </c>
    </row>
    <row r="79" customFormat="false" ht="15" hidden="false" customHeight="false" outlineLevel="0" collapsed="false">
      <c r="A79" s="2" t="n">
        <v>77</v>
      </c>
      <c r="B79" s="5" t="s">
        <v>407</v>
      </c>
      <c r="C79" s="5" t="s">
        <v>408</v>
      </c>
      <c r="D79" s="11" t="s">
        <v>374</v>
      </c>
      <c r="E79" s="2" t="s">
        <v>409</v>
      </c>
      <c r="F79" s="5" t="s">
        <v>410</v>
      </c>
      <c r="G79" s="5" t="s">
        <v>411</v>
      </c>
      <c r="H79" s="5" t="s">
        <v>412</v>
      </c>
      <c r="I79" s="5" t="s">
        <v>30</v>
      </c>
    </row>
    <row r="80" customFormat="false" ht="15" hidden="false" customHeight="false" outlineLevel="0" collapsed="false">
      <c r="A80" s="2" t="n">
        <v>78</v>
      </c>
      <c r="B80" s="5" t="s">
        <v>413</v>
      </c>
      <c r="C80" s="5" t="s">
        <v>414</v>
      </c>
      <c r="D80" s="11" t="s">
        <v>374</v>
      </c>
      <c r="E80" s="5" t="s">
        <v>415</v>
      </c>
      <c r="F80" s="5" t="s">
        <v>416</v>
      </c>
      <c r="G80" s="5" t="s">
        <v>417</v>
      </c>
      <c r="H80" s="5" t="s">
        <v>418</v>
      </c>
      <c r="I80" s="2" t="s">
        <v>419</v>
      </c>
    </row>
    <row r="81" customFormat="false" ht="15" hidden="false" customHeight="false" outlineLevel="0" collapsed="false">
      <c r="A81" s="2" t="n">
        <v>79</v>
      </c>
      <c r="B81" s="5" t="s">
        <v>420</v>
      </c>
      <c r="C81" s="5" t="s">
        <v>421</v>
      </c>
      <c r="D81" s="11" t="s">
        <v>374</v>
      </c>
      <c r="E81" s="2" t="s">
        <v>422</v>
      </c>
      <c r="F81" s="5" t="s">
        <v>423</v>
      </c>
      <c r="G81" s="2" t="s">
        <v>424</v>
      </c>
      <c r="H81" s="5" t="s">
        <v>425</v>
      </c>
      <c r="I81" s="5" t="s">
        <v>30</v>
      </c>
    </row>
    <row r="82" customFormat="false" ht="15" hidden="false" customHeight="false" outlineLevel="0" collapsed="false">
      <c r="A82" s="2" t="n">
        <v>80</v>
      </c>
      <c r="B82" s="5" t="s">
        <v>426</v>
      </c>
      <c r="C82" s="5" t="s">
        <v>427</v>
      </c>
      <c r="D82" s="11" t="s">
        <v>374</v>
      </c>
      <c r="E82" s="2" t="s">
        <v>428</v>
      </c>
      <c r="F82" s="5" t="s">
        <v>429</v>
      </c>
      <c r="G82" s="2" t="s">
        <v>430</v>
      </c>
      <c r="H82" s="5" t="s">
        <v>431</v>
      </c>
      <c r="I82" s="5" t="s">
        <v>432</v>
      </c>
    </row>
    <row r="83" customFormat="false" ht="15" hidden="false" customHeight="false" outlineLevel="0" collapsed="false">
      <c r="A83" s="2" t="n">
        <v>81</v>
      </c>
      <c r="B83" s="5" t="s">
        <v>433</v>
      </c>
      <c r="C83" s="5" t="s">
        <v>434</v>
      </c>
      <c r="D83" s="11" t="s">
        <v>374</v>
      </c>
      <c r="E83" s="2" t="s">
        <v>435</v>
      </c>
      <c r="F83" s="2" t="s">
        <v>270</v>
      </c>
      <c r="G83" s="2" t="s">
        <v>436</v>
      </c>
      <c r="H83" s="2" t="s">
        <v>437</v>
      </c>
      <c r="I83" s="5" t="s">
        <v>37</v>
      </c>
    </row>
    <row r="84" customFormat="false" ht="15" hidden="false" customHeight="false" outlineLevel="0" collapsed="false">
      <c r="A84" s="2" t="n">
        <v>82</v>
      </c>
      <c r="B84" s="5" t="s">
        <v>438</v>
      </c>
      <c r="C84" s="5" t="s">
        <v>439</v>
      </c>
      <c r="D84" s="11" t="s">
        <v>374</v>
      </c>
      <c r="E84" s="2" t="s">
        <v>440</v>
      </c>
      <c r="F84" s="2" t="s">
        <v>441</v>
      </c>
      <c r="G84" s="5" t="s">
        <v>442</v>
      </c>
      <c r="H84" s="2" t="s">
        <v>443</v>
      </c>
      <c r="I84" s="5" t="s">
        <v>177</v>
      </c>
    </row>
    <row r="85" customFormat="false" ht="15" hidden="false" customHeight="false" outlineLevel="0" collapsed="false">
      <c r="A85" s="2" t="n">
        <v>83</v>
      </c>
      <c r="B85" s="5" t="s">
        <v>444</v>
      </c>
      <c r="C85" s="5" t="s">
        <v>427</v>
      </c>
      <c r="D85" s="11" t="s">
        <v>374</v>
      </c>
      <c r="E85" s="2" t="s">
        <v>445</v>
      </c>
      <c r="F85" s="5" t="s">
        <v>446</v>
      </c>
      <c r="G85" s="5" t="s">
        <v>447</v>
      </c>
      <c r="H85" s="2" t="s">
        <v>448</v>
      </c>
      <c r="I85" s="5" t="s">
        <v>449</v>
      </c>
    </row>
    <row r="86" customFormat="false" ht="15" hidden="false" customHeight="false" outlineLevel="0" collapsed="false">
      <c r="A86" s="2" t="n">
        <v>84</v>
      </c>
      <c r="B86" s="5" t="s">
        <v>450</v>
      </c>
      <c r="C86" s="5" t="s">
        <v>451</v>
      </c>
      <c r="D86" s="11" t="s">
        <v>374</v>
      </c>
      <c r="E86" s="5" t="s">
        <v>452</v>
      </c>
      <c r="F86" s="2" t="s">
        <v>453</v>
      </c>
      <c r="G86" s="2" t="s">
        <v>454</v>
      </c>
      <c r="H86" s="5" t="s">
        <v>455</v>
      </c>
      <c r="I86" s="5" t="s">
        <v>37</v>
      </c>
    </row>
    <row r="87" customFormat="false" ht="15" hidden="false" customHeight="false" outlineLevel="0" collapsed="false">
      <c r="A87" s="2" t="n">
        <v>85</v>
      </c>
      <c r="B87" s="5" t="s">
        <v>456</v>
      </c>
      <c r="C87" s="5" t="s">
        <v>457</v>
      </c>
      <c r="D87" s="11" t="s">
        <v>374</v>
      </c>
      <c r="E87" s="5" t="s">
        <v>458</v>
      </c>
      <c r="F87" s="2" t="s">
        <v>459</v>
      </c>
      <c r="G87" s="5" t="s">
        <v>460</v>
      </c>
      <c r="H87" s="2" t="s">
        <v>461</v>
      </c>
      <c r="I87" s="5" t="s">
        <v>30</v>
      </c>
    </row>
    <row r="88" customFormat="false" ht="15" hidden="false" customHeight="false" outlineLevel="0" collapsed="false">
      <c r="A88" s="2" t="n">
        <v>86</v>
      </c>
      <c r="B88" s="2" t="s">
        <v>462</v>
      </c>
      <c r="C88" s="5" t="s">
        <v>463</v>
      </c>
      <c r="D88" s="12" t="s">
        <v>464</v>
      </c>
      <c r="E88" s="2" t="s">
        <v>465</v>
      </c>
      <c r="F88" s="2" t="s">
        <v>466</v>
      </c>
      <c r="G88" s="2" t="s">
        <v>467</v>
      </c>
      <c r="H88" s="5" t="s">
        <v>468</v>
      </c>
      <c r="I88" s="5" t="s">
        <v>30</v>
      </c>
    </row>
    <row r="89" customFormat="false" ht="15" hidden="false" customHeight="false" outlineLevel="0" collapsed="false">
      <c r="A89" s="2" t="n">
        <v>87</v>
      </c>
      <c r="B89" s="5" t="s">
        <v>469</v>
      </c>
      <c r="C89" s="5" t="s">
        <v>463</v>
      </c>
      <c r="D89" s="12" t="s">
        <v>464</v>
      </c>
      <c r="E89" s="2" t="s">
        <v>470</v>
      </c>
      <c r="F89" s="2" t="s">
        <v>471</v>
      </c>
      <c r="G89" s="5" t="s">
        <v>472</v>
      </c>
      <c r="H89" s="5" t="s">
        <v>473</v>
      </c>
      <c r="I89" s="5" t="s">
        <v>30</v>
      </c>
    </row>
    <row r="90" customFormat="false" ht="15" hidden="false" customHeight="false" outlineLevel="0" collapsed="false">
      <c r="A90" s="2" t="n">
        <v>88</v>
      </c>
      <c r="B90" s="2" t="s">
        <v>474</v>
      </c>
      <c r="C90" s="5" t="s">
        <v>451</v>
      </c>
      <c r="D90" s="12" t="s">
        <v>464</v>
      </c>
      <c r="E90" s="2" t="s">
        <v>475</v>
      </c>
      <c r="F90" s="2" t="s">
        <v>476</v>
      </c>
      <c r="G90" s="2" t="s">
        <v>477</v>
      </c>
      <c r="H90" s="5" t="s">
        <v>468</v>
      </c>
      <c r="I90" s="5" t="s">
        <v>257</v>
      </c>
    </row>
    <row r="91" customFormat="false" ht="15" hidden="false" customHeight="false" outlineLevel="0" collapsed="false">
      <c r="A91" s="2" t="n">
        <v>89</v>
      </c>
      <c r="B91" s="2" t="s">
        <v>478</v>
      </c>
      <c r="C91" s="5" t="s">
        <v>451</v>
      </c>
      <c r="D91" s="12" t="s">
        <v>464</v>
      </c>
      <c r="E91" s="2" t="s">
        <v>479</v>
      </c>
      <c r="F91" s="2" t="s">
        <v>480</v>
      </c>
      <c r="G91" s="5" t="s">
        <v>481</v>
      </c>
      <c r="H91" s="5" t="s">
        <v>482</v>
      </c>
      <c r="I91" s="5" t="s">
        <v>30</v>
      </c>
    </row>
    <row r="92" customFormat="false" ht="15" hidden="false" customHeight="false" outlineLevel="0" collapsed="false">
      <c r="A92" s="2" t="n">
        <v>90</v>
      </c>
      <c r="B92" s="2" t="s">
        <v>483</v>
      </c>
      <c r="C92" s="5" t="s">
        <v>451</v>
      </c>
      <c r="D92" s="12" t="s">
        <v>464</v>
      </c>
      <c r="E92" s="5" t="s">
        <v>484</v>
      </c>
      <c r="F92" s="2" t="s">
        <v>485</v>
      </c>
      <c r="G92" s="5" t="s">
        <v>486</v>
      </c>
      <c r="H92" s="5" t="s">
        <v>487</v>
      </c>
      <c r="I92" s="5" t="s">
        <v>30</v>
      </c>
    </row>
    <row r="93" customFormat="false" ht="15" hidden="false" customHeight="false" outlineLevel="0" collapsed="false">
      <c r="A93" s="2" t="n">
        <v>91</v>
      </c>
      <c r="B93" s="5" t="s">
        <v>488</v>
      </c>
      <c r="C93" s="5" t="s">
        <v>489</v>
      </c>
      <c r="D93" s="12" t="s">
        <v>464</v>
      </c>
      <c r="E93" s="5" t="s">
        <v>490</v>
      </c>
      <c r="F93" s="2" t="s">
        <v>491</v>
      </c>
      <c r="G93" s="5" t="s">
        <v>492</v>
      </c>
      <c r="H93" s="2" t="s">
        <v>493</v>
      </c>
      <c r="I93" s="5" t="s">
        <v>37</v>
      </c>
    </row>
    <row r="94" customFormat="false" ht="15" hidden="false" customHeight="false" outlineLevel="0" collapsed="false">
      <c r="A94" s="2" t="n">
        <v>92</v>
      </c>
      <c r="B94" s="5" t="s">
        <v>494</v>
      </c>
      <c r="C94" s="5" t="s">
        <v>495</v>
      </c>
      <c r="D94" s="12" t="s">
        <v>464</v>
      </c>
      <c r="E94" s="2" t="s">
        <v>496</v>
      </c>
      <c r="F94" s="2" t="s">
        <v>497</v>
      </c>
      <c r="G94" s="5" t="s">
        <v>498</v>
      </c>
      <c r="H94" s="5" t="s">
        <v>499</v>
      </c>
      <c r="I94" s="5" t="s">
        <v>30</v>
      </c>
    </row>
    <row r="95" customFormat="false" ht="15" hidden="false" customHeight="false" outlineLevel="0" collapsed="false">
      <c r="A95" s="2" t="n">
        <v>93</v>
      </c>
      <c r="B95" s="5" t="s">
        <v>500</v>
      </c>
      <c r="C95" s="5" t="s">
        <v>501</v>
      </c>
      <c r="D95" s="12" t="s">
        <v>464</v>
      </c>
      <c r="E95" s="2" t="s">
        <v>502</v>
      </c>
      <c r="F95" s="5" t="s">
        <v>503</v>
      </c>
      <c r="G95" s="2" t="s">
        <v>504</v>
      </c>
      <c r="H95" s="5" t="s">
        <v>505</v>
      </c>
      <c r="I95" s="5" t="s">
        <v>257</v>
      </c>
    </row>
    <row r="96" customFormat="false" ht="15" hidden="false" customHeight="false" outlineLevel="0" collapsed="false">
      <c r="A96" s="2" t="n">
        <v>94</v>
      </c>
      <c r="B96" s="5" t="s">
        <v>506</v>
      </c>
      <c r="C96" s="5" t="s">
        <v>501</v>
      </c>
      <c r="D96" s="12" t="s">
        <v>464</v>
      </c>
      <c r="E96" s="2" t="s">
        <v>507</v>
      </c>
      <c r="F96" s="5" t="s">
        <v>503</v>
      </c>
      <c r="G96" s="5" t="s">
        <v>508</v>
      </c>
      <c r="H96" s="5" t="s">
        <v>509</v>
      </c>
      <c r="I96" s="5" t="s">
        <v>257</v>
      </c>
    </row>
    <row r="97" customFormat="false" ht="15" hidden="false" customHeight="false" outlineLevel="0" collapsed="false">
      <c r="A97" s="2" t="n">
        <v>95</v>
      </c>
      <c r="B97" s="5" t="s">
        <v>510</v>
      </c>
      <c r="C97" s="5" t="s">
        <v>495</v>
      </c>
      <c r="D97" s="12" t="s">
        <v>464</v>
      </c>
      <c r="E97" s="2" t="s">
        <v>511</v>
      </c>
      <c r="F97" s="5" t="s">
        <v>512</v>
      </c>
      <c r="G97" s="5" t="s">
        <v>513</v>
      </c>
      <c r="H97" s="5" t="s">
        <v>509</v>
      </c>
      <c r="I97" s="5" t="s">
        <v>257</v>
      </c>
    </row>
    <row r="98" customFormat="false" ht="15" hidden="false" customHeight="false" outlineLevel="0" collapsed="false">
      <c r="A98" s="2" t="n">
        <v>96</v>
      </c>
      <c r="B98" s="5" t="s">
        <v>514</v>
      </c>
      <c r="C98" s="5" t="s">
        <v>501</v>
      </c>
      <c r="D98" s="12" t="s">
        <v>464</v>
      </c>
      <c r="E98" s="2" t="s">
        <v>515</v>
      </c>
      <c r="F98" s="2" t="s">
        <v>516</v>
      </c>
      <c r="G98" s="2" t="s">
        <v>517</v>
      </c>
      <c r="H98" s="5" t="s">
        <v>509</v>
      </c>
      <c r="I98" s="5" t="s">
        <v>257</v>
      </c>
    </row>
    <row r="99" customFormat="false" ht="15" hidden="false" customHeight="false" outlineLevel="0" collapsed="false">
      <c r="A99" s="2" t="n">
        <v>97</v>
      </c>
      <c r="B99" s="5" t="s">
        <v>518</v>
      </c>
      <c r="C99" s="5" t="s">
        <v>501</v>
      </c>
      <c r="D99" s="12" t="s">
        <v>464</v>
      </c>
      <c r="E99" s="2" t="s">
        <v>519</v>
      </c>
      <c r="F99" s="5" t="s">
        <v>503</v>
      </c>
      <c r="G99" s="5" t="s">
        <v>520</v>
      </c>
      <c r="H99" s="5" t="s">
        <v>521</v>
      </c>
      <c r="I99" s="5" t="s">
        <v>257</v>
      </c>
    </row>
    <row r="100" customFormat="false" ht="15" hidden="false" customHeight="false" outlineLevel="0" collapsed="false">
      <c r="A100" s="2" t="n">
        <v>98</v>
      </c>
      <c r="B100" s="5" t="s">
        <v>522</v>
      </c>
      <c r="C100" s="5" t="s">
        <v>501</v>
      </c>
      <c r="D100" s="12" t="s">
        <v>464</v>
      </c>
      <c r="E100" s="2" t="s">
        <v>523</v>
      </c>
      <c r="F100" s="5" t="s">
        <v>387</v>
      </c>
      <c r="G100" s="5" t="s">
        <v>524</v>
      </c>
      <c r="H100" s="5" t="s">
        <v>525</v>
      </c>
      <c r="I100" s="5" t="s">
        <v>387</v>
      </c>
    </row>
    <row r="101" customFormat="false" ht="15" hidden="false" customHeight="false" outlineLevel="0" collapsed="false">
      <c r="A101" s="2" t="n">
        <v>99</v>
      </c>
      <c r="B101" s="5" t="s">
        <v>526</v>
      </c>
      <c r="C101" s="5" t="s">
        <v>501</v>
      </c>
      <c r="D101" s="12" t="s">
        <v>464</v>
      </c>
      <c r="E101" s="2" t="s">
        <v>527</v>
      </c>
      <c r="F101" s="5" t="s">
        <v>387</v>
      </c>
      <c r="G101" s="2" t="s">
        <v>528</v>
      </c>
      <c r="H101" s="5" t="s">
        <v>525</v>
      </c>
      <c r="I101" s="5" t="s">
        <v>387</v>
      </c>
    </row>
    <row r="102" customFormat="false" ht="15" hidden="false" customHeight="false" outlineLevel="0" collapsed="false">
      <c r="A102" s="2" t="n">
        <v>100</v>
      </c>
      <c r="B102" s="5" t="s">
        <v>529</v>
      </c>
      <c r="C102" s="5" t="s">
        <v>530</v>
      </c>
      <c r="D102" s="12" t="s">
        <v>464</v>
      </c>
      <c r="E102" s="2" t="s">
        <v>531</v>
      </c>
      <c r="F102" s="5" t="s">
        <v>532</v>
      </c>
      <c r="G102" s="5" t="s">
        <v>533</v>
      </c>
      <c r="H102" s="5" t="s">
        <v>525</v>
      </c>
      <c r="I102" s="5" t="s">
        <v>387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5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3" min="3" style="0" width="9"/>
    <col collapsed="false" customWidth="true" hidden="false" outlineLevel="0" max="7" min="4" style="0" width="10"/>
    <col collapsed="false" customWidth="true" hidden="false" outlineLevel="0" max="9" min="8" style="0" width="9"/>
    <col collapsed="false" customWidth="true" hidden="false" outlineLevel="0" max="12" min="10" style="0" width="8"/>
    <col collapsed="false" customWidth="true" hidden="false" outlineLevel="0" max="14" min="13" style="0" width="9"/>
    <col collapsed="false" customWidth="true" hidden="false" outlineLevel="0" max="15" min="15" style="0" width="8"/>
    <col collapsed="false" customWidth="true" hidden="false" outlineLevel="0" max="17" min="16" style="0" width="11"/>
    <col collapsed="false" customWidth="true" hidden="false" outlineLevel="0" max="18" min="18" style="0" width="8"/>
    <col collapsed="false" customWidth="true" hidden="false" outlineLevel="0" max="19" min="19" style="0" width="10"/>
    <col collapsed="false" customWidth="true" hidden="false" outlineLevel="0" max="22" min="20" style="0" width="9"/>
  </cols>
  <sheetData>
    <row r="1" customFormat="false" ht="16.4" hidden="false" customHeight="false" outlineLevel="0" collapsed="false">
      <c r="A1" s="13" t="s">
        <v>534</v>
      </c>
    </row>
    <row r="2" customFormat="false" ht="15" hidden="false" customHeight="false" outlineLevel="0" collapsed="false">
      <c r="A2" s="6" t="s">
        <v>535</v>
      </c>
      <c r="B2" s="14" t="s">
        <v>536</v>
      </c>
      <c r="C2" s="6" t="s">
        <v>537</v>
      </c>
      <c r="D2" s="14" t="s">
        <v>538</v>
      </c>
      <c r="E2" s="14" t="s">
        <v>539</v>
      </c>
      <c r="F2" s="14" t="s">
        <v>540</v>
      </c>
      <c r="G2" s="14" t="s">
        <v>541</v>
      </c>
      <c r="H2" s="14" t="s">
        <v>43</v>
      </c>
      <c r="I2" s="14" t="s">
        <v>542</v>
      </c>
      <c r="J2" s="14" t="s">
        <v>543</v>
      </c>
      <c r="K2" s="6" t="s">
        <v>544</v>
      </c>
      <c r="L2" s="6" t="s">
        <v>545</v>
      </c>
      <c r="M2" s="14" t="s">
        <v>546</v>
      </c>
      <c r="N2" s="14" t="s">
        <v>547</v>
      </c>
      <c r="O2" s="14" t="s">
        <v>548</v>
      </c>
      <c r="P2" s="6" t="s">
        <v>549</v>
      </c>
      <c r="Q2" s="6" t="s">
        <v>550</v>
      </c>
      <c r="R2" s="14" t="s">
        <v>551</v>
      </c>
      <c r="S2" s="14" t="s">
        <v>552</v>
      </c>
      <c r="T2" s="14" t="s">
        <v>553</v>
      </c>
      <c r="U2" s="6" t="s">
        <v>554</v>
      </c>
      <c r="V2" s="14" t="s">
        <v>555</v>
      </c>
    </row>
    <row r="3" customFormat="false" ht="15" hidden="false" customHeight="false" outlineLevel="0" collapsed="false">
      <c r="A3" s="15" t="s">
        <v>131</v>
      </c>
      <c r="B3" s="16" t="s">
        <v>556</v>
      </c>
      <c r="C3" s="15" t="s">
        <v>131</v>
      </c>
      <c r="D3" s="15" t="s">
        <v>557</v>
      </c>
      <c r="E3" s="15" t="s">
        <v>558</v>
      </c>
      <c r="F3" s="15" t="s">
        <v>559</v>
      </c>
      <c r="G3" s="15" t="s">
        <v>559</v>
      </c>
      <c r="H3" s="15" t="s">
        <v>560</v>
      </c>
      <c r="I3" s="15" t="s">
        <v>560</v>
      </c>
      <c r="J3" s="15" t="s">
        <v>560</v>
      </c>
      <c r="K3" s="15" t="s">
        <v>561</v>
      </c>
      <c r="L3" s="15" t="s">
        <v>561</v>
      </c>
      <c r="M3" s="15" t="s">
        <v>561</v>
      </c>
      <c r="N3" s="15" t="s">
        <v>561</v>
      </c>
      <c r="O3" s="15" t="s">
        <v>561</v>
      </c>
      <c r="P3" s="15" t="s">
        <v>562</v>
      </c>
      <c r="Q3" s="15" t="s">
        <v>562</v>
      </c>
      <c r="R3" s="15" t="s">
        <v>563</v>
      </c>
      <c r="S3" s="15" t="s">
        <v>564</v>
      </c>
      <c r="T3" s="15" t="s">
        <v>565</v>
      </c>
      <c r="U3" s="15" t="s">
        <v>566</v>
      </c>
      <c r="V3" s="15" t="s">
        <v>567</v>
      </c>
    </row>
    <row r="4" customFormat="false" ht="15" hidden="false" customHeight="false" outlineLevel="0" collapsed="false">
      <c r="A4" s="17" t="s">
        <v>568</v>
      </c>
      <c r="B4" s="17" t="n">
        <v>4528.36</v>
      </c>
      <c r="C4" s="18"/>
      <c r="R4" s="18"/>
      <c r="T4" s="18"/>
      <c r="U4" s="18"/>
    </row>
    <row r="5" customFormat="false" ht="15" hidden="false" customHeight="false" outlineLevel="0" collapsed="false">
      <c r="A5" s="17" t="s">
        <v>569</v>
      </c>
      <c r="B5" s="17" t="n">
        <v>4554.71</v>
      </c>
      <c r="C5" s="19" t="n">
        <f aca="false">B5/B4-1</f>
        <v>0.00581888365765981</v>
      </c>
      <c r="K5" s="17" t="n">
        <f aca="false">MAX(B5-B4,0)</f>
        <v>26.3500000000004</v>
      </c>
      <c r="L5" s="17" t="n">
        <f aca="false">MAX(B4-B5,0)</f>
        <v>0</v>
      </c>
      <c r="R5" s="18"/>
      <c r="T5" s="18"/>
      <c r="U5" s="18"/>
    </row>
    <row r="6" customFormat="false" ht="15" hidden="false" customHeight="false" outlineLevel="0" collapsed="false">
      <c r="A6" s="17" t="s">
        <v>570</v>
      </c>
      <c r="B6" s="17" t="n">
        <v>4577.61</v>
      </c>
      <c r="C6" s="19" t="n">
        <f aca="false">B6/B5-1</f>
        <v>0.00502776247005832</v>
      </c>
      <c r="K6" s="17" t="n">
        <f aca="false">MAX(B6-B5,0)</f>
        <v>22.8999999999996</v>
      </c>
      <c r="L6" s="17" t="n">
        <f aca="false">MAX(B5-B6,0)</f>
        <v>0</v>
      </c>
      <c r="R6" s="18"/>
      <c r="T6" s="18"/>
      <c r="U6" s="18"/>
    </row>
    <row r="7" customFormat="false" ht="15" hidden="false" customHeight="false" outlineLevel="0" collapsed="false">
      <c r="A7" s="17" t="s">
        <v>571</v>
      </c>
      <c r="B7" s="17" t="n">
        <v>4565.77</v>
      </c>
      <c r="C7" s="19" t="n">
        <f aca="false">B7/B6-1</f>
        <v>-0.00258650256356463</v>
      </c>
      <c r="K7" s="17" t="n">
        <f aca="false">MAX(B7-B6,0)</f>
        <v>0</v>
      </c>
      <c r="L7" s="17" t="n">
        <f aca="false">MAX(B6-B7,0)</f>
        <v>11.8399999999992</v>
      </c>
      <c r="R7" s="18"/>
      <c r="T7" s="18"/>
      <c r="U7" s="18"/>
    </row>
    <row r="8" customFormat="false" ht="15" hidden="false" customHeight="false" outlineLevel="0" collapsed="false">
      <c r="A8" s="17" t="s">
        <v>572</v>
      </c>
      <c r="B8" s="17" t="n">
        <v>4596.49</v>
      </c>
      <c r="C8" s="19" t="n">
        <f aca="false">B8/B7-1</f>
        <v>0.00672832840900872</v>
      </c>
      <c r="K8" s="17" t="n">
        <f aca="false">MAX(B8-B7,0)</f>
        <v>30.7199999999993</v>
      </c>
      <c r="L8" s="17" t="n">
        <f aca="false">MAX(B7-B8,0)</f>
        <v>0</v>
      </c>
      <c r="R8" s="18"/>
      <c r="T8" s="18"/>
      <c r="U8" s="18"/>
    </row>
    <row r="9" customFormat="false" ht="15" hidden="false" customHeight="false" outlineLevel="0" collapsed="false">
      <c r="A9" s="17" t="s">
        <v>573</v>
      </c>
      <c r="B9" s="17" t="n">
        <v>4589.83</v>
      </c>
      <c r="C9" s="19" t="n">
        <f aca="false">B9/B8-1</f>
        <v>-0.00144893168482907</v>
      </c>
      <c r="K9" s="17" t="n">
        <f aca="false">MAX(B9-B8,0)</f>
        <v>0</v>
      </c>
      <c r="L9" s="17" t="n">
        <f aca="false">MAX(B8-B9,0)</f>
        <v>6.65999999999985</v>
      </c>
      <c r="R9" s="18"/>
      <c r="T9" s="18"/>
      <c r="U9" s="18"/>
    </row>
    <row r="10" customFormat="false" ht="15" hidden="false" customHeight="false" outlineLevel="0" collapsed="false">
      <c r="A10" s="17" t="s">
        <v>574</v>
      </c>
      <c r="B10" s="17" t="n">
        <v>4619.68</v>
      </c>
      <c r="C10" s="19" t="n">
        <f aca="false">B10/B9-1</f>
        <v>0.0065035088445542</v>
      </c>
      <c r="K10" s="17" t="n">
        <f aca="false">MAX(B10-B9,0)</f>
        <v>29.8500000000004</v>
      </c>
      <c r="L10" s="17" t="n">
        <f aca="false">MAX(B9-B10,0)</f>
        <v>0</v>
      </c>
      <c r="R10" s="18"/>
      <c r="T10" s="18"/>
      <c r="U10" s="18"/>
    </row>
    <row r="11" customFormat="false" ht="15" hidden="false" customHeight="false" outlineLevel="0" collapsed="false">
      <c r="A11" s="17" t="s">
        <v>575</v>
      </c>
      <c r="B11" s="17" t="n">
        <v>4603.28</v>
      </c>
      <c r="C11" s="19" t="n">
        <f aca="false">B11/B10-1</f>
        <v>-0.00355002943926863</v>
      </c>
      <c r="K11" s="17" t="n">
        <f aca="false">MAX(B11-B10,0)</f>
        <v>0</v>
      </c>
      <c r="L11" s="17" t="n">
        <f aca="false">MAX(B10-B11,0)</f>
        <v>16.4000000000005</v>
      </c>
      <c r="R11" s="18"/>
      <c r="T11" s="18"/>
      <c r="U11" s="18"/>
    </row>
    <row r="12" customFormat="false" ht="15" hidden="false" customHeight="false" outlineLevel="0" collapsed="false">
      <c r="A12" s="17" t="s">
        <v>576</v>
      </c>
      <c r="B12" s="17" t="n">
        <v>4657.2</v>
      </c>
      <c r="C12" s="19" t="n">
        <f aca="false">B12/B11-1</f>
        <v>0.0117133869762431</v>
      </c>
      <c r="K12" s="17" t="n">
        <f aca="false">MAX(B12-B11,0)</f>
        <v>53.9200000000001</v>
      </c>
      <c r="L12" s="17" t="n">
        <f aca="false">MAX(B11-B12,0)</f>
        <v>0</v>
      </c>
      <c r="R12" s="18"/>
      <c r="T12" s="18"/>
      <c r="U12" s="18"/>
    </row>
    <row r="13" customFormat="false" ht="15" hidden="false" customHeight="false" outlineLevel="0" collapsed="false">
      <c r="A13" s="17" t="s">
        <v>577</v>
      </c>
      <c r="B13" s="17" t="n">
        <v>4647.02</v>
      </c>
      <c r="C13" s="19" t="n">
        <f aca="false">B13/B12-1</f>
        <v>-0.0021858627501502</v>
      </c>
      <c r="K13" s="17" t="n">
        <f aca="false">MAX(B13-B12,0)</f>
        <v>0</v>
      </c>
      <c r="L13" s="17" t="n">
        <f aca="false">MAX(B12-B13,0)</f>
        <v>10.1799999999994</v>
      </c>
      <c r="R13" s="18"/>
      <c r="T13" s="18"/>
      <c r="U13" s="18"/>
    </row>
    <row r="14" customFormat="false" ht="15" hidden="false" customHeight="false" outlineLevel="0" collapsed="false">
      <c r="A14" s="17" t="s">
        <v>578</v>
      </c>
      <c r="B14" s="17" t="n">
        <v>4666.07</v>
      </c>
      <c r="C14" s="19" t="n">
        <f aca="false">B14/B13-1</f>
        <v>0.00409940133677056</v>
      </c>
      <c r="K14" s="17" t="n">
        <f aca="false">MAX(B14-B13,0)</f>
        <v>19.0499999999993</v>
      </c>
      <c r="L14" s="17" t="n">
        <f aca="false">MAX(B13-B14,0)</f>
        <v>0</v>
      </c>
      <c r="R14" s="18"/>
      <c r="T14" s="18"/>
      <c r="U14" s="18"/>
    </row>
    <row r="15" customFormat="false" ht="15" hidden="false" customHeight="false" outlineLevel="0" collapsed="false">
      <c r="A15" s="17" t="s">
        <v>579</v>
      </c>
      <c r="B15" s="17" t="n">
        <v>4665.93</v>
      </c>
      <c r="C15" s="19" t="n">
        <f aca="false">B15/B14-1</f>
        <v>-3.00038362046617E-005</v>
      </c>
      <c r="F15" s="17" t="n">
        <f aca="false">AVERAGE(B4:B15)</f>
        <v>4605.99583333333</v>
      </c>
      <c r="K15" s="17" t="n">
        <f aca="false">MAX(B15-B14,0)</f>
        <v>0</v>
      </c>
      <c r="L15" s="17" t="n">
        <f aca="false">MAX(B14-B15,0)</f>
        <v>0.139999999999418</v>
      </c>
      <c r="R15" s="18"/>
      <c r="T15" s="18"/>
      <c r="U15" s="18"/>
    </row>
    <row r="16" customFormat="false" ht="15" hidden="false" customHeight="false" outlineLevel="0" collapsed="false">
      <c r="A16" s="17" t="s">
        <v>580</v>
      </c>
      <c r="B16" s="17" t="n">
        <v>4672.11</v>
      </c>
      <c r="C16" s="19" t="n">
        <f aca="false">B16/B15-1</f>
        <v>0.00132449479524976</v>
      </c>
      <c r="F16" s="17" t="n">
        <f aca="false">B16*2/13+F15*11/13</f>
        <v>4616.16724358974</v>
      </c>
      <c r="K16" s="17" t="n">
        <f aca="false">MAX(B16-B15,0)</f>
        <v>6.17999999999938</v>
      </c>
      <c r="L16" s="17" t="n">
        <f aca="false">MAX(B15-B16,0)</f>
        <v>0</v>
      </c>
      <c r="R16" s="18"/>
      <c r="T16" s="18"/>
      <c r="U16" s="18"/>
    </row>
    <row r="17" customFormat="false" ht="15" hidden="false" customHeight="false" outlineLevel="0" collapsed="false">
      <c r="A17" s="17" t="s">
        <v>581</v>
      </c>
      <c r="B17" s="17" t="n">
        <v>4702.88</v>
      </c>
      <c r="C17" s="19" t="n">
        <f aca="false">B17/B16-1</f>
        <v>0.00658588945893834</v>
      </c>
      <c r="F17" s="17" t="n">
        <f aca="false">B17*2/13+F16*11/13</f>
        <v>4629.50766765286</v>
      </c>
      <c r="K17" s="17" t="n">
        <f aca="false">MAX(B17-B16,0)</f>
        <v>30.7700000000004</v>
      </c>
      <c r="L17" s="17" t="n">
        <f aca="false">MAX(B16-B17,0)</f>
        <v>0</v>
      </c>
      <c r="R17" s="18"/>
      <c r="T17" s="18"/>
      <c r="U17" s="18"/>
    </row>
    <row r="18" customFormat="false" ht="15" hidden="false" customHeight="false" outlineLevel="0" collapsed="false">
      <c r="A18" s="17" t="s">
        <v>582</v>
      </c>
      <c r="B18" s="17" t="n">
        <v>4721.41</v>
      </c>
      <c r="C18" s="19" t="n">
        <f aca="false">B18/B17-1</f>
        <v>0.00394013880855981</v>
      </c>
      <c r="F18" s="17" t="n">
        <f aca="false">B18*2/13+F17*11/13</f>
        <v>4643.64648801396</v>
      </c>
      <c r="K18" s="17" t="n">
        <f aca="false">MAX(B18-B17,0)</f>
        <v>18.5299999999997</v>
      </c>
      <c r="L18" s="17" t="n">
        <f aca="false">MAX(B17-B18,0)</f>
        <v>0</v>
      </c>
      <c r="M18" s="17" t="n">
        <f aca="false">AVERAGE(K5:K18)</f>
        <v>17.0192857142856</v>
      </c>
      <c r="N18" s="17" t="n">
        <f aca="false">AVERAGE(L5:L18)</f>
        <v>3.22999999999989</v>
      </c>
      <c r="O18" s="17" t="n">
        <f aca="false">IF(N18=0,100,100-100/(1+M18/N18))</f>
        <v>84.0488200642002</v>
      </c>
      <c r="R18" s="18"/>
      <c r="T18" s="18"/>
      <c r="U18" s="18"/>
    </row>
    <row r="19" customFormat="false" ht="15" hidden="false" customHeight="false" outlineLevel="0" collapsed="false">
      <c r="A19" s="17" t="s">
        <v>583</v>
      </c>
      <c r="B19" s="17" t="n">
        <v>4730.23</v>
      </c>
      <c r="C19" s="19" t="n">
        <f aca="false">B19/B18-1</f>
        <v>0.0018680860166771</v>
      </c>
      <c r="F19" s="17" t="n">
        <f aca="false">B19*2/13+F18*11/13</f>
        <v>4656.9670283195</v>
      </c>
      <c r="K19" s="17" t="n">
        <f aca="false">MAX(B19-B18,0)</f>
        <v>8.81999999999971</v>
      </c>
      <c r="L19" s="17" t="n">
        <f aca="false">MAX(B18-B19,0)</f>
        <v>0</v>
      </c>
      <c r="M19" s="17" t="n">
        <f aca="false">(M18*13+K19)/14</f>
        <v>16.4336224489795</v>
      </c>
      <c r="N19" s="17" t="n">
        <f aca="false">(N18*13+L19)/14</f>
        <v>2.99928571428561</v>
      </c>
      <c r="O19" s="17" t="n">
        <f aca="false">IF(N19=0,100,100-100/(1+M19/N19))</f>
        <v>84.5659451015402</v>
      </c>
      <c r="R19" s="18"/>
      <c r="T19" s="18"/>
      <c r="U19" s="18"/>
    </row>
    <row r="20" customFormat="false" ht="15" hidden="false" customHeight="false" outlineLevel="0" collapsed="false">
      <c r="A20" s="17" t="s">
        <v>584</v>
      </c>
      <c r="B20" s="17" t="n">
        <v>4756.04</v>
      </c>
      <c r="C20" s="19" t="n">
        <f aca="false">B20/B19-1</f>
        <v>0.00545639429795175</v>
      </c>
      <c r="F20" s="17" t="n">
        <f aca="false">B20*2/13+F19*11/13</f>
        <v>4672.20902396266</v>
      </c>
      <c r="K20" s="17" t="n">
        <f aca="false">MAX(B20-B19,0)</f>
        <v>25.8100000000004</v>
      </c>
      <c r="L20" s="17" t="n">
        <f aca="false">MAX(B19-B20,0)</f>
        <v>0</v>
      </c>
      <c r="M20" s="17" t="n">
        <f aca="false">(M19*13+K20)/14</f>
        <v>17.1033637026238</v>
      </c>
      <c r="N20" s="17" t="n">
        <f aca="false">(N19*13+L20)/14</f>
        <v>2.78505102040807</v>
      </c>
      <c r="O20" s="17" t="n">
        <f aca="false">IF(N20=0,100,100-100/(1+M20/N20))</f>
        <v>85.9966163256701</v>
      </c>
      <c r="R20" s="18"/>
      <c r="T20" s="18"/>
      <c r="U20" s="18"/>
    </row>
    <row r="21" customFormat="false" ht="15" hidden="false" customHeight="false" outlineLevel="0" collapsed="false">
      <c r="A21" s="17" t="s">
        <v>585</v>
      </c>
      <c r="B21" s="17" t="n">
        <v>4719.21</v>
      </c>
      <c r="C21" s="19" t="n">
        <f aca="false">B21/B20-1</f>
        <v>-0.00774383731003103</v>
      </c>
      <c r="F21" s="17" t="n">
        <f aca="false">B21*2/13+F20*11/13</f>
        <v>4679.43994335302</v>
      </c>
      <c r="K21" s="17" t="n">
        <f aca="false">MAX(B21-B20,0)</f>
        <v>0</v>
      </c>
      <c r="L21" s="17" t="n">
        <f aca="false">MAX(B20-B21,0)</f>
        <v>36.8299999999999</v>
      </c>
      <c r="M21" s="17" t="n">
        <f aca="false">(M20*13+K21)/14</f>
        <v>15.8816948667221</v>
      </c>
      <c r="N21" s="17" t="n">
        <f aca="false">(N20*13+L21)/14</f>
        <v>5.21683309037891</v>
      </c>
      <c r="O21" s="17" t="n">
        <f aca="false">IF(N21=0,100,100-100/(1+M21/N21))</f>
        <v>75.2739475427569</v>
      </c>
      <c r="R21" s="18"/>
      <c r="T21" s="18"/>
      <c r="U21" s="18"/>
    </row>
    <row r="22" customFormat="false" ht="15" hidden="false" customHeight="false" outlineLevel="0" collapsed="false">
      <c r="A22" s="17" t="s">
        <v>586</v>
      </c>
      <c r="B22" s="17" t="n">
        <v>4734.33</v>
      </c>
      <c r="C22" s="19" t="n">
        <f aca="false">B22/B21-1</f>
        <v>0.0032039260808483</v>
      </c>
      <c r="F22" s="17" t="n">
        <f aca="false">B22*2/13+F21*11/13</f>
        <v>4687.88456745255</v>
      </c>
      <c r="K22" s="17" t="n">
        <f aca="false">MAX(B22-B21,0)</f>
        <v>15.1199999999999</v>
      </c>
      <c r="L22" s="17" t="n">
        <f aca="false">MAX(B21-B22,0)</f>
        <v>0</v>
      </c>
      <c r="M22" s="17" t="n">
        <f aca="false">(M21*13+K22)/14</f>
        <v>15.8272880905277</v>
      </c>
      <c r="N22" s="17" t="n">
        <f aca="false">(N21*13+L22)/14</f>
        <v>4.84420215535185</v>
      </c>
      <c r="O22" s="17" t="n">
        <f aca="false">IF(N22=0,100,100-100/(1+M22/N22))</f>
        <v>76.5657816745097</v>
      </c>
      <c r="R22" s="18"/>
      <c r="T22" s="18"/>
      <c r="U22" s="18"/>
    </row>
    <row r="23" customFormat="false" ht="15" hidden="false" customHeight="false" outlineLevel="0" collapsed="false">
      <c r="A23" s="17" t="s">
        <v>587</v>
      </c>
      <c r="B23" s="17" t="n">
        <v>4743.81</v>
      </c>
      <c r="C23" s="19" t="n">
        <f aca="false">B23/B22-1</f>
        <v>0.00200239527029167</v>
      </c>
      <c r="F23" s="17" t="n">
        <f aca="false">B23*2/13+F22*11/13</f>
        <v>4696.48848015216</v>
      </c>
      <c r="K23" s="17" t="n">
        <f aca="false">MAX(B23-B22,0)</f>
        <v>9.48000000000047</v>
      </c>
      <c r="L23" s="17" t="n">
        <f aca="false">MAX(B22-B23,0)</f>
        <v>0</v>
      </c>
      <c r="M23" s="17" t="n">
        <f aca="false">(M22*13+K23)/14</f>
        <v>15.3739103697757</v>
      </c>
      <c r="N23" s="17" t="n">
        <f aca="false">(N22*13+L23)/14</f>
        <v>4.49818771568386</v>
      </c>
      <c r="O23" s="17" t="n">
        <f aca="false">IF(N23=0,100,100-100/(1+M23/N23))</f>
        <v>77.3643039786766</v>
      </c>
      <c r="P23" s="17" t="n">
        <f aca="false">AVERAGE(B4:B23)+2*STDEV(B4:B23)</f>
        <v>4792.52534769663</v>
      </c>
      <c r="Q23" s="17" t="n">
        <f aca="false">AVERAGE(B4:B23)-2*STDEV(B4:B23)</f>
        <v>4512.67165230337</v>
      </c>
      <c r="R23" s="18"/>
      <c r="S23" s="17" t="n">
        <f aca="false">STDEV(C4:C23)*SQRT(252)*100</f>
        <v>7.29499853110085</v>
      </c>
      <c r="T23" s="18"/>
      <c r="U23" s="18"/>
      <c r="V23" s="17" t="n">
        <f aca="false">(B23-AVERAGE(B4:B23))/STDEV(B4:B23)</f>
        <v>1.30370263464739</v>
      </c>
    </row>
    <row r="24" customFormat="false" ht="15" hidden="false" customHeight="false" outlineLevel="0" collapsed="false">
      <c r="A24" s="17" t="s">
        <v>588</v>
      </c>
      <c r="B24" s="17" t="n">
        <v>4791.21</v>
      </c>
      <c r="C24" s="19" t="n">
        <f aca="false">B24/B23-1</f>
        <v>0.00999196848103101</v>
      </c>
      <c r="F24" s="17" t="n">
        <f aca="false">B24*2/13+F23*11/13</f>
        <v>4711.06102166721</v>
      </c>
      <c r="K24" s="17" t="n">
        <f aca="false">MAX(B24-B23,0)</f>
        <v>47.3999999999996</v>
      </c>
      <c r="L24" s="17" t="n">
        <f aca="false">MAX(B23-B24,0)</f>
        <v>0</v>
      </c>
      <c r="M24" s="17" t="n">
        <f aca="false">(M23*13+K24)/14</f>
        <v>17.661488200506</v>
      </c>
      <c r="N24" s="17" t="n">
        <f aca="false">(N23*13+L24)/14</f>
        <v>4.17688859313501</v>
      </c>
      <c r="O24" s="17" t="n">
        <f aca="false">IF(N24=0,100,100-100/(1+M24/N24))</f>
        <v>80.8736307070622</v>
      </c>
      <c r="P24" s="17" t="n">
        <f aca="false">AVERAGE(B5:B24)+2*STDEV(B5:B24)</f>
        <v>4805.91094931342</v>
      </c>
      <c r="Q24" s="17" t="n">
        <f aca="false">AVERAGE(B5:B24)-2*STDEV(B5:B24)</f>
        <v>4525.57105068658</v>
      </c>
      <c r="R24" s="19" t="n">
        <f aca="false">B24/B4-1</f>
        <v>0.0580452967520251</v>
      </c>
      <c r="S24" s="17" t="n">
        <f aca="false">STDEV(C5:C24)*SQRT(252)*100</f>
        <v>7.58718747153967</v>
      </c>
      <c r="T24" s="18"/>
      <c r="U24" s="18"/>
      <c r="V24" s="17" t="n">
        <f aca="false">(B24-AVERAGE(B5:B24))/STDEV(B5:B24)</f>
        <v>1.79024106970964</v>
      </c>
    </row>
    <row r="25" customFormat="false" ht="15" hidden="false" customHeight="false" outlineLevel="0" collapsed="false">
      <c r="A25" s="17" t="s">
        <v>589</v>
      </c>
      <c r="B25" s="17" t="n">
        <v>4784.74</v>
      </c>
      <c r="C25" s="19" t="n">
        <f aca="false">B25/B24-1</f>
        <v>-0.00135038956756228</v>
      </c>
      <c r="F25" s="17" t="n">
        <f aca="false">B25*2/13+F24*11/13</f>
        <v>4722.39624910303</v>
      </c>
      <c r="K25" s="17" t="n">
        <f aca="false">MAX(B25-B24,0)</f>
        <v>0</v>
      </c>
      <c r="L25" s="17" t="n">
        <f aca="false">MAX(B24-B25,0)</f>
        <v>6.47000000000026</v>
      </c>
      <c r="M25" s="17" t="n">
        <f aca="false">(M24*13+K25)/14</f>
        <v>16.3999533290413</v>
      </c>
      <c r="N25" s="17" t="n">
        <f aca="false">(N24*13+L25)/14</f>
        <v>4.34068226505396</v>
      </c>
      <c r="O25" s="17" t="n">
        <f aca="false">IF(N25=0,100,100-100/(1+M25/N25))</f>
        <v>79.0716044098006</v>
      </c>
      <c r="P25" s="17" t="n">
        <f aca="false">AVERAGE(B6:B25)+2*STDEV(B6:B25)</f>
        <v>4816.80071933591</v>
      </c>
      <c r="Q25" s="17" t="n">
        <f aca="false">AVERAGE(B6:B25)-2*STDEV(B6:B25)</f>
        <v>4537.68428066409</v>
      </c>
      <c r="R25" s="19" t="n">
        <f aca="false">B25/B5-1</f>
        <v>0.0505037642352642</v>
      </c>
      <c r="S25" s="17" t="n">
        <f aca="false">STDEV(C6:C25)*SQRT(252)*100</f>
        <v>7.63995310572175</v>
      </c>
      <c r="T25" s="18"/>
      <c r="U25" s="18"/>
      <c r="V25" s="17" t="n">
        <f aca="false">(B25-AVERAGE(B6:B25))/STDEV(B6:B25)</f>
        <v>1.54053986231017</v>
      </c>
    </row>
    <row r="26" customFormat="false" ht="15" hidden="false" customHeight="false" outlineLevel="0" collapsed="false">
      <c r="A26" s="17" t="s">
        <v>590</v>
      </c>
      <c r="B26" s="17" t="n">
        <v>4795.75</v>
      </c>
      <c r="C26" s="19" t="n">
        <f aca="false">B26/B25-1</f>
        <v>0.00230106547064213</v>
      </c>
      <c r="F26" s="17" t="n">
        <f aca="false">B26*2/13+F25*11/13</f>
        <v>4733.68144154871</v>
      </c>
      <c r="K26" s="17" t="n">
        <f aca="false">MAX(B26-B25,0)</f>
        <v>11.0100000000002</v>
      </c>
      <c r="L26" s="17" t="n">
        <f aca="false">MAX(B25-B26,0)</f>
        <v>0</v>
      </c>
      <c r="M26" s="17" t="n">
        <f aca="false">(M25*13+K26)/14</f>
        <v>16.0149566626812</v>
      </c>
      <c r="N26" s="17" t="n">
        <f aca="false">(N25*13+L26)/14</f>
        <v>4.03063353183582</v>
      </c>
      <c r="O26" s="17" t="n">
        <f aca="false">IF(N26=0,100,100-100/(1+M26/N26))</f>
        <v>79.892667201496</v>
      </c>
      <c r="P26" s="17" t="n">
        <f aca="false">AVERAGE(B7:B26)+2*STDEV(B7:B26)</f>
        <v>4829.01262751634</v>
      </c>
      <c r="Q26" s="17" t="n">
        <f aca="false">AVERAGE(B7:B26)-2*STDEV(B7:B26)</f>
        <v>4547.28637248366</v>
      </c>
      <c r="R26" s="19" t="n">
        <f aca="false">B26/B6-1</f>
        <v>0.0476536882783811</v>
      </c>
      <c r="S26" s="17" t="n">
        <f aca="false">STDEV(C7:C26)*SQRT(252)*100</f>
        <v>7.58030984133901</v>
      </c>
      <c r="T26" s="18"/>
      <c r="U26" s="18"/>
      <c r="V26" s="17" t="n">
        <f aca="false">(B26-AVERAGE(B7:B26))/STDEV(B7:B26)</f>
        <v>1.52773123665765</v>
      </c>
    </row>
    <row r="27" customFormat="false" ht="15" hidden="false" customHeight="false" outlineLevel="0" collapsed="false">
      <c r="A27" s="17" t="s">
        <v>591</v>
      </c>
      <c r="B27" s="17" t="n">
        <v>4783.39</v>
      </c>
      <c r="C27" s="19" t="n">
        <f aca="false">B27/B26-1</f>
        <v>-0.00257728196840945</v>
      </c>
      <c r="F27" s="17" t="n">
        <f aca="false">B27*2/13+F26*11/13</f>
        <v>4741.32891207968</v>
      </c>
      <c r="K27" s="17" t="n">
        <f aca="false">MAX(B27-B26,0)</f>
        <v>0</v>
      </c>
      <c r="L27" s="17" t="n">
        <f aca="false">MAX(B26-B27,0)</f>
        <v>12.3599999999997</v>
      </c>
      <c r="M27" s="17" t="n">
        <f aca="false">(M26*13+K27)/14</f>
        <v>14.8710311867754</v>
      </c>
      <c r="N27" s="17" t="n">
        <f aca="false">(N26*13+L27)/14</f>
        <v>4.62558827956181</v>
      </c>
      <c r="O27" s="17" t="n">
        <f aca="false">IF(N27=0,100,100-100/(1+M27/N27))</f>
        <v>76.2749214675481</v>
      </c>
      <c r="P27" s="17" t="n">
        <f aca="false">AVERAGE(B8:B27)+2*STDEV(B8:B27)</f>
        <v>4833.56876369828</v>
      </c>
      <c r="Q27" s="17" t="n">
        <f aca="false">AVERAGE(B8:B27)-2*STDEV(B8:B27)</f>
        <v>4564.49223630172</v>
      </c>
      <c r="R27" s="19" t="n">
        <f aca="false">B27/B7-1</f>
        <v>0.0476633733192868</v>
      </c>
      <c r="S27" s="17" t="n">
        <f aca="false">STDEV(C8:C27)*SQRT(252)*100</f>
        <v>7.57951551772402</v>
      </c>
      <c r="T27" s="18"/>
      <c r="U27" s="18"/>
      <c r="V27" s="17" t="n">
        <f aca="false">(B27-AVERAGE(B8:B27))/STDEV(B8:B27)</f>
        <v>1.25405959139162</v>
      </c>
    </row>
    <row r="28" customFormat="false" ht="15" hidden="false" customHeight="false" outlineLevel="0" collapsed="false">
      <c r="A28" s="17" t="s">
        <v>592</v>
      </c>
      <c r="B28" s="17" t="n">
        <v>4803.31</v>
      </c>
      <c r="C28" s="19" t="n">
        <f aca="false">B28/B27-1</f>
        <v>0.00416441059583272</v>
      </c>
      <c r="F28" s="17" t="n">
        <f aca="false">B28*2/13+F27*11/13</f>
        <v>4750.86446406742</v>
      </c>
      <c r="K28" s="17" t="n">
        <f aca="false">MAX(B28-B27,0)</f>
        <v>19.9200000000001</v>
      </c>
      <c r="L28" s="17" t="n">
        <f aca="false">MAX(B27-B28,0)</f>
        <v>0</v>
      </c>
      <c r="M28" s="17" t="n">
        <f aca="false">(M27*13+K28)/14</f>
        <v>15.2316718162915</v>
      </c>
      <c r="N28" s="17" t="n">
        <f aca="false">(N27*13+L28)/14</f>
        <v>4.29518911673597</v>
      </c>
      <c r="O28" s="17" t="n">
        <f aca="false">IF(N28=0,100,100-100/(1+M28/N28))</f>
        <v>78.0036887062009</v>
      </c>
      <c r="P28" s="17" t="n">
        <f aca="false">AVERAGE(B9:B28)+2*STDEV(B9:B28)</f>
        <v>4842.51054109693</v>
      </c>
      <c r="Q28" s="17" t="n">
        <f aca="false">AVERAGE(B9:B28)-2*STDEV(B9:B28)</f>
        <v>4576.23245890307</v>
      </c>
      <c r="R28" s="19" t="n">
        <f aca="false">B28/B8-1</f>
        <v>0.0449952028613139</v>
      </c>
      <c r="S28" s="17" t="n">
        <f aca="false">STDEV(C9:C28)*SQRT(252)*100</f>
        <v>7.43598613270599</v>
      </c>
      <c r="T28" s="18"/>
      <c r="U28" s="18"/>
      <c r="V28" s="17" t="n">
        <f aca="false">(B28-AVERAGE(B9:B28))/STDEV(B9:B28)</f>
        <v>1.41113379255314</v>
      </c>
    </row>
    <row r="29" customFormat="false" ht="15" hidden="false" customHeight="false" outlineLevel="0" collapsed="false">
      <c r="A29" s="17" t="s">
        <v>593</v>
      </c>
      <c r="B29" s="17" t="n">
        <v>4807.08</v>
      </c>
      <c r="C29" s="19" t="n">
        <f aca="false">B29/B28-1</f>
        <v>0.000784875429651555</v>
      </c>
      <c r="F29" s="17" t="n">
        <f aca="false">B29*2/13+F28*11/13</f>
        <v>4759.51300805705</v>
      </c>
      <c r="G29" s="17" t="n">
        <f aca="false">AVERAGE(B4:B29)</f>
        <v>4685.28653846154</v>
      </c>
      <c r="H29" s="17" t="n">
        <f aca="false">F29-G29</f>
        <v>74.2264695955118</v>
      </c>
      <c r="K29" s="17" t="n">
        <f aca="false">MAX(B29-B28,0)</f>
        <v>3.76999999999953</v>
      </c>
      <c r="L29" s="17" t="n">
        <f aca="false">MAX(B28-B29,0)</f>
        <v>0</v>
      </c>
      <c r="M29" s="17" t="n">
        <f aca="false">(M28*13+K29)/14</f>
        <v>14.4129809722706</v>
      </c>
      <c r="N29" s="17" t="n">
        <f aca="false">(N28*13+L29)/14</f>
        <v>3.98838989411197</v>
      </c>
      <c r="O29" s="17" t="n">
        <f aca="false">IF(N29=0,100,100-100/(1+M29/N29))</f>
        <v>78.3255827890609</v>
      </c>
      <c r="P29" s="17" t="n">
        <f aca="false">AVERAGE(B10:B29)+2*STDEV(B10:B29)</f>
        <v>4847.63343227173</v>
      </c>
      <c r="Q29" s="17" t="n">
        <f aca="false">AVERAGE(B10:B29)-2*STDEV(B10:B29)</f>
        <v>4592.83456772827</v>
      </c>
      <c r="R29" s="19" t="n">
        <f aca="false">B29/B9-1</f>
        <v>0.0473329077547535</v>
      </c>
      <c r="S29" s="17" t="n">
        <f aca="false">STDEV(C10:C29)*SQRT(252)*100</f>
        <v>7.33160911071243</v>
      </c>
      <c r="T29" s="18"/>
      <c r="U29" s="18"/>
      <c r="V29" s="17" t="n">
        <f aca="false">(B29-AVERAGE(B10:B29))/STDEV(B10:B29)</f>
        <v>1.36336557316472</v>
      </c>
    </row>
    <row r="30" customFormat="false" ht="15" hidden="false" customHeight="false" outlineLevel="0" collapsed="false">
      <c r="A30" s="17" t="s">
        <v>594</v>
      </c>
      <c r="B30" s="17" t="n">
        <v>4827.12</v>
      </c>
      <c r="C30" s="19" t="n">
        <f aca="false">B30/B29-1</f>
        <v>0.00416885094485631</v>
      </c>
      <c r="F30" s="17" t="n">
        <f aca="false">B30*2/13+F29*11/13</f>
        <v>4769.91408374058</v>
      </c>
      <c r="G30" s="17" t="n">
        <f aca="false">B30*2/27+G29*25/27</f>
        <v>4695.79272079772</v>
      </c>
      <c r="H30" s="17" t="n">
        <f aca="false">F30-G30</f>
        <v>74.1213629428603</v>
      </c>
      <c r="K30" s="17" t="n">
        <f aca="false">MAX(B30-B29,0)</f>
        <v>20.04</v>
      </c>
      <c r="L30" s="17" t="n">
        <f aca="false">MAX(B29-B30,0)</f>
        <v>0</v>
      </c>
      <c r="M30" s="17" t="n">
        <f aca="false">(M29*13+K30)/14</f>
        <v>14.8149109028227</v>
      </c>
      <c r="N30" s="17" t="n">
        <f aca="false">(N29*13+L30)/14</f>
        <v>3.7035049016754</v>
      </c>
      <c r="O30" s="17" t="n">
        <f aca="false">IF(N30=0,100,100-100/(1+M30/N30))</f>
        <v>80.00096260515</v>
      </c>
      <c r="P30" s="17" t="n">
        <f aca="false">AVERAGE(B11:B30)+2*STDEV(B11:B30)</f>
        <v>4857.31109920366</v>
      </c>
      <c r="Q30" s="17" t="n">
        <f aca="false">AVERAGE(B11:B30)-2*STDEV(B11:B30)</f>
        <v>4603.90090079634</v>
      </c>
      <c r="R30" s="19" t="n">
        <f aca="false">B30/B10-1</f>
        <v>0.0449035431025524</v>
      </c>
      <c r="S30" s="17" t="n">
        <f aca="false">STDEV(C11:C30)*SQRT(252)*100</f>
        <v>7.20080582765819</v>
      </c>
      <c r="T30" s="18"/>
      <c r="U30" s="18"/>
      <c r="V30" s="17" t="n">
        <f aca="false">(B30-AVERAGE(B11:B30))/STDEV(B11:B30)</f>
        <v>1.52344302804837</v>
      </c>
    </row>
    <row r="31" customFormat="false" ht="15" hidden="false" customHeight="false" outlineLevel="0" collapsed="false">
      <c r="A31" s="17" t="s">
        <v>595</v>
      </c>
      <c r="B31" s="17" t="n">
        <v>4797.19</v>
      </c>
      <c r="C31" s="19" t="n">
        <f aca="false">B31/B30-1</f>
        <v>-0.00620038449427407</v>
      </c>
      <c r="F31" s="17" t="n">
        <f aca="false">B31*2/13+F30*11/13</f>
        <v>4774.11037854972</v>
      </c>
      <c r="G31" s="17" t="n">
        <f aca="false">B31*2/27+G30*25/27</f>
        <v>4703.30363036826</v>
      </c>
      <c r="H31" s="17" t="n">
        <f aca="false">F31-G31</f>
        <v>70.8067481814624</v>
      </c>
      <c r="K31" s="17" t="n">
        <f aca="false">MAX(B31-B30,0)</f>
        <v>0</v>
      </c>
      <c r="L31" s="17" t="n">
        <f aca="false">MAX(B30-B31,0)</f>
        <v>29.9300000000003</v>
      </c>
      <c r="M31" s="17" t="n">
        <f aca="false">(M30*13+K31)/14</f>
        <v>13.7567029811925</v>
      </c>
      <c r="N31" s="17" t="n">
        <f aca="false">(N30*13+L31)/14</f>
        <v>5.57682598012718</v>
      </c>
      <c r="O31" s="17" t="n">
        <f aca="false">IF(N31=0,100,100-100/(1+M31/N31))</f>
        <v>71.1546402558754</v>
      </c>
      <c r="P31" s="17" t="n">
        <f aca="false">AVERAGE(B12:B31)+2*STDEV(B12:B31)</f>
        <v>4855.10002342256</v>
      </c>
      <c r="Q31" s="17" t="n">
        <f aca="false">AVERAGE(B12:B31)-2*STDEV(B12:B31)</f>
        <v>4625.50297657744</v>
      </c>
      <c r="R31" s="19" t="n">
        <f aca="false">B31/B11-1</f>
        <v>0.0421243113605951</v>
      </c>
      <c r="S31" s="17" t="n">
        <f aca="false">STDEV(C12:C31)*SQRT(252)*100</f>
        <v>7.53558807299627</v>
      </c>
      <c r="T31" s="18"/>
      <c r="U31" s="18"/>
      <c r="V31" s="17" t="n">
        <f aca="false">(B31-AVERAGE(B12:B31))/STDEV(B12:B31)</f>
        <v>0.991101597894255</v>
      </c>
    </row>
    <row r="32" customFormat="false" ht="15" hidden="false" customHeight="false" outlineLevel="0" collapsed="false">
      <c r="A32" s="17" t="s">
        <v>596</v>
      </c>
      <c r="B32" s="17" t="n">
        <v>4805.45</v>
      </c>
      <c r="C32" s="19" t="n">
        <f aca="false">B32/B31-1</f>
        <v>0.00172184132794406</v>
      </c>
      <c r="F32" s="17" t="n">
        <f aca="false">B32*2/13+F31*11/13</f>
        <v>4778.93185877284</v>
      </c>
      <c r="G32" s="17" t="n">
        <f aca="false">B32*2/27+G31*25/27</f>
        <v>4710.87002811876</v>
      </c>
      <c r="H32" s="17" t="n">
        <f aca="false">F32-G32</f>
        <v>68.0618306540828</v>
      </c>
      <c r="K32" s="17" t="n">
        <f aca="false">MAX(B32-B31,0)</f>
        <v>8.26000000000022</v>
      </c>
      <c r="L32" s="17" t="n">
        <f aca="false">MAX(B31-B32,0)</f>
        <v>0</v>
      </c>
      <c r="M32" s="17" t="n">
        <f aca="false">(M31*13+K32)/14</f>
        <v>13.3640813396788</v>
      </c>
      <c r="N32" s="17" t="n">
        <f aca="false">(N31*13+L32)/14</f>
        <v>5.17848126726095</v>
      </c>
      <c r="O32" s="17" t="n">
        <f aca="false">IF(N32=0,100,100-100/(1+M32/N32))</f>
        <v>72.0724617355594</v>
      </c>
      <c r="P32" s="17" t="n">
        <f aca="false">AVERAGE(B13:B32)+2*STDEV(B13:B32)</f>
        <v>4859.01103668444</v>
      </c>
      <c r="Q32" s="17" t="n">
        <f aca="false">AVERAGE(B13:B32)-2*STDEV(B13:B32)</f>
        <v>4636.41696331556</v>
      </c>
      <c r="R32" s="19" t="n">
        <f aca="false">B32/B12-1</f>
        <v>0.031832431503908</v>
      </c>
      <c r="S32" s="17" t="n">
        <f aca="false">STDEV(C13:C32)*SQRT(252)*100</f>
        <v>6.61971597387473</v>
      </c>
      <c r="T32" s="18"/>
      <c r="U32" s="18"/>
      <c r="V32" s="17" t="n">
        <f aca="false">(B32-AVERAGE(B13:B32))/STDEV(B13:B32)</f>
        <v>1.03751190004636</v>
      </c>
    </row>
    <row r="33" customFormat="false" ht="15" hidden="false" customHeight="false" outlineLevel="0" collapsed="false">
      <c r="A33" s="17" t="s">
        <v>597</v>
      </c>
      <c r="B33" s="17" t="n">
        <v>4808.68</v>
      </c>
      <c r="C33" s="19" t="n">
        <f aca="false">B33/B32-1</f>
        <v>0.000672153492389027</v>
      </c>
      <c r="F33" s="17" t="n">
        <f aca="false">B33*2/13+F32*11/13</f>
        <v>4783.50849588471</v>
      </c>
      <c r="G33" s="17" t="n">
        <f aca="false">B33*2/27+G32*25/27</f>
        <v>4718.11521122107</v>
      </c>
      <c r="H33" s="17" t="n">
        <f aca="false">F33-G33</f>
        <v>65.393284663639</v>
      </c>
      <c r="K33" s="17" t="n">
        <f aca="false">MAX(B33-B32,0)</f>
        <v>3.23000000000047</v>
      </c>
      <c r="L33" s="17" t="n">
        <f aca="false">MAX(B32-B33,0)</f>
        <v>0</v>
      </c>
      <c r="M33" s="17" t="n">
        <f aca="false">(M32*13+K33)/14</f>
        <v>12.6402183868446</v>
      </c>
      <c r="N33" s="17" t="n">
        <f aca="false">(N32*13+L33)/14</f>
        <v>4.80858974817088</v>
      </c>
      <c r="O33" s="17" t="n">
        <f aca="false">IF(N33=0,100,100-100/(1+M33/N33))</f>
        <v>72.441729481103</v>
      </c>
      <c r="P33" s="17" t="n">
        <f aca="false">AVERAGE(B14:B33)+2*STDEV(B14:B33)</f>
        <v>4859.5266770406</v>
      </c>
      <c r="Q33" s="17" t="n">
        <f aca="false">AVERAGE(B14:B33)-2*STDEV(B14:B33)</f>
        <v>4652.0673229594</v>
      </c>
      <c r="R33" s="19" t="n">
        <f aca="false">B33/B13-1</f>
        <v>0.0347878855696768</v>
      </c>
      <c r="S33" s="17" t="n">
        <f aca="false">STDEV(C14:C33)*SQRT(252)*100</f>
        <v>6.48055906555968</v>
      </c>
      <c r="T33" s="18"/>
      <c r="U33" s="18"/>
      <c r="V33" s="17" t="n">
        <f aca="false">(B33-AVERAGE(B14:B33))/STDEV(B14:B33)</f>
        <v>1.01963105465567</v>
      </c>
    </row>
    <row r="34" customFormat="false" ht="15" hidden="false" customHeight="false" outlineLevel="0" collapsed="false">
      <c r="A34" s="17" t="s">
        <v>598</v>
      </c>
      <c r="B34" s="17" t="n">
        <v>4806.14</v>
      </c>
      <c r="C34" s="19" t="n">
        <f aca="false">B34/B33-1</f>
        <v>-0.000528211484232655</v>
      </c>
      <c r="F34" s="17" t="n">
        <f aca="false">B34*2/13+F33*11/13</f>
        <v>4786.9902657486</v>
      </c>
      <c r="G34" s="17" t="n">
        <f aca="false">B34*2/27+G33*25/27</f>
        <v>4724.63556594544</v>
      </c>
      <c r="H34" s="17" t="n">
        <f aca="false">F34-G34</f>
        <v>62.3546998031643</v>
      </c>
      <c r="K34" s="17" t="n">
        <f aca="false">MAX(B34-B33,0)</f>
        <v>0</v>
      </c>
      <c r="L34" s="17" t="n">
        <f aca="false">MAX(B33-B34,0)</f>
        <v>2.53999999999996</v>
      </c>
      <c r="M34" s="17" t="n">
        <f aca="false">(M33*13+K34)/14</f>
        <v>11.7373456449271</v>
      </c>
      <c r="N34" s="17" t="n">
        <f aca="false">(N33*13+L34)/14</f>
        <v>4.64654762330153</v>
      </c>
      <c r="O34" s="17" t="n">
        <f aca="false">IF(N34=0,100,100-100/(1+M34/N34))</f>
        <v>71.6395392277608</v>
      </c>
      <c r="P34" s="17" t="n">
        <f aca="false">AVERAGE(B15:B34)+2*STDEV(B15:B34)</f>
        <v>4859.71258266965</v>
      </c>
      <c r="Q34" s="17" t="n">
        <f aca="false">AVERAGE(B15:B34)-2*STDEV(B15:B34)</f>
        <v>4665.88841733035</v>
      </c>
      <c r="R34" s="19" t="n">
        <f aca="false">B34/B14-1</f>
        <v>0.0300188381228743</v>
      </c>
      <c r="S34" s="17" t="n">
        <f aca="false">STDEV(C15:C34)*SQRT(252)*100</f>
        <v>6.46329091288568</v>
      </c>
      <c r="T34" s="18"/>
      <c r="U34" s="18"/>
      <c r="V34" s="17" t="n">
        <f aca="false">(B34-AVERAGE(B15:B34))/STDEV(B15:B34)</f>
        <v>0.894408598105076</v>
      </c>
    </row>
    <row r="35" customFormat="false" ht="15" hidden="false" customHeight="false" outlineLevel="0" collapsed="false">
      <c r="A35" s="17" t="s">
        <v>599</v>
      </c>
      <c r="B35" s="17" t="n">
        <v>4808.56</v>
      </c>
      <c r="C35" s="19" t="n">
        <f aca="false">B35/B34-1</f>
        <v>0.000503522577369742</v>
      </c>
      <c r="F35" s="17" t="n">
        <f aca="false">B35*2/13+F34*11/13</f>
        <v>4790.30868640266</v>
      </c>
      <c r="G35" s="17" t="n">
        <f aca="false">B35*2/27+G34*25/27</f>
        <v>4730.85219069022</v>
      </c>
      <c r="H35" s="17" t="n">
        <f aca="false">F35-G35</f>
        <v>59.4564957124421</v>
      </c>
      <c r="K35" s="17" t="n">
        <f aca="false">MAX(B35-B34,0)</f>
        <v>2.42000000000007</v>
      </c>
      <c r="L35" s="17" t="n">
        <f aca="false">MAX(B34-B35,0)</f>
        <v>0</v>
      </c>
      <c r="M35" s="17" t="n">
        <f aca="false">(M34*13+K35)/14</f>
        <v>11.0718209560038</v>
      </c>
      <c r="N35" s="17" t="n">
        <f aca="false">(N34*13+L35)/14</f>
        <v>4.31465136449428</v>
      </c>
      <c r="O35" s="17" t="n">
        <f aca="false">IF(N35=0,100,100-100/(1+M35/N35))</f>
        <v>71.9581508053263</v>
      </c>
      <c r="P35" s="17" t="n">
        <f aca="false">AVERAGE(B16:B35)+2*STDEV(B16:B35)</f>
        <v>4857.35672626268</v>
      </c>
      <c r="Q35" s="17" t="n">
        <f aca="false">AVERAGE(B16:B35)-2*STDEV(B16:B35)</f>
        <v>4682.50727373732</v>
      </c>
      <c r="R35" s="19" t="n">
        <f aca="false">B35/B15-1</f>
        <v>0.0305683968683628</v>
      </c>
      <c r="S35" s="17" t="n">
        <f aca="false">STDEV(C16:C35)*SQRT(252)*100</f>
        <v>6.44943297037819</v>
      </c>
      <c r="T35" s="18"/>
      <c r="U35" s="18"/>
      <c r="V35" s="17" t="n">
        <f aca="false">(B35-AVERAGE(B16:B35))/STDEV(B16:B35)</f>
        <v>0.883685923909796</v>
      </c>
    </row>
    <row r="36" customFormat="false" ht="15" hidden="false" customHeight="false" outlineLevel="0" collapsed="false">
      <c r="A36" s="17" t="s">
        <v>600</v>
      </c>
      <c r="B36" s="17" t="n">
        <v>4818.48</v>
      </c>
      <c r="C36" s="19" t="n">
        <f aca="false">B36/B35-1</f>
        <v>0.00206298767198487</v>
      </c>
      <c r="F36" s="17" t="n">
        <f aca="false">B36*2/13+F35*11/13</f>
        <v>4794.64273464841</v>
      </c>
      <c r="G36" s="17" t="n">
        <f aca="false">B36*2/27+G35*25/27</f>
        <v>4737.34313952798</v>
      </c>
      <c r="H36" s="17" t="n">
        <f aca="false">F36-G36</f>
        <v>57.2995951204239</v>
      </c>
      <c r="K36" s="17" t="n">
        <f aca="false">MAX(B36-B35,0)</f>
        <v>9.91999999999916</v>
      </c>
      <c r="L36" s="17" t="n">
        <f aca="false">MAX(B35-B36,0)</f>
        <v>0</v>
      </c>
      <c r="M36" s="17" t="n">
        <f aca="false">(M35*13+K36)/14</f>
        <v>10.9895480305749</v>
      </c>
      <c r="N36" s="17" t="n">
        <f aca="false">(N35*13+L36)/14</f>
        <v>4.00646198131611</v>
      </c>
      <c r="O36" s="17" t="n">
        <f aca="false">IF(N36=0,100,100-100/(1+M36/N36))</f>
        <v>73.2831467961197</v>
      </c>
      <c r="P36" s="17" t="n">
        <f aca="false">AVERAGE(B17:B36)+2*STDEV(B17:B36)</f>
        <v>4854.0567482313</v>
      </c>
      <c r="Q36" s="17" t="n">
        <f aca="false">AVERAGE(B17:B36)-2*STDEV(B17:B36)</f>
        <v>4700.4442517687</v>
      </c>
      <c r="R36" s="19" t="n">
        <f aca="false">B36/B16-1</f>
        <v>0.0313284575919659</v>
      </c>
      <c r="S36" s="17" t="n">
        <f aca="false">STDEV(C17:C36)*SQRT(252)*100</f>
        <v>6.45187432577599</v>
      </c>
      <c r="T36" s="18"/>
      <c r="U36" s="18"/>
      <c r="V36" s="17" t="n">
        <f aca="false">(B36-AVERAGE(B17:B36))/STDEV(B17:B36)</f>
        <v>1.07359755096582</v>
      </c>
    </row>
    <row r="37" customFormat="false" ht="15" hidden="false" customHeight="false" outlineLevel="0" collapsed="false">
      <c r="A37" s="17" t="s">
        <v>601</v>
      </c>
      <c r="B37" s="17" t="n">
        <v>4783.49</v>
      </c>
      <c r="C37" s="19" t="n">
        <f aca="false">B37/B36-1</f>
        <v>-0.00726162607295244</v>
      </c>
      <c r="F37" s="17" t="n">
        <f aca="false">B37*2/13+F36*11/13</f>
        <v>4792.92692931788</v>
      </c>
      <c r="G37" s="17" t="n">
        <f aca="false">B37*2/27+G36*25/27</f>
        <v>4740.76142548887</v>
      </c>
      <c r="H37" s="17" t="n">
        <f aca="false">F37-G37</f>
        <v>52.1655038290101</v>
      </c>
      <c r="I37" s="17" t="n">
        <f aca="false">AVERAGE(H29:H37)</f>
        <v>64.8762211669552</v>
      </c>
      <c r="J37" s="17" t="n">
        <f aca="false">H37-I37</f>
        <v>-12.7107173379451</v>
      </c>
      <c r="K37" s="17" t="n">
        <f aca="false">MAX(B37-B36,0)</f>
        <v>0</v>
      </c>
      <c r="L37" s="17" t="n">
        <f aca="false">MAX(B36-B37,0)</f>
        <v>34.9899999999998</v>
      </c>
      <c r="M37" s="17" t="n">
        <f aca="false">(M36*13+K37)/14</f>
        <v>10.2045803141052</v>
      </c>
      <c r="N37" s="17" t="n">
        <f aca="false">(N36*13+L37)/14</f>
        <v>6.21957183979352</v>
      </c>
      <c r="O37" s="17" t="n">
        <f aca="false">IF(N37=0,100,100-100/(1+M37/N37))</f>
        <v>62.1315500397558</v>
      </c>
      <c r="P37" s="17" t="n">
        <f aca="false">AVERAGE(B18:B37)+2*STDEV(B18:B37)</f>
        <v>4849.65190852571</v>
      </c>
      <c r="Q37" s="17" t="n">
        <f aca="false">AVERAGE(B18:B37)-2*STDEV(B18:B37)</f>
        <v>4712.91009147429</v>
      </c>
      <c r="R37" s="19" t="n">
        <f aca="false">B37/B17-1</f>
        <v>0.0171405606777124</v>
      </c>
      <c r="S37" s="17" t="n">
        <f aca="false">STDEV(C18:C37)*SQRT(252)*100</f>
        <v>6.87712542148566</v>
      </c>
      <c r="T37" s="18"/>
      <c r="U37" s="18"/>
      <c r="V37" s="17" t="n">
        <f aca="false">(B37-AVERAGE(B18:B37))/STDEV(B18:B37)</f>
        <v>0.0646181262654724</v>
      </c>
    </row>
    <row r="38" customFormat="false" ht="15" hidden="false" customHeight="false" outlineLevel="0" collapsed="false">
      <c r="A38" s="17" t="s">
        <v>602</v>
      </c>
      <c r="B38" s="17" t="n">
        <v>4775.43</v>
      </c>
      <c r="C38" s="19" t="n">
        <f aca="false">B38/B37-1</f>
        <v>-0.00168496223468628</v>
      </c>
      <c r="F38" s="17" t="n">
        <f aca="false">B38*2/13+F37*11/13</f>
        <v>4790.23509403821</v>
      </c>
      <c r="G38" s="17" t="n">
        <f aca="false">B38*2/27+G37*25/27</f>
        <v>4743.32946804525</v>
      </c>
      <c r="H38" s="17" t="n">
        <f aca="false">F38-G38</f>
        <v>46.9056259929557</v>
      </c>
      <c r="I38" s="17" t="n">
        <f aca="false">H38*2/10+I37*8/10</f>
        <v>61.2821021321553</v>
      </c>
      <c r="J38" s="17" t="n">
        <f aca="false">H38-I38</f>
        <v>-14.3764761391996</v>
      </c>
      <c r="K38" s="17" t="n">
        <f aca="false">MAX(B38-B37,0)</f>
        <v>0</v>
      </c>
      <c r="L38" s="17" t="n">
        <f aca="false">MAX(B37-B38,0)</f>
        <v>8.05999999999949</v>
      </c>
      <c r="M38" s="17" t="n">
        <f aca="false">(M37*13+K38)/14</f>
        <v>9.47568172024059</v>
      </c>
      <c r="N38" s="17" t="n">
        <f aca="false">(N37*13+L38)/14</f>
        <v>6.35103099409395</v>
      </c>
      <c r="O38" s="17" t="n">
        <f aca="false">IF(N38=0,100,100-100/(1+M38/N38))</f>
        <v>59.8714457719214</v>
      </c>
      <c r="P38" s="17" t="n">
        <f aca="false">AVERAGE(B19:B38)+2*STDEV(B19:B38)</f>
        <v>4846.40340307703</v>
      </c>
      <c r="Q38" s="17" t="n">
        <f aca="false">AVERAGE(B19:B38)-2*STDEV(B19:B38)</f>
        <v>4721.56059692297</v>
      </c>
      <c r="R38" s="19" t="n">
        <f aca="false">B38/B18-1</f>
        <v>0.0114414973493089</v>
      </c>
      <c r="S38" s="17" t="n">
        <f aca="false">STDEV(C19:C38)*SQRT(252)*100</f>
        <v>6.83259219443863</v>
      </c>
      <c r="T38" s="18"/>
      <c r="U38" s="18"/>
      <c r="V38" s="17" t="n">
        <f aca="false">(B38-AVERAGE(B19:B38))/STDEV(B19:B38)</f>
        <v>-0.274008579699691</v>
      </c>
    </row>
    <row r="39" customFormat="false" ht="15" hidden="false" customHeight="false" outlineLevel="0" collapsed="false">
      <c r="A39" s="17" t="s">
        <v>603</v>
      </c>
      <c r="B39" s="17" t="n">
        <v>4783.69</v>
      </c>
      <c r="C39" s="19" t="n">
        <f aca="false">B39/B38-1</f>
        <v>0.00172968716953226</v>
      </c>
      <c r="F39" s="17" t="n">
        <f aca="false">B39*2/13+F38*11/13</f>
        <v>4789.22815649387</v>
      </c>
      <c r="G39" s="17" t="n">
        <f aca="false">B39*2/27+G38*25/27</f>
        <v>4746.31913707894</v>
      </c>
      <c r="H39" s="17" t="n">
        <f aca="false">F39-G39</f>
        <v>42.9090194149303</v>
      </c>
      <c r="I39" s="17" t="n">
        <f aca="false">H39*2/10+I38*8/10</f>
        <v>57.6074855887103</v>
      </c>
      <c r="J39" s="17" t="n">
        <f aca="false">H39-I39</f>
        <v>-14.69846617378</v>
      </c>
      <c r="K39" s="17" t="n">
        <f aca="false">MAX(B39-B38,0)</f>
        <v>8.25999999999931</v>
      </c>
      <c r="L39" s="17" t="n">
        <f aca="false">MAX(B38-B39,0)</f>
        <v>0</v>
      </c>
      <c r="M39" s="17" t="n">
        <f aca="false">(M38*13+K39)/14</f>
        <v>9.38884731165192</v>
      </c>
      <c r="N39" s="17" t="n">
        <f aca="false">(N38*13+L39)/14</f>
        <v>5.89738592308724</v>
      </c>
      <c r="O39" s="17" t="n">
        <f aca="false">IF(N39=0,100,100-100/(1+M39/N39))</f>
        <v>61.4202803756457</v>
      </c>
      <c r="P39" s="17" t="n">
        <f aca="false">AVERAGE(B20:B39)+2*STDEV(B20:B39)</f>
        <v>4843.7347394233</v>
      </c>
      <c r="Q39" s="17" t="n">
        <f aca="false">AVERAGE(B20:B39)-2*STDEV(B20:B39)</f>
        <v>4729.5752605767</v>
      </c>
      <c r="R39" s="19" t="n">
        <f aca="false">B39/B19-1</f>
        <v>0.0113017760235761</v>
      </c>
      <c r="S39" s="17" t="n">
        <f aca="false">STDEV(C20:C39)*SQRT(252)*100</f>
        <v>6.82930157522635</v>
      </c>
      <c r="T39" s="18"/>
      <c r="U39" s="18"/>
      <c r="V39" s="17" t="n">
        <f aca="false">(B39-AVERAGE(B20:B39))/STDEV(B20:B39)</f>
        <v>-0.103889752474618</v>
      </c>
    </row>
    <row r="40" customFormat="false" ht="15" hidden="false" customHeight="false" outlineLevel="0" collapsed="false">
      <c r="A40" s="17" t="s">
        <v>604</v>
      </c>
      <c r="B40" s="17" t="n">
        <v>4791.09</v>
      </c>
      <c r="C40" s="19" t="n">
        <f aca="false">B40/B39-1</f>
        <v>0.0015469229820495</v>
      </c>
      <c r="F40" s="17" t="n">
        <f aca="false">B40*2/13+F39*11/13</f>
        <v>4789.51459395635</v>
      </c>
      <c r="G40" s="17" t="n">
        <f aca="false">B40*2/27+G39*25/27</f>
        <v>4749.63549729531</v>
      </c>
      <c r="H40" s="17" t="n">
        <f aca="false">F40-G40</f>
        <v>39.8790966610368</v>
      </c>
      <c r="I40" s="17" t="n">
        <f aca="false">H40*2/10+I39*8/10</f>
        <v>54.0618078031756</v>
      </c>
      <c r="J40" s="17" t="n">
        <f aca="false">H40-I40</f>
        <v>-14.1827111421388</v>
      </c>
      <c r="K40" s="17" t="n">
        <f aca="false">MAX(B40-B39,0)</f>
        <v>7.40000000000055</v>
      </c>
      <c r="L40" s="17" t="n">
        <f aca="false">MAX(B39-B40,0)</f>
        <v>0</v>
      </c>
      <c r="M40" s="17" t="n">
        <f aca="false">(M39*13+K40)/14</f>
        <v>9.24678678939111</v>
      </c>
      <c r="N40" s="17" t="n">
        <f aca="false">(N39*13+L40)/14</f>
        <v>5.47614407143815</v>
      </c>
      <c r="O40" s="17" t="n">
        <f aca="false">IF(N40=0,100,100-100/(1+M40/N40))</f>
        <v>62.8053400290864</v>
      </c>
      <c r="P40" s="17" t="n">
        <f aca="false">AVERAGE(B21:B40)+2*STDEV(B21:B40)</f>
        <v>4843.65226631558</v>
      </c>
      <c r="Q40" s="17" t="n">
        <f aca="false">AVERAGE(B21:B40)-2*STDEV(B21:B40)</f>
        <v>4733.16273368442</v>
      </c>
      <c r="R40" s="19" t="n">
        <f aca="false">B40/B20-1</f>
        <v>0.0073695763702577</v>
      </c>
      <c r="S40" s="17" t="n">
        <f aca="false">STDEV(C21:C40)*SQRT(252)*100</f>
        <v>6.59535148223594</v>
      </c>
      <c r="T40" s="18"/>
      <c r="U40" s="18"/>
      <c r="V40" s="17" t="n">
        <f aca="false">(B40-AVERAGE(B21:B40))/STDEV(B21:B40)</f>
        <v>0.0971132716781622</v>
      </c>
    </row>
    <row r="41" customFormat="false" ht="15" hidden="false" customHeight="false" outlineLevel="0" collapsed="false">
      <c r="A41" s="17" t="s">
        <v>605</v>
      </c>
      <c r="B41" s="17" t="n">
        <v>4775.99</v>
      </c>
      <c r="C41" s="19" t="n">
        <f aca="false">B41/B40-1</f>
        <v>-0.00315168364610152</v>
      </c>
      <c r="F41" s="17" t="n">
        <f aca="false">B41*2/13+F40*11/13</f>
        <v>4787.43388719383</v>
      </c>
      <c r="G41" s="17" t="n">
        <f aca="false">B41*2/27+G40*25/27</f>
        <v>4751.58768268085</v>
      </c>
      <c r="H41" s="17" t="n">
        <f aca="false">F41-G41</f>
        <v>35.8462045129882</v>
      </c>
      <c r="I41" s="17" t="n">
        <f aca="false">H41*2/10+I40*8/10</f>
        <v>50.4186871451381</v>
      </c>
      <c r="J41" s="17" t="n">
        <f aca="false">H41-I41</f>
        <v>-14.5724826321499</v>
      </c>
      <c r="K41" s="17" t="n">
        <f aca="false">MAX(B41-B40,0)</f>
        <v>0</v>
      </c>
      <c r="L41" s="17" t="n">
        <f aca="false">MAX(B40-B41,0)</f>
        <v>15.1000000000004</v>
      </c>
      <c r="M41" s="17" t="n">
        <f aca="false">(M40*13+K41)/14</f>
        <v>8.58630201872032</v>
      </c>
      <c r="N41" s="17" t="n">
        <f aca="false">(N40*13+L41)/14</f>
        <v>6.16356235204973</v>
      </c>
      <c r="O41" s="17" t="n">
        <f aca="false">IF(N41=0,100,100-100/(1+M41/N41))</f>
        <v>58.2127523540886</v>
      </c>
      <c r="P41" s="17" t="n">
        <f aca="false">AVERAGE(B22:B41)+2*STDEV(B22:B41)</f>
        <v>4836.43994818607</v>
      </c>
      <c r="Q41" s="17" t="n">
        <f aca="false">AVERAGE(B22:B41)-2*STDEV(B22:B41)</f>
        <v>4746.05305181393</v>
      </c>
      <c r="R41" s="19" t="n">
        <f aca="false">B41/B21-1</f>
        <v>0.0120316747930267</v>
      </c>
      <c r="S41" s="17" t="n">
        <f aca="false">STDEV(C22:C41)*SQRT(252)*100</f>
        <v>6.02208093337346</v>
      </c>
      <c r="T41" s="18"/>
      <c r="U41" s="18"/>
      <c r="V41" s="17" t="n">
        <f aca="false">(B41-AVERAGE(B22:B41))/STDEV(B22:B41)</f>
        <v>-0.67516423784192</v>
      </c>
    </row>
    <row r="42" customFormat="false" ht="15" hidden="false" customHeight="false" outlineLevel="0" collapsed="false">
      <c r="A42" s="17" t="s">
        <v>606</v>
      </c>
      <c r="B42" s="17" t="n">
        <v>4771.05</v>
      </c>
      <c r="C42" s="19" t="n">
        <f aca="false">B42/B41-1</f>
        <v>-0.00103434052416351</v>
      </c>
      <c r="F42" s="17" t="n">
        <f aca="false">B42*2/13+F41*11/13</f>
        <v>4784.91328916401</v>
      </c>
      <c r="G42" s="17" t="n">
        <f aca="false">B42*2/27+G41*25/27</f>
        <v>4753.0293358156</v>
      </c>
      <c r="H42" s="17" t="n">
        <f aca="false">F42-G42</f>
        <v>31.8839533484152</v>
      </c>
      <c r="I42" s="17" t="n">
        <f aca="false">H42*2/10+I41*8/10</f>
        <v>46.7117403857935</v>
      </c>
      <c r="J42" s="17" t="n">
        <f aca="false">H42-I42</f>
        <v>-14.8277870373783</v>
      </c>
      <c r="K42" s="17" t="n">
        <f aca="false">MAX(B42-B41,0)</f>
        <v>0</v>
      </c>
      <c r="L42" s="17" t="n">
        <f aca="false">MAX(B41-B42,0)</f>
        <v>4.9399999999996</v>
      </c>
      <c r="M42" s="17" t="n">
        <f aca="false">(M41*13+K42)/14</f>
        <v>7.97299473166887</v>
      </c>
      <c r="N42" s="17" t="n">
        <f aca="false">(N41*13+L42)/14</f>
        <v>6.07616504118901</v>
      </c>
      <c r="O42" s="17" t="n">
        <f aca="false">IF(N42=0,100,100-100/(1+M42/N42))</f>
        <v>56.7506873049605</v>
      </c>
      <c r="P42" s="17" t="n">
        <f aca="false">AVERAGE(B23:B42)+2*STDEV(B23:B42)</f>
        <v>4830.92599926793</v>
      </c>
      <c r="Q42" s="17" t="n">
        <f aca="false">AVERAGE(B23:B42)-2*STDEV(B23:B42)</f>
        <v>4755.23900073207</v>
      </c>
      <c r="R42" s="19" t="n">
        <f aca="false">B42/B22-1</f>
        <v>0.00775611332543358</v>
      </c>
      <c r="S42" s="17" t="n">
        <f aca="false">STDEV(C23:C42)*SQRT(252)*100</f>
        <v>5.96715428619942</v>
      </c>
      <c r="T42" s="18"/>
      <c r="U42" s="18"/>
      <c r="V42" s="17" t="n">
        <f aca="false">(B42-AVERAGE(B23:B42))/STDEV(B23:B42)</f>
        <v>-1.16440077826885</v>
      </c>
    </row>
    <row r="43" customFormat="false" ht="15" hidden="false" customHeight="false" outlineLevel="0" collapsed="false">
      <c r="A43" s="17" t="s">
        <v>607</v>
      </c>
      <c r="B43" s="17" t="n">
        <v>4783.94</v>
      </c>
      <c r="C43" s="19" t="n">
        <f aca="false">B43/B42-1</f>
        <v>0.00270171136332653</v>
      </c>
      <c r="F43" s="17" t="n">
        <f aca="false">B43*2/13+F42*11/13</f>
        <v>4784.76355236955</v>
      </c>
      <c r="G43" s="17" t="n">
        <f aca="false">B43*2/27+G42*25/27</f>
        <v>4755.31901464407</v>
      </c>
      <c r="H43" s="17" t="n">
        <f aca="false">F43-G43</f>
        <v>29.444537725477</v>
      </c>
      <c r="I43" s="17" t="n">
        <f aca="false">H43*2/10+I42*8/10</f>
        <v>43.2582998537302</v>
      </c>
      <c r="J43" s="17" t="n">
        <f aca="false">H43-I43</f>
        <v>-13.8137621282532</v>
      </c>
      <c r="K43" s="17" t="n">
        <f aca="false">MAX(B43-B42,0)</f>
        <v>12.8899999999994</v>
      </c>
      <c r="L43" s="17" t="n">
        <f aca="false">MAX(B42-B43,0)</f>
        <v>0</v>
      </c>
      <c r="M43" s="17" t="n">
        <f aca="false">(M42*13+K43)/14</f>
        <v>8.32420939369248</v>
      </c>
      <c r="N43" s="17" t="n">
        <f aca="false">(N42*13+L43)/14</f>
        <v>5.64215325253265</v>
      </c>
      <c r="O43" s="17" t="n">
        <f aca="false">IF(N43=0,100,100-100/(1+M43/N43))</f>
        <v>59.6018419723791</v>
      </c>
      <c r="P43" s="17" t="n">
        <f aca="false">AVERAGE(B24:B43)+2*STDEV(B24:B43)</f>
        <v>4825.44792231636</v>
      </c>
      <c r="Q43" s="17" t="n">
        <f aca="false">AVERAGE(B24:B43)-2*STDEV(B24:B43)</f>
        <v>4764.73007768364</v>
      </c>
      <c r="R43" s="19" t="n">
        <f aca="false">B43/B23-1</f>
        <v>0.00845944504522711</v>
      </c>
      <c r="S43" s="17" t="n">
        <f aca="false">STDEV(C24:C43)*SQRT(252)*100</f>
        <v>5.99725606472233</v>
      </c>
      <c r="T43" s="18"/>
      <c r="U43" s="18"/>
      <c r="V43" s="17" t="n">
        <f aca="false">(B43-AVERAGE(B24:B43))/STDEV(B24:B43)</f>
        <v>-0.734479299615576</v>
      </c>
    </row>
    <row r="44" customFormat="false" ht="15" hidden="false" customHeight="false" outlineLevel="0" collapsed="false">
      <c r="A44" s="17" t="s">
        <v>608</v>
      </c>
      <c r="B44" s="17" t="n">
        <v>4798.74</v>
      </c>
      <c r="C44" s="19" t="n">
        <f aca="false">B44/B43-1</f>
        <v>0.00309368428533796</v>
      </c>
      <c r="F44" s="17" t="n">
        <f aca="false">B44*2/13+F43*11/13</f>
        <v>4786.91377508193</v>
      </c>
      <c r="G44" s="17" t="n">
        <f aca="false">B44*2/27+G43*25/27</f>
        <v>4758.5353839297</v>
      </c>
      <c r="H44" s="17" t="n">
        <f aca="false">F44-G44</f>
        <v>28.3783911522296</v>
      </c>
      <c r="I44" s="17" t="n">
        <f aca="false">H44*2/10+I43*8/10</f>
        <v>40.2823181134301</v>
      </c>
      <c r="J44" s="17" t="n">
        <f aca="false">H44-I44</f>
        <v>-11.9039269612005</v>
      </c>
      <c r="K44" s="17" t="n">
        <f aca="false">MAX(B44-B43,0)</f>
        <v>14.8000000000002</v>
      </c>
      <c r="L44" s="17" t="n">
        <f aca="false">MAX(B43-B44,0)</f>
        <v>0</v>
      </c>
      <c r="M44" s="17" t="n">
        <f aca="false">(M43*13+K44)/14</f>
        <v>8.7867658655716</v>
      </c>
      <c r="N44" s="17" t="n">
        <f aca="false">(N43*13+L44)/14</f>
        <v>5.23914230592318</v>
      </c>
      <c r="O44" s="17" t="n">
        <f aca="false">IF(N44=0,100,100-100/(1+M44/N44))</f>
        <v>62.6466804012675</v>
      </c>
      <c r="P44" s="17" t="n">
        <f aca="false">AVERAGE(B25:B44)+2*STDEV(B25:B44)</f>
        <v>4825.80863551088</v>
      </c>
      <c r="Q44" s="17" t="n">
        <f aca="false">AVERAGE(B25:B44)-2*STDEV(B25:B44)</f>
        <v>4765.12236448912</v>
      </c>
      <c r="R44" s="19" t="n">
        <f aca="false">B44/B24-1</f>
        <v>0.00157162804385536</v>
      </c>
      <c r="S44" s="17" t="n">
        <f aca="false">STDEV(C25:C44)*SQRT(252)*100</f>
        <v>4.94594074990942</v>
      </c>
      <c r="T44" s="18"/>
      <c r="U44" s="18"/>
      <c r="V44" s="17" t="n">
        <f aca="false">(B44-AVERAGE(B25:B44))/STDEV(B25:B44)</f>
        <v>0.215831353277613</v>
      </c>
    </row>
    <row r="45" customFormat="false" ht="15" hidden="false" customHeight="false" outlineLevel="0" collapsed="false">
      <c r="A45" s="17" t="s">
        <v>609</v>
      </c>
      <c r="B45" s="17" t="n">
        <v>4829.51</v>
      </c>
      <c r="C45" s="19" t="n">
        <f aca="false">B45/B44-1</f>
        <v>0.00641209984287561</v>
      </c>
      <c r="F45" s="17" t="n">
        <f aca="false">B45*2/13+F44*11/13</f>
        <v>4793.46704045394</v>
      </c>
      <c r="G45" s="17" t="n">
        <f aca="false">B45*2/27+G44*25/27</f>
        <v>4763.79276289787</v>
      </c>
      <c r="H45" s="17" t="n">
        <f aca="false">F45-G45</f>
        <v>29.6742775560706</v>
      </c>
      <c r="I45" s="17" t="n">
        <f aca="false">H45*2/10+I44*8/10</f>
        <v>38.1607100019582</v>
      </c>
      <c r="J45" s="17" t="n">
        <f aca="false">H45-I45</f>
        <v>-8.48643244588758</v>
      </c>
      <c r="K45" s="17" t="n">
        <f aca="false">MAX(B45-B44,0)</f>
        <v>30.7700000000004</v>
      </c>
      <c r="L45" s="17" t="n">
        <f aca="false">MAX(B44-B45,0)</f>
        <v>0</v>
      </c>
      <c r="M45" s="17" t="n">
        <f aca="false">(M44*13+K45)/14</f>
        <v>10.3569968751737</v>
      </c>
      <c r="N45" s="17" t="n">
        <f aca="false">(N44*13+L45)/14</f>
        <v>4.86491785550009</v>
      </c>
      <c r="O45" s="17" t="n">
        <f aca="false">IF(N45=0,100,100-100/(1+M45/N45))</f>
        <v>68.0400400240269</v>
      </c>
      <c r="P45" s="17" t="n">
        <f aca="false">AVERAGE(B26:B45)+2*STDEV(B26:B45)</f>
        <v>4831.16136290612</v>
      </c>
      <c r="Q45" s="17" t="n">
        <f aca="false">AVERAGE(B26:B45)-2*STDEV(B26:B45)</f>
        <v>4764.24663709388</v>
      </c>
      <c r="R45" s="19" t="n">
        <f aca="false">B45/B25-1</f>
        <v>0.0093568302561895</v>
      </c>
      <c r="S45" s="17" t="n">
        <f aca="false">STDEV(C26:C45)*SQRT(252)*100</f>
        <v>5.39470376326608</v>
      </c>
      <c r="T45" s="18"/>
      <c r="U45" s="18"/>
      <c r="V45" s="17" t="n">
        <f aca="false">(B45-AVERAGE(B26:B45))/STDEV(B26:B45)</f>
        <v>1.90128553103543</v>
      </c>
    </row>
    <row r="46" customFormat="false" ht="15" hidden="false" customHeight="false" outlineLevel="0" collapsed="false">
      <c r="A46" s="17" t="s">
        <v>610</v>
      </c>
      <c r="B46" s="17" t="n">
        <v>4831.86</v>
      </c>
      <c r="C46" s="19" t="n">
        <f aca="false">B46/B45-1</f>
        <v>0.000486591807450365</v>
      </c>
      <c r="F46" s="17" t="n">
        <f aca="false">B46*2/13+F45*11/13</f>
        <v>4799.37364961487</v>
      </c>
      <c r="G46" s="17" t="n">
        <f aca="false">B46*2/27+G45*25/27</f>
        <v>4768.83478046099</v>
      </c>
      <c r="H46" s="17" t="n">
        <f aca="false">F46-G46</f>
        <v>30.5388691538828</v>
      </c>
      <c r="I46" s="17" t="n">
        <f aca="false">H46*2/10+I45*8/10</f>
        <v>36.6363418323431</v>
      </c>
      <c r="J46" s="17" t="n">
        <f aca="false">H46-I46</f>
        <v>-6.09747267846026</v>
      </c>
      <c r="K46" s="17" t="n">
        <f aca="false">MAX(B46-B45,0)</f>
        <v>2.34999999999945</v>
      </c>
      <c r="L46" s="17" t="n">
        <f aca="false">MAX(B45-B46,0)</f>
        <v>0</v>
      </c>
      <c r="M46" s="17" t="n">
        <f aca="false">(M45*13+K46)/14</f>
        <v>9.78506852694693</v>
      </c>
      <c r="N46" s="17" t="n">
        <f aca="false">(N45*13+L46)/14</f>
        <v>4.51742372296437</v>
      </c>
      <c r="O46" s="17" t="n">
        <f aca="false">IF(N46=0,100,100-100/(1+M46/N46))</f>
        <v>68.4151290276533</v>
      </c>
      <c r="P46" s="17" t="n">
        <f aca="false">AVERAGE(B27:B46)+2*STDEV(B27:B46)</f>
        <v>4836.25827583353</v>
      </c>
      <c r="Q46" s="17" t="n">
        <f aca="false">AVERAGE(B27:B46)-2*STDEV(B27:B46)</f>
        <v>4762.76072416647</v>
      </c>
      <c r="R46" s="19" t="n">
        <f aca="false">B46/B26-1</f>
        <v>0.00752958348537769</v>
      </c>
      <c r="S46" s="17" t="n">
        <f aca="false">STDEV(C27:C46)*SQRT(252)*100</f>
        <v>5.3513506809175</v>
      </c>
      <c r="T46" s="18"/>
      <c r="U46" s="18"/>
      <c r="V46" s="17" t="n">
        <f aca="false">(B46-AVERAGE(B27:B46))/STDEV(B27:B46)</f>
        <v>1.76063007630753</v>
      </c>
    </row>
    <row r="47" customFormat="false" ht="15" hidden="false" customHeight="false" outlineLevel="0" collapsed="false">
      <c r="A47" s="17" t="s">
        <v>611</v>
      </c>
      <c r="B47" s="17" t="n">
        <v>4804</v>
      </c>
      <c r="C47" s="19" t="n">
        <f aca="false">B47/B46-1</f>
        <v>-0.00576589553505269</v>
      </c>
      <c r="F47" s="17" t="n">
        <f aca="false">B47*2/13+F46*11/13</f>
        <v>4800.08539582797</v>
      </c>
      <c r="G47" s="17" t="n">
        <f aca="false">B47*2/27+G46*25/27</f>
        <v>4771.43961153795</v>
      </c>
      <c r="H47" s="17" t="n">
        <f aca="false">F47-G47</f>
        <v>28.6457842900163</v>
      </c>
      <c r="I47" s="17" t="n">
        <f aca="false">H47*2/10+I46*8/10</f>
        <v>35.0382303238778</v>
      </c>
      <c r="J47" s="17" t="n">
        <f aca="false">H47-I47</f>
        <v>-6.39244603386144</v>
      </c>
      <c r="K47" s="17" t="n">
        <f aca="false">MAX(B47-B46,0)</f>
        <v>0</v>
      </c>
      <c r="L47" s="17" t="n">
        <f aca="false">MAX(B46-B47,0)</f>
        <v>27.8599999999997</v>
      </c>
      <c r="M47" s="17" t="n">
        <f aca="false">(M46*13+K47)/14</f>
        <v>9.08613506073644</v>
      </c>
      <c r="N47" s="17" t="n">
        <f aca="false">(N46*13+L47)/14</f>
        <v>6.18475059989546</v>
      </c>
      <c r="O47" s="17" t="n">
        <f aca="false">IF(N47=0,100,100-100/(1+M47/N47))</f>
        <v>59.4997255736146</v>
      </c>
      <c r="P47" s="17" t="n">
        <f aca="false">AVERAGE(B28:B47)+2*STDEV(B28:B47)</f>
        <v>4836.53366084539</v>
      </c>
      <c r="Q47" s="17" t="n">
        <f aca="false">AVERAGE(B28:B47)-2*STDEV(B28:B47)</f>
        <v>4764.54633915461</v>
      </c>
      <c r="R47" s="19" t="n">
        <f aca="false">B47/B27-1</f>
        <v>0.00430865975803774</v>
      </c>
      <c r="S47" s="17" t="n">
        <f aca="false">STDEV(C28:C47)*SQRT(252)*100</f>
        <v>5.69384057721866</v>
      </c>
      <c r="T47" s="18"/>
      <c r="U47" s="18"/>
      <c r="V47" s="17" t="n">
        <f aca="false">(B47-AVERAGE(B28:B47))/STDEV(B28:B47)</f>
        <v>0.192256076138675</v>
      </c>
    </row>
    <row r="48" customFormat="false" ht="15" hidden="false" customHeight="false" outlineLevel="0" collapsed="false">
      <c r="A48" s="17" t="s">
        <v>612</v>
      </c>
      <c r="B48" s="17" t="n">
        <v>4681.54</v>
      </c>
      <c r="C48" s="19" t="n">
        <f aca="false">B48/B47-1</f>
        <v>-0.0254912572855953</v>
      </c>
      <c r="F48" s="17" t="n">
        <f aca="false">B48*2/13+F47*11/13</f>
        <v>4781.84764262367</v>
      </c>
      <c r="G48" s="17" t="n">
        <f aca="false">B48*2/27+G47*25/27</f>
        <v>4764.78038105366</v>
      </c>
      <c r="H48" s="17" t="n">
        <f aca="false">F48-G48</f>
        <v>17.0672615700059</v>
      </c>
      <c r="I48" s="17" t="n">
        <f aca="false">H48*2/10+I47*8/10</f>
        <v>31.4440365731034</v>
      </c>
      <c r="J48" s="17" t="n">
        <f aca="false">H48-I48</f>
        <v>-14.3767750030974</v>
      </c>
      <c r="K48" s="17" t="n">
        <f aca="false">MAX(B48-B47,0)</f>
        <v>0</v>
      </c>
      <c r="L48" s="17" t="n">
        <f aca="false">MAX(B47-B48,0)</f>
        <v>122.46</v>
      </c>
      <c r="M48" s="17" t="n">
        <f aca="false">(M47*13+K48)/14</f>
        <v>8.43712541354098</v>
      </c>
      <c r="N48" s="17" t="n">
        <f aca="false">(N47*13+L48)/14</f>
        <v>14.4901255570458</v>
      </c>
      <c r="O48" s="17" t="n">
        <f aca="false">IF(N48=0,100,100-100/(1+M48/N48))</f>
        <v>36.799550998787</v>
      </c>
      <c r="P48" s="17" t="n">
        <f aca="false">AVERAGE(B29:B48)+2*STDEV(B29:B48)</f>
        <v>4858.63177677853</v>
      </c>
      <c r="Q48" s="17" t="n">
        <f aca="false">AVERAGE(B29:B48)-2*STDEV(B29:B48)</f>
        <v>4730.27122322147</v>
      </c>
      <c r="R48" s="19" t="n">
        <f aca="false">B48/B28-1</f>
        <v>-0.0253512681879788</v>
      </c>
      <c r="S48" s="17" t="n">
        <f aca="false">STDEV(C29:C48)*SQRT(252)*100</f>
        <v>10.5929895404145</v>
      </c>
      <c r="T48" s="18"/>
      <c r="U48" s="18"/>
      <c r="V48" s="17" t="n">
        <f aca="false">(B48-AVERAGE(B29:B48))/STDEV(B29:B48)</f>
        <v>-3.51857317130724</v>
      </c>
    </row>
    <row r="49" customFormat="false" ht="15" hidden="false" customHeight="false" outlineLevel="0" collapsed="false">
      <c r="A49" s="17" t="s">
        <v>613</v>
      </c>
      <c r="B49" s="17" t="n">
        <v>4764.65</v>
      </c>
      <c r="C49" s="19" t="n">
        <f aca="false">B49/B48-1</f>
        <v>0.0177527053063735</v>
      </c>
      <c r="F49" s="17" t="n">
        <f aca="false">B49*2/13+F48*11/13</f>
        <v>4779.20185145079</v>
      </c>
      <c r="G49" s="17" t="n">
        <f aca="false">B49*2/27+G48*25/27</f>
        <v>4764.77072319783</v>
      </c>
      <c r="H49" s="17" t="n">
        <f aca="false">F49-G49</f>
        <v>14.4311282529607</v>
      </c>
      <c r="I49" s="17" t="n">
        <f aca="false">H49*2/10+I48*8/10</f>
        <v>28.0414549090748</v>
      </c>
      <c r="J49" s="17" t="n">
        <f aca="false">H49-I49</f>
        <v>-13.6103266561142</v>
      </c>
      <c r="K49" s="17" t="n">
        <f aca="false">MAX(B49-B48,0)</f>
        <v>83.1099999999997</v>
      </c>
      <c r="L49" s="17" t="n">
        <f aca="false">MAX(B48-B49,0)</f>
        <v>0</v>
      </c>
      <c r="M49" s="17" t="n">
        <f aca="false">(M48*13+K49)/14</f>
        <v>13.7709021697166</v>
      </c>
      <c r="N49" s="17" t="n">
        <f aca="false">(N48*13+L49)/14</f>
        <v>13.4551165886854</v>
      </c>
      <c r="O49" s="17" t="n">
        <f aca="false">IF(N49=0,100,100-100/(1+M49/N49))</f>
        <v>50.5799334523226</v>
      </c>
      <c r="P49" s="17" t="n">
        <f aca="false">AVERAGE(B30:B49)+2*STDEV(B30:B49)</f>
        <v>4857.54930259961</v>
      </c>
      <c r="Q49" s="17" t="n">
        <f aca="false">AVERAGE(B30:B49)-2*STDEV(B30:B49)</f>
        <v>4727.11069740039</v>
      </c>
      <c r="R49" s="19" t="n">
        <f aca="false">B49/B29-1</f>
        <v>-0.00882656415121041</v>
      </c>
      <c r="S49" s="17" t="n">
        <f aca="false">STDEV(C30:C49)*SQRT(252)*100</f>
        <v>12.5578312915152</v>
      </c>
      <c r="T49" s="18"/>
      <c r="U49" s="18"/>
      <c r="V49" s="17" t="n">
        <f aca="false">(B49-AVERAGE(B30:B49))/STDEV(B30:B49)</f>
        <v>-0.848828457119</v>
      </c>
    </row>
    <row r="50" customFormat="false" ht="15" hidden="false" customHeight="false" outlineLevel="0" collapsed="false">
      <c r="A50" s="17" t="s">
        <v>614</v>
      </c>
      <c r="B50" s="17" t="n">
        <v>4722.85</v>
      </c>
      <c r="C50" s="19" t="n">
        <f aca="false">B50/B49-1</f>
        <v>-0.00877294239870696</v>
      </c>
      <c r="F50" s="17" t="n">
        <f aca="false">B50*2/13+F49*11/13</f>
        <v>4770.53233584298</v>
      </c>
      <c r="G50" s="17" t="n">
        <f aca="false">B50*2/27+G49*25/27</f>
        <v>4761.66548444244</v>
      </c>
      <c r="H50" s="17" t="n">
        <f aca="false">F50-G50</f>
        <v>8.86685140054033</v>
      </c>
      <c r="I50" s="17" t="n">
        <f aca="false">H50*2/10+I49*8/10</f>
        <v>24.2065342073679</v>
      </c>
      <c r="J50" s="17" t="n">
        <f aca="false">H50-I50</f>
        <v>-15.3396828068276</v>
      </c>
      <c r="K50" s="17" t="n">
        <f aca="false">MAX(B50-B49,0)</f>
        <v>0</v>
      </c>
      <c r="L50" s="17" t="n">
        <f aca="false">MAX(B49-B50,0)</f>
        <v>41.7999999999993</v>
      </c>
      <c r="M50" s="17" t="n">
        <f aca="false">(M49*13+K50)/14</f>
        <v>12.7872663004511</v>
      </c>
      <c r="N50" s="17" t="n">
        <f aca="false">(N49*13+L50)/14</f>
        <v>15.4797511180649</v>
      </c>
      <c r="O50" s="17" t="n">
        <f aca="false">IF(N50=0,100,100-100/(1+M50/N50))</f>
        <v>45.2374090662814</v>
      </c>
      <c r="P50" s="17" t="n">
        <f aca="false">AVERAGE(B31:B50)+2*STDEV(B31:B50)</f>
        <v>4857.12087949458</v>
      </c>
      <c r="Q50" s="17" t="n">
        <f aca="false">AVERAGE(B31:B50)-2*STDEV(B31:B50)</f>
        <v>4717.11212050542</v>
      </c>
      <c r="R50" s="19" t="n">
        <f aca="false">B50/B30-1</f>
        <v>-0.0216008717413281</v>
      </c>
      <c r="S50" s="17" t="n">
        <f aca="false">STDEV(C31:C50)*SQRT(252)*100</f>
        <v>12.7699843327439</v>
      </c>
      <c r="T50" s="18"/>
      <c r="U50" s="18"/>
      <c r="V50" s="17" t="n">
        <f aca="false">(B50-AVERAGE(B31:B50))/STDEV(B31:B50)</f>
        <v>-1.83607084196715</v>
      </c>
    </row>
    <row r="51" customFormat="false" ht="15" hidden="false" customHeight="false" outlineLevel="0" collapsed="false">
      <c r="A51" s="17" t="s">
        <v>615</v>
      </c>
      <c r="B51" s="17" t="n">
        <v>4746.06</v>
      </c>
      <c r="C51" s="19" t="n">
        <f aca="false">B51/B50-1</f>
        <v>0.00491440549668099</v>
      </c>
      <c r="F51" s="17" t="n">
        <f aca="false">B51*2/13+F50*11/13</f>
        <v>4766.7673610979</v>
      </c>
      <c r="G51" s="17" t="n">
        <f aca="false">B51*2/27+G50*25/27</f>
        <v>4760.50952263189</v>
      </c>
      <c r="H51" s="17" t="n">
        <f aca="false">F51-G51</f>
        <v>6.25783846601735</v>
      </c>
      <c r="I51" s="17" t="n">
        <f aca="false">H51*2/10+I50*8/10</f>
        <v>20.6167950590978</v>
      </c>
      <c r="J51" s="17" t="n">
        <f aca="false">H51-I51</f>
        <v>-14.3589565930805</v>
      </c>
      <c r="K51" s="17" t="n">
        <f aca="false">MAX(B51-B50,0)</f>
        <v>23.21</v>
      </c>
      <c r="L51" s="17" t="n">
        <f aca="false">MAX(B50-B51,0)</f>
        <v>0</v>
      </c>
      <c r="M51" s="17" t="n">
        <f aca="false">(M50*13+K51)/14</f>
        <v>13.5317472789903</v>
      </c>
      <c r="N51" s="17" t="n">
        <f aca="false">(N50*13+L51)/14</f>
        <v>14.3740546096317</v>
      </c>
      <c r="O51" s="17" t="n">
        <f aca="false">IF(N51=0,100,100-100/(1+M51/N51))</f>
        <v>48.4908024969087</v>
      </c>
      <c r="P51" s="17" t="n">
        <f aca="false">AVERAGE(B32:B51)+2*STDEV(B32:B51)</f>
        <v>4856.71678747663</v>
      </c>
      <c r="Q51" s="17" t="n">
        <f aca="false">AVERAGE(B32:B51)-2*STDEV(B32:B51)</f>
        <v>4712.40321252337</v>
      </c>
      <c r="R51" s="19" t="n">
        <f aca="false">B51/B31-1</f>
        <v>-0.0106583228931936</v>
      </c>
      <c r="S51" s="17" t="n">
        <f aca="false">STDEV(C32:C51)*SQRT(252)*100</f>
        <v>12.786079343345</v>
      </c>
      <c r="T51" s="18"/>
      <c r="U51" s="18"/>
      <c r="V51" s="17" t="n">
        <f aca="false">(B51-AVERAGE(B32:B51))/STDEV(B32:B51)</f>
        <v>-1.06712067835529</v>
      </c>
    </row>
    <row r="52" customFormat="false" ht="15" hidden="false" customHeight="false" outlineLevel="0" collapsed="false">
      <c r="A52" s="17" t="s">
        <v>616</v>
      </c>
      <c r="B52" s="17" t="n">
        <v>4819.9</v>
      </c>
      <c r="C52" s="19" t="n">
        <f aca="false">B52/B51-1</f>
        <v>0.0155581682490316</v>
      </c>
      <c r="F52" s="17" t="n">
        <f aca="false">B52*2/13+F51*11/13</f>
        <v>4774.94161323669</v>
      </c>
      <c r="G52" s="17" t="n">
        <f aca="false">B52*2/27+G51*25/27</f>
        <v>4764.90881725175</v>
      </c>
      <c r="H52" s="17" t="n">
        <f aca="false">F52-G52</f>
        <v>10.032795984941</v>
      </c>
      <c r="I52" s="17" t="n">
        <f aca="false">H52*2/10+I51*8/10</f>
        <v>18.4999952442665</v>
      </c>
      <c r="J52" s="17" t="n">
        <f aca="false">H52-I52</f>
        <v>-8.46719925932545</v>
      </c>
      <c r="K52" s="17" t="n">
        <f aca="false">MAX(B52-B51,0)</f>
        <v>73.8399999999992</v>
      </c>
      <c r="L52" s="17" t="n">
        <f aca="false">MAX(B51-B52,0)</f>
        <v>0</v>
      </c>
      <c r="M52" s="17" t="n">
        <f aca="false">(M51*13+K52)/14</f>
        <v>17.8394796162053</v>
      </c>
      <c r="N52" s="17" t="n">
        <f aca="false">(N51*13+L52)/14</f>
        <v>13.3473364232295</v>
      </c>
      <c r="O52" s="17" t="n">
        <f aca="false">IF(N52=0,100,100-100/(1+M52/N52))</f>
        <v>57.2019907182824</v>
      </c>
      <c r="P52" s="17" t="n">
        <f aca="false">AVERAGE(B33:B52)+2*STDEV(B33:B52)</f>
        <v>4858.60003976261</v>
      </c>
      <c r="Q52" s="17" t="n">
        <f aca="false">AVERAGE(B33:B52)-2*STDEV(B33:B52)</f>
        <v>4711.96496023739</v>
      </c>
      <c r="R52" s="19" t="n">
        <f aca="false">B52/B32-1</f>
        <v>0.00300700246595009</v>
      </c>
      <c r="S52" s="17" t="n">
        <f aca="false">STDEV(C33:C52)*SQRT(252)*100</f>
        <v>13.9920516289551</v>
      </c>
      <c r="T52" s="18"/>
      <c r="U52" s="18"/>
      <c r="V52" s="17" t="n">
        <f aca="false">(B52-AVERAGE(B33:B52))/STDEV(B33:B52)</f>
        <v>0.944317010965872</v>
      </c>
    </row>
    <row r="53" customFormat="false" ht="15" hidden="false" customHeight="false" outlineLevel="0" collapsed="false">
      <c r="A53" s="17" t="s">
        <v>617</v>
      </c>
      <c r="B53" s="17" t="n">
        <v>4818.05</v>
      </c>
      <c r="C53" s="19" t="n">
        <f aca="false">B53/B52-1</f>
        <v>-0.000383825390568138</v>
      </c>
      <c r="D53" s="17" t="n">
        <f aca="false">AVERAGE(B4:B53)</f>
        <v>4735.4182</v>
      </c>
      <c r="F53" s="17" t="n">
        <f aca="false">B53*2/13+F52*11/13</f>
        <v>4781.57367273874</v>
      </c>
      <c r="G53" s="17" t="n">
        <f aca="false">B53*2/27+G52*25/27</f>
        <v>4768.84520115902</v>
      </c>
      <c r="H53" s="17" t="n">
        <f aca="false">F53-G53</f>
        <v>12.7284715797114</v>
      </c>
      <c r="I53" s="17" t="n">
        <f aca="false">H53*2/10+I52*8/10</f>
        <v>17.3456905113554</v>
      </c>
      <c r="J53" s="17" t="n">
        <f aca="false">H53-I53</f>
        <v>-4.61721893164407</v>
      </c>
      <c r="K53" s="17" t="n">
        <f aca="false">MAX(B53-B52,0)</f>
        <v>0</v>
      </c>
      <c r="L53" s="17" t="n">
        <f aca="false">MAX(B52-B53,0)</f>
        <v>1.84999999999945</v>
      </c>
      <c r="M53" s="17" t="n">
        <f aca="false">(M52*13+K53)/14</f>
        <v>16.5652310721906</v>
      </c>
      <c r="N53" s="17" t="n">
        <f aca="false">(N52*13+L53)/14</f>
        <v>12.5260981072845</v>
      </c>
      <c r="O53" s="17" t="n">
        <f aca="false">IF(N53=0,100,100-100/(1+M53/N53))</f>
        <v>56.942159534869</v>
      </c>
      <c r="P53" s="17" t="n">
        <f aca="false">AVERAGE(B34:B53)+2*STDEV(B34:B53)</f>
        <v>4859.81401581477</v>
      </c>
      <c r="Q53" s="17" t="n">
        <f aca="false">AVERAGE(B34:B53)-2*STDEV(B34:B53)</f>
        <v>4711.68798418523</v>
      </c>
      <c r="R53" s="19" t="n">
        <f aca="false">B53/B33-1</f>
        <v>0.00194855968789764</v>
      </c>
      <c r="S53" s="17" t="n">
        <f aca="false">STDEV(C34:C53)*SQRT(252)*100</f>
        <v>13.9922180143959</v>
      </c>
      <c r="T53" s="18"/>
      <c r="U53" s="18"/>
      <c r="V53" s="17" t="n">
        <f aca="false">(B53-AVERAGE(B34:B53))/STDEV(B34:B53)</f>
        <v>0.872203208164758</v>
      </c>
    </row>
    <row r="54" customFormat="false" ht="15" hidden="false" customHeight="false" outlineLevel="0" collapsed="false">
      <c r="A54" s="17" t="s">
        <v>618</v>
      </c>
      <c r="B54" s="17" t="n">
        <v>4796.07</v>
      </c>
      <c r="C54" s="19" t="n">
        <f aca="false">B54/B53-1</f>
        <v>-0.00456201160220426</v>
      </c>
      <c r="D54" s="17" t="n">
        <f aca="false">AVERAGE(B5:B54)</f>
        <v>4740.7724</v>
      </c>
      <c r="F54" s="17" t="n">
        <f aca="false">B54*2/13+F53*11/13</f>
        <v>4783.80387693278</v>
      </c>
      <c r="G54" s="17" t="n">
        <f aca="false">B54*2/27+G53*25/27</f>
        <v>4770.86185292502</v>
      </c>
      <c r="H54" s="17" t="n">
        <f aca="false">F54-G54</f>
        <v>12.9420240077543</v>
      </c>
      <c r="I54" s="17" t="n">
        <f aca="false">H54*2/10+I53*8/10</f>
        <v>16.4649572106352</v>
      </c>
      <c r="J54" s="17" t="n">
        <f aca="false">H54-I54</f>
        <v>-3.52293320288091</v>
      </c>
      <c r="K54" s="17" t="n">
        <f aca="false">MAX(B54-B53,0)</f>
        <v>0</v>
      </c>
      <c r="L54" s="17" t="n">
        <f aca="false">MAX(B53-B54,0)</f>
        <v>21.9800000000005</v>
      </c>
      <c r="M54" s="17" t="n">
        <f aca="false">(M53*13+K54)/14</f>
        <v>15.3820002813198</v>
      </c>
      <c r="N54" s="17" t="n">
        <f aca="false">(N53*13+L54)/14</f>
        <v>13.201376813907</v>
      </c>
      <c r="O54" s="17" t="n">
        <f aca="false">IF(N54=0,100,100-100/(1+M54/N54))</f>
        <v>53.814495852166</v>
      </c>
      <c r="P54" s="17" t="n">
        <f aca="false">AVERAGE(B35:B54)+2*STDEV(B35:B54)</f>
        <v>4858.86245725448</v>
      </c>
      <c r="Q54" s="17" t="n">
        <f aca="false">AVERAGE(B35:B54)-2*STDEV(B35:B54)</f>
        <v>4711.63254274552</v>
      </c>
      <c r="R54" s="19" t="n">
        <f aca="false">B54/B34-1</f>
        <v>-0.00209523650996446</v>
      </c>
      <c r="S54" s="17" t="n">
        <f aca="false">STDEV(C35:C54)*SQRT(252)*100</f>
        <v>14.0904709722829</v>
      </c>
      <c r="T54" s="18"/>
      <c r="U54" s="18"/>
      <c r="V54" s="17" t="n">
        <f aca="false">(B54-AVERAGE(B35:B54))/STDEV(B35:B54)</f>
        <v>0.294029920104085</v>
      </c>
    </row>
    <row r="55" customFormat="false" ht="15" hidden="false" customHeight="false" outlineLevel="0" collapsed="false">
      <c r="A55" s="17" t="s">
        <v>619</v>
      </c>
      <c r="B55" s="17" t="n">
        <v>4805.22</v>
      </c>
      <c r="C55" s="19" t="n">
        <f aca="false">B55/B54-1</f>
        <v>0.00190781202109247</v>
      </c>
      <c r="D55" s="17" t="n">
        <f aca="false">AVERAGE(B6:B55)</f>
        <v>4745.7826</v>
      </c>
      <c r="F55" s="17" t="n">
        <f aca="false">B55*2/13+F54*11/13</f>
        <v>4787.09866509696</v>
      </c>
      <c r="G55" s="17" t="n">
        <f aca="false">B55*2/27+G54*25/27</f>
        <v>4773.4069008565</v>
      </c>
      <c r="H55" s="17" t="n">
        <f aca="false">F55-G55</f>
        <v>13.6917642404633</v>
      </c>
      <c r="I55" s="17" t="n">
        <f aca="false">H55*2/10+I54*8/10</f>
        <v>15.9103186166008</v>
      </c>
      <c r="J55" s="17" t="n">
        <f aca="false">H55-I55</f>
        <v>-2.21855437613755</v>
      </c>
      <c r="K55" s="17" t="n">
        <f aca="false">MAX(B55-B54,0)</f>
        <v>9.15000000000055</v>
      </c>
      <c r="L55" s="17" t="n">
        <f aca="false">MAX(B54-B55,0)</f>
        <v>0</v>
      </c>
      <c r="M55" s="17" t="n">
        <f aca="false">(M54*13+K55)/14</f>
        <v>14.9368574040827</v>
      </c>
      <c r="N55" s="17" t="n">
        <f aca="false">(N54*13+L55)/14</f>
        <v>12.2584213271994</v>
      </c>
      <c r="O55" s="17" t="n">
        <f aca="false">IF(N55=0,100,100-100/(1+M55/N55))</f>
        <v>54.9244504962591</v>
      </c>
      <c r="P55" s="17" t="n">
        <f aca="false">AVERAGE(B36:B55)+2*STDEV(B36:B55)</f>
        <v>4858.48764076122</v>
      </c>
      <c r="Q55" s="17" t="n">
        <f aca="false">AVERAGE(B36:B55)-2*STDEV(B36:B55)</f>
        <v>4711.67335923879</v>
      </c>
      <c r="R55" s="19" t="n">
        <f aca="false">B55/B35-1</f>
        <v>-0.000694594639559454</v>
      </c>
      <c r="S55" s="17" t="n">
        <f aca="false">STDEV(C36:C55)*SQRT(252)*100</f>
        <v>14.1068240193541</v>
      </c>
      <c r="T55" s="18"/>
      <c r="U55" s="18"/>
      <c r="V55" s="17" t="n">
        <f aca="false">(B55-AVERAGE(B36:B55))/STDEV(B36:B55)</f>
        <v>0.548706836723466</v>
      </c>
    </row>
    <row r="56" customFormat="false" ht="15" hidden="false" customHeight="false" outlineLevel="0" collapsed="false">
      <c r="A56" s="17" t="s">
        <v>620</v>
      </c>
      <c r="B56" s="17" t="n">
        <v>4853.75</v>
      </c>
      <c r="C56" s="19" t="n">
        <f aca="false">B56/B55-1</f>
        <v>0.0100994335326998</v>
      </c>
      <c r="D56" s="17" t="n">
        <f aca="false">AVERAGE(B7:B56)</f>
        <v>4751.3054</v>
      </c>
      <c r="F56" s="17" t="n">
        <f aca="false">B56*2/13+F55*11/13</f>
        <v>4797.35271662051</v>
      </c>
      <c r="G56" s="17" t="n">
        <f aca="false">B56*2/27+G55*25/27</f>
        <v>4779.3582415338</v>
      </c>
      <c r="H56" s="17" t="n">
        <f aca="false">F56-G56</f>
        <v>17.9944750867107</v>
      </c>
      <c r="I56" s="17" t="n">
        <f aca="false">H56*2/10+I55*8/10</f>
        <v>16.3271499106228</v>
      </c>
      <c r="J56" s="17" t="n">
        <f aca="false">H56-I56</f>
        <v>1.66732517608793</v>
      </c>
      <c r="K56" s="17" t="n">
        <f aca="false">MAX(B56-B55,0)</f>
        <v>48.5299999999997</v>
      </c>
      <c r="L56" s="17" t="n">
        <f aca="false">MAX(B55-B56,0)</f>
        <v>0</v>
      </c>
      <c r="M56" s="17" t="n">
        <f aca="false">(M55*13+K56)/14</f>
        <v>17.3363675895054</v>
      </c>
      <c r="N56" s="17" t="n">
        <f aca="false">(N55*13+L56)/14</f>
        <v>11.382819803828</v>
      </c>
      <c r="O56" s="17" t="n">
        <f aca="false">IF(N56=0,100,100-100/(1+M56/N56))</f>
        <v>60.3651048759468</v>
      </c>
      <c r="P56" s="17" t="n">
        <f aca="false">AVERAGE(B37:B56)+2*STDEV(B37:B56)</f>
        <v>4865.16004591922</v>
      </c>
      <c r="Q56" s="17" t="n">
        <f aca="false">AVERAGE(B37:B56)-2*STDEV(B37:B56)</f>
        <v>4708.52795408078</v>
      </c>
      <c r="R56" s="19" t="n">
        <f aca="false">B56/B36-1</f>
        <v>0.00731973568428224</v>
      </c>
      <c r="S56" s="17" t="n">
        <f aca="false">STDEV(C37:C56)*SQRT(252)*100</f>
        <v>14.5441308007724</v>
      </c>
      <c r="T56" s="18"/>
      <c r="U56" s="18"/>
      <c r="V56" s="17" t="n">
        <f aca="false">(B56-AVERAGE(B37:B56))/STDEV(B37:B56)</f>
        <v>1.7086153728704</v>
      </c>
    </row>
    <row r="57" customFormat="false" ht="15" hidden="false" customHeight="false" outlineLevel="0" collapsed="false">
      <c r="A57" s="17" t="s">
        <v>621</v>
      </c>
      <c r="B57" s="17" t="n">
        <v>4891.36</v>
      </c>
      <c r="C57" s="19" t="n">
        <f aca="false">B57/B56-1</f>
        <v>0.00774864795261387</v>
      </c>
      <c r="D57" s="17" t="n">
        <f aca="false">AVERAGE(B8:B57)</f>
        <v>4757.8172</v>
      </c>
      <c r="F57" s="17" t="n">
        <f aca="false">B57*2/13+F56*11/13</f>
        <v>4811.81537560197</v>
      </c>
      <c r="G57" s="17" t="n">
        <f aca="false">B57*2/27+G56*25/27</f>
        <v>4787.65466808685</v>
      </c>
      <c r="H57" s="17" t="n">
        <f aca="false">F57-G57</f>
        <v>24.1607075151196</v>
      </c>
      <c r="I57" s="17" t="n">
        <f aca="false">H57*2/10+I56*8/10</f>
        <v>17.8938614315222</v>
      </c>
      <c r="J57" s="17" t="n">
        <f aca="false">H57-I57</f>
        <v>6.26684608359745</v>
      </c>
      <c r="K57" s="17" t="n">
        <f aca="false">MAX(B57-B56,0)</f>
        <v>37.6099999999997</v>
      </c>
      <c r="L57" s="17" t="n">
        <f aca="false">MAX(B56-B57,0)</f>
        <v>0</v>
      </c>
      <c r="M57" s="17" t="n">
        <f aca="false">(M56*13+K57)/14</f>
        <v>18.784484190255</v>
      </c>
      <c r="N57" s="17" t="n">
        <f aca="false">(N56*13+L57)/14</f>
        <v>10.5697612464117</v>
      </c>
      <c r="O57" s="17" t="n">
        <f aca="false">IF(N57=0,100,100-100/(1+M57/N57))</f>
        <v>63.9923933005993</v>
      </c>
      <c r="P57" s="17" t="n">
        <f aca="false">AVERAGE(B38:B57)+2*STDEV(B38:B57)</f>
        <v>4883.38713126062</v>
      </c>
      <c r="Q57" s="17" t="n">
        <f aca="false">AVERAGE(B38:B57)-2*STDEV(B38:B57)</f>
        <v>4701.08786873938</v>
      </c>
      <c r="R57" s="19" t="n">
        <f aca="false">B57/B37-1</f>
        <v>0.022550480925015</v>
      </c>
      <c r="S57" s="17" t="n">
        <f aca="false">STDEV(C38:C57)*SQRT(252)*100</f>
        <v>14.4705097997713</v>
      </c>
      <c r="T57" s="18"/>
      <c r="U57" s="18"/>
      <c r="V57" s="17" t="n">
        <f aca="false">(B57-AVERAGE(B38:B57))/STDEV(B38:B57)</f>
        <v>2.17494023023705</v>
      </c>
    </row>
    <row r="58" customFormat="false" ht="15" hidden="false" customHeight="false" outlineLevel="0" collapsed="false">
      <c r="A58" s="17" t="s">
        <v>622</v>
      </c>
      <c r="B58" s="17" t="n">
        <v>4858.91</v>
      </c>
      <c r="C58" s="19" t="n">
        <f aca="false">B58/B57-1</f>
        <v>-0.00663414674037488</v>
      </c>
      <c r="D58" s="17" t="n">
        <f aca="false">AVERAGE(B9:B58)</f>
        <v>4763.0656</v>
      </c>
      <c r="F58" s="17" t="n">
        <f aca="false">B58*2/13+F57*11/13</f>
        <v>4819.06070243244</v>
      </c>
      <c r="G58" s="17" t="n">
        <f aca="false">B58*2/27+G57*25/27</f>
        <v>4792.93284082116</v>
      </c>
      <c r="H58" s="17" t="n">
        <f aca="false">F58-G58</f>
        <v>26.1278616112786</v>
      </c>
      <c r="I58" s="17" t="n">
        <f aca="false">H58*2/10+I57*8/10</f>
        <v>19.5406614674735</v>
      </c>
      <c r="J58" s="17" t="n">
        <f aca="false">H58-I58</f>
        <v>6.58720014380515</v>
      </c>
      <c r="K58" s="17" t="n">
        <f aca="false">MAX(B58-B57,0)</f>
        <v>0</v>
      </c>
      <c r="L58" s="17" t="n">
        <f aca="false">MAX(B57-B58,0)</f>
        <v>32.4499999999998</v>
      </c>
      <c r="M58" s="17" t="n">
        <f aca="false">(M57*13+K58)/14</f>
        <v>17.4427353195225</v>
      </c>
      <c r="N58" s="17" t="n">
        <f aca="false">(N57*13+L58)/14</f>
        <v>12.1326354430966</v>
      </c>
      <c r="O58" s="17" t="n">
        <f aca="false">IF(N58=0,100,100-100/(1+M58/N58))</f>
        <v>58.9772329805202</v>
      </c>
      <c r="P58" s="17" t="n">
        <f aca="false">AVERAGE(B39:B58)+2*STDEV(B39:B58)</f>
        <v>4891.864433847</v>
      </c>
      <c r="Q58" s="17" t="n">
        <f aca="false">AVERAGE(B39:B58)-2*STDEV(B39:B58)</f>
        <v>4700.958566153</v>
      </c>
      <c r="R58" s="19" t="n">
        <f aca="false">B58/B38-1</f>
        <v>0.017481148294499</v>
      </c>
      <c r="S58" s="17" t="n">
        <f aca="false">STDEV(C39:C58)*SQRT(252)*100</f>
        <v>14.70410426593</v>
      </c>
      <c r="T58" s="18"/>
      <c r="U58" s="18"/>
      <c r="V58" s="17" t="n">
        <f aca="false">(B58-AVERAGE(B39:B58))/STDEV(B39:B58)</f>
        <v>1.30951449015023</v>
      </c>
    </row>
    <row r="59" customFormat="false" ht="15" hidden="false" customHeight="false" outlineLevel="0" collapsed="false">
      <c r="A59" s="17" t="s">
        <v>623</v>
      </c>
      <c r="B59" s="17" t="n">
        <v>4817.17</v>
      </c>
      <c r="C59" s="19" t="n">
        <f aca="false">B59/B58-1</f>
        <v>-0.00859040402065481</v>
      </c>
      <c r="D59" s="17" t="n">
        <f aca="false">AVERAGE(B10:B59)</f>
        <v>4767.6124</v>
      </c>
      <c r="F59" s="17" t="n">
        <f aca="false">B59*2/13+F58*11/13</f>
        <v>4818.76982513514</v>
      </c>
      <c r="G59" s="17" t="n">
        <f aca="false">B59*2/27+G58*25/27</f>
        <v>4794.72818594552</v>
      </c>
      <c r="H59" s="17" t="n">
        <f aca="false">F59-G59</f>
        <v>24.0416391896224</v>
      </c>
      <c r="I59" s="17" t="n">
        <f aca="false">H59*2/10+I58*8/10</f>
        <v>20.4408570119032</v>
      </c>
      <c r="J59" s="17" t="n">
        <f aca="false">H59-I59</f>
        <v>3.60078217771916</v>
      </c>
      <c r="K59" s="17" t="n">
        <f aca="false">MAX(B59-B58,0)</f>
        <v>0</v>
      </c>
      <c r="L59" s="17" t="n">
        <f aca="false">MAX(B58-B59,0)</f>
        <v>41.7399999999998</v>
      </c>
      <c r="M59" s="17" t="n">
        <f aca="false">(M58*13+K59)/14</f>
        <v>16.1968256538423</v>
      </c>
      <c r="N59" s="17" t="n">
        <f aca="false">(N58*13+L59)/14</f>
        <v>14.2474471971611</v>
      </c>
      <c r="O59" s="17" t="n">
        <f aca="false">IF(N59=0,100,100-100/(1+M59/N59))</f>
        <v>53.2015520065492</v>
      </c>
      <c r="P59" s="17" t="n">
        <f aca="false">AVERAGE(B40:B59)+2*STDEV(B40:B59)</f>
        <v>4893.77307329538</v>
      </c>
      <c r="Q59" s="17" t="n">
        <f aca="false">AVERAGE(B40:B59)-2*STDEV(B40:B59)</f>
        <v>4702.39792670462</v>
      </c>
      <c r="R59" s="19" t="n">
        <f aca="false">B59/B39-1</f>
        <v>0.00699878127554254</v>
      </c>
      <c r="S59" s="17" t="n">
        <f aca="false">STDEV(C40:C59)*SQRT(252)*100</f>
        <v>15.0791326317073</v>
      </c>
      <c r="T59" s="18"/>
      <c r="U59" s="18"/>
      <c r="V59" s="17" t="n">
        <f aca="false">(B59-AVERAGE(B40:B59))/STDEV(B40:B59)</f>
        <v>0.398891921756431</v>
      </c>
    </row>
    <row r="60" customFormat="false" ht="15" hidden="false" customHeight="false" outlineLevel="0" collapsed="false">
      <c r="A60" s="17" t="s">
        <v>624</v>
      </c>
      <c r="B60" s="17" t="n">
        <v>4866.71</v>
      </c>
      <c r="C60" s="19" t="n">
        <f aca="false">B60/B59-1</f>
        <v>0.0102840464422056</v>
      </c>
      <c r="D60" s="17" t="n">
        <f aca="false">AVERAGE(B11:B60)</f>
        <v>4772.553</v>
      </c>
      <c r="F60" s="17" t="n">
        <f aca="false">B60*2/13+F59*11/13</f>
        <v>4826.14523665281</v>
      </c>
      <c r="G60" s="17" t="n">
        <f aca="false">B60*2/27+G59*25/27</f>
        <v>4800.06017217177</v>
      </c>
      <c r="H60" s="17" t="n">
        <f aca="false">F60-G60</f>
        <v>26.0850644810344</v>
      </c>
      <c r="I60" s="17" t="n">
        <f aca="false">H60*2/10+I59*8/10</f>
        <v>21.5696985057295</v>
      </c>
      <c r="J60" s="17" t="n">
        <f aca="false">H60-I60</f>
        <v>4.51536597530489</v>
      </c>
      <c r="K60" s="17" t="n">
        <f aca="false">MAX(B60-B59,0)</f>
        <v>49.54</v>
      </c>
      <c r="L60" s="17" t="n">
        <f aca="false">MAX(B59-B60,0)</f>
        <v>0</v>
      </c>
      <c r="M60" s="17" t="n">
        <f aca="false">(M59*13+K60)/14</f>
        <v>18.5784809642821</v>
      </c>
      <c r="N60" s="17" t="n">
        <f aca="false">(N59*13+L60)/14</f>
        <v>13.2297723973639</v>
      </c>
      <c r="O60" s="17" t="n">
        <f aca="false">IF(N60=0,100,100-100/(1+M60/N60))</f>
        <v>58.407736989054</v>
      </c>
      <c r="P60" s="17" t="n">
        <f aca="false">AVERAGE(B41:B60)+2*STDEV(B41:B60)</f>
        <v>4902.25101993788</v>
      </c>
      <c r="Q60" s="17" t="n">
        <f aca="false">AVERAGE(B41:B60)-2*STDEV(B41:B60)</f>
        <v>4701.48198006212</v>
      </c>
      <c r="R60" s="19" t="n">
        <f aca="false">B60/B40-1</f>
        <v>0.0157834647230588</v>
      </c>
      <c r="S60" s="17" t="n">
        <f aca="false">STDEV(C41:C60)*SQRT(252)*100</f>
        <v>15.4814707745471</v>
      </c>
      <c r="T60" s="18"/>
      <c r="U60" s="18"/>
      <c r="V60" s="17" t="n">
        <f aca="false">(B60-AVERAGE(B41:B60))/STDEV(B41:B60)</f>
        <v>1.29190237777954</v>
      </c>
    </row>
    <row r="61" customFormat="false" ht="15" hidden="false" customHeight="false" outlineLevel="0" collapsed="false">
      <c r="A61" s="17" t="s">
        <v>625</v>
      </c>
      <c r="B61" s="17" t="n">
        <v>4875.27</v>
      </c>
      <c r="C61" s="19" t="n">
        <f aca="false">B61/B60-1</f>
        <v>0.00175888844825356</v>
      </c>
      <c r="D61" s="17" t="n">
        <f aca="false">AVERAGE(B12:B61)</f>
        <v>4777.9928</v>
      </c>
      <c r="F61" s="17" t="n">
        <f aca="false">B61*2/13+F60*11/13</f>
        <v>4833.70289255238</v>
      </c>
      <c r="G61" s="17" t="n">
        <f aca="false">B61*2/27+G60*25/27</f>
        <v>4805.63127052942</v>
      </c>
      <c r="H61" s="17" t="n">
        <f aca="false">F61-G61</f>
        <v>28.071622022956</v>
      </c>
      <c r="I61" s="17" t="n">
        <f aca="false">H61*2/10+I60*8/10</f>
        <v>22.8700832091748</v>
      </c>
      <c r="J61" s="17" t="n">
        <f aca="false">H61-I61</f>
        <v>5.20153881378126</v>
      </c>
      <c r="K61" s="17" t="n">
        <f aca="false">MAX(B61-B60,0)</f>
        <v>8.5600000000004</v>
      </c>
      <c r="L61" s="17" t="n">
        <f aca="false">MAX(B60-B61,0)</f>
        <v>0</v>
      </c>
      <c r="M61" s="17" t="n">
        <f aca="false">(M60*13+K61)/14</f>
        <v>17.8628751811192</v>
      </c>
      <c r="N61" s="17" t="n">
        <f aca="false">(N60*13+L61)/14</f>
        <v>12.284788654695</v>
      </c>
      <c r="O61" s="17" t="n">
        <f aca="false">IF(N61=0,100,100-100/(1+M61/N61))</f>
        <v>59.2512749193481</v>
      </c>
      <c r="P61" s="17" t="n">
        <f aca="false">AVERAGE(B42:B61)+2*STDEV(B42:B61)</f>
        <v>4911.55233796284</v>
      </c>
      <c r="Q61" s="17" t="n">
        <f aca="false">AVERAGE(B42:B61)-2*STDEV(B42:B61)</f>
        <v>4702.10866203716</v>
      </c>
      <c r="R61" s="19" t="n">
        <f aca="false">B61/B41-1</f>
        <v>0.0207873132062673</v>
      </c>
      <c r="S61" s="17" t="n">
        <f aca="false">STDEV(C42:C61)*SQRT(252)*100</f>
        <v>15.4119927575136</v>
      </c>
      <c r="T61" s="18"/>
      <c r="U61" s="18"/>
      <c r="V61" s="17" t="n">
        <f aca="false">(B61-AVERAGE(B42:B61))/STDEV(B42:B61)</f>
        <v>1.30707217007181</v>
      </c>
    </row>
    <row r="62" customFormat="false" ht="15" hidden="false" customHeight="false" outlineLevel="0" collapsed="false">
      <c r="A62" s="17" t="s">
        <v>626</v>
      </c>
      <c r="B62" s="17" t="n">
        <v>4838.3</v>
      </c>
      <c r="C62" s="19" t="n">
        <f aca="false">B62/B61-1</f>
        <v>-0.00758316975264961</v>
      </c>
      <c r="D62" s="17" t="n">
        <f aca="false">AVERAGE(B13:B62)</f>
        <v>4781.6148</v>
      </c>
      <c r="F62" s="17" t="n">
        <f aca="false">B62*2/13+F61*11/13</f>
        <v>4834.41013985201</v>
      </c>
      <c r="G62" s="17" t="n">
        <f aca="false">B62*2/27+G61*25/27</f>
        <v>4808.05117641613</v>
      </c>
      <c r="H62" s="17" t="n">
        <f aca="false">F62-G62</f>
        <v>26.3589634358805</v>
      </c>
      <c r="I62" s="17" t="n">
        <f aca="false">H62*2/10+I61*8/10</f>
        <v>23.5678592545159</v>
      </c>
      <c r="J62" s="17" t="n">
        <f aca="false">H62-I62</f>
        <v>2.79110418136455</v>
      </c>
      <c r="K62" s="17" t="n">
        <f aca="false">MAX(B62-B61,0)</f>
        <v>0</v>
      </c>
      <c r="L62" s="17" t="n">
        <f aca="false">MAX(B61-B62,0)</f>
        <v>36.9700000000003</v>
      </c>
      <c r="M62" s="17" t="n">
        <f aca="false">(M61*13+K62)/14</f>
        <v>16.5869555253249</v>
      </c>
      <c r="N62" s="17" t="n">
        <f aca="false">(N61*13+L62)/14</f>
        <v>14.0480180365025</v>
      </c>
      <c r="O62" s="17" t="n">
        <f aca="false">IF(N62=0,100,100-100/(1+M62/N62))</f>
        <v>54.1438545453586</v>
      </c>
      <c r="P62" s="17" t="n">
        <f aca="false">AVERAGE(B43:B62)+2*STDEV(B43:B62)</f>
        <v>4914.39483655317</v>
      </c>
      <c r="Q62" s="17" t="n">
        <f aca="false">AVERAGE(B43:B62)-2*STDEV(B43:B62)</f>
        <v>4705.99116344683</v>
      </c>
      <c r="R62" s="19" t="n">
        <f aca="false">B62/B42-1</f>
        <v>0.0140954297272089</v>
      </c>
      <c r="S62" s="17" t="n">
        <f aca="false">STDEV(C43:C62)*SQRT(252)*100</f>
        <v>15.7033794987574</v>
      </c>
      <c r="T62" s="18"/>
      <c r="U62" s="18"/>
      <c r="V62" s="17" t="n">
        <f aca="false">(B62-AVERAGE(B43:B62))/STDEV(B43:B62)</f>
        <v>0.539472257490573</v>
      </c>
    </row>
    <row r="63" customFormat="false" ht="15" hidden="false" customHeight="false" outlineLevel="0" collapsed="false">
      <c r="A63" s="17" t="s">
        <v>627</v>
      </c>
      <c r="B63" s="17" t="n">
        <v>4875.7</v>
      </c>
      <c r="C63" s="19" t="n">
        <f aca="false">B63/B62-1</f>
        <v>0.00772998780563405</v>
      </c>
      <c r="D63" s="17" t="n">
        <f aca="false">AVERAGE(B14:B63)</f>
        <v>4786.1884</v>
      </c>
      <c r="F63" s="17" t="n">
        <f aca="false">B63*2/13+F62*11/13</f>
        <v>4840.76242602862</v>
      </c>
      <c r="G63" s="17" t="n">
        <f aca="false">B63*2/27+G62*25/27</f>
        <v>4813.06220038531</v>
      </c>
      <c r="H63" s="17" t="n">
        <f aca="false">F63-G63</f>
        <v>27.7002256433188</v>
      </c>
      <c r="I63" s="17" t="n">
        <f aca="false">H63*2/10+I62*8/10</f>
        <v>24.3943325322765</v>
      </c>
      <c r="J63" s="17" t="n">
        <f aca="false">H63-I63</f>
        <v>3.30589311104234</v>
      </c>
      <c r="K63" s="17" t="n">
        <f aca="false">MAX(B63-B62,0)</f>
        <v>37.3999999999996</v>
      </c>
      <c r="L63" s="17" t="n">
        <f aca="false">MAX(B62-B63,0)</f>
        <v>0</v>
      </c>
      <c r="M63" s="17" t="n">
        <f aca="false">(M62*13+K63)/14</f>
        <v>18.0736015592303</v>
      </c>
      <c r="N63" s="17" t="n">
        <f aca="false">(N62*13+L63)/14</f>
        <v>13.0445881767524</v>
      </c>
      <c r="O63" s="17" t="n">
        <f aca="false">IF(N63=0,100,100-100/(1+M63/N63))</f>
        <v>58.0805044013578</v>
      </c>
      <c r="P63" s="17" t="n">
        <f aca="false">AVERAGE(B44:B63)+2*STDEV(B44:B63)</f>
        <v>4922.1481126556</v>
      </c>
      <c r="Q63" s="17" t="n">
        <f aca="false">AVERAGE(B44:B63)-2*STDEV(B44:B63)</f>
        <v>4707.4138873444</v>
      </c>
      <c r="R63" s="19" t="n">
        <f aca="false">B63/B43-1</f>
        <v>0.0191808425690958</v>
      </c>
      <c r="S63" s="17" t="n">
        <f aca="false">STDEV(C44:C63)*SQRT(252)*100</f>
        <v>15.8867695579042</v>
      </c>
      <c r="T63" s="18"/>
      <c r="U63" s="18"/>
      <c r="V63" s="17" t="n">
        <f aca="false">(B63-AVERAGE(B44:B63))/STDEV(B44:B63)</f>
        <v>1.13477951475532</v>
      </c>
    </row>
    <row r="64" customFormat="false" ht="15" hidden="false" customHeight="false" outlineLevel="0" collapsed="false">
      <c r="A64" s="17" t="s">
        <v>628</v>
      </c>
      <c r="B64" s="17" t="n">
        <v>4866.63</v>
      </c>
      <c r="C64" s="19" t="n">
        <f aca="false">B64/B63-1</f>
        <v>-0.00186024570830845</v>
      </c>
      <c r="D64" s="17" t="n">
        <f aca="false">AVERAGE(B15:B64)</f>
        <v>4790.1996</v>
      </c>
      <c r="F64" s="17" t="n">
        <f aca="false">B64*2/13+F63*11/13</f>
        <v>4844.74205279345</v>
      </c>
      <c r="G64" s="17" t="n">
        <f aca="false">B64*2/27+G63*25/27</f>
        <v>4817.03018554195</v>
      </c>
      <c r="H64" s="17" t="n">
        <f aca="false">F64-G64</f>
        <v>27.7118672515026</v>
      </c>
      <c r="I64" s="17" t="n">
        <f aca="false">H64*2/10+I63*8/10</f>
        <v>25.0578394761217</v>
      </c>
      <c r="J64" s="17" t="n">
        <f aca="false">H64-I64</f>
        <v>2.65402777538084</v>
      </c>
      <c r="K64" s="17" t="n">
        <f aca="false">MAX(B64-B63,0)</f>
        <v>0</v>
      </c>
      <c r="L64" s="17" t="n">
        <f aca="false">MAX(B63-B64,0)</f>
        <v>9.06999999999971</v>
      </c>
      <c r="M64" s="17" t="n">
        <f aca="false">(M63*13+K64)/14</f>
        <v>16.7826300192852</v>
      </c>
      <c r="N64" s="17" t="n">
        <f aca="false">(N63*13+L64)/14</f>
        <v>12.76068902127</v>
      </c>
      <c r="O64" s="17" t="n">
        <f aca="false">IF(N64=0,100,100-100/(1+M64/N64))</f>
        <v>56.8068536789894</v>
      </c>
      <c r="P64" s="17" t="n">
        <f aca="false">AVERAGE(B45:B64)+2*STDEV(B45:B64)</f>
        <v>4927.67879261572</v>
      </c>
      <c r="Q64" s="17" t="n">
        <f aca="false">AVERAGE(B45:B64)-2*STDEV(B45:B64)</f>
        <v>4708.67220738428</v>
      </c>
      <c r="R64" s="19" t="n">
        <f aca="false">B64/B44-1</f>
        <v>0.0141474637092238</v>
      </c>
      <c r="S64" s="17" t="n">
        <f aca="false">STDEV(C45:C64)*SQRT(252)*100</f>
        <v>15.8974187499898</v>
      </c>
      <c r="T64" s="18"/>
      <c r="U64" s="18"/>
      <c r="V64" s="17" t="n">
        <f aca="false">(B64-AVERAGE(B45:B64))/STDEV(B45:B64)</f>
        <v>0.884987087466708</v>
      </c>
    </row>
    <row r="65" customFormat="false" ht="15" hidden="false" customHeight="false" outlineLevel="0" collapsed="false">
      <c r="A65" s="17" t="s">
        <v>629</v>
      </c>
      <c r="B65" s="17" t="n">
        <v>4859.47</v>
      </c>
      <c r="C65" s="19" t="n">
        <f aca="false">B65/B64-1</f>
        <v>-0.00147124396142706</v>
      </c>
      <c r="D65" s="17" t="n">
        <f aca="false">AVERAGE(B16:B65)</f>
        <v>4794.0704</v>
      </c>
      <c r="F65" s="17" t="n">
        <f aca="false">B65*2/13+F64*11/13</f>
        <v>4847.00789082523</v>
      </c>
      <c r="G65" s="17" t="n">
        <f aca="false">B65*2/27+G64*25/27</f>
        <v>4820.17387550181</v>
      </c>
      <c r="H65" s="17" t="n">
        <f aca="false">F65-G65</f>
        <v>26.834015323424</v>
      </c>
      <c r="I65" s="17" t="n">
        <f aca="false">H65*2/10+I64*8/10</f>
        <v>25.4130746455822</v>
      </c>
      <c r="J65" s="17" t="n">
        <f aca="false">H65-I65</f>
        <v>1.42094067784179</v>
      </c>
      <c r="K65" s="17" t="n">
        <f aca="false">MAX(B65-B64,0)</f>
        <v>0</v>
      </c>
      <c r="L65" s="17" t="n">
        <f aca="false">MAX(B64-B65,0)</f>
        <v>7.15999999999985</v>
      </c>
      <c r="M65" s="17" t="n">
        <f aca="false">(M64*13+K65)/14</f>
        <v>15.5838707321934</v>
      </c>
      <c r="N65" s="17" t="n">
        <f aca="false">(N64*13+L65)/14</f>
        <v>12.360639805465</v>
      </c>
      <c r="O65" s="17" t="n">
        <f aca="false">IF(N65=0,100,100-100/(1+M65/N65))</f>
        <v>55.7671987533737</v>
      </c>
      <c r="P65" s="17" t="n">
        <f aca="false">AVERAGE(B46:B65)+2*STDEV(B46:B65)</f>
        <v>4930.63959008351</v>
      </c>
      <c r="Q65" s="17" t="n">
        <f aca="false">AVERAGE(B46:B65)-2*STDEV(B46:B65)</f>
        <v>4708.70740991649</v>
      </c>
      <c r="R65" s="19" t="n">
        <f aca="false">B65/B45-1</f>
        <v>0.00620352789413414</v>
      </c>
      <c r="S65" s="17" t="n">
        <f aca="false">STDEV(C46:C65)*SQRT(252)*100</f>
        <v>15.7708283726995</v>
      </c>
      <c r="T65" s="18"/>
      <c r="U65" s="18"/>
      <c r="V65" s="17" t="n">
        <f aca="false">(B65-AVERAGE(B46:B65))/STDEV(B46:B65)</f>
        <v>0.71727317723913</v>
      </c>
    </row>
    <row r="66" customFormat="false" ht="15" hidden="false" customHeight="false" outlineLevel="0" collapsed="false">
      <c r="A66" s="17" t="s">
        <v>630</v>
      </c>
      <c r="B66" s="17" t="n">
        <v>4877.75</v>
      </c>
      <c r="C66" s="19" t="n">
        <f aca="false">B66/B65-1</f>
        <v>0.00376172710192679</v>
      </c>
      <c r="D66" s="17" t="n">
        <f aca="false">AVERAGE(B17:B66)</f>
        <v>4798.1832</v>
      </c>
      <c r="F66" s="17" t="n">
        <f aca="false">B66*2/13+F65*11/13</f>
        <v>4851.73744608289</v>
      </c>
      <c r="G66" s="17" t="n">
        <f aca="false">B66*2/27+G65*25/27</f>
        <v>4824.43877361278</v>
      </c>
      <c r="H66" s="17" t="n">
        <f aca="false">F66-G66</f>
        <v>27.2986724701041</v>
      </c>
      <c r="I66" s="17" t="n">
        <f aca="false">H66*2/10+I65*8/10</f>
        <v>25.7901942104865</v>
      </c>
      <c r="J66" s="17" t="n">
        <f aca="false">H66-I66</f>
        <v>1.50847825961752</v>
      </c>
      <c r="K66" s="17" t="n">
        <f aca="false">MAX(B66-B65,0)</f>
        <v>18.2799999999997</v>
      </c>
      <c r="L66" s="17" t="n">
        <f aca="false">MAX(B65-B66,0)</f>
        <v>0</v>
      </c>
      <c r="M66" s="17" t="n">
        <f aca="false">(M65*13+K66)/14</f>
        <v>15.7764513941796</v>
      </c>
      <c r="N66" s="17" t="n">
        <f aca="false">(N65*13+L66)/14</f>
        <v>11.4777369622175</v>
      </c>
      <c r="O66" s="17" t="n">
        <f aca="false">IF(N66=0,100,100-100/(1+M66/N66))</f>
        <v>57.8863372773182</v>
      </c>
      <c r="P66" s="17" t="n">
        <f aca="false">AVERAGE(B47:B66)+2*STDEV(B47:B66)</f>
        <v>4935.85443643652</v>
      </c>
      <c r="Q66" s="17" t="n">
        <f aca="false">AVERAGE(B47:B66)-2*STDEV(B47:B66)</f>
        <v>4708.08156356348</v>
      </c>
      <c r="R66" s="19" t="n">
        <f aca="false">B66/B46-1</f>
        <v>0.00949737782137738</v>
      </c>
      <c r="S66" s="17" t="n">
        <f aca="false">STDEV(C47:C66)*SQRT(252)*100</f>
        <v>15.81719892144</v>
      </c>
      <c r="T66" s="18"/>
      <c r="U66" s="18"/>
      <c r="V66" s="17" t="n">
        <f aca="false">(B66-AVERAGE(B47:B66))/STDEV(B47:B66)</f>
        <v>0.979607436063569</v>
      </c>
    </row>
    <row r="67" customFormat="false" ht="15" hidden="false" customHeight="false" outlineLevel="0" collapsed="false">
      <c r="A67" s="17" t="s">
        <v>631</v>
      </c>
      <c r="B67" s="17" t="n">
        <v>4873.92</v>
      </c>
      <c r="C67" s="19" t="n">
        <f aca="false">B67/B66-1</f>
        <v>-0.000785198093383177</v>
      </c>
      <c r="D67" s="17" t="n">
        <f aca="false">AVERAGE(B18:B67)</f>
        <v>4801.604</v>
      </c>
      <c r="F67" s="17" t="n">
        <f aca="false">B67*2/13+F66*11/13</f>
        <v>4855.15014668552</v>
      </c>
      <c r="G67" s="17" t="n">
        <f aca="false">B67*2/27+G66*25/27</f>
        <v>4828.10404964146</v>
      </c>
      <c r="H67" s="17" t="n">
        <f aca="false">F67-G67</f>
        <v>27.0460970440545</v>
      </c>
      <c r="I67" s="17" t="n">
        <f aca="false">H67*2/10+I66*8/10</f>
        <v>26.0413747772001</v>
      </c>
      <c r="J67" s="17" t="n">
        <f aca="false">H67-I67</f>
        <v>1.00472226685434</v>
      </c>
      <c r="K67" s="17" t="n">
        <f aca="false">MAX(B67-B66,0)</f>
        <v>0</v>
      </c>
      <c r="L67" s="17" t="n">
        <f aca="false">MAX(B66-B67,0)</f>
        <v>3.82999999999993</v>
      </c>
      <c r="M67" s="17" t="n">
        <f aca="false">(M66*13+K67)/14</f>
        <v>14.6495620088811</v>
      </c>
      <c r="N67" s="17" t="n">
        <f aca="false">(N66*13+L67)/14</f>
        <v>10.9314700363448</v>
      </c>
      <c r="O67" s="17" t="n">
        <f aca="false">IF(N67=0,100,100-100/(1+M67/N67))</f>
        <v>57.2672829734994</v>
      </c>
      <c r="P67" s="17" t="n">
        <f aca="false">AVERAGE(B48:B67)+2*STDEV(B48:B67)</f>
        <v>4941.30399207619</v>
      </c>
      <c r="Q67" s="17" t="n">
        <f aca="false">AVERAGE(B48:B67)-2*STDEV(B48:B67)</f>
        <v>4709.62400792382</v>
      </c>
      <c r="R67" s="19" t="n">
        <f aca="false">B67/B47-1</f>
        <v>0.0145545378850958</v>
      </c>
      <c r="S67" s="17" t="n">
        <f aca="false">STDEV(C48:C67)*SQRT(252)*100</f>
        <v>15.6526216791356</v>
      </c>
      <c r="T67" s="18"/>
      <c r="U67" s="18"/>
      <c r="V67" s="17" t="n">
        <f aca="false">(B67-AVERAGE(B48:B67))/STDEV(B48:B67)</f>
        <v>0.836602267170944</v>
      </c>
    </row>
    <row r="68" customFormat="false" ht="15" hidden="false" customHeight="false" outlineLevel="0" collapsed="false">
      <c r="A68" s="17" t="s">
        <v>632</v>
      </c>
      <c r="B68" s="17" t="n">
        <v>4864.52</v>
      </c>
      <c r="C68" s="19" t="n">
        <f aca="false">B68/B67-1</f>
        <v>-0.00192863239445862</v>
      </c>
      <c r="D68" s="17" t="n">
        <f aca="false">AVERAGE(B19:B68)</f>
        <v>4804.4662</v>
      </c>
      <c r="F68" s="17" t="n">
        <f aca="false">B68*2/13+F67*11/13</f>
        <v>4856.59166258006</v>
      </c>
      <c r="G68" s="17" t="n">
        <f aca="false">B68*2/27+G67*25/27</f>
        <v>4830.8015274458</v>
      </c>
      <c r="H68" s="17" t="n">
        <f aca="false">F68-G68</f>
        <v>25.7901351342534</v>
      </c>
      <c r="I68" s="17" t="n">
        <f aca="false">H68*2/10+I67*8/10</f>
        <v>25.9911268486108</v>
      </c>
      <c r="J68" s="17" t="n">
        <f aca="false">H68-I68</f>
        <v>-0.200991714357361</v>
      </c>
      <c r="K68" s="17" t="n">
        <f aca="false">MAX(B68-B67,0)</f>
        <v>0</v>
      </c>
      <c r="L68" s="17" t="n">
        <f aca="false">MAX(B67-B68,0)</f>
        <v>9.39999999999964</v>
      </c>
      <c r="M68" s="17" t="n">
        <f aca="false">(M67*13+K68)/14</f>
        <v>13.6031647225324</v>
      </c>
      <c r="N68" s="17" t="n">
        <f aca="false">(N67*13+L68)/14</f>
        <v>10.822079319463</v>
      </c>
      <c r="O68" s="17" t="n">
        <f aca="false">IF(N68=0,100,100-100/(1+M68/N68))</f>
        <v>55.6930555090621</v>
      </c>
      <c r="P68" s="17" t="n">
        <f aca="false">AVERAGE(B49:B68)+2*STDEV(B49:B68)</f>
        <v>4929.622098977</v>
      </c>
      <c r="Q68" s="17" t="n">
        <f aca="false">AVERAGE(B49:B68)-2*STDEV(B49:B68)</f>
        <v>4739.603901023</v>
      </c>
      <c r="R68" s="19" t="n">
        <f aca="false">B68/B48-1</f>
        <v>0.0390854291536547</v>
      </c>
      <c r="S68" s="17" t="n">
        <f aca="false">STDEV(C49:C68)*SQRT(252)*100</f>
        <v>12.2810669376775</v>
      </c>
      <c r="T68" s="18"/>
      <c r="U68" s="18"/>
      <c r="V68" s="17" t="n">
        <f aca="false">(B68-AVERAGE(B49:B68))/STDEV(B49:B68)</f>
        <v>0.629560754117699</v>
      </c>
    </row>
    <row r="69" customFormat="false" ht="15" hidden="false" customHeight="false" outlineLevel="0" collapsed="false">
      <c r="A69" s="17" t="s">
        <v>633</v>
      </c>
      <c r="B69" s="17" t="n">
        <v>4893.77</v>
      </c>
      <c r="C69" s="19" t="n">
        <f aca="false">B69/B68-1</f>
        <v>0.00601292624966088</v>
      </c>
      <c r="D69" s="17" t="n">
        <f aca="false">AVERAGE(B20:B69)</f>
        <v>4807.737</v>
      </c>
      <c r="F69" s="17" t="n">
        <f aca="false">B69*2/13+F68*11/13</f>
        <v>4862.31140679851</v>
      </c>
      <c r="G69" s="17" t="n">
        <f aca="false">B69*2/27+G68*25/27</f>
        <v>4835.46585874611</v>
      </c>
      <c r="H69" s="17" t="n">
        <f aca="false">F69-G69</f>
        <v>26.8455480523962</v>
      </c>
      <c r="I69" s="17" t="n">
        <f aca="false">H69*2/10+I68*8/10</f>
        <v>26.1620110893679</v>
      </c>
      <c r="J69" s="17" t="n">
        <f aca="false">H69-I69</f>
        <v>0.683536963028345</v>
      </c>
      <c r="K69" s="17" t="n">
        <f aca="false">MAX(B69-B68,0)</f>
        <v>29.25</v>
      </c>
      <c r="L69" s="17" t="n">
        <f aca="false">MAX(B68-B69,0)</f>
        <v>0</v>
      </c>
      <c r="M69" s="17" t="n">
        <f aca="false">(M68*13+K69)/14</f>
        <v>14.7207958137801</v>
      </c>
      <c r="N69" s="17" t="n">
        <f aca="false">(N68*13+L69)/14</f>
        <v>10.0490736537871</v>
      </c>
      <c r="O69" s="17" t="n">
        <f aca="false">IF(N69=0,100,100-100/(1+M69/N69))</f>
        <v>59.4302518753884</v>
      </c>
      <c r="P69" s="17" t="n">
        <f aca="false">AVERAGE(B50:B69)+2*STDEV(B50:B69)</f>
        <v>4933.57571984695</v>
      </c>
      <c r="Q69" s="17" t="n">
        <f aca="false">AVERAGE(B50:B69)-2*STDEV(B50:B69)</f>
        <v>4748.56228015305</v>
      </c>
      <c r="R69" s="19" t="n">
        <f aca="false">B69/B49-1</f>
        <v>0.0270995770938056</v>
      </c>
      <c r="S69" s="17" t="n">
        <f aca="false">STDEV(C50:C69)*SQRT(252)*100</f>
        <v>10.9073286149367</v>
      </c>
      <c r="T69" s="18"/>
      <c r="U69" s="18"/>
      <c r="V69" s="17" t="n">
        <f aca="false">(B69-AVERAGE(B50:B69))/STDEV(B50:B69)</f>
        <v>1.13939830721903</v>
      </c>
    </row>
    <row r="70" customFormat="false" ht="15" hidden="false" customHeight="false" outlineLevel="0" collapsed="false">
      <c r="A70" s="17" t="s">
        <v>634</v>
      </c>
      <c r="B70" s="17" t="n">
        <v>4821.91</v>
      </c>
      <c r="C70" s="19" t="n">
        <f aca="false">B70/B69-1</f>
        <v>-0.0146839757487582</v>
      </c>
      <c r="D70" s="17" t="n">
        <f aca="false">AVERAGE(B21:B70)</f>
        <v>4809.0544</v>
      </c>
      <c r="F70" s="17" t="n">
        <f aca="false">B70*2/13+F69*11/13</f>
        <v>4856.09580575258</v>
      </c>
      <c r="G70" s="17" t="n">
        <f aca="false">B70*2/27+G69*25/27</f>
        <v>4834.46172106121</v>
      </c>
      <c r="H70" s="17" t="n">
        <f aca="false">F70-G70</f>
        <v>21.6340846913699</v>
      </c>
      <c r="I70" s="17" t="n">
        <f aca="false">H70*2/10+I69*8/10</f>
        <v>25.2564258097683</v>
      </c>
      <c r="J70" s="17" t="n">
        <f aca="false">H70-I70</f>
        <v>-3.62234111839835</v>
      </c>
      <c r="K70" s="17" t="n">
        <f aca="false">MAX(B70-B69,0)</f>
        <v>0</v>
      </c>
      <c r="L70" s="17" t="n">
        <f aca="false">MAX(B69-B70,0)</f>
        <v>71.8600000000006</v>
      </c>
      <c r="M70" s="17" t="n">
        <f aca="false">(M69*13+K70)/14</f>
        <v>13.6693103985101</v>
      </c>
      <c r="N70" s="17" t="n">
        <f aca="false">(N69*13+L70)/14</f>
        <v>14.4641398213738</v>
      </c>
      <c r="O70" s="17" t="n">
        <f aca="false">IF(N70=0,100,100-100/(1+M70/N70))</f>
        <v>48.587394335477</v>
      </c>
      <c r="P70" s="17" t="n">
        <f aca="false">AVERAGE(B51:B70)+2*STDEV(B51:B70)</f>
        <v>4920.78307053386</v>
      </c>
      <c r="Q70" s="17" t="n">
        <f aca="false">AVERAGE(B51:B70)-2*STDEV(B51:B70)</f>
        <v>4771.26092946614</v>
      </c>
      <c r="R70" s="19" t="n">
        <f aca="false">B70/B50-1</f>
        <v>0.0209746233735986</v>
      </c>
      <c r="S70" s="17" t="n">
        <f aca="false">STDEV(C51:C70)*SQRT(252)*100</f>
        <v>11.8008844161188</v>
      </c>
      <c r="T70" s="18"/>
      <c r="U70" s="18"/>
      <c r="V70" s="17" t="n">
        <f aca="false">(B70-AVERAGE(B51:B70))/STDEV(B51:B70)</f>
        <v>-0.64504159257806</v>
      </c>
    </row>
    <row r="71" customFormat="false" ht="15" hidden="false" customHeight="false" outlineLevel="0" collapsed="false">
      <c r="A71" s="17" t="s">
        <v>635</v>
      </c>
      <c r="B71" s="17" t="n">
        <v>4819.64</v>
      </c>
      <c r="C71" s="19" t="n">
        <f aca="false">B71/B70-1</f>
        <v>-0.000470767807777328</v>
      </c>
      <c r="D71" s="17" t="n">
        <f aca="false">AVERAGE(B22:B71)</f>
        <v>4811.063</v>
      </c>
      <c r="F71" s="17" t="n">
        <f aca="false">B71*2/13+F70*11/13</f>
        <v>4850.48722025219</v>
      </c>
      <c r="G71" s="17" t="n">
        <f aca="false">B71*2/27+G70*25/27</f>
        <v>4833.36381579742</v>
      </c>
      <c r="H71" s="17" t="n">
        <f aca="false">F71-G71</f>
        <v>17.1234044547655</v>
      </c>
      <c r="I71" s="17" t="n">
        <f aca="false">H71*2/10+I70*8/10</f>
        <v>23.6298215387677</v>
      </c>
      <c r="J71" s="17" t="n">
        <f aca="false">H71-I71</f>
        <v>-6.50641708400225</v>
      </c>
      <c r="K71" s="17" t="n">
        <f aca="false">MAX(B71-B70,0)</f>
        <v>0</v>
      </c>
      <c r="L71" s="17" t="n">
        <f aca="false">MAX(B70-B71,0)</f>
        <v>2.26999999999953</v>
      </c>
      <c r="M71" s="17" t="n">
        <f aca="false">(M70*13+K71)/14</f>
        <v>12.6929310843308</v>
      </c>
      <c r="N71" s="17" t="n">
        <f aca="false">(N70*13+L71)/14</f>
        <v>13.5931298341328</v>
      </c>
      <c r="O71" s="17" t="n">
        <f aca="false">IF(N71=0,100,100-100/(1+M71/N71))</f>
        <v>48.2876880020284</v>
      </c>
      <c r="P71" s="17" t="n">
        <f aca="false">AVERAGE(B52:B71)+2*STDEV(B52:B71)</f>
        <v>4909.49308111624</v>
      </c>
      <c r="Q71" s="17" t="n">
        <f aca="false">AVERAGE(B52:B71)-2*STDEV(B52:B71)</f>
        <v>4789.90891888376</v>
      </c>
      <c r="R71" s="19" t="n">
        <f aca="false">B71/B51-1</f>
        <v>0.0155033859664648</v>
      </c>
      <c r="S71" s="17" t="n">
        <f aca="false">STDEV(C52:C71)*SQRT(252)*100</f>
        <v>11.722438665735</v>
      </c>
      <c r="T71" s="18"/>
      <c r="U71" s="18"/>
      <c r="V71" s="17" t="n">
        <f aca="false">(B71-AVERAGE(B52:B71))/STDEV(B52:B71)</f>
        <v>-1.00551776886846</v>
      </c>
    </row>
    <row r="72" customFormat="false" ht="15" hidden="false" customHeight="false" outlineLevel="0" collapsed="false">
      <c r="A72" s="17" t="s">
        <v>636</v>
      </c>
      <c r="B72" s="17" t="n">
        <v>4803.1</v>
      </c>
      <c r="C72" s="19" t="n">
        <f aca="false">B72/B71-1</f>
        <v>-0.00343179158609352</v>
      </c>
      <c r="D72" s="17" t="n">
        <f aca="false">AVERAGE(B23:B72)</f>
        <v>4812.4384</v>
      </c>
      <c r="F72" s="17" t="n">
        <f aca="false">B72*2/13+F71*11/13</f>
        <v>4843.19687867493</v>
      </c>
      <c r="G72" s="17" t="n">
        <f aca="false">B72*2/27+G71*25/27</f>
        <v>4831.12205166428</v>
      </c>
      <c r="H72" s="17" t="n">
        <f aca="false">F72-G72</f>
        <v>12.0748270106478</v>
      </c>
      <c r="I72" s="17" t="n">
        <f aca="false">H72*2/10+I71*8/10</f>
        <v>21.3188226331437</v>
      </c>
      <c r="J72" s="17" t="n">
        <f aca="false">H72-I72</f>
        <v>-9.24399562249592</v>
      </c>
      <c r="K72" s="17" t="n">
        <f aca="false">MAX(B72-B71,0)</f>
        <v>0</v>
      </c>
      <c r="L72" s="17" t="n">
        <f aca="false">MAX(B71-B72,0)</f>
        <v>16.54</v>
      </c>
      <c r="M72" s="17" t="n">
        <f aca="false">(M71*13+K72)/14</f>
        <v>11.7862931497357</v>
      </c>
      <c r="N72" s="17" t="n">
        <f aca="false">(N71*13+L72)/14</f>
        <v>13.8036205602661</v>
      </c>
      <c r="O72" s="17" t="n">
        <f aca="false">IF(N72=0,100,100-100/(1+M72/N72))</f>
        <v>46.0583544098824</v>
      </c>
      <c r="P72" s="17" t="n">
        <f aca="false">AVERAGE(B53:B72)+2*STDEV(B53:B72)</f>
        <v>4910.84764233017</v>
      </c>
      <c r="Q72" s="17" t="n">
        <f aca="false">AVERAGE(B53:B72)-2*STDEV(B53:B72)</f>
        <v>4786.87435766983</v>
      </c>
      <c r="R72" s="19" t="n">
        <f aca="false">B72/B52-1</f>
        <v>-0.00348554949272795</v>
      </c>
      <c r="S72" s="17" t="n">
        <f aca="false">STDEV(C53:C72)*SQRT(252)*100</f>
        <v>10.4157802557963</v>
      </c>
      <c r="T72" s="18"/>
      <c r="U72" s="18"/>
      <c r="V72" s="17" t="n">
        <f aca="false">(B72-AVERAGE(B53:B72))/STDEV(B53:B72)</f>
        <v>-1.47647939232633</v>
      </c>
    </row>
    <row r="73" customFormat="false" ht="15" hidden="false" customHeight="false" outlineLevel="0" collapsed="false">
      <c r="A73" s="17" t="s">
        <v>637</v>
      </c>
      <c r="B73" s="17" t="n">
        <v>4808.48</v>
      </c>
      <c r="C73" s="19" t="n">
        <f aca="false">B73/B72-1</f>
        <v>0.00112010992900391</v>
      </c>
      <c r="D73" s="17" t="n">
        <f aca="false">AVERAGE(B24:B73)</f>
        <v>4813.7318</v>
      </c>
      <c r="F73" s="17" t="n">
        <f aca="false">B73*2/13+F72*11/13</f>
        <v>4837.85582041725</v>
      </c>
      <c r="G73" s="17" t="n">
        <f aca="false">B73*2/27+G72*25/27</f>
        <v>4829.44486265211</v>
      </c>
      <c r="H73" s="17" t="n">
        <f aca="false">F73-G73</f>
        <v>8.4109577651343</v>
      </c>
      <c r="I73" s="17" t="n">
        <f aca="false">H73*2/10+I72*8/10</f>
        <v>18.7372496595419</v>
      </c>
      <c r="J73" s="17" t="n">
        <f aca="false">H73-I73</f>
        <v>-10.3262918944076</v>
      </c>
      <c r="K73" s="17" t="n">
        <f aca="false">MAX(B73-B72,0)</f>
        <v>5.3799999999992</v>
      </c>
      <c r="L73" s="17" t="n">
        <f aca="false">MAX(B72-B73,0)</f>
        <v>0</v>
      </c>
      <c r="M73" s="17" t="n">
        <f aca="false">(M72*13+K73)/14</f>
        <v>11.3287007818974</v>
      </c>
      <c r="N73" s="17" t="n">
        <f aca="false">(N72*13+L73)/14</f>
        <v>12.8176476631043</v>
      </c>
      <c r="O73" s="17" t="n">
        <f aca="false">IF(N73=0,100,100-100/(1+M73/N73))</f>
        <v>46.9168280566351</v>
      </c>
      <c r="P73" s="17" t="n">
        <f aca="false">AVERAGE(B54:B73)+2*STDEV(B54:B73)</f>
        <v>4911.50787462109</v>
      </c>
      <c r="Q73" s="17" t="n">
        <f aca="false">AVERAGE(B54:B73)-2*STDEV(B54:B73)</f>
        <v>4785.25712537891</v>
      </c>
      <c r="R73" s="19" t="n">
        <f aca="false">B73/B53-1</f>
        <v>-0.00198628075673779</v>
      </c>
      <c r="S73" s="17" t="n">
        <f aca="false">STDEV(C54:C73)*SQRT(252)*100</f>
        <v>10.4250573319357</v>
      </c>
      <c r="T73" s="18"/>
      <c r="U73" s="18"/>
      <c r="V73" s="17" t="n">
        <f aca="false">(B73-AVERAGE(B54:B73))/STDEV(B54:B73)</f>
        <v>-1.26423012107307</v>
      </c>
    </row>
    <row r="74" customFormat="false" ht="15" hidden="false" customHeight="false" outlineLevel="0" collapsed="false">
      <c r="A74" s="17" t="s">
        <v>638</v>
      </c>
      <c r="B74" s="17" t="n">
        <v>4796.17</v>
      </c>
      <c r="C74" s="19" t="n">
        <f aca="false">B74/B73-1</f>
        <v>-0.00256006055967783</v>
      </c>
      <c r="D74" s="17" t="n">
        <f aca="false">AVERAGE(B25:B74)</f>
        <v>4813.831</v>
      </c>
      <c r="F74" s="17" t="n">
        <f aca="false">B74*2/13+F73*11/13</f>
        <v>4831.44261727613</v>
      </c>
      <c r="G74" s="17" t="n">
        <f aca="false">B74*2/27+G73*25/27</f>
        <v>4826.98005801121</v>
      </c>
      <c r="H74" s="17" t="n">
        <f aca="false">F74-G74</f>
        <v>4.46255926491722</v>
      </c>
      <c r="I74" s="17" t="n">
        <f aca="false">H74*2/10+I73*8/10</f>
        <v>15.8823115806169</v>
      </c>
      <c r="J74" s="17" t="n">
        <f aca="false">H74-I74</f>
        <v>-11.4197523156997</v>
      </c>
      <c r="K74" s="17" t="n">
        <f aca="false">MAX(B74-B73,0)</f>
        <v>0</v>
      </c>
      <c r="L74" s="17" t="n">
        <f aca="false">MAX(B73-B74,0)</f>
        <v>12.3099999999995</v>
      </c>
      <c r="M74" s="17" t="n">
        <f aca="false">(M73*13+K74)/14</f>
        <v>10.5195078689047</v>
      </c>
      <c r="N74" s="17" t="n">
        <f aca="false">(N73*13+L74)/14</f>
        <v>12.7813871157396</v>
      </c>
      <c r="O74" s="17" t="n">
        <f aca="false">IF(N74=0,100,100-100/(1+M74/N74))</f>
        <v>45.14636830833</v>
      </c>
      <c r="P74" s="17" t="n">
        <f aca="false">AVERAGE(B55:B74)+2*STDEV(B55:B74)</f>
        <v>4911.49544157215</v>
      </c>
      <c r="Q74" s="17" t="n">
        <f aca="false">AVERAGE(B55:B74)-2*STDEV(B55:B74)</f>
        <v>4785.27955842785</v>
      </c>
      <c r="R74" s="19" t="n">
        <f aca="false">B74/B54-1</f>
        <v>2.08504046022018E-005</v>
      </c>
      <c r="S74" s="17" t="n">
        <f aca="false">STDEV(C55:C74)*SQRT(252)*100</f>
        <v>10.3347024882196</v>
      </c>
      <c r="T74" s="18"/>
      <c r="U74" s="18"/>
      <c r="V74" s="17" t="n">
        <f aca="false">(B74-AVERAGE(B55:B74))/STDEV(B55:B74)</f>
        <v>-1.65486303939424</v>
      </c>
    </row>
    <row r="75" customFormat="false" ht="15" hidden="false" customHeight="false" outlineLevel="0" collapsed="false">
      <c r="A75" s="17" t="s">
        <v>639</v>
      </c>
      <c r="B75" s="17" t="n">
        <v>4839.72</v>
      </c>
      <c r="C75" s="19" t="n">
        <f aca="false">B75/B74-1</f>
        <v>0.00908016187916605</v>
      </c>
      <c r="D75" s="17" t="n">
        <f aca="false">AVERAGE(B26:B75)</f>
        <v>4814.9306</v>
      </c>
      <c r="F75" s="17" t="n">
        <f aca="false">B75*2/13+F74*11/13</f>
        <v>4832.71606077211</v>
      </c>
      <c r="G75" s="17" t="n">
        <f aca="false">B75*2/27+G74*25/27</f>
        <v>4827.92375741779</v>
      </c>
      <c r="H75" s="17" t="n">
        <f aca="false">F75-G75</f>
        <v>4.79230335432021</v>
      </c>
      <c r="I75" s="17" t="n">
        <f aca="false">H75*2/10+I74*8/10</f>
        <v>13.6643099353576</v>
      </c>
      <c r="J75" s="17" t="n">
        <f aca="false">H75-I75</f>
        <v>-8.87200658103737</v>
      </c>
      <c r="K75" s="17" t="n">
        <f aca="false">MAX(B75-B74,0)</f>
        <v>43.5500000000002</v>
      </c>
      <c r="L75" s="17" t="n">
        <f aca="false">MAX(B74-B75,0)</f>
        <v>0</v>
      </c>
      <c r="M75" s="17" t="n">
        <f aca="false">(M74*13+K75)/14</f>
        <v>12.8788287354116</v>
      </c>
      <c r="N75" s="17" t="n">
        <f aca="false">(N74*13+L75)/14</f>
        <v>11.8684308931868</v>
      </c>
      <c r="O75" s="17" t="n">
        <f aca="false">IF(N75=0,100,100-100/(1+M75/N75))</f>
        <v>52.0414337938596</v>
      </c>
      <c r="P75" s="17" t="n">
        <f aca="false">AVERAGE(B56:B75)+2*STDEV(B56:B75)</f>
        <v>4910.05912252898</v>
      </c>
      <c r="Q75" s="17" t="n">
        <f aca="false">AVERAGE(B56:B75)-2*STDEV(B56:B75)</f>
        <v>4790.16587747102</v>
      </c>
      <c r="R75" s="19" t="n">
        <f aca="false">B75/B55-1</f>
        <v>0.00717969208485769</v>
      </c>
      <c r="S75" s="17" t="n">
        <f aca="false">STDEV(C56:C75)*SQRT(252)*100</f>
        <v>10.8109778345073</v>
      </c>
      <c r="T75" s="18"/>
      <c r="U75" s="18"/>
      <c r="V75" s="17" t="n">
        <f aca="false">(B75-AVERAGE(B56:B75))/STDEV(B56:B75)</f>
        <v>-0.34672512183573</v>
      </c>
    </row>
    <row r="76" customFormat="false" ht="15" hidden="false" customHeight="false" outlineLevel="0" collapsed="false">
      <c r="A76" s="17" t="s">
        <v>640</v>
      </c>
      <c r="B76" s="17" t="n">
        <v>4836.61</v>
      </c>
      <c r="C76" s="19" t="n">
        <f aca="false">B76/B75-1</f>
        <v>-0.000642599158629187</v>
      </c>
      <c r="D76" s="17" t="n">
        <f aca="false">AVERAGE(B27:B76)</f>
        <v>4815.7478</v>
      </c>
      <c r="F76" s="17" t="n">
        <f aca="false">B76*2/13+F75*11/13</f>
        <v>4833.31512834563</v>
      </c>
      <c r="G76" s="17" t="n">
        <f aca="false">B76*2/27+G75*25/27</f>
        <v>4828.56718279425</v>
      </c>
      <c r="H76" s="17" t="n">
        <f aca="false">F76-G76</f>
        <v>4.74794555138124</v>
      </c>
      <c r="I76" s="17" t="n">
        <f aca="false">H76*2/10+I75*8/10</f>
        <v>11.8810370585623</v>
      </c>
      <c r="J76" s="17" t="n">
        <f aca="false">H76-I76</f>
        <v>-7.13309150718108</v>
      </c>
      <c r="K76" s="17" t="n">
        <f aca="false">MAX(B76-B75,0)</f>
        <v>0</v>
      </c>
      <c r="L76" s="17" t="n">
        <f aca="false">MAX(B75-B76,0)</f>
        <v>3.11000000000058</v>
      </c>
      <c r="M76" s="17" t="n">
        <f aca="false">(M75*13+K76)/14</f>
        <v>11.9589123971679</v>
      </c>
      <c r="N76" s="17" t="n">
        <f aca="false">(N75*13+L76)/14</f>
        <v>11.2428286865306</v>
      </c>
      <c r="O76" s="17" t="n">
        <f aca="false">IF(N76=0,100,100-100/(1+M76/N76))</f>
        <v>51.5431680494451</v>
      </c>
      <c r="P76" s="17" t="n">
        <f aca="false">AVERAGE(B57:B76)+2*STDEV(B57:B76)</f>
        <v>4909.47262554974</v>
      </c>
      <c r="Q76" s="17" t="n">
        <f aca="false">AVERAGE(B57:B76)-2*STDEV(B57:B76)</f>
        <v>4789.03837445026</v>
      </c>
      <c r="R76" s="19" t="n">
        <f aca="false">B76/B56-1</f>
        <v>-0.0035312902395056</v>
      </c>
      <c r="S76" s="17" t="n">
        <f aca="false">STDEV(C57:C76)*SQRT(252)*100</f>
        <v>10.1843420247959</v>
      </c>
      <c r="T76" s="18"/>
      <c r="U76" s="18"/>
      <c r="V76" s="17" t="n">
        <f aca="false">(B76-AVERAGE(B57:B76))/STDEV(B57:B76)</f>
        <v>-0.419996799400671</v>
      </c>
    </row>
    <row r="77" customFormat="false" ht="15" hidden="false" customHeight="false" outlineLevel="0" collapsed="false">
      <c r="A77" s="17" t="s">
        <v>641</v>
      </c>
      <c r="B77" s="17" t="n">
        <v>4832.71</v>
      </c>
      <c r="C77" s="19" t="n">
        <f aca="false">B77/B76-1</f>
        <v>-0.000806349902100823</v>
      </c>
      <c r="D77" s="17" t="n">
        <f aca="false">AVERAGE(B28:B77)</f>
        <v>4816.7342</v>
      </c>
      <c r="F77" s="17" t="n">
        <f aca="false">B77*2/13+F76*11/13</f>
        <v>4833.22203167707</v>
      </c>
      <c r="G77" s="17" t="n">
        <f aca="false">B77*2/27+G76*25/27</f>
        <v>4828.87405814283</v>
      </c>
      <c r="H77" s="17" t="n">
        <f aca="false">F77-G77</f>
        <v>4.34797353424801</v>
      </c>
      <c r="I77" s="17" t="n">
        <f aca="false">H77*2/10+I76*8/10</f>
        <v>10.3744243536995</v>
      </c>
      <c r="J77" s="17" t="n">
        <f aca="false">H77-I77</f>
        <v>-6.02645081945144</v>
      </c>
      <c r="K77" s="17" t="n">
        <f aca="false">MAX(B77-B76,0)</f>
        <v>0</v>
      </c>
      <c r="L77" s="17" t="n">
        <f aca="false">MAX(B76-B77,0)</f>
        <v>3.89999999999964</v>
      </c>
      <c r="M77" s="17" t="n">
        <f aca="false">(M76*13+K77)/14</f>
        <v>11.1047043687987</v>
      </c>
      <c r="N77" s="17" t="n">
        <f aca="false">(N76*13+L77)/14</f>
        <v>10.718340923207</v>
      </c>
      <c r="O77" s="17" t="n">
        <f aca="false">IF(N77=0,100,100-100/(1+M77/N77))</f>
        <v>50.8852189060279</v>
      </c>
      <c r="P77" s="17" t="n">
        <f aca="false">AVERAGE(B58:B77)+2*STDEV(B58:B77)</f>
        <v>4903.54456203832</v>
      </c>
      <c r="Q77" s="17" t="n">
        <f aca="false">AVERAGE(B58:B77)-2*STDEV(B58:B77)</f>
        <v>4789.10143796168</v>
      </c>
      <c r="R77" s="19" t="n">
        <f aca="false">B77/B57-1</f>
        <v>-0.0119905302410781</v>
      </c>
      <c r="S77" s="17" t="n">
        <f aca="false">STDEV(C58:C77)*SQRT(252)*100</f>
        <v>9.74686448528673</v>
      </c>
      <c r="T77" s="18"/>
      <c r="U77" s="18"/>
      <c r="V77" s="17" t="n">
        <f aca="false">(B77-AVERAGE(B58:B77))/STDEV(B58:B77)</f>
        <v>-0.475799664150518</v>
      </c>
    </row>
    <row r="78" customFormat="false" ht="15" hidden="false" customHeight="false" outlineLevel="0" collapsed="false">
      <c r="A78" s="17" t="s">
        <v>642</v>
      </c>
      <c r="B78" s="17" t="n">
        <v>4851.86</v>
      </c>
      <c r="C78" s="19" t="n">
        <f aca="false">B78/B77-1</f>
        <v>0.00396258000169669</v>
      </c>
      <c r="D78" s="17" t="n">
        <f aca="false">AVERAGE(B29:B78)</f>
        <v>4817.7052</v>
      </c>
      <c r="F78" s="17" t="n">
        <f aca="false">B78*2/13+F77*11/13</f>
        <v>4836.08941141906</v>
      </c>
      <c r="G78" s="17" t="n">
        <f aca="false">B78*2/27+G77*25/27</f>
        <v>4830.57672050262</v>
      </c>
      <c r="H78" s="17" t="n">
        <f aca="false">F78-G78</f>
        <v>5.51269091644554</v>
      </c>
      <c r="I78" s="17" t="n">
        <f aca="false">H78*2/10+I77*8/10</f>
        <v>9.40207766624867</v>
      </c>
      <c r="J78" s="17" t="n">
        <f aca="false">H78-I78</f>
        <v>-3.88938674980314</v>
      </c>
      <c r="K78" s="17" t="n">
        <f aca="false">MAX(B78-B77,0)</f>
        <v>19.1499999999996</v>
      </c>
      <c r="L78" s="17" t="n">
        <f aca="false">MAX(B77-B78,0)</f>
        <v>0</v>
      </c>
      <c r="M78" s="17" t="n">
        <f aca="false">(M77*13+K78)/14</f>
        <v>11.679368342456</v>
      </c>
      <c r="N78" s="17" t="n">
        <f aca="false">(N77*13+L78)/14</f>
        <v>9.95274514297793</v>
      </c>
      <c r="O78" s="17" t="n">
        <f aca="false">IF(N78=0,100,100-100/(1+M78/N78))</f>
        <v>53.9908795796598</v>
      </c>
      <c r="P78" s="17" t="n">
        <f aca="false">AVERAGE(B59:B78)+2*STDEV(B59:B78)</f>
        <v>4902.95193685724</v>
      </c>
      <c r="Q78" s="17" t="n">
        <f aca="false">AVERAGE(B59:B78)-2*STDEV(B59:B78)</f>
        <v>4788.98906314276</v>
      </c>
      <c r="R78" s="19" t="n">
        <f aca="false">B78/B58-1</f>
        <v>-0.00145094270114088</v>
      </c>
      <c r="S78" s="17" t="n">
        <f aca="false">STDEV(C59:C78)*SQRT(252)*100</f>
        <v>9.59929236837928</v>
      </c>
      <c r="T78" s="18"/>
      <c r="U78" s="18"/>
      <c r="V78" s="17" t="n">
        <f aca="false">(B78-AVERAGE(B59:B78))/STDEV(B59:B78)</f>
        <v>0.206716443979978</v>
      </c>
    </row>
    <row r="79" customFormat="false" ht="15" hidden="false" customHeight="false" outlineLevel="0" collapsed="false">
      <c r="A79" s="17" t="s">
        <v>643</v>
      </c>
      <c r="B79" s="17" t="n">
        <v>4909.97</v>
      </c>
      <c r="C79" s="19" t="n">
        <f aca="false">B79/B78-1</f>
        <v>0.0119768501152138</v>
      </c>
      <c r="D79" s="17" t="n">
        <f aca="false">AVERAGE(B30:B79)</f>
        <v>4819.763</v>
      </c>
      <c r="F79" s="17" t="n">
        <f aca="false">B79*2/13+F78*11/13</f>
        <v>4847.45565581613</v>
      </c>
      <c r="G79" s="17" t="n">
        <f aca="false">B79*2/27+G78*25/27</f>
        <v>4836.45770416909</v>
      </c>
      <c r="H79" s="17" t="n">
        <f aca="false">F79-G79</f>
        <v>10.9979516470412</v>
      </c>
      <c r="I79" s="17" t="n">
        <f aca="false">H79*2/10+I78*8/10</f>
        <v>9.72125246240718</v>
      </c>
      <c r="J79" s="17" t="n">
        <f aca="false">H79-I79</f>
        <v>1.27669918463402</v>
      </c>
      <c r="K79" s="17" t="n">
        <f aca="false">MAX(B79-B78,0)</f>
        <v>58.1100000000006</v>
      </c>
      <c r="L79" s="17" t="n">
        <f aca="false">MAX(B78-B79,0)</f>
        <v>0</v>
      </c>
      <c r="M79" s="17" t="n">
        <f aca="false">(M78*13+K79)/14</f>
        <v>14.9958420322806</v>
      </c>
      <c r="N79" s="17" t="n">
        <f aca="false">(N78*13+L79)/14</f>
        <v>9.24183477562236</v>
      </c>
      <c r="O79" s="17" t="n">
        <f aca="false">IF(N79=0,100,100-100/(1+M79/N79))</f>
        <v>61.8699644818724</v>
      </c>
      <c r="P79" s="17" t="n">
        <f aca="false">AVERAGE(B60:B79)+2*STDEV(B60:B79)</f>
        <v>4912.60977825556</v>
      </c>
      <c r="Q79" s="17" t="n">
        <f aca="false">AVERAGE(B60:B79)-2*STDEV(B60:B79)</f>
        <v>4788.61122174444</v>
      </c>
      <c r="R79" s="19" t="n">
        <f aca="false">B79/B59-1</f>
        <v>0.0192644228872969</v>
      </c>
      <c r="S79" s="17" t="n">
        <f aca="false">STDEV(C60:C79)*SQRT(252)*100</f>
        <v>9.94384796079943</v>
      </c>
      <c r="T79" s="18"/>
      <c r="U79" s="18"/>
      <c r="V79" s="17" t="n">
        <f aca="false">(B79-AVERAGE(B60:B79))/STDEV(B60:B79)</f>
        <v>1.91484487142961</v>
      </c>
    </row>
    <row r="80" customFormat="false" ht="15" hidden="false" customHeight="false" outlineLevel="0" collapsed="false">
      <c r="A80" s="17" t="s">
        <v>644</v>
      </c>
      <c r="B80" s="17" t="n">
        <v>4891.45</v>
      </c>
      <c r="C80" s="19" t="n">
        <f aca="false">B80/B79-1</f>
        <v>-0.00377191714002334</v>
      </c>
      <c r="D80" s="17" t="n">
        <f aca="false">AVERAGE(B31:B80)</f>
        <v>4821.0496</v>
      </c>
      <c r="F80" s="17" t="n">
        <f aca="false">B80*2/13+F79*11/13</f>
        <v>4854.2240164598</v>
      </c>
      <c r="G80" s="17" t="n">
        <f aca="false">B80*2/27+G79*25/27</f>
        <v>4840.53120756397</v>
      </c>
      <c r="H80" s="17" t="n">
        <f aca="false">F80-G80</f>
        <v>13.6928088958321</v>
      </c>
      <c r="I80" s="17" t="n">
        <f aca="false">H80*2/10+I79*8/10</f>
        <v>10.5155637490922</v>
      </c>
      <c r="J80" s="17" t="n">
        <f aca="false">H80-I80</f>
        <v>3.17724514673991</v>
      </c>
      <c r="K80" s="17" t="n">
        <f aca="false">MAX(B80-B79,0)</f>
        <v>0</v>
      </c>
      <c r="L80" s="17" t="n">
        <f aca="false">MAX(B79-B80,0)</f>
        <v>18.5200000000004</v>
      </c>
      <c r="M80" s="17" t="n">
        <f aca="false">(M79*13+K80)/14</f>
        <v>13.9247104585462</v>
      </c>
      <c r="N80" s="17" t="n">
        <f aca="false">(N79*13+L80)/14</f>
        <v>9.90456086307794</v>
      </c>
      <c r="O80" s="17" t="n">
        <f aca="false">IF(N80=0,100,100-100/(1+M80/N80))</f>
        <v>58.4353179356772</v>
      </c>
      <c r="P80" s="17" t="n">
        <f aca="false">AVERAGE(B61:B80)+2*STDEV(B61:B80)</f>
        <v>4916.14392271296</v>
      </c>
      <c r="Q80" s="17" t="n">
        <f aca="false">AVERAGE(B61:B80)-2*STDEV(B61:B80)</f>
        <v>4787.55107728704</v>
      </c>
      <c r="R80" s="19" t="n">
        <f aca="false">B80/B60-1</f>
        <v>0.00508351637964855</v>
      </c>
      <c r="S80" s="17" t="n">
        <f aca="false">STDEV(C61:C80)*SQRT(252)*100</f>
        <v>9.43705683418368</v>
      </c>
      <c r="T80" s="18"/>
      <c r="U80" s="18"/>
      <c r="V80" s="17" t="n">
        <f aca="false">(B80-AVERAGE(B61:B80))/STDEV(B61:B80)</f>
        <v>1.23187257794405</v>
      </c>
    </row>
    <row r="81" customFormat="false" ht="15" hidden="false" customHeight="false" outlineLevel="0" collapsed="false">
      <c r="A81" s="17" t="s">
        <v>645</v>
      </c>
      <c r="B81" s="17" t="n">
        <v>4860.59</v>
      </c>
      <c r="C81" s="19" t="n">
        <f aca="false">B81/B80-1</f>
        <v>-0.00630896768851763</v>
      </c>
      <c r="D81" s="17" t="n">
        <f aca="false">AVERAGE(B32:B81)</f>
        <v>4822.3176</v>
      </c>
      <c r="F81" s="17" t="n">
        <f aca="false">B81*2/13+F80*11/13</f>
        <v>4855.20339854291</v>
      </c>
      <c r="G81" s="17" t="n">
        <f aca="false">B81*2/27+G80*25/27</f>
        <v>4842.01704404071</v>
      </c>
      <c r="H81" s="17" t="n">
        <f aca="false">F81-G81</f>
        <v>13.186354502197</v>
      </c>
      <c r="I81" s="17" t="n">
        <f aca="false">H81*2/10+I80*8/10</f>
        <v>11.0497218997131</v>
      </c>
      <c r="J81" s="17" t="n">
        <f aca="false">H81-I81</f>
        <v>2.13663260248387</v>
      </c>
      <c r="K81" s="17" t="n">
        <f aca="false">MAX(B81-B80,0)</f>
        <v>0</v>
      </c>
      <c r="L81" s="17" t="n">
        <f aca="false">MAX(B80-B81,0)</f>
        <v>30.8599999999997</v>
      </c>
      <c r="M81" s="17" t="n">
        <f aca="false">(M80*13+K81)/14</f>
        <v>12.9300882829358</v>
      </c>
      <c r="N81" s="17" t="n">
        <f aca="false">(N80*13+L81)/14</f>
        <v>11.4013779442866</v>
      </c>
      <c r="O81" s="17" t="n">
        <f aca="false">IF(N81=0,100,100-100/(1+M81/N81))</f>
        <v>53.141426670249</v>
      </c>
      <c r="P81" s="17" t="n">
        <f aca="false">AVERAGE(B62:B81)+2*STDEV(B62:B81)</f>
        <v>4914.61432478536</v>
      </c>
      <c r="Q81" s="17" t="n">
        <f aca="false">AVERAGE(B62:B81)-2*STDEV(B62:B81)</f>
        <v>4787.61267521464</v>
      </c>
      <c r="R81" s="19" t="n">
        <f aca="false">B81/B61-1</f>
        <v>-0.0030111152818203</v>
      </c>
      <c r="S81" s="17" t="n">
        <f aca="false">STDEV(C62:C81)*SQRT(252)*100</f>
        <v>9.69916600464516</v>
      </c>
      <c r="T81" s="18"/>
      <c r="U81" s="18"/>
      <c r="V81" s="17" t="n">
        <f aca="false">(B81-AVERAGE(B62:B81))/STDEV(B62:B81)</f>
        <v>0.298468564212554</v>
      </c>
    </row>
    <row r="82" customFormat="false" ht="15" hidden="false" customHeight="false" outlineLevel="0" collapsed="false">
      <c r="A82" s="17" t="s">
        <v>646</v>
      </c>
      <c r="B82" s="17" t="n">
        <v>4836.45</v>
      </c>
      <c r="C82" s="19" t="n">
        <f aca="false">B82/B81-1</f>
        <v>-0.00496647526329119</v>
      </c>
      <c r="D82" s="17" t="n">
        <f aca="false">AVERAGE(B33:B82)</f>
        <v>4822.9376</v>
      </c>
      <c r="F82" s="17" t="n">
        <f aca="false">B82*2/13+F81*11/13</f>
        <v>4852.31826030554</v>
      </c>
      <c r="G82" s="17" t="n">
        <f aca="false">B82*2/27+G81*25/27</f>
        <v>4841.60467040807</v>
      </c>
      <c r="H82" s="17" t="n">
        <f aca="false">F82-G82</f>
        <v>10.713589897472</v>
      </c>
      <c r="I82" s="17" t="n">
        <f aca="false">H82*2/10+I81*8/10</f>
        <v>10.9824954992649</v>
      </c>
      <c r="J82" s="17" t="n">
        <f aca="false">H82-I82</f>
        <v>-0.268905601792859</v>
      </c>
      <c r="K82" s="17" t="n">
        <f aca="false">MAX(B82-B81,0)</f>
        <v>0</v>
      </c>
      <c r="L82" s="17" t="n">
        <f aca="false">MAX(B81-B82,0)</f>
        <v>24.1400000000003</v>
      </c>
      <c r="M82" s="17" t="n">
        <f aca="false">(M81*13+K82)/14</f>
        <v>12.0065105484404</v>
      </c>
      <c r="N82" s="17" t="n">
        <f aca="false">(N81*13+L82)/14</f>
        <v>12.3112795196948</v>
      </c>
      <c r="O82" s="17" t="n">
        <f aca="false">IF(N82=0,100,100-100/(1+M82/N82))</f>
        <v>49.3733621139083</v>
      </c>
      <c r="P82" s="17" t="n">
        <f aca="false">AVERAGE(B63:B82)+2*STDEV(B63:B82)</f>
        <v>4914.6057488831</v>
      </c>
      <c r="Q82" s="17" t="n">
        <f aca="false">AVERAGE(B63:B82)-2*STDEV(B63:B82)</f>
        <v>4787.4362511169</v>
      </c>
      <c r="R82" s="19" t="n">
        <f aca="false">B82/B62-1</f>
        <v>-0.000382365706963261</v>
      </c>
      <c r="S82" s="17" t="n">
        <f aca="false">STDEV(C63:C82)*SQRT(252)*100</f>
        <v>9.47445605380938</v>
      </c>
      <c r="T82" s="18"/>
      <c r="U82" s="18"/>
      <c r="V82" s="17" t="n">
        <f aca="false">(B82-AVERAGE(B63:B82))/STDEV(B63:B82)</f>
        <v>-0.458317450519135</v>
      </c>
    </row>
    <row r="83" customFormat="false" ht="15" hidden="false" customHeight="false" outlineLevel="0" collapsed="false">
      <c r="A83" s="17" t="s">
        <v>647</v>
      </c>
      <c r="B83" s="17" t="n">
        <v>4805.59</v>
      </c>
      <c r="C83" s="19" t="n">
        <f aca="false">B83/B82-1</f>
        <v>-0.00638071312636324</v>
      </c>
      <c r="D83" s="17" t="n">
        <f aca="false">AVERAGE(B34:B83)</f>
        <v>4822.8758</v>
      </c>
      <c r="F83" s="17" t="n">
        <f aca="false">B83*2/13+F82*11/13</f>
        <v>4845.12929718161</v>
      </c>
      <c r="G83" s="17" t="n">
        <f aca="false">B83*2/27+G82*25/27</f>
        <v>4838.93691704451</v>
      </c>
      <c r="H83" s="17" t="n">
        <f aca="false">F83-G83</f>
        <v>6.1923801371031</v>
      </c>
      <c r="I83" s="17" t="n">
        <f aca="false">H83*2/10+I82*8/10</f>
        <v>10.0244724268325</v>
      </c>
      <c r="J83" s="17" t="n">
        <f aca="false">H83-I83</f>
        <v>-3.83209228972945</v>
      </c>
      <c r="K83" s="17" t="n">
        <f aca="false">MAX(B83-B82,0)</f>
        <v>0</v>
      </c>
      <c r="L83" s="17" t="n">
        <f aca="false">MAX(B82-B83,0)</f>
        <v>30.8599999999997</v>
      </c>
      <c r="M83" s="17" t="n">
        <f aca="false">(M82*13+K83)/14</f>
        <v>11.1489026521232</v>
      </c>
      <c r="N83" s="17" t="n">
        <f aca="false">(N82*13+L83)/14</f>
        <v>13.6361881254308</v>
      </c>
      <c r="O83" s="17" t="n">
        <f aca="false">IF(N83=0,100,100-100/(1+M83/N83))</f>
        <v>44.9822950102726</v>
      </c>
      <c r="P83" s="17" t="n">
        <f aca="false">AVERAGE(B64:B83)+2*STDEV(B64:B83)</f>
        <v>4913.071419874</v>
      </c>
      <c r="Q83" s="17" t="n">
        <f aca="false">AVERAGE(B64:B83)-2*STDEV(B64:B83)</f>
        <v>4781.959580126</v>
      </c>
      <c r="R83" s="19" t="n">
        <f aca="false">B83/B63-1</f>
        <v>-0.0143794737165944</v>
      </c>
      <c r="S83" s="17" t="n">
        <f aca="false">STDEV(C64:C83)*SQRT(252)*100</f>
        <v>9.26884448397149</v>
      </c>
      <c r="T83" s="18"/>
      <c r="U83" s="18"/>
      <c r="V83" s="17" t="n">
        <f aca="false">(B83-AVERAGE(B64:B83))/STDEV(B64:B83)</f>
        <v>-1.27907594251079</v>
      </c>
    </row>
    <row r="84" customFormat="false" ht="15" hidden="false" customHeight="false" outlineLevel="0" collapsed="false">
      <c r="A84" s="17" t="s">
        <v>648</v>
      </c>
      <c r="B84" s="17" t="n">
        <v>4801.27</v>
      </c>
      <c r="C84" s="19" t="n">
        <f aca="false">B84/B83-1</f>
        <v>-0.000898953094208954</v>
      </c>
      <c r="D84" s="17" t="n">
        <f aca="false">AVERAGE(B35:B84)</f>
        <v>4822.7784</v>
      </c>
      <c r="F84" s="17" t="n">
        <f aca="false">B84*2/13+F83*11/13</f>
        <v>4838.38171299982</v>
      </c>
      <c r="G84" s="17" t="n">
        <f aca="false">B84*2/27+G83*25/27</f>
        <v>4836.14677504121</v>
      </c>
      <c r="H84" s="17" t="n">
        <f aca="false">F84-G84</f>
        <v>2.23493795861305</v>
      </c>
      <c r="I84" s="17" t="n">
        <f aca="false">H84*2/10+I83*8/10</f>
        <v>8.46656553318864</v>
      </c>
      <c r="J84" s="17" t="n">
        <f aca="false">H84-I84</f>
        <v>-6.2316275745756</v>
      </c>
      <c r="K84" s="17" t="n">
        <f aca="false">MAX(B84-B83,0)</f>
        <v>0</v>
      </c>
      <c r="L84" s="17" t="n">
        <f aca="false">MAX(B83-B84,0)</f>
        <v>4.31999999999971</v>
      </c>
      <c r="M84" s="17" t="n">
        <f aca="false">(M83*13+K84)/14</f>
        <v>10.3525524626858</v>
      </c>
      <c r="N84" s="17" t="n">
        <f aca="false">(N83*13+L84)/14</f>
        <v>12.9707461164715</v>
      </c>
      <c r="O84" s="17" t="n">
        <f aca="false">IF(N84=0,100,100-100/(1+M84/N84))</f>
        <v>44.3871711694217</v>
      </c>
      <c r="P84" s="17" t="n">
        <f aca="false">AVERAGE(B65:B84)+2*STDEV(B65:B84)</f>
        <v>4912.26171550328</v>
      </c>
      <c r="Q84" s="17" t="n">
        <f aca="false">AVERAGE(B65:B84)-2*STDEV(B65:B84)</f>
        <v>4776.23328449672</v>
      </c>
      <c r="R84" s="19" t="n">
        <f aca="false">B84/B64-1</f>
        <v>-0.0134302381730272</v>
      </c>
      <c r="S84" s="17" t="n">
        <f aca="false">STDEV(C65:C84)*SQRT(252)*100</f>
        <v>9.25926703542415</v>
      </c>
      <c r="T84" s="18"/>
      <c r="U84" s="18"/>
      <c r="V84" s="17" t="n">
        <f aca="false">(B84-AVERAGE(B65:B84))/STDEV(B65:B84)</f>
        <v>-1.26377992253481</v>
      </c>
    </row>
    <row r="85" customFormat="false" ht="15" hidden="false" customHeight="false" outlineLevel="0" collapsed="false">
      <c r="A85" s="17" t="s">
        <v>649</v>
      </c>
      <c r="B85" s="17" t="n">
        <v>4766.94</v>
      </c>
      <c r="C85" s="19" t="n">
        <f aca="false">B85/B84-1</f>
        <v>-0.00715019151182939</v>
      </c>
      <c r="D85" s="17" t="n">
        <f aca="false">AVERAGE(B36:B85)</f>
        <v>4821.946</v>
      </c>
      <c r="F85" s="17" t="n">
        <f aca="false">B85*2/13+F84*11/13</f>
        <v>4827.39068023062</v>
      </c>
      <c r="G85" s="17" t="n">
        <f aca="false">B85*2/27+G84*25/27</f>
        <v>4831.02034726038</v>
      </c>
      <c r="H85" s="17" t="n">
        <f aca="false">F85-G85</f>
        <v>-3.62966702976064</v>
      </c>
      <c r="I85" s="17" t="n">
        <f aca="false">H85*2/10+I84*8/10</f>
        <v>6.04731902059879</v>
      </c>
      <c r="J85" s="17" t="n">
        <f aca="false">H85-I85</f>
        <v>-9.67698605035943</v>
      </c>
      <c r="K85" s="17" t="n">
        <f aca="false">MAX(B85-B84,0)</f>
        <v>0</v>
      </c>
      <c r="L85" s="17" t="n">
        <f aca="false">MAX(B84-B85,0)</f>
        <v>34.3300000000008</v>
      </c>
      <c r="M85" s="17" t="n">
        <f aca="false">(M84*13+K85)/14</f>
        <v>9.61308442963685</v>
      </c>
      <c r="N85" s="17" t="n">
        <f aca="false">(N84*13+L85)/14</f>
        <v>14.4964071081521</v>
      </c>
      <c r="O85" s="17" t="n">
        <f aca="false">IF(N85=0,100,100-100/(1+M85/N85))</f>
        <v>39.8726137155128</v>
      </c>
      <c r="P85" s="17" t="n">
        <f aca="false">AVERAGE(B66:B85)+2*STDEV(B66:B85)</f>
        <v>4915.41826308071</v>
      </c>
      <c r="Q85" s="17" t="n">
        <f aca="false">AVERAGE(B66:B85)-2*STDEV(B66:B85)</f>
        <v>4763.82373691929</v>
      </c>
      <c r="R85" s="19" t="n">
        <f aca="false">B85/B65-1</f>
        <v>-0.0190411711565255</v>
      </c>
      <c r="S85" s="17" t="n">
        <f aca="false">STDEV(C66:C85)*SQRT(252)*100</f>
        <v>9.54044852453943</v>
      </c>
      <c r="T85" s="18"/>
      <c r="U85" s="18"/>
      <c r="V85" s="17" t="n">
        <f aca="false">(B85-AVERAGE(B66:B85))/STDEV(B66:B85)</f>
        <v>-1.9177737307641</v>
      </c>
    </row>
    <row r="86" customFormat="false" ht="15" hidden="false" customHeight="false" outlineLevel="0" collapsed="false">
      <c r="A86" s="17" t="s">
        <v>650</v>
      </c>
      <c r="B86" s="17" t="n">
        <v>4726.91</v>
      </c>
      <c r="C86" s="19" t="n">
        <f aca="false">B86/B85-1</f>
        <v>-0.00839742056749193</v>
      </c>
      <c r="D86" s="17" t="n">
        <f aca="false">AVERAGE(B37:B86)</f>
        <v>4820.1146</v>
      </c>
      <c r="F86" s="17" t="n">
        <f aca="false">B86*2/13+F85*11/13</f>
        <v>4811.93211404129</v>
      </c>
      <c r="G86" s="17" t="n">
        <f aca="false">B86*2/27+G85*25/27</f>
        <v>4823.30846968554</v>
      </c>
      <c r="H86" s="17" t="n">
        <f aca="false">F86-G86</f>
        <v>-11.3763556442436</v>
      </c>
      <c r="I86" s="17" t="n">
        <f aca="false">H86*2/10+I85*8/10</f>
        <v>2.5625840876303</v>
      </c>
      <c r="J86" s="17" t="n">
        <f aca="false">H86-I86</f>
        <v>-13.9389397318739</v>
      </c>
      <c r="K86" s="17" t="n">
        <f aca="false">MAX(B86-B85,0)</f>
        <v>0</v>
      </c>
      <c r="L86" s="17" t="n">
        <f aca="false">MAX(B85-B86,0)</f>
        <v>40.0299999999997</v>
      </c>
      <c r="M86" s="17" t="n">
        <f aca="false">(M85*13+K86)/14</f>
        <v>8.92643554180565</v>
      </c>
      <c r="N86" s="17" t="n">
        <f aca="false">(N85*13+L86)/14</f>
        <v>16.3202351718555</v>
      </c>
      <c r="O86" s="17" t="n">
        <f aca="false">IF(N86=0,100,100-100/(1+M86/N86))</f>
        <v>35.3568818758169</v>
      </c>
      <c r="P86" s="17" t="n">
        <f aca="false">AVERAGE(B67:B86)+2*STDEV(B67:B86)</f>
        <v>4920.81531284228</v>
      </c>
      <c r="Q86" s="17" t="n">
        <f aca="false">AVERAGE(B67:B86)-2*STDEV(B67:B86)</f>
        <v>4743.34268715773</v>
      </c>
      <c r="R86" s="19" t="n">
        <f aca="false">B86/B66-1</f>
        <v>-0.0309240941007637</v>
      </c>
      <c r="S86" s="17" t="n">
        <f aca="false">STDEV(C67:C86)*SQRT(252)*100</f>
        <v>9.71967768571606</v>
      </c>
      <c r="T86" s="18"/>
      <c r="U86" s="18"/>
      <c r="V86" s="17" t="n">
        <f aca="false">(B86-AVERAGE(B67:B86))/STDEV(B67:B86)</f>
        <v>-2.37037119599353</v>
      </c>
    </row>
    <row r="87" customFormat="false" ht="15" hidden="false" customHeight="false" outlineLevel="0" collapsed="false">
      <c r="A87" s="17" t="s">
        <v>651</v>
      </c>
      <c r="B87" s="17" t="n">
        <v>4679.1</v>
      </c>
      <c r="C87" s="19" t="n">
        <f aca="false">B87/B86-1</f>
        <v>-0.0101144299341429</v>
      </c>
      <c r="D87" s="17" t="n">
        <f aca="false">AVERAGE(B38:B87)</f>
        <v>4818.0268</v>
      </c>
      <c r="F87" s="17" t="n">
        <f aca="false">B87*2/13+F86*11/13</f>
        <v>4791.49640418879</v>
      </c>
      <c r="G87" s="17" t="n">
        <f aca="false">B87*2/27+G86*25/27</f>
        <v>4812.62636081994</v>
      </c>
      <c r="H87" s="17" t="n">
        <f aca="false">F87-G87</f>
        <v>-21.1299566311545</v>
      </c>
      <c r="I87" s="17" t="n">
        <f aca="false">H87*2/10+I86*8/10</f>
        <v>-2.17592405612666</v>
      </c>
      <c r="J87" s="17" t="n">
        <f aca="false">H87-I87</f>
        <v>-18.9540325750279</v>
      </c>
      <c r="K87" s="17" t="n">
        <f aca="false">MAX(B87-B86,0)</f>
        <v>0</v>
      </c>
      <c r="L87" s="17" t="n">
        <f aca="false">MAX(B86-B87,0)</f>
        <v>47.8099999999995</v>
      </c>
      <c r="M87" s="17" t="n">
        <f aca="false">(M86*13+K87)/14</f>
        <v>8.28883300310524</v>
      </c>
      <c r="N87" s="17" t="n">
        <f aca="false">(N86*13+L87)/14</f>
        <v>18.5695040881515</v>
      </c>
      <c r="O87" s="17" t="n">
        <f aca="false">IF(N87=0,100,100-100/(1+M87/N87))</f>
        <v>30.8613037916019</v>
      </c>
      <c r="P87" s="17" t="n">
        <f aca="false">AVERAGE(B68:B87)+2*STDEV(B68:B87)</f>
        <v>4932.03259644131</v>
      </c>
      <c r="Q87" s="17" t="n">
        <f aca="false">AVERAGE(B68:B87)-2*STDEV(B68:B87)</f>
        <v>4712.64340355869</v>
      </c>
      <c r="R87" s="19" t="n">
        <f aca="false">B87/B67-1</f>
        <v>-0.0399719322434508</v>
      </c>
      <c r="S87" s="17" t="n">
        <f aca="false">STDEV(C68:C87)*SQRT(252)*100</f>
        <v>10.1755564867706</v>
      </c>
      <c r="T87" s="18"/>
      <c r="U87" s="18"/>
      <c r="V87" s="17" t="n">
        <f aca="false">(B87-AVERAGE(B68:B87))/STDEV(B68:B87)</f>
        <v>-2.61157804754113</v>
      </c>
    </row>
    <row r="88" customFormat="false" ht="15" hidden="false" customHeight="false" outlineLevel="0" collapsed="false">
      <c r="A88" s="17" t="s">
        <v>652</v>
      </c>
      <c r="B88" s="17" t="n">
        <v>4660.46</v>
      </c>
      <c r="C88" s="19" t="n">
        <f aca="false">B88/B87-1</f>
        <v>-0.00398367207368944</v>
      </c>
      <c r="D88" s="17" t="n">
        <f aca="false">AVERAGE(B39:B88)</f>
        <v>4815.7274</v>
      </c>
      <c r="F88" s="17" t="n">
        <f aca="false">B88*2/13+F87*11/13</f>
        <v>4771.33695739051</v>
      </c>
      <c r="G88" s="17" t="n">
        <f aca="false">B88*2/27+G87*25/27</f>
        <v>4801.35477853698</v>
      </c>
      <c r="H88" s="17" t="n">
        <f aca="false">F88-G88</f>
        <v>-30.0178211464709</v>
      </c>
      <c r="I88" s="17" t="n">
        <f aca="false">H88*2/10+I87*8/10</f>
        <v>-7.7443034741955</v>
      </c>
      <c r="J88" s="17" t="n">
        <f aca="false">H88-I88</f>
        <v>-22.2735176722754</v>
      </c>
      <c r="K88" s="17" t="n">
        <f aca="false">MAX(B88-B87,0)</f>
        <v>0</v>
      </c>
      <c r="L88" s="17" t="n">
        <f aca="false">MAX(B87-B88,0)</f>
        <v>18.6400000000003</v>
      </c>
      <c r="M88" s="17" t="n">
        <f aca="false">(M87*13+K88)/14</f>
        <v>7.69677350288344</v>
      </c>
      <c r="N88" s="17" t="n">
        <f aca="false">(N87*13+L88)/14</f>
        <v>18.5745395104264</v>
      </c>
      <c r="O88" s="17" t="n">
        <f aca="false">IF(N88=0,100,100-100/(1+M88/N88))</f>
        <v>29.2972547621964</v>
      </c>
      <c r="P88" s="17" t="n">
        <f aca="false">AVERAGE(B69:B88)+2*STDEV(B69:B88)</f>
        <v>4941.50549033076</v>
      </c>
      <c r="Q88" s="17" t="n">
        <f aca="false">AVERAGE(B69:B88)-2*STDEV(B69:B88)</f>
        <v>4682.76450966924</v>
      </c>
      <c r="R88" s="19" t="n">
        <f aca="false">B88/B68-1</f>
        <v>-0.0419486403591722</v>
      </c>
      <c r="S88" s="17" t="n">
        <f aca="false">STDEV(C69:C88)*SQRT(252)*100</f>
        <v>10.1992812518777</v>
      </c>
      <c r="T88" s="18"/>
      <c r="U88" s="18"/>
      <c r="V88" s="17" t="n">
        <f aca="false">(B88-AVERAGE(B69:B88))/STDEV(B69:B88)</f>
        <v>-2.34481603358255</v>
      </c>
    </row>
    <row r="89" customFormat="false" ht="15" hidden="false" customHeight="false" outlineLevel="0" collapsed="false">
      <c r="A89" s="17" t="s">
        <v>653</v>
      </c>
      <c r="B89" s="17" t="n">
        <v>4773.73</v>
      </c>
      <c r="C89" s="19" t="n">
        <f aca="false">B89/B88-1</f>
        <v>0.0243044677993158</v>
      </c>
      <c r="D89" s="17" t="n">
        <f aca="false">AVERAGE(B40:B89)</f>
        <v>4815.5282</v>
      </c>
      <c r="F89" s="17" t="n">
        <f aca="false">B89*2/13+F88*11/13</f>
        <v>4771.70511779197</v>
      </c>
      <c r="G89" s="17" t="n">
        <f aca="false">B89*2/27+G88*25/27</f>
        <v>4799.30849864535</v>
      </c>
      <c r="H89" s="17" t="n">
        <f aca="false">F89-G89</f>
        <v>-27.6033808533821</v>
      </c>
      <c r="I89" s="17" t="n">
        <f aca="false">H89*2/10+I88*8/10</f>
        <v>-11.7161189500328</v>
      </c>
      <c r="J89" s="17" t="n">
        <f aca="false">H89-I89</f>
        <v>-15.8872619033493</v>
      </c>
      <c r="K89" s="17" t="n">
        <f aca="false">MAX(B89-B88,0)</f>
        <v>113.27</v>
      </c>
      <c r="L89" s="17" t="n">
        <f aca="false">MAX(B88-B89,0)</f>
        <v>0</v>
      </c>
      <c r="M89" s="17" t="n">
        <f aca="false">(M88*13+K89)/14</f>
        <v>15.2377182526774</v>
      </c>
      <c r="N89" s="17" t="n">
        <f aca="false">(N88*13+L89)/14</f>
        <v>17.2477866882531</v>
      </c>
      <c r="O89" s="17" t="n">
        <f aca="false">IF(N89=0,100,100-100/(1+M89/N89))</f>
        <v>46.9062071849727</v>
      </c>
      <c r="P89" s="17" t="n">
        <f aca="false">AVERAGE(B70:B89)+2*STDEV(B70:B89)</f>
        <v>4930.60208609644</v>
      </c>
      <c r="Q89" s="17" t="n">
        <f aca="false">AVERAGE(B70:B89)-2*STDEV(B70:B89)</f>
        <v>4681.66391390356</v>
      </c>
      <c r="R89" s="19" t="n">
        <f aca="false">B89/B69-1</f>
        <v>-0.0245291462410373</v>
      </c>
      <c r="S89" s="17" t="n">
        <f aca="false">STDEV(C70:C89)*SQRT(252)*100</f>
        <v>13.6252641390687</v>
      </c>
      <c r="T89" s="18"/>
      <c r="U89" s="18"/>
      <c r="V89" s="17" t="n">
        <f aca="false">(B89-AVERAGE(B70:B89))/STDEV(B70:B89)</f>
        <v>-0.520659402526548</v>
      </c>
    </row>
    <row r="90" customFormat="false" ht="15" hidden="false" customHeight="false" outlineLevel="0" collapsed="false">
      <c r="A90" s="17" t="s">
        <v>654</v>
      </c>
      <c r="B90" s="17" t="n">
        <v>4804.92</v>
      </c>
      <c r="C90" s="19" t="n">
        <f aca="false">B90/B89-1</f>
        <v>0.00653367492505863</v>
      </c>
      <c r="D90" s="17" t="n">
        <f aca="false">AVERAGE(B41:B90)</f>
        <v>4815.8048</v>
      </c>
      <c r="F90" s="17" t="n">
        <f aca="false">B90*2/13+F89*11/13</f>
        <v>4776.81509967013</v>
      </c>
      <c r="G90" s="17" t="n">
        <f aca="false">B90*2/27+G89*25/27</f>
        <v>4799.72416541236</v>
      </c>
      <c r="H90" s="17" t="n">
        <f aca="false">F90-G90</f>
        <v>-22.9090657422348</v>
      </c>
      <c r="I90" s="17" t="n">
        <f aca="false">H90*2/10+I89*8/10</f>
        <v>-13.9547083084732</v>
      </c>
      <c r="J90" s="17" t="n">
        <f aca="false">H90-I90</f>
        <v>-8.9543574337616</v>
      </c>
      <c r="K90" s="17" t="n">
        <f aca="false">MAX(B90-B89,0)</f>
        <v>31.1900000000005</v>
      </c>
      <c r="L90" s="17" t="n">
        <f aca="false">MAX(B89-B90,0)</f>
        <v>0</v>
      </c>
      <c r="M90" s="17" t="n">
        <f aca="false">(M89*13+K90)/14</f>
        <v>16.3771669489148</v>
      </c>
      <c r="N90" s="17" t="n">
        <f aca="false">(N89*13+L90)/14</f>
        <v>16.0158019248065</v>
      </c>
      <c r="O90" s="17" t="n">
        <f aca="false">IF(N90=0,100,100-100/(1+M90/N90))</f>
        <v>50.5577831187951</v>
      </c>
      <c r="P90" s="17" t="n">
        <f aca="false">AVERAGE(B71:B90)+2*STDEV(B71:B90)</f>
        <v>4929.53092145371</v>
      </c>
      <c r="Q90" s="17" t="n">
        <f aca="false">AVERAGE(B71:B90)-2*STDEV(B71:B90)</f>
        <v>4681.03607854629</v>
      </c>
      <c r="R90" s="19" t="n">
        <f aca="false">B90/B70-1</f>
        <v>-0.00352350002384938</v>
      </c>
      <c r="S90" s="17" t="n">
        <f aca="false">STDEV(C71:C90)*SQRT(252)*100</f>
        <v>12.904076552215</v>
      </c>
      <c r="T90" s="18"/>
      <c r="U90" s="18"/>
      <c r="V90" s="17" t="n">
        <f aca="false">(B90-AVERAGE(B71:B90))/STDEV(B71:B90)</f>
        <v>-0.00585122806970953</v>
      </c>
    </row>
    <row r="91" customFormat="false" ht="15" hidden="false" customHeight="false" outlineLevel="0" collapsed="false">
      <c r="A91" s="17" t="s">
        <v>655</v>
      </c>
      <c r="B91" s="17" t="n">
        <v>4825.18</v>
      </c>
      <c r="C91" s="19" t="n">
        <f aca="false">B91/B90-1</f>
        <v>0.00421651140913903</v>
      </c>
      <c r="D91" s="17" t="n">
        <f aca="false">AVERAGE(B42:B91)</f>
        <v>4816.7886</v>
      </c>
      <c r="F91" s="17" t="n">
        <f aca="false">B91*2/13+F90*11/13</f>
        <v>4784.25585356703</v>
      </c>
      <c r="G91" s="17" t="n">
        <f aca="false">B91*2/27+G90*25/27</f>
        <v>4801.60978278923</v>
      </c>
      <c r="H91" s="17" t="n">
        <f aca="false">F91-G91</f>
        <v>-17.353929222194</v>
      </c>
      <c r="I91" s="17" t="n">
        <f aca="false">H91*2/10+I90*8/10</f>
        <v>-14.6345524912174</v>
      </c>
      <c r="J91" s="17" t="n">
        <f aca="false">H91-I91</f>
        <v>-2.71937673097661</v>
      </c>
      <c r="K91" s="17" t="n">
        <f aca="false">MAX(B91-B90,0)</f>
        <v>20.2600000000002</v>
      </c>
      <c r="L91" s="17" t="n">
        <f aca="false">MAX(B90-B91,0)</f>
        <v>0</v>
      </c>
      <c r="M91" s="17" t="n">
        <f aca="false">(M90*13+K91)/14</f>
        <v>16.6545121668495</v>
      </c>
      <c r="N91" s="17" t="n">
        <f aca="false">(N90*13+L91)/14</f>
        <v>14.8718160730346</v>
      </c>
      <c r="O91" s="17" t="n">
        <f aca="false">IF(N91=0,100,100-100/(1+M91/N91))</f>
        <v>52.8273132225395</v>
      </c>
      <c r="P91" s="17" t="n">
        <f aca="false">AVERAGE(B72:B91)+2*STDEV(B72:B91)</f>
        <v>4929.96728632276</v>
      </c>
      <c r="Q91" s="17" t="n">
        <f aca="false">AVERAGE(B72:B91)-2*STDEV(B72:B91)</f>
        <v>4681.15371367724</v>
      </c>
      <c r="R91" s="19" t="n">
        <f aca="false">B91/B71-1</f>
        <v>0.00114946344540257</v>
      </c>
      <c r="S91" s="17" t="n">
        <f aca="false">STDEV(C72:C91)*SQRT(252)*100</f>
        <v>12.9953391640872</v>
      </c>
      <c r="T91" s="18"/>
      <c r="U91" s="18"/>
      <c r="V91" s="17" t="n">
        <f aca="false">(B91-AVERAGE(B72:B91))/STDEV(B72:B91)</f>
        <v>0.315408838696282</v>
      </c>
    </row>
    <row r="92" customFormat="false" ht="15" hidden="false" customHeight="false" outlineLevel="0" collapsed="false">
      <c r="A92" s="17" t="s">
        <v>656</v>
      </c>
      <c r="B92" s="17" t="n">
        <v>4747.03</v>
      </c>
      <c r="C92" s="19" t="n">
        <f aca="false">B92/B91-1</f>
        <v>-0.0161962869778952</v>
      </c>
      <c r="D92" s="17" t="n">
        <f aca="false">AVERAGE(B43:B92)</f>
        <v>4816.3082</v>
      </c>
      <c r="F92" s="17" t="n">
        <f aca="false">B92*2/13+F91*11/13</f>
        <v>4778.52879917211</v>
      </c>
      <c r="G92" s="17" t="n">
        <f aca="false">B92*2/27+G91*25/27</f>
        <v>4797.56683591595</v>
      </c>
      <c r="H92" s="17" t="n">
        <f aca="false">F92-G92</f>
        <v>-19.0380367438465</v>
      </c>
      <c r="I92" s="17" t="n">
        <f aca="false">H92*2/10+I91*8/10</f>
        <v>-15.5152493417432</v>
      </c>
      <c r="J92" s="17" t="n">
        <f aca="false">H92-I92</f>
        <v>-3.52278740210333</v>
      </c>
      <c r="K92" s="17" t="n">
        <f aca="false">MAX(B92-B91,0)</f>
        <v>0</v>
      </c>
      <c r="L92" s="17" t="n">
        <f aca="false">MAX(B91-B92,0)</f>
        <v>78.1500000000006</v>
      </c>
      <c r="M92" s="17" t="n">
        <f aca="false">(M91*13+K92)/14</f>
        <v>15.4649041549317</v>
      </c>
      <c r="N92" s="17" t="n">
        <f aca="false">(N91*13+L92)/14</f>
        <v>19.3916863535321</v>
      </c>
      <c r="O92" s="17" t="n">
        <f aca="false">IF(N92=0,100,100-100/(1+M92/N92))</f>
        <v>44.367231359523</v>
      </c>
      <c r="P92" s="17" t="n">
        <f aca="false">AVERAGE(B73:B92)+2*STDEV(B73:B92)</f>
        <v>4929.89435085787</v>
      </c>
      <c r="Q92" s="17" t="n">
        <f aca="false">AVERAGE(B73:B92)-2*STDEV(B73:B92)</f>
        <v>4675.61964914213</v>
      </c>
      <c r="R92" s="19" t="n">
        <f aca="false">B92/B72-1</f>
        <v>-0.011673710728488</v>
      </c>
      <c r="S92" s="17" t="n">
        <f aca="false">STDEV(C73:C92)*SQRT(252)*100</f>
        <v>14.1890689817651</v>
      </c>
      <c r="T92" s="18"/>
      <c r="U92" s="18"/>
      <c r="V92" s="17" t="n">
        <f aca="false">(B92-AVERAGE(B73:B92))/STDEV(B73:B92)</f>
        <v>-0.87664245989044</v>
      </c>
    </row>
    <row r="93" customFormat="false" ht="15" hidden="false" customHeight="false" outlineLevel="0" collapsed="false">
      <c r="A93" s="17" t="s">
        <v>657</v>
      </c>
      <c r="B93" s="17" t="n">
        <v>4751.95</v>
      </c>
      <c r="C93" s="19" t="n">
        <f aca="false">B93/B92-1</f>
        <v>0.00103643751988081</v>
      </c>
      <c r="D93" s="17" t="n">
        <f aca="false">AVERAGE(B44:B93)</f>
        <v>4815.6684</v>
      </c>
      <c r="F93" s="17" t="n">
        <f aca="false">B93*2/13+F92*11/13</f>
        <v>4774.43975314563</v>
      </c>
      <c r="G93" s="17" t="n">
        <f aca="false">B93*2/27+G92*25/27</f>
        <v>4794.18781103329</v>
      </c>
      <c r="H93" s="17" t="n">
        <f aca="false">F93-G93</f>
        <v>-19.7480578876603</v>
      </c>
      <c r="I93" s="17" t="n">
        <f aca="false">H93*2/10+I92*8/10</f>
        <v>-16.3618110509266</v>
      </c>
      <c r="J93" s="17" t="n">
        <f aca="false">H93-I93</f>
        <v>-3.38624683673364</v>
      </c>
      <c r="K93" s="17" t="n">
        <f aca="false">MAX(B93-B92,0)</f>
        <v>4.92000000000007</v>
      </c>
      <c r="L93" s="17" t="n">
        <f aca="false">MAX(B92-B93,0)</f>
        <v>0</v>
      </c>
      <c r="M93" s="17" t="n">
        <f aca="false">(M92*13+K93)/14</f>
        <v>14.7116967152937</v>
      </c>
      <c r="N93" s="17" t="n">
        <f aca="false">(N92*13+L93)/14</f>
        <v>18.0065658997084</v>
      </c>
      <c r="O93" s="17" t="n">
        <f aca="false">IF(N93=0,100,100-100/(1+M93/N93))</f>
        <v>44.9647858396614</v>
      </c>
      <c r="P93" s="17" t="n">
        <f aca="false">AVERAGE(B74:B93)+2*STDEV(B74:B93)</f>
        <v>4929.03051826002</v>
      </c>
      <c r="Q93" s="17" t="n">
        <f aca="false">AVERAGE(B74:B93)-2*STDEV(B74:B93)</f>
        <v>4670.83048173998</v>
      </c>
      <c r="R93" s="19" t="n">
        <f aca="false">B93/B73-1</f>
        <v>-0.0117563138455395</v>
      </c>
      <c r="S93" s="17" t="n">
        <f aca="false">STDEV(C74:C93)*SQRT(252)*100</f>
        <v>14.1877944155615</v>
      </c>
      <c r="T93" s="18"/>
      <c r="U93" s="18"/>
      <c r="V93" s="17" t="n">
        <f aca="false">(B93-AVERAGE(B74:B93))/STDEV(B74:B93)</f>
        <v>-0.743307408421339</v>
      </c>
    </row>
    <row r="94" customFormat="false" ht="15" hidden="false" customHeight="false" outlineLevel="0" collapsed="false">
      <c r="A94" s="17" t="s">
        <v>658</v>
      </c>
      <c r="B94" s="17" t="n">
        <v>4702.04</v>
      </c>
      <c r="C94" s="19" t="n">
        <f aca="false">B94/B93-1</f>
        <v>-0.0105030566399057</v>
      </c>
      <c r="D94" s="17" t="n">
        <f aca="false">AVERAGE(B45:B94)</f>
        <v>4813.7344</v>
      </c>
      <c r="F94" s="17" t="n">
        <f aca="false">B94*2/13+F93*11/13</f>
        <v>4763.30132958476</v>
      </c>
      <c r="G94" s="17" t="n">
        <f aca="false">B94*2/27+G93*25/27</f>
        <v>4787.36204725305</v>
      </c>
      <c r="H94" s="17" t="n">
        <f aca="false">F94-G94</f>
        <v>-24.0607176682825</v>
      </c>
      <c r="I94" s="17" t="n">
        <f aca="false">H94*2/10+I93*8/10</f>
        <v>-17.9015923743978</v>
      </c>
      <c r="J94" s="17" t="n">
        <f aca="false">H94-I94</f>
        <v>-6.15912529388467</v>
      </c>
      <c r="K94" s="17" t="n">
        <f aca="false">MAX(B94-B93,0)</f>
        <v>0</v>
      </c>
      <c r="L94" s="17" t="n">
        <f aca="false">MAX(B93-B94,0)</f>
        <v>49.9099999999999</v>
      </c>
      <c r="M94" s="17" t="n">
        <f aca="false">(M93*13+K94)/14</f>
        <v>13.6608612356299</v>
      </c>
      <c r="N94" s="17" t="n">
        <f aca="false">(N93*13+L94)/14</f>
        <v>20.2853826211578</v>
      </c>
      <c r="O94" s="17" t="n">
        <f aca="false">IF(N94=0,100,100-100/(1+M94/N94))</f>
        <v>40.2426297685902</v>
      </c>
      <c r="P94" s="17" t="n">
        <f aca="false">AVERAGE(B75:B94)+2*STDEV(B75:B94)</f>
        <v>4931.56162710349</v>
      </c>
      <c r="Q94" s="17" t="n">
        <f aca="false">AVERAGE(B75:B94)-2*STDEV(B75:B94)</f>
        <v>4658.88637289651</v>
      </c>
      <c r="R94" s="19" t="n">
        <f aca="false">B94/B74-1</f>
        <v>-0.0196260766403192</v>
      </c>
      <c r="S94" s="17" t="n">
        <f aca="false">STDEV(C75:C94)*SQRT(252)*100</f>
        <v>14.6106492043117</v>
      </c>
      <c r="T94" s="18"/>
      <c r="U94" s="18"/>
      <c r="V94" s="17" t="n">
        <f aca="false">(B94-AVERAGE(B75:B94))/STDEV(B75:B94)</f>
        <v>-1.36695939308473</v>
      </c>
    </row>
    <row r="95" customFormat="false" ht="15" hidden="false" customHeight="false" outlineLevel="0" collapsed="false">
      <c r="A95" s="17" t="s">
        <v>659</v>
      </c>
      <c r="B95" s="17" t="n">
        <v>4764.47</v>
      </c>
      <c r="C95" s="19" t="n">
        <f aca="false">B95/B94-1</f>
        <v>0.0132772158467389</v>
      </c>
      <c r="D95" s="17" t="n">
        <f aca="false">AVERAGE(B46:B95)</f>
        <v>4812.4336</v>
      </c>
      <c r="F95" s="17" t="n">
        <f aca="false">B95*2/13+F94*11/13</f>
        <v>4763.48112503326</v>
      </c>
      <c r="G95" s="17" t="n">
        <f aca="false">B95*2/27+G94*25/27</f>
        <v>4785.66634004912</v>
      </c>
      <c r="H95" s="17" t="n">
        <f aca="false">F95-G95</f>
        <v>-22.1852150158547</v>
      </c>
      <c r="I95" s="17" t="n">
        <f aca="false">H95*2/10+I94*8/10</f>
        <v>-18.7583169026892</v>
      </c>
      <c r="J95" s="17" t="n">
        <f aca="false">H95-I95</f>
        <v>-3.42689811316557</v>
      </c>
      <c r="K95" s="17" t="n">
        <f aca="false">MAX(B95-B94,0)</f>
        <v>62.4300000000003</v>
      </c>
      <c r="L95" s="17" t="n">
        <f aca="false">MAX(B94-B95,0)</f>
        <v>0</v>
      </c>
      <c r="M95" s="17" t="n">
        <f aca="false">(M94*13+K95)/14</f>
        <v>17.1443711473706</v>
      </c>
      <c r="N95" s="17" t="n">
        <f aca="false">(N94*13+L95)/14</f>
        <v>18.8364267196465</v>
      </c>
      <c r="O95" s="17" t="n">
        <f aca="false">IF(N95=0,100,100-100/(1+M95/N95))</f>
        <v>47.6486686335727</v>
      </c>
      <c r="P95" s="17" t="n">
        <f aca="false">AVERAGE(B76:B95)+2*STDEV(B76:B95)</f>
        <v>4926.77831504023</v>
      </c>
      <c r="Q95" s="17" t="n">
        <f aca="false">AVERAGE(B76:B95)-2*STDEV(B76:B95)</f>
        <v>4656.14468495977</v>
      </c>
      <c r="R95" s="19" t="n">
        <f aca="false">B95/B75-1</f>
        <v>-0.015548420156538</v>
      </c>
      <c r="S95" s="17" t="n">
        <f aca="false">STDEV(C76:C95)*SQRT(252)*100</f>
        <v>15.0618055733066</v>
      </c>
      <c r="T95" s="18"/>
      <c r="U95" s="18"/>
      <c r="V95" s="17" t="n">
        <f aca="false">(B95-AVERAGE(B76:B95))/STDEV(B76:B95)</f>
        <v>-0.39893785546127</v>
      </c>
    </row>
    <row r="96" customFormat="false" ht="15" hidden="false" customHeight="false" outlineLevel="0" collapsed="false">
      <c r="A96" s="17" t="s">
        <v>660</v>
      </c>
      <c r="B96" s="17" t="n">
        <v>4792.27</v>
      </c>
      <c r="C96" s="19" t="n">
        <f aca="false">B96/B95-1</f>
        <v>0.00583485676266204</v>
      </c>
      <c r="D96" s="17" t="n">
        <f aca="false">AVERAGE(B47:B96)</f>
        <v>4811.6418</v>
      </c>
      <c r="F96" s="17" t="n">
        <f aca="false">B96*2/13+F95*11/13</f>
        <v>4767.91018272045</v>
      </c>
      <c r="G96" s="17" t="n">
        <f aca="false">B96*2/27+G95*25/27</f>
        <v>4786.15550004548</v>
      </c>
      <c r="H96" s="17" t="n">
        <f aca="false">F96-G96</f>
        <v>-18.245317325026</v>
      </c>
      <c r="I96" s="17" t="n">
        <f aca="false">H96*2/10+I95*8/10</f>
        <v>-18.6557169871565</v>
      </c>
      <c r="J96" s="17" t="n">
        <f aca="false">H96-I96</f>
        <v>0.41039966213053</v>
      </c>
      <c r="K96" s="17" t="n">
        <f aca="false">MAX(B96-B95,0)</f>
        <v>27.8000000000002</v>
      </c>
      <c r="L96" s="17" t="n">
        <f aca="false">MAX(B95-B96,0)</f>
        <v>0</v>
      </c>
      <c r="M96" s="17" t="n">
        <f aca="false">(M95*13+K96)/14</f>
        <v>17.905487493987</v>
      </c>
      <c r="N96" s="17" t="n">
        <f aca="false">(N95*13+L96)/14</f>
        <v>17.4909676682432</v>
      </c>
      <c r="O96" s="17" t="n">
        <f aca="false">IF(N96=0,100,100-100/(1+M96/N96))</f>
        <v>50.5855386137453</v>
      </c>
      <c r="P96" s="17" t="n">
        <f aca="false">AVERAGE(B77:B96)+2*STDEV(B77:B96)</f>
        <v>4922.88936080654</v>
      </c>
      <c r="Q96" s="17" t="n">
        <f aca="false">AVERAGE(B77:B96)-2*STDEV(B77:B96)</f>
        <v>4655.59963919346</v>
      </c>
      <c r="R96" s="19" t="n">
        <f aca="false">B96/B76-1</f>
        <v>-0.00916757811773106</v>
      </c>
      <c r="S96" s="17" t="n">
        <f aca="false">STDEV(C77:C96)*SQRT(252)*100</f>
        <v>15.2418215212614</v>
      </c>
      <c r="T96" s="18"/>
      <c r="U96" s="18"/>
      <c r="V96" s="17" t="n">
        <f aca="false">(B96-AVERAGE(B77:B96))/STDEV(B77:B96)</f>
        <v>0.0452767129501555</v>
      </c>
    </row>
    <row r="97" customFormat="false" ht="15" hidden="false" customHeight="false" outlineLevel="0" collapsed="false">
      <c r="A97" s="17" t="s">
        <v>661</v>
      </c>
      <c r="B97" s="17" t="n">
        <v>4826.59</v>
      </c>
      <c r="C97" s="19" t="n">
        <f aca="false">B97/B96-1</f>
        <v>0.00716153305218614</v>
      </c>
      <c r="D97" s="17" t="n">
        <f aca="false">AVERAGE(B48:B97)</f>
        <v>4812.0936</v>
      </c>
      <c r="F97" s="17" t="n">
        <f aca="false">B97*2/13+F96*11/13</f>
        <v>4776.9378469173</v>
      </c>
      <c r="G97" s="17" t="n">
        <f aca="false">B97*2/27+G96*25/27</f>
        <v>4789.15064819026</v>
      </c>
      <c r="H97" s="17" t="n">
        <f aca="false">F97-G97</f>
        <v>-12.2128012729527</v>
      </c>
      <c r="I97" s="17" t="n">
        <f aca="false">H97*2/10+I96*8/10</f>
        <v>-17.3671338443158</v>
      </c>
      <c r="J97" s="17" t="n">
        <f aca="false">H97-I97</f>
        <v>5.15433257136309</v>
      </c>
      <c r="K97" s="17" t="n">
        <f aca="false">MAX(B97-B96,0)</f>
        <v>34.3199999999997</v>
      </c>
      <c r="L97" s="17" t="n">
        <f aca="false">MAX(B96-B97,0)</f>
        <v>0</v>
      </c>
      <c r="M97" s="17" t="n">
        <f aca="false">(M96*13+K97)/14</f>
        <v>19.0779526729879</v>
      </c>
      <c r="N97" s="17" t="n">
        <f aca="false">(N96*13+L97)/14</f>
        <v>16.2416128347973</v>
      </c>
      <c r="O97" s="17" t="n">
        <f aca="false">IF(N97=0,100,100-100/(1+M97/N97))</f>
        <v>54.0152530154504</v>
      </c>
      <c r="P97" s="17" t="n">
        <f aca="false">AVERAGE(B78:B97)+2*STDEV(B78:B97)</f>
        <v>4922.19177751869</v>
      </c>
      <c r="Q97" s="17" t="n">
        <f aca="false">AVERAGE(B78:B97)-2*STDEV(B78:B97)</f>
        <v>4655.68522248131</v>
      </c>
      <c r="R97" s="19" t="n">
        <f aca="false">B97/B77-1</f>
        <v>-0.00126637021464149</v>
      </c>
      <c r="S97" s="17" t="n">
        <f aca="false">STDEV(C78:C97)*SQRT(252)*100</f>
        <v>15.4754367044966</v>
      </c>
      <c r="T97" s="18"/>
      <c r="U97" s="18"/>
      <c r="V97" s="17" t="n">
        <f aca="false">(B97-AVERAGE(B78:B97))/STDEV(B78:B97)</f>
        <v>0.565111803643528</v>
      </c>
    </row>
    <row r="98" customFormat="false" ht="15" hidden="false" customHeight="false" outlineLevel="0" collapsed="false">
      <c r="A98" s="17" t="s">
        <v>662</v>
      </c>
      <c r="B98" s="17" t="n">
        <v>4808.04</v>
      </c>
      <c r="C98" s="19" t="n">
        <f aca="false">B98/B97-1</f>
        <v>-0.00384329309098141</v>
      </c>
      <c r="D98" s="17" t="n">
        <f aca="false">AVERAGE(B49:B98)</f>
        <v>4814.6236</v>
      </c>
      <c r="F98" s="17" t="n">
        <f aca="false">B98*2/13+F97*11/13</f>
        <v>4781.72279354541</v>
      </c>
      <c r="G98" s="17" t="n">
        <f aca="false">B98*2/27+G97*25/27</f>
        <v>4790.54985943542</v>
      </c>
      <c r="H98" s="17" t="n">
        <f aca="false">F98-G98</f>
        <v>-8.82706589001191</v>
      </c>
      <c r="I98" s="17" t="n">
        <f aca="false">H98*2/10+I97*8/10</f>
        <v>-15.659120253455</v>
      </c>
      <c r="J98" s="17" t="n">
        <f aca="false">H98-I98</f>
        <v>6.83205436344309</v>
      </c>
      <c r="K98" s="17" t="n">
        <f aca="false">MAX(B98-B97,0)</f>
        <v>0</v>
      </c>
      <c r="L98" s="17" t="n">
        <f aca="false">MAX(B97-B98,0)</f>
        <v>18.5500000000002</v>
      </c>
      <c r="M98" s="17" t="n">
        <f aca="false">(M97*13+K98)/14</f>
        <v>17.7152417677745</v>
      </c>
      <c r="N98" s="17" t="n">
        <f aca="false">(N97*13+L98)/14</f>
        <v>16.4064976323118</v>
      </c>
      <c r="O98" s="17" t="n">
        <f aca="false">IF(N98=0,100,100-100/(1+M98/N98))</f>
        <v>51.9177570640778</v>
      </c>
      <c r="P98" s="17" t="n">
        <f aca="false">AVERAGE(B79:B98)+2*STDEV(B79:B98)</f>
        <v>4917.05306265139</v>
      </c>
      <c r="Q98" s="17" t="n">
        <f aca="false">AVERAGE(B79:B98)-2*STDEV(B79:B98)</f>
        <v>4656.44193734861</v>
      </c>
      <c r="R98" s="19" t="n">
        <f aca="false">B98/B78-1</f>
        <v>-0.00903158788588288</v>
      </c>
      <c r="S98" s="17" t="n">
        <f aca="false">STDEV(C79:C98)*SQRT(252)*100</f>
        <v>15.4571496405078</v>
      </c>
      <c r="T98" s="18"/>
      <c r="U98" s="18"/>
      <c r="V98" s="17" t="n">
        <f aca="false">(B98-AVERAGE(B79:B98))/STDEV(B79:B98)</f>
        <v>0.326808764979055</v>
      </c>
    </row>
    <row r="99" customFormat="false" ht="15" hidden="false" customHeight="false" outlineLevel="0" collapsed="false">
      <c r="A99" s="17" t="s">
        <v>663</v>
      </c>
      <c r="B99" s="17" t="n">
        <v>4859</v>
      </c>
      <c r="C99" s="19" t="n">
        <f aca="false">B99/B98-1</f>
        <v>0.0105989134865767</v>
      </c>
      <c r="D99" s="17" t="n">
        <f aca="false">AVERAGE(B50:B99)</f>
        <v>4816.5106</v>
      </c>
      <c r="F99" s="17" t="n">
        <f aca="false">B99*2/13+F98*11/13</f>
        <v>4793.61159453843</v>
      </c>
      <c r="G99" s="17" t="n">
        <f aca="false">B99*2/27+G98*25/27</f>
        <v>4795.62024021798</v>
      </c>
      <c r="H99" s="17" t="n">
        <f aca="false">F99-G99</f>
        <v>-2.00864567955887</v>
      </c>
      <c r="I99" s="17" t="n">
        <f aca="false">H99*2/10+I98*8/10</f>
        <v>-12.9290253386758</v>
      </c>
      <c r="J99" s="17" t="n">
        <f aca="false">H99-I99</f>
        <v>10.9203796591169</v>
      </c>
      <c r="K99" s="17" t="n">
        <f aca="false">MAX(B99-B98,0)</f>
        <v>50.96</v>
      </c>
      <c r="L99" s="17" t="n">
        <f aca="false">MAX(B98-B99,0)</f>
        <v>0</v>
      </c>
      <c r="M99" s="17" t="n">
        <f aca="false">(M98*13+K99)/14</f>
        <v>20.0898673557906</v>
      </c>
      <c r="N99" s="17" t="n">
        <f aca="false">(N98*13+L99)/14</f>
        <v>15.2346049442895</v>
      </c>
      <c r="O99" s="17" t="n">
        <f aca="false">IF(N99=0,100,100-100/(1+M99/N99))</f>
        <v>56.8723778380266</v>
      </c>
      <c r="P99" s="17" t="n">
        <f aca="false">AVERAGE(B80:B99)+2*STDEV(B80:B99)</f>
        <v>4906.07862618912</v>
      </c>
      <c r="Q99" s="17" t="n">
        <f aca="false">AVERAGE(B80:B99)-2*STDEV(B80:B99)</f>
        <v>4662.31937381088</v>
      </c>
      <c r="R99" s="19" t="n">
        <f aca="false">B99/B79-1</f>
        <v>-0.0103809188243513</v>
      </c>
      <c r="S99" s="17" t="n">
        <f aca="false">STDEV(C80:C99)*SQRT(252)*100</f>
        <v>15.3178197200273</v>
      </c>
      <c r="T99" s="18"/>
      <c r="U99" s="18"/>
      <c r="V99" s="17" t="n">
        <f aca="false">(B99-AVERAGE(B80:B99))/STDEV(B80:B99)</f>
        <v>1.22745699734804</v>
      </c>
    </row>
    <row r="100" customFormat="false" ht="15" hidden="false" customHeight="false" outlineLevel="0" collapsed="false">
      <c r="A100" s="17" t="s">
        <v>664</v>
      </c>
      <c r="B100" s="17" t="n">
        <v>4873.84</v>
      </c>
      <c r="C100" s="19" t="n">
        <f aca="false">B100/B99-1</f>
        <v>0.00305412636344937</v>
      </c>
      <c r="D100" s="17" t="n">
        <f aca="false">AVERAGE(B51:B100)</f>
        <v>4819.5304</v>
      </c>
      <c r="F100" s="17" t="n">
        <f aca="false">B100*2/13+F99*11/13</f>
        <v>4805.9544261479</v>
      </c>
      <c r="G100" s="17" t="n">
        <f aca="false">B100*2/27+G99*25/27</f>
        <v>4801.41429649813</v>
      </c>
      <c r="H100" s="17" t="n">
        <f aca="false">F100-G100</f>
        <v>4.54012964976482</v>
      </c>
      <c r="I100" s="17" t="n">
        <f aca="false">H100*2/10+I99*8/10</f>
        <v>-9.43519434098765</v>
      </c>
      <c r="J100" s="17" t="n">
        <f aca="false">H100-I100</f>
        <v>13.9753239907525</v>
      </c>
      <c r="K100" s="17" t="n">
        <f aca="false">MAX(B100-B99,0)</f>
        <v>14.8400000000001</v>
      </c>
      <c r="L100" s="17" t="n">
        <f aca="false">MAX(B99-B100,0)</f>
        <v>0</v>
      </c>
      <c r="M100" s="17" t="n">
        <f aca="false">(M99*13+K100)/14</f>
        <v>19.714876830377</v>
      </c>
      <c r="N100" s="17" t="n">
        <f aca="false">(N99*13+L100)/14</f>
        <v>14.1464188768402</v>
      </c>
      <c r="O100" s="17" t="n">
        <f aca="false">IF(N100=0,100,100-100/(1+M100/N100))</f>
        <v>58.2224525630747</v>
      </c>
      <c r="P100" s="17" t="n">
        <f aca="false">AVERAGE(B81:B100)+2*STDEV(B81:B100)</f>
        <v>4902.15211375868</v>
      </c>
      <c r="Q100" s="17" t="n">
        <f aca="false">AVERAGE(B81:B100)-2*STDEV(B81:B100)</f>
        <v>4664.48488624132</v>
      </c>
      <c r="R100" s="19" t="n">
        <f aca="false">B100/B80-1</f>
        <v>-0.00360015946191816</v>
      </c>
      <c r="S100" s="17" t="n">
        <f aca="false">STDEV(C81:C100)*SQRT(252)*100</f>
        <v>15.3147484617081</v>
      </c>
      <c r="T100" s="18"/>
      <c r="U100" s="18"/>
      <c r="V100" s="17" t="n">
        <f aca="false">(B100-AVERAGE(B81:B100))/STDEV(B81:B100)</f>
        <v>1.5234999111249</v>
      </c>
    </row>
    <row r="101" customFormat="false" ht="15" hidden="false" customHeight="false" outlineLevel="0" collapsed="false">
      <c r="A101" s="17" t="s">
        <v>665</v>
      </c>
      <c r="B101" s="17" t="n">
        <v>4853.86</v>
      </c>
      <c r="C101" s="19" t="n">
        <f aca="false">B101/B100-1</f>
        <v>-0.00409943699423876</v>
      </c>
      <c r="D101" s="17" t="n">
        <f aca="false">AVERAGE(B52:B101)</f>
        <v>4821.6864</v>
      </c>
      <c r="F101" s="17" t="n">
        <f aca="false">B101*2/13+F100*11/13</f>
        <v>4813.32451443284</v>
      </c>
      <c r="G101" s="17" t="n">
        <f aca="false">B101*2/27+G100*25/27</f>
        <v>4805.2991634242</v>
      </c>
      <c r="H101" s="17" t="n">
        <f aca="false">F101-G101</f>
        <v>8.02535100863861</v>
      </c>
      <c r="I101" s="17" t="n">
        <f aca="false">H101*2/10+I100*8/10</f>
        <v>-5.9430852710624</v>
      </c>
      <c r="J101" s="17" t="n">
        <f aca="false">H101-I101</f>
        <v>13.968436279701</v>
      </c>
      <c r="K101" s="17" t="n">
        <f aca="false">MAX(B101-B100,0)</f>
        <v>0</v>
      </c>
      <c r="L101" s="17" t="n">
        <f aca="false">MAX(B100-B101,0)</f>
        <v>19.9800000000005</v>
      </c>
      <c r="M101" s="17" t="n">
        <f aca="false">(M100*13+K101)/14</f>
        <v>18.3066713424929</v>
      </c>
      <c r="N101" s="17" t="n">
        <f aca="false">(N100*13+L101)/14</f>
        <v>14.5631032427803</v>
      </c>
      <c r="O101" s="17" t="n">
        <f aca="false">IF(N101=0,100,100-100/(1+M101/N101))</f>
        <v>55.6945448317585</v>
      </c>
      <c r="P101" s="17" t="n">
        <f aca="false">AVERAGE(B82:B101)+2*STDEV(B82:B101)</f>
        <v>4900.92912081892</v>
      </c>
      <c r="Q101" s="17" t="n">
        <f aca="false">AVERAGE(B82:B101)-2*STDEV(B82:B101)</f>
        <v>4665.03487918108</v>
      </c>
      <c r="R101" s="19" t="n">
        <f aca="false">B101/B81-1</f>
        <v>-0.00138460557257458</v>
      </c>
      <c r="S101" s="17" t="n">
        <f aca="false">STDEV(C82:C101)*SQRT(252)*100</f>
        <v>15.216399156539</v>
      </c>
      <c r="T101" s="18"/>
      <c r="U101" s="18"/>
      <c r="V101" s="17" t="n">
        <f aca="false">(B101-AVERAGE(B82:B101))/STDEV(B82:B101)</f>
        <v>1.2018606220802</v>
      </c>
    </row>
    <row r="102" customFormat="false" ht="15" hidden="false" customHeight="false" outlineLevel="0" collapsed="false">
      <c r="A102" s="17" t="s">
        <v>666</v>
      </c>
      <c r="B102" s="17" t="n">
        <v>4870.02</v>
      </c>
      <c r="C102" s="19" t="n">
        <f aca="false">B102/B101-1</f>
        <v>0.00332930904476036</v>
      </c>
      <c r="D102" s="17" t="n">
        <f aca="false">AVERAGE(B53:B102)</f>
        <v>4822.6888</v>
      </c>
      <c r="F102" s="17" t="n">
        <f aca="false">B102*2/13+F101*11/13</f>
        <v>4822.04689682779</v>
      </c>
      <c r="G102" s="17" t="n">
        <f aca="false">B102*2/27+G101*25/27</f>
        <v>4810.09329946685</v>
      </c>
      <c r="H102" s="17" t="n">
        <f aca="false">F102-G102</f>
        <v>11.9535973609354</v>
      </c>
      <c r="I102" s="17" t="n">
        <f aca="false">H102*2/10+I101*8/10</f>
        <v>-2.36374874466284</v>
      </c>
      <c r="J102" s="17" t="n">
        <f aca="false">H102-I102</f>
        <v>14.3173461055983</v>
      </c>
      <c r="K102" s="17" t="n">
        <f aca="false">MAX(B102-B101,0)</f>
        <v>16.1600000000008</v>
      </c>
      <c r="L102" s="17" t="n">
        <f aca="false">MAX(B101-B102,0)</f>
        <v>0</v>
      </c>
      <c r="M102" s="17" t="n">
        <f aca="false">(M101*13+K102)/14</f>
        <v>18.1533376751721</v>
      </c>
      <c r="N102" s="17" t="n">
        <f aca="false">(N101*13+L102)/14</f>
        <v>13.5228815825817</v>
      </c>
      <c r="O102" s="17" t="n">
        <f aca="false">IF(N102=0,100,100-100/(1+M102/N102))</f>
        <v>57.309041610856</v>
      </c>
      <c r="P102" s="17" t="n">
        <f aca="false">AVERAGE(B83:B102)+2*STDEV(B83:B102)</f>
        <v>4906.69602105411</v>
      </c>
      <c r="Q102" s="17" t="n">
        <f aca="false">AVERAGE(B83:B102)-2*STDEV(B83:B102)</f>
        <v>4662.62497894589</v>
      </c>
      <c r="R102" s="19" t="n">
        <f aca="false">B102/B82-1</f>
        <v>0.00694104146636487</v>
      </c>
      <c r="S102" s="17" t="n">
        <f aca="false">STDEV(C83:C102)*SQRT(252)*100</f>
        <v>15.1439052891874</v>
      </c>
      <c r="T102" s="18"/>
      <c r="U102" s="18"/>
      <c r="V102" s="17" t="n">
        <f aca="false">(B102-AVERAGE(B83:B102))/STDEV(B83:B102)</f>
        <v>1.39892875881858</v>
      </c>
    </row>
    <row r="103" customFormat="false" ht="15" hidden="false" customHeight="false" outlineLevel="0" collapsed="false">
      <c r="A103" s="17" t="s">
        <v>667</v>
      </c>
      <c r="B103" s="17" t="n">
        <v>4857.02</v>
      </c>
      <c r="C103" s="19" t="n">
        <f aca="false">B103/B102-1</f>
        <v>-0.00266939355485196</v>
      </c>
      <c r="D103" s="17" t="n">
        <f aca="false">AVERAGE(B54:B103)</f>
        <v>4823.4682</v>
      </c>
      <c r="F103" s="17" t="n">
        <f aca="false">B103*2/13+F102*11/13</f>
        <v>4827.4273742389</v>
      </c>
      <c r="G103" s="17" t="n">
        <f aca="false">B103*2/27+G102*25/27</f>
        <v>4813.5693513582</v>
      </c>
      <c r="H103" s="17" t="n">
        <f aca="false">F103-G103</f>
        <v>13.8580228807014</v>
      </c>
      <c r="I103" s="17" t="n">
        <f aca="false">H103*2/10+I102*8/10</f>
        <v>0.880605580410003</v>
      </c>
      <c r="J103" s="17" t="n">
        <f aca="false">H103-I103</f>
        <v>12.9774173002914</v>
      </c>
      <c r="K103" s="17" t="n">
        <f aca="false">MAX(B103-B102,0)</f>
        <v>0</v>
      </c>
      <c r="L103" s="17" t="n">
        <f aca="false">MAX(B102-B103,0)</f>
        <v>13</v>
      </c>
      <c r="M103" s="17" t="n">
        <f aca="false">(M102*13+K103)/14</f>
        <v>16.8566706983741</v>
      </c>
      <c r="N103" s="17" t="n">
        <f aca="false">(N102*13+L103)/14</f>
        <v>13.4855328981116</v>
      </c>
      <c r="O103" s="17" t="n">
        <f aca="false">IF(N103=0,100,100-100/(1+M103/N103))</f>
        <v>55.5551960646869</v>
      </c>
      <c r="P103" s="17" t="n">
        <f aca="false">AVERAGE(B84:B103)+2*STDEV(B84:B103)</f>
        <v>4913.22763561364</v>
      </c>
      <c r="Q103" s="17" t="n">
        <f aca="false">AVERAGE(B84:B103)-2*STDEV(B84:B103)</f>
        <v>4661.23636438636</v>
      </c>
      <c r="R103" s="19" t="n">
        <f aca="false">B103/B83-1</f>
        <v>0.0107021198229562</v>
      </c>
      <c r="S103" s="17" t="n">
        <f aca="false">STDEV(C84:C103)*SQRT(252)*100</f>
        <v>14.9802795544282</v>
      </c>
      <c r="T103" s="18"/>
      <c r="U103" s="18"/>
      <c r="V103" s="17" t="n">
        <f aca="false">(B103-AVERAGE(B84:B103))/STDEV(B84:B103)</f>
        <v>1.10778440316781</v>
      </c>
    </row>
    <row r="104" customFormat="false" ht="15" hidden="false" customHeight="false" outlineLevel="0" collapsed="false">
      <c r="A104" s="17" t="s">
        <v>668</v>
      </c>
      <c r="B104" s="17" t="n">
        <v>4873.21</v>
      </c>
      <c r="C104" s="19" t="n">
        <f aca="false">B104/B103-1</f>
        <v>0.00333331960749583</v>
      </c>
      <c r="D104" s="17" t="n">
        <f aca="false">AVERAGE(B55:B104)</f>
        <v>4825.011</v>
      </c>
      <c r="F104" s="17" t="n">
        <f aca="false">B104*2/13+F103*11/13</f>
        <v>4834.47085512522</v>
      </c>
      <c r="G104" s="17" t="n">
        <f aca="false">B104*2/27+G103*25/27</f>
        <v>4817.98717718351</v>
      </c>
      <c r="H104" s="17" t="n">
        <f aca="false">F104-G104</f>
        <v>16.4836779417064</v>
      </c>
      <c r="I104" s="17" t="n">
        <f aca="false">H104*2/10+I103*8/10</f>
        <v>4.00122005266929</v>
      </c>
      <c r="J104" s="17" t="n">
        <f aca="false">H104-I104</f>
        <v>12.4824578890372</v>
      </c>
      <c r="K104" s="17" t="n">
        <f aca="false">MAX(B104-B103,0)</f>
        <v>16.1899999999996</v>
      </c>
      <c r="L104" s="17" t="n">
        <f aca="false">MAX(B103-B104,0)</f>
        <v>0</v>
      </c>
      <c r="M104" s="17" t="n">
        <f aca="false">(M103*13+K104)/14</f>
        <v>16.8090513627759</v>
      </c>
      <c r="N104" s="17" t="n">
        <f aca="false">(N103*13+L104)/14</f>
        <v>12.5222805482464</v>
      </c>
      <c r="O104" s="17" t="n">
        <f aca="false">IF(N104=0,100,100-100/(1+M104/N104))</f>
        <v>57.3074942991568</v>
      </c>
      <c r="P104" s="17" t="n">
        <f aca="false">AVERAGE(B85:B104)+2*STDEV(B85:B104)</f>
        <v>4922.49217375069</v>
      </c>
      <c r="Q104" s="17" t="n">
        <f aca="false">AVERAGE(B85:B104)-2*STDEV(B85:B104)</f>
        <v>4659.16582624931</v>
      </c>
      <c r="R104" s="19" t="n">
        <f aca="false">B104/B84-1</f>
        <v>0.014983535606204</v>
      </c>
      <c r="S104" s="17" t="n">
        <f aca="false">STDEV(C85:C104)*SQRT(252)*100</f>
        <v>15.0003819046144</v>
      </c>
      <c r="T104" s="18"/>
      <c r="U104" s="18"/>
      <c r="V104" s="17" t="n">
        <f aca="false">(B104-AVERAGE(B85:B104))/STDEV(B85:B104)</f>
        <v>1.25139015949882</v>
      </c>
    </row>
    <row r="105" customFormat="false" ht="15" hidden="false" customHeight="false" outlineLevel="0" collapsed="false">
      <c r="A105" s="17" t="s">
        <v>669</v>
      </c>
      <c r="B105" s="17" t="n">
        <v>4810.81</v>
      </c>
      <c r="C105" s="19" t="n">
        <f aca="false">B105/B104-1</f>
        <v>-0.0128047016237757</v>
      </c>
      <c r="D105" s="17" t="n">
        <f aca="false">AVERAGE(B56:B105)</f>
        <v>4825.1228</v>
      </c>
      <c r="F105" s="17" t="n">
        <f aca="false">B105*2/13+F104*11/13</f>
        <v>4830.83072356749</v>
      </c>
      <c r="G105" s="17" t="n">
        <f aca="false">B105*2/27+G104*25/27</f>
        <v>4817.45553442918</v>
      </c>
      <c r="H105" s="17" t="n">
        <f aca="false">F105-G105</f>
        <v>13.3751891383145</v>
      </c>
      <c r="I105" s="17" t="n">
        <f aca="false">H105*2/10+I104*8/10</f>
        <v>5.87601386979832</v>
      </c>
      <c r="J105" s="17" t="n">
        <f aca="false">H105-I105</f>
        <v>7.49917526851613</v>
      </c>
      <c r="K105" s="17" t="n">
        <f aca="false">MAX(B105-B104,0)</f>
        <v>0</v>
      </c>
      <c r="L105" s="17" t="n">
        <f aca="false">MAX(B104-B105,0)</f>
        <v>62.3999999999996</v>
      </c>
      <c r="M105" s="17" t="n">
        <f aca="false">(M104*13+K105)/14</f>
        <v>15.6084048368633</v>
      </c>
      <c r="N105" s="17" t="n">
        <f aca="false">(N104*13+L105)/14</f>
        <v>16.0849747948002</v>
      </c>
      <c r="O105" s="17" t="n">
        <f aca="false">IF(N105=0,100,100-100/(1+M105/N105))</f>
        <v>49.2481553506197</v>
      </c>
      <c r="P105" s="17" t="n">
        <f aca="false">AVERAGE(B86:B105)+2*STDEV(B86:B105)</f>
        <v>4924.47149829452</v>
      </c>
      <c r="Q105" s="17" t="n">
        <f aca="false">AVERAGE(B86:B105)-2*STDEV(B86:B105)</f>
        <v>4661.57350170548</v>
      </c>
      <c r="R105" s="19" t="n">
        <f aca="false">B105/B85-1</f>
        <v>0.00920296878081128</v>
      </c>
      <c r="S105" s="17" t="n">
        <f aca="false">STDEV(C86:C105)*SQRT(252)*100</f>
        <v>15.5223745724736</v>
      </c>
      <c r="T105" s="18"/>
      <c r="U105" s="18"/>
      <c r="V105" s="17" t="n">
        <f aca="false">(B105-AVERAGE(B86:B105))/STDEV(B86:B105)</f>
        <v>0.270637284890477</v>
      </c>
    </row>
    <row r="106" customFormat="false" ht="15" hidden="false" customHeight="false" outlineLevel="0" collapsed="false">
      <c r="A106" s="17" t="s">
        <v>670</v>
      </c>
      <c r="B106" s="17" t="n">
        <v>4734.1</v>
      </c>
      <c r="C106" s="19" t="n">
        <f aca="false">B106/B105-1</f>
        <v>-0.0159453397660685</v>
      </c>
      <c r="D106" s="17" t="n">
        <f aca="false">AVERAGE(B57:B106)</f>
        <v>4822.7298</v>
      </c>
      <c r="F106" s="17" t="n">
        <f aca="false">B106*2/13+F105*11/13</f>
        <v>4815.94907378788</v>
      </c>
      <c r="G106" s="17" t="n">
        <f aca="false">B106*2/27+G105*25/27</f>
        <v>4811.28105039739</v>
      </c>
      <c r="H106" s="17" t="n">
        <f aca="false">F106-G106</f>
        <v>4.66802339049082</v>
      </c>
      <c r="I106" s="17" t="n">
        <f aca="false">H106*2/10+I105*8/10</f>
        <v>5.63441577393682</v>
      </c>
      <c r="J106" s="17" t="n">
        <f aca="false">H106-I106</f>
        <v>-0.966392383446006</v>
      </c>
      <c r="K106" s="17" t="n">
        <f aca="false">MAX(B106-B105,0)</f>
        <v>0</v>
      </c>
      <c r="L106" s="17" t="n">
        <f aca="false">MAX(B105-B106,0)</f>
        <v>76.71</v>
      </c>
      <c r="M106" s="17" t="n">
        <f aca="false">(M105*13+K106)/14</f>
        <v>14.4935187770874</v>
      </c>
      <c r="N106" s="17" t="n">
        <f aca="false">(N105*13+L106)/14</f>
        <v>20.4153337380288</v>
      </c>
      <c r="O106" s="17" t="n">
        <f aca="false">IF(N106=0,100,100-100/(1+M106/N106))</f>
        <v>41.5181758575748</v>
      </c>
      <c r="P106" s="17" t="n">
        <f aca="false">AVERAGE(B87:B106)+2*STDEV(B87:B106)</f>
        <v>4924.10702238628</v>
      </c>
      <c r="Q106" s="17" t="n">
        <f aca="false">AVERAGE(B87:B106)-2*STDEV(B87:B106)</f>
        <v>4662.65697761372</v>
      </c>
      <c r="R106" s="19" t="n">
        <f aca="false">B106/B86-1</f>
        <v>0.0015210782519659</v>
      </c>
      <c r="S106" s="17" t="n">
        <f aca="false">STDEV(C87:C106)*SQRT(252)*100</f>
        <v>16.307778048207</v>
      </c>
      <c r="T106" s="18"/>
      <c r="U106" s="18"/>
      <c r="V106" s="17" t="n">
        <f aca="false">(B106-AVERAGE(B87:B106))/STDEV(B87:B106)</f>
        <v>-0.906972497198344</v>
      </c>
    </row>
    <row r="107" customFormat="false" ht="15" hidden="false" customHeight="false" outlineLevel="0" collapsed="false">
      <c r="A107" s="17" t="s">
        <v>671</v>
      </c>
      <c r="B107" s="17" t="n">
        <v>4739.37</v>
      </c>
      <c r="C107" s="19" t="n">
        <f aca="false">B107/B106-1</f>
        <v>0.00111319997465187</v>
      </c>
      <c r="D107" s="17" t="n">
        <f aca="false">AVERAGE(B58:B107)</f>
        <v>4819.69</v>
      </c>
      <c r="F107" s="17" t="n">
        <f aca="false">B107*2/13+F106*11/13</f>
        <v>4804.16767782051</v>
      </c>
      <c r="G107" s="17" t="n">
        <f aca="false">B107*2/27+G106*25/27</f>
        <v>4805.95430592351</v>
      </c>
      <c r="H107" s="17" t="n">
        <f aca="false">F107-G107</f>
        <v>-1.78662810299375</v>
      </c>
      <c r="I107" s="17" t="n">
        <f aca="false">H107*2/10+I106*8/10</f>
        <v>4.15020699855071</v>
      </c>
      <c r="J107" s="17" t="n">
        <f aca="false">H107-I107</f>
        <v>-5.93683510154445</v>
      </c>
      <c r="K107" s="17" t="n">
        <f aca="false">MAX(B107-B106,0)</f>
        <v>5.26999999999953</v>
      </c>
      <c r="L107" s="17" t="n">
        <f aca="false">MAX(B106-B107,0)</f>
        <v>0</v>
      </c>
      <c r="M107" s="17" t="n">
        <f aca="false">(M106*13+K107)/14</f>
        <v>13.8346960072954</v>
      </c>
      <c r="N107" s="17" t="n">
        <f aca="false">(N106*13+L107)/14</f>
        <v>18.9570956138839</v>
      </c>
      <c r="O107" s="17" t="n">
        <f aca="false">IF(N107=0,100,100-100/(1+M107/N107))</f>
        <v>42.1895093964916</v>
      </c>
      <c r="P107" s="17" t="n">
        <f aca="false">AVERAGE(B88:B107)+2*STDEV(B88:B107)</f>
        <v>4918.52416079844</v>
      </c>
      <c r="Q107" s="17" t="n">
        <f aca="false">AVERAGE(B88:B107)-2*STDEV(B88:B107)</f>
        <v>4674.26683920156</v>
      </c>
      <c r="R107" s="19" t="n">
        <f aca="false">B107/B87-1</f>
        <v>0.012880682182471</v>
      </c>
      <c r="S107" s="17" t="n">
        <f aca="false">STDEV(C88:C107)*SQRT(252)*100</f>
        <v>15.853333995371</v>
      </c>
      <c r="T107" s="18"/>
      <c r="U107" s="18"/>
      <c r="V107" s="17" t="n">
        <f aca="false">(B107-AVERAGE(B88:B107))/STDEV(B88:B107)</f>
        <v>-0.933859417227439</v>
      </c>
    </row>
    <row r="108" customFormat="false" ht="15" hidden="false" customHeight="false" outlineLevel="0" collapsed="false">
      <c r="A108" s="17" t="s">
        <v>672</v>
      </c>
      <c r="B108" s="17" t="n">
        <v>4778.14</v>
      </c>
      <c r="C108" s="19" t="n">
        <f aca="false">B108/B107-1</f>
        <v>0.00818041216448617</v>
      </c>
      <c r="D108" s="17" t="n">
        <f aca="false">AVERAGE(B59:B108)</f>
        <v>4818.0746</v>
      </c>
      <c r="F108" s="17" t="n">
        <f aca="false">B108*2/13+F107*11/13</f>
        <v>4800.16341969428</v>
      </c>
      <c r="G108" s="17" t="n">
        <f aca="false">B108*2/27+G107*25/27</f>
        <v>4803.89398696621</v>
      </c>
      <c r="H108" s="17" t="n">
        <f aca="false">F108-G108</f>
        <v>-3.73056727193034</v>
      </c>
      <c r="I108" s="17" t="n">
        <f aca="false">H108*2/10+I107*8/10</f>
        <v>2.5740521444545</v>
      </c>
      <c r="J108" s="17" t="n">
        <f aca="false">H108-I108</f>
        <v>-6.30461941638484</v>
      </c>
      <c r="K108" s="17" t="n">
        <f aca="false">MAX(B108-B107,0)</f>
        <v>38.7700000000004</v>
      </c>
      <c r="L108" s="17" t="n">
        <f aca="false">MAX(B107-B108,0)</f>
        <v>0</v>
      </c>
      <c r="M108" s="17" t="n">
        <f aca="false">(M107*13+K108)/14</f>
        <v>15.6157891496315</v>
      </c>
      <c r="N108" s="17" t="n">
        <f aca="false">(N107*13+L108)/14</f>
        <v>17.6030173557493</v>
      </c>
      <c r="O108" s="17" t="n">
        <f aca="false">IF(N108=0,100,100-100/(1+M108/N108))</f>
        <v>47.0088807889652</v>
      </c>
      <c r="P108" s="17" t="n">
        <f aca="false">AVERAGE(B89:B108)+2*STDEV(B89:B108)</f>
        <v>4906.91980671028</v>
      </c>
      <c r="Q108" s="17" t="n">
        <f aca="false">AVERAGE(B89:B108)-2*STDEV(B89:B108)</f>
        <v>4697.63919328972</v>
      </c>
      <c r="R108" s="19" t="n">
        <f aca="false">B108/B88-1</f>
        <v>0.0252507263231527</v>
      </c>
      <c r="S108" s="17" t="n">
        <f aca="false">STDEV(C89:C108)*SQRT(252)*100</f>
        <v>15.9655770032794</v>
      </c>
      <c r="T108" s="18"/>
      <c r="U108" s="18"/>
      <c r="V108" s="17" t="n">
        <f aca="false">(B108-AVERAGE(B89:B108))/STDEV(B89:B108)</f>
        <v>-0.461380528381579</v>
      </c>
    </row>
    <row r="109" customFormat="false" ht="15" hidden="false" customHeight="false" outlineLevel="0" collapsed="false">
      <c r="A109" s="17" t="s">
        <v>673</v>
      </c>
      <c r="B109" s="17" t="n">
        <v>4788.67</v>
      </c>
      <c r="C109" s="19" t="n">
        <f aca="false">B109/B108-1</f>
        <v>0.0022037864106117</v>
      </c>
      <c r="D109" s="17" t="n">
        <f aca="false">AVERAGE(B60:B109)</f>
        <v>4817.5046</v>
      </c>
      <c r="F109" s="17" t="n">
        <f aca="false">B109*2/13+F108*11/13</f>
        <v>4798.39520127978</v>
      </c>
      <c r="G109" s="17" t="n">
        <f aca="false">B109*2/27+G108*25/27</f>
        <v>4802.76628422797</v>
      </c>
      <c r="H109" s="17" t="n">
        <f aca="false">F109-G109</f>
        <v>-4.371082948197</v>
      </c>
      <c r="I109" s="17" t="n">
        <f aca="false">H109*2/10+I108*8/10</f>
        <v>1.1850251259242</v>
      </c>
      <c r="J109" s="17" t="n">
        <f aca="false">H109-I109</f>
        <v>-5.5561080741212</v>
      </c>
      <c r="K109" s="17" t="n">
        <f aca="false">MAX(B109-B108,0)</f>
        <v>10.5299999999997</v>
      </c>
      <c r="L109" s="17" t="n">
        <f aca="false">MAX(B108-B109,0)</f>
        <v>0</v>
      </c>
      <c r="M109" s="17" t="n">
        <f aca="false">(M108*13+K109)/14</f>
        <v>15.2525184960863</v>
      </c>
      <c r="N109" s="17" t="n">
        <f aca="false">(N108*13+L109)/14</f>
        <v>16.3456589731958</v>
      </c>
      <c r="O109" s="17" t="n">
        <f aca="false">IF(N109=0,100,100-100/(1+M109/N109))</f>
        <v>48.2702475828358</v>
      </c>
      <c r="P109" s="17" t="n">
        <f aca="false">AVERAGE(B90:B109)+2*STDEV(B90:B109)</f>
        <v>4907.01997636928</v>
      </c>
      <c r="Q109" s="17" t="n">
        <f aca="false">AVERAGE(B90:B109)-2*STDEV(B90:B109)</f>
        <v>4699.03302363072</v>
      </c>
      <c r="R109" s="19" t="n">
        <f aca="false">B109/B89-1</f>
        <v>0.00312962819430518</v>
      </c>
      <c r="S109" s="17" t="n">
        <f aca="false">STDEV(C90:C109)*SQRT(252)*100</f>
        <v>13.4741913921809</v>
      </c>
      <c r="T109" s="18"/>
      <c r="U109" s="18"/>
      <c r="V109" s="17" t="n">
        <f aca="false">(B109-AVERAGE(B90:B109))/STDEV(B90:B109)</f>
        <v>-0.27610385768853</v>
      </c>
    </row>
    <row r="110" customFormat="false" ht="15" hidden="false" customHeight="false" outlineLevel="0" collapsed="false">
      <c r="A110" s="17" t="s">
        <v>674</v>
      </c>
      <c r="B110" s="17" t="n">
        <v>4851.94</v>
      </c>
      <c r="C110" s="19" t="n">
        <f aca="false">B110/B109-1</f>
        <v>0.0132124368561624</v>
      </c>
      <c r="D110" s="17" t="n">
        <f aca="false">AVERAGE(B61:B110)</f>
        <v>4817.2092</v>
      </c>
      <c r="F110" s="17" t="n">
        <f aca="false">B110*2/13+F109*11/13</f>
        <v>4806.63286262135</v>
      </c>
      <c r="G110" s="17" t="n">
        <f aca="false">B110*2/27+G109*25/27</f>
        <v>4806.40878169257</v>
      </c>
      <c r="H110" s="17" t="n">
        <f aca="false">F110-G110</f>
        <v>0.224080928780495</v>
      </c>
      <c r="I110" s="17" t="n">
        <f aca="false">H110*2/10+I109*8/10</f>
        <v>0.992836286495458</v>
      </c>
      <c r="J110" s="17" t="n">
        <f aca="false">H110-I110</f>
        <v>-0.768755357714963</v>
      </c>
      <c r="K110" s="17" t="n">
        <f aca="false">MAX(B110-B109,0)</f>
        <v>63.2699999999995</v>
      </c>
      <c r="L110" s="17" t="n">
        <f aca="false">MAX(B109-B110,0)</f>
        <v>0</v>
      </c>
      <c r="M110" s="17" t="n">
        <f aca="false">(M109*13+K110)/14</f>
        <v>18.6823386035087</v>
      </c>
      <c r="N110" s="17" t="n">
        <f aca="false">(N109*13+L110)/14</f>
        <v>15.1781119036818</v>
      </c>
      <c r="O110" s="17" t="n">
        <f aca="false">IF(N110=0,100,100-100/(1+M110/N110))</f>
        <v>55.1745128126437</v>
      </c>
      <c r="P110" s="17" t="n">
        <f aca="false">AVERAGE(B91:B110)+2*STDEV(B91:B110)</f>
        <v>4911.65217488096</v>
      </c>
      <c r="Q110" s="17" t="n">
        <f aca="false">AVERAGE(B91:B110)-2*STDEV(B91:B110)</f>
        <v>4699.10282511905</v>
      </c>
      <c r="R110" s="19" t="n">
        <f aca="false">B110/B90-1</f>
        <v>0.00978580288537567</v>
      </c>
      <c r="S110" s="17" t="n">
        <f aca="false">STDEV(C91:C110)*SQRT(252)*100</f>
        <v>14.0858712713238</v>
      </c>
      <c r="T110" s="18"/>
      <c r="U110" s="18"/>
      <c r="V110" s="17" t="n">
        <f aca="false">(B110-AVERAGE(B91:B110))/STDEV(B91:B110)</f>
        <v>0.876267089071913</v>
      </c>
    </row>
    <row r="111" customFormat="false" ht="15" hidden="false" customHeight="false" outlineLevel="0" collapsed="false">
      <c r="A111" s="17" t="s">
        <v>675</v>
      </c>
      <c r="B111" s="17" t="n">
        <v>4859.19</v>
      </c>
      <c r="C111" s="19" t="n">
        <f aca="false">B111/B110-1</f>
        <v>0.0014942476617601</v>
      </c>
      <c r="D111" s="17" t="n">
        <f aca="false">AVERAGE(B62:B111)</f>
        <v>4816.8876</v>
      </c>
      <c r="F111" s="17" t="n">
        <f aca="false">B111*2/13+F110*11/13</f>
        <v>4814.71857606422</v>
      </c>
      <c r="G111" s="17" t="n">
        <f aca="false">B111*2/27+G110*25/27</f>
        <v>4810.31850156719</v>
      </c>
      <c r="H111" s="17" t="n">
        <f aca="false">F111-G111</f>
        <v>4.40007449702625</v>
      </c>
      <c r="I111" s="17" t="n">
        <f aca="false">H111*2/10+I110*8/10</f>
        <v>1.67428392860162</v>
      </c>
      <c r="J111" s="17" t="n">
        <f aca="false">H111-I111</f>
        <v>2.72579056842464</v>
      </c>
      <c r="K111" s="17" t="n">
        <f aca="false">MAX(B111-B110,0)</f>
        <v>7.25</v>
      </c>
      <c r="L111" s="17" t="n">
        <f aca="false">MAX(B110-B111,0)</f>
        <v>0</v>
      </c>
      <c r="M111" s="17" t="n">
        <f aca="false">(M110*13+K111)/14</f>
        <v>17.8657429889724</v>
      </c>
      <c r="N111" s="17" t="n">
        <f aca="false">(N110*13+L111)/14</f>
        <v>14.0939610534188</v>
      </c>
      <c r="O111" s="17" t="n">
        <f aca="false">IF(N111=0,100,100-100/(1+M111/N111))</f>
        <v>55.9008398991284</v>
      </c>
      <c r="P111" s="17" t="n">
        <f aca="false">AVERAGE(B92:B111)+2*STDEV(B92:B111)</f>
        <v>4915.74820907798</v>
      </c>
      <c r="Q111" s="17" t="n">
        <f aca="false">AVERAGE(B92:B111)-2*STDEV(B92:B111)</f>
        <v>4698.40779092202</v>
      </c>
      <c r="R111" s="19" t="n">
        <f aca="false">B111/B91-1</f>
        <v>0.00704844171616381</v>
      </c>
      <c r="S111" s="17" t="n">
        <f aca="false">STDEV(C92:C111)*SQRT(252)*100</f>
        <v>14.024246093669</v>
      </c>
      <c r="T111" s="18"/>
      <c r="U111" s="18"/>
      <c r="V111" s="17" t="n">
        <f aca="false">(B111-AVERAGE(B92:B111))/STDEV(B92:B111)</f>
        <v>0.959085299313333</v>
      </c>
    </row>
    <row r="112" customFormat="false" ht="15" hidden="false" customHeight="false" outlineLevel="0" collapsed="false">
      <c r="A112" s="17" t="s">
        <v>676</v>
      </c>
      <c r="B112" s="17" t="n">
        <v>4895.9</v>
      </c>
      <c r="C112" s="19" t="n">
        <f aca="false">B112/B111-1</f>
        <v>0.00755475706856501</v>
      </c>
      <c r="D112" s="17" t="n">
        <f aca="false">AVERAGE(B63:B112)</f>
        <v>4818.0396</v>
      </c>
      <c r="F112" s="17" t="n">
        <f aca="false">B112*2/13+F111*11/13</f>
        <v>4827.20802590049</v>
      </c>
      <c r="G112" s="17" t="n">
        <f aca="false">B112*2/27+G111*25/27</f>
        <v>4816.65787182147</v>
      </c>
      <c r="H112" s="17" t="n">
        <f aca="false">F112-G112</f>
        <v>10.5501540790183</v>
      </c>
      <c r="I112" s="17" t="n">
        <f aca="false">H112*2/10+I111*8/10</f>
        <v>3.44945795868495</v>
      </c>
      <c r="J112" s="17" t="n">
        <f aca="false">H112-I112</f>
        <v>7.10069612033333</v>
      </c>
      <c r="K112" s="17" t="n">
        <f aca="false">MAX(B112-B111,0)</f>
        <v>36.71</v>
      </c>
      <c r="L112" s="17" t="n">
        <f aca="false">MAX(B111-B112,0)</f>
        <v>0</v>
      </c>
      <c r="M112" s="17" t="n">
        <f aca="false">(M111*13+K112)/14</f>
        <v>19.2117613469029</v>
      </c>
      <c r="N112" s="17" t="n">
        <f aca="false">(N111*13+L112)/14</f>
        <v>13.0872495496032</v>
      </c>
      <c r="O112" s="17" t="n">
        <f aca="false">IF(N112=0,100,100-100/(1+M112/N112))</f>
        <v>59.4809587465761</v>
      </c>
      <c r="P112" s="17" t="n">
        <f aca="false">AVERAGE(B93:B112)+2*STDEV(B93:B112)</f>
        <v>4926.22528088593</v>
      </c>
      <c r="Q112" s="17" t="n">
        <f aca="false">AVERAGE(B93:B112)-2*STDEV(B93:B112)</f>
        <v>4702.81771911408</v>
      </c>
      <c r="R112" s="19" t="n">
        <f aca="false">B112/B92-1</f>
        <v>0.0313606612976956</v>
      </c>
      <c r="S112" s="17" t="n">
        <f aca="false">STDEV(C93:C112)*SQRT(252)*100</f>
        <v>12.7776911483849</v>
      </c>
      <c r="T112" s="18"/>
      <c r="U112" s="18"/>
      <c r="V112" s="17" t="n">
        <f aca="false">(B112-AVERAGE(B93:B112))/STDEV(B93:B112)</f>
        <v>1.45704110200362</v>
      </c>
    </row>
    <row r="113" customFormat="false" ht="15" hidden="false" customHeight="false" outlineLevel="0" collapsed="false">
      <c r="A113" s="17" t="s">
        <v>677</v>
      </c>
      <c r="B113" s="17" t="n">
        <v>4874.3</v>
      </c>
      <c r="C113" s="19" t="n">
        <f aca="false">B113/B112-1</f>
        <v>-0.004411854817296</v>
      </c>
      <c r="D113" s="17" t="n">
        <f aca="false">AVERAGE(B64:B113)</f>
        <v>4818.0116</v>
      </c>
      <c r="F113" s="17" t="n">
        <f aca="false">B113*2/13+F112*11/13</f>
        <v>4834.45294499272</v>
      </c>
      <c r="G113" s="17" t="n">
        <f aca="false">B113*2/27+G112*25/27</f>
        <v>4820.92765909396</v>
      </c>
      <c r="H113" s="17" t="n">
        <f aca="false">F113-G113</f>
        <v>13.5252858987669</v>
      </c>
      <c r="I113" s="17" t="n">
        <f aca="false">H113*2/10+I112*8/10</f>
        <v>5.46462354670135</v>
      </c>
      <c r="J113" s="17" t="n">
        <f aca="false">H113-I113</f>
        <v>8.06066235206558</v>
      </c>
      <c r="K113" s="17" t="n">
        <f aca="false">MAX(B113-B112,0)</f>
        <v>0</v>
      </c>
      <c r="L113" s="17" t="n">
        <f aca="false">MAX(B112-B113,0)</f>
        <v>21.5999999999995</v>
      </c>
      <c r="M113" s="17" t="n">
        <f aca="false">(M112*13+K113)/14</f>
        <v>17.839492679267</v>
      </c>
      <c r="N113" s="17" t="n">
        <f aca="false">(N112*13+L113)/14</f>
        <v>13.6953031532029</v>
      </c>
      <c r="O113" s="17" t="n">
        <f aca="false">IF(N113=0,100,100-100/(1+M113/N113))</f>
        <v>56.5708202901967</v>
      </c>
      <c r="P113" s="17" t="n">
        <f aca="false">AVERAGE(B94:B113)+2*STDEV(B94:B113)</f>
        <v>4931.31067181875</v>
      </c>
      <c r="Q113" s="17" t="n">
        <f aca="false">AVERAGE(B94:B113)-2*STDEV(B94:B113)</f>
        <v>4709.96732818125</v>
      </c>
      <c r="R113" s="19" t="n">
        <f aca="false">B113/B93-1</f>
        <v>0.0257473247824578</v>
      </c>
      <c r="S113" s="17" t="n">
        <f aca="false">STDEV(C94:C113)*SQRT(252)*100</f>
        <v>12.9533511219876</v>
      </c>
      <c r="T113" s="18"/>
      <c r="U113" s="18"/>
      <c r="V113" s="17" t="n">
        <f aca="false">(B113-AVERAGE(B94:B113))/STDEV(B94:B113)</f>
        <v>0.969733250038555</v>
      </c>
    </row>
    <row r="114" customFormat="false" ht="15" hidden="false" customHeight="false" outlineLevel="0" collapsed="false">
      <c r="A114" s="17" t="s">
        <v>678</v>
      </c>
      <c r="B114" s="17" t="n">
        <v>4935.84</v>
      </c>
      <c r="C114" s="19" t="n">
        <f aca="false">B114/B113-1</f>
        <v>0.012625402621915</v>
      </c>
      <c r="D114" s="17" t="n">
        <f aca="false">AVERAGE(B65:B114)</f>
        <v>4819.3958</v>
      </c>
      <c r="F114" s="17" t="n">
        <f aca="false">B114*2/13+F113*11/13</f>
        <v>4850.05095345538</v>
      </c>
      <c r="G114" s="17" t="n">
        <f aca="false">B114*2/27+G113*25/27</f>
        <v>4829.43968434626</v>
      </c>
      <c r="H114" s="17" t="n">
        <f aca="false">F114-G114</f>
        <v>20.6112691091257</v>
      </c>
      <c r="I114" s="17" t="n">
        <f aca="false">H114*2/10+I113*8/10</f>
        <v>8.49395265918622</v>
      </c>
      <c r="J114" s="17" t="n">
        <f aca="false">H114-I114</f>
        <v>12.1173164499395</v>
      </c>
      <c r="K114" s="17" t="n">
        <f aca="false">MAX(B114-B113,0)</f>
        <v>61.54</v>
      </c>
      <c r="L114" s="17" t="n">
        <f aca="false">MAX(B113-B114,0)</f>
        <v>0</v>
      </c>
      <c r="M114" s="17" t="n">
        <f aca="false">(M113*13+K114)/14</f>
        <v>20.9609574878908</v>
      </c>
      <c r="N114" s="17" t="n">
        <f aca="false">(N113*13+L114)/14</f>
        <v>12.7170672136884</v>
      </c>
      <c r="O114" s="17" t="n">
        <f aca="false">IF(N114=0,100,100-100/(1+M114/N114))</f>
        <v>62.2392722661905</v>
      </c>
      <c r="P114" s="17" t="n">
        <f aca="false">AVERAGE(B95:B114)+2*STDEV(B95:B114)</f>
        <v>4939.59302799193</v>
      </c>
      <c r="Q114" s="17" t="n">
        <f aca="false">AVERAGE(B95:B114)-2*STDEV(B95:B114)</f>
        <v>4725.06497200807</v>
      </c>
      <c r="R114" s="19" t="n">
        <f aca="false">B114/B94-1</f>
        <v>0.0497230989102602</v>
      </c>
      <c r="S114" s="17" t="n">
        <f aca="false">STDEV(C95:C114)*SQRT(252)*100</f>
        <v>12.7575420104971</v>
      </c>
      <c r="T114" s="18"/>
      <c r="U114" s="18"/>
      <c r="V114" s="17" t="n">
        <f aca="false">(B114-AVERAGE(B95:B114))/STDEV(B95:B114)</f>
        <v>1.93002261686075</v>
      </c>
    </row>
    <row r="115" customFormat="false" ht="15" hidden="false" customHeight="false" outlineLevel="0" collapsed="false">
      <c r="A115" s="17" t="s">
        <v>679</v>
      </c>
      <c r="B115" s="17" t="n">
        <v>4921.22</v>
      </c>
      <c r="C115" s="19" t="n">
        <f aca="false">B115/B114-1</f>
        <v>-0.00296200849298189</v>
      </c>
      <c r="D115" s="17" t="n">
        <f aca="false">AVERAGE(B66:B115)</f>
        <v>4820.6308</v>
      </c>
      <c r="F115" s="17" t="n">
        <f aca="false">B115*2/13+F114*11/13</f>
        <v>4861.00003753917</v>
      </c>
      <c r="G115" s="17" t="n">
        <f aca="false">B115*2/27+G114*25/27</f>
        <v>4836.23822624653</v>
      </c>
      <c r="H115" s="17" t="n">
        <f aca="false">F115-G115</f>
        <v>24.7618112926348</v>
      </c>
      <c r="I115" s="17" t="n">
        <f aca="false">H115*2/10+I114*8/10</f>
        <v>11.7475243858759</v>
      </c>
      <c r="J115" s="17" t="n">
        <f aca="false">H115-I115</f>
        <v>13.0142869067588</v>
      </c>
      <c r="K115" s="17" t="n">
        <f aca="false">MAX(B115-B114,0)</f>
        <v>0</v>
      </c>
      <c r="L115" s="17" t="n">
        <f aca="false">MAX(B114-B115,0)</f>
        <v>14.6199999999999</v>
      </c>
      <c r="M115" s="17" t="n">
        <f aca="false">(M114*13+K115)/14</f>
        <v>19.4637462387557</v>
      </c>
      <c r="N115" s="17" t="n">
        <f aca="false">(N114*13+L115)/14</f>
        <v>12.8529909841393</v>
      </c>
      <c r="O115" s="17" t="n">
        <f aca="false">IF(N115=0,100,100-100/(1+M115/N115))</f>
        <v>60.228067284486</v>
      </c>
      <c r="P115" s="17" t="n">
        <f aca="false">AVERAGE(B96:B115)+2*STDEV(B96:B115)</f>
        <v>4949.44133791364</v>
      </c>
      <c r="Q115" s="17" t="n">
        <f aca="false">AVERAGE(B96:B115)-2*STDEV(B96:B115)</f>
        <v>4730.89166208636</v>
      </c>
      <c r="R115" s="19" t="n">
        <f aca="false">B115/B95-1</f>
        <v>0.0328997768901893</v>
      </c>
      <c r="S115" s="17" t="n">
        <f aca="false">STDEV(C96:C115)*SQRT(252)*100</f>
        <v>12.2223385378314</v>
      </c>
      <c r="T115" s="18"/>
      <c r="U115" s="18"/>
      <c r="V115" s="17" t="n">
        <f aca="false">(B115-AVERAGE(B96:B115))/STDEV(B96:B115)</f>
        <v>1.48347966553939</v>
      </c>
    </row>
    <row r="116" customFormat="false" ht="15" hidden="false" customHeight="false" outlineLevel="0" collapsed="false">
      <c r="A116" s="17" t="s">
        <v>680</v>
      </c>
      <c r="B116" s="17" t="n">
        <v>4933.41</v>
      </c>
      <c r="C116" s="19" t="n">
        <f aca="false">B116/B115-1</f>
        <v>0.00247702805401895</v>
      </c>
      <c r="D116" s="17" t="n">
        <f aca="false">AVERAGE(B67:B116)</f>
        <v>4821.744</v>
      </c>
      <c r="F116" s="17" t="n">
        <f aca="false">B116*2/13+F115*11/13</f>
        <v>4872.14003176391</v>
      </c>
      <c r="G116" s="17" t="n">
        <f aca="false">B116*2/27+G115*25/27</f>
        <v>4843.43613541346</v>
      </c>
      <c r="H116" s="17" t="n">
        <f aca="false">F116-G116</f>
        <v>28.7038963504538</v>
      </c>
      <c r="I116" s="17" t="n">
        <f aca="false">H116*2/10+I115*8/10</f>
        <v>15.1387987787915</v>
      </c>
      <c r="J116" s="17" t="n">
        <f aca="false">H116-I116</f>
        <v>13.5650975716623</v>
      </c>
      <c r="K116" s="17" t="n">
        <f aca="false">MAX(B116-B115,0)</f>
        <v>12.1899999999996</v>
      </c>
      <c r="L116" s="17" t="n">
        <f aca="false">MAX(B115-B116,0)</f>
        <v>0</v>
      </c>
      <c r="M116" s="17" t="n">
        <f aca="false">(M115*13+K116)/14</f>
        <v>18.9441929359874</v>
      </c>
      <c r="N116" s="17" t="n">
        <f aca="false">(N115*13+L116)/14</f>
        <v>11.9349201995579</v>
      </c>
      <c r="O116" s="17" t="n">
        <f aca="false">IF(N116=0,100,100-100/(1+M116/N116))</f>
        <v>61.3495369923061</v>
      </c>
      <c r="P116" s="17" t="n">
        <f aca="false">AVERAGE(B97:B116)+2*STDEV(B97:B116)</f>
        <v>4961.58576287318</v>
      </c>
      <c r="Q116" s="17" t="n">
        <f aca="false">AVERAGE(B97:B116)-2*STDEV(B97:B116)</f>
        <v>4732.86123712682</v>
      </c>
      <c r="R116" s="19" t="n">
        <f aca="false">B116/B96-1</f>
        <v>0.0294515960077373</v>
      </c>
      <c r="S116" s="17" t="n">
        <f aca="false">STDEV(C97:C116)*SQRT(252)*100</f>
        <v>12.1275288229195</v>
      </c>
      <c r="T116" s="18"/>
      <c r="U116" s="18"/>
      <c r="V116" s="17" t="n">
        <f aca="false">(B116-AVERAGE(B97:B116))/STDEV(B97:B116)</f>
        <v>1.50725419093144</v>
      </c>
    </row>
    <row r="117" customFormat="false" ht="15" hidden="false" customHeight="false" outlineLevel="0" collapsed="false">
      <c r="A117" s="17" t="s">
        <v>681</v>
      </c>
      <c r="B117" s="17" t="n">
        <v>4914.86</v>
      </c>
      <c r="C117" s="19" t="n">
        <f aca="false">B117/B116-1</f>
        <v>-0.0037600767015108</v>
      </c>
      <c r="D117" s="17" t="n">
        <f aca="false">AVERAGE(B68:B117)</f>
        <v>4822.5628</v>
      </c>
      <c r="F117" s="17" t="n">
        <f aca="false">B117*2/13+F116*11/13</f>
        <v>4878.71233456946</v>
      </c>
      <c r="G117" s="17" t="n">
        <f aca="false">B117*2/27+G116*25/27</f>
        <v>4848.7267920495</v>
      </c>
      <c r="H117" s="17" t="n">
        <f aca="false">F117-G117</f>
        <v>29.9855425199648</v>
      </c>
      <c r="I117" s="17" t="n">
        <f aca="false">H117*2/10+I116*8/10</f>
        <v>18.1081475270262</v>
      </c>
      <c r="J117" s="17" t="n">
        <f aca="false">H117-I117</f>
        <v>11.8773949929387</v>
      </c>
      <c r="K117" s="17" t="n">
        <f aca="false">MAX(B117-B116,0)</f>
        <v>0</v>
      </c>
      <c r="L117" s="17" t="n">
        <f aca="false">MAX(B116-B117,0)</f>
        <v>18.5500000000002</v>
      </c>
      <c r="M117" s="17" t="n">
        <f aca="false">(M116*13+K117)/14</f>
        <v>17.5910362977026</v>
      </c>
      <c r="N117" s="17" t="n">
        <f aca="false">(N116*13+L117)/14</f>
        <v>12.4074258995895</v>
      </c>
      <c r="O117" s="17" t="n">
        <f aca="false">IF(N117=0,100,100-100/(1+M117/N117))</f>
        <v>58.6397935401186</v>
      </c>
      <c r="P117" s="17" t="n">
        <f aca="false">AVERAGE(B98:B117)+2*STDEV(B98:B117)</f>
        <v>4969.40870531427</v>
      </c>
      <c r="Q117" s="17" t="n">
        <f aca="false">AVERAGE(B98:B117)-2*STDEV(B98:B117)</f>
        <v>4733.86529468573</v>
      </c>
      <c r="R117" s="19" t="n">
        <f aca="false">B117/B97-1</f>
        <v>0.0182882739159529</v>
      </c>
      <c r="S117" s="17" t="n">
        <f aca="false">STDEV(C98:C117)*SQRT(252)*100</f>
        <v>12.0684221235051</v>
      </c>
      <c r="T117" s="18"/>
      <c r="U117" s="18"/>
      <c r="V117" s="17" t="n">
        <f aca="false">(B117-AVERAGE(B98:B117))/STDEV(B98:B117)</f>
        <v>1.07365346933357</v>
      </c>
    </row>
    <row r="118" customFormat="false" ht="15" hidden="false" customHeight="false" outlineLevel="0" collapsed="false">
      <c r="A118" s="17" t="s">
        <v>682</v>
      </c>
      <c r="B118" s="17" t="n">
        <v>4934.85</v>
      </c>
      <c r="C118" s="19" t="n">
        <f aca="false">B118/B117-1</f>
        <v>0.00406725725656498</v>
      </c>
      <c r="D118" s="17" t="n">
        <f aca="false">AVERAGE(B69:B118)</f>
        <v>4823.9694</v>
      </c>
      <c r="F118" s="17" t="n">
        <f aca="false">B118*2/13+F117*11/13</f>
        <v>4887.34889848185</v>
      </c>
      <c r="G118" s="17" t="n">
        <f aca="false">B118*2/27+G117*25/27</f>
        <v>4855.10628893472</v>
      </c>
      <c r="H118" s="17" t="n">
        <f aca="false">F118-G118</f>
        <v>32.2426095471319</v>
      </c>
      <c r="I118" s="17" t="n">
        <f aca="false">H118*2/10+I117*8/10</f>
        <v>20.9350399310473</v>
      </c>
      <c r="J118" s="17" t="n">
        <f aca="false">H118-I118</f>
        <v>11.3075696160846</v>
      </c>
      <c r="K118" s="17" t="n">
        <f aca="false">MAX(B118-B117,0)</f>
        <v>19.9900000000007</v>
      </c>
      <c r="L118" s="17" t="n">
        <f aca="false">MAX(B117-B118,0)</f>
        <v>0</v>
      </c>
      <c r="M118" s="17" t="n">
        <f aca="false">(M117*13+K118)/14</f>
        <v>17.7623908478668</v>
      </c>
      <c r="N118" s="17" t="n">
        <f aca="false">(N117*13+L118)/14</f>
        <v>11.5211811924759</v>
      </c>
      <c r="O118" s="17" t="n">
        <f aca="false">IF(N118=0,100,100-100/(1+M118/N118))</f>
        <v>60.6565033234207</v>
      </c>
      <c r="P118" s="17" t="n">
        <f aca="false">AVERAGE(B99:B118)+2*STDEV(B99:B118)</f>
        <v>4979.46217122277</v>
      </c>
      <c r="Q118" s="17" t="n">
        <f aca="false">AVERAGE(B99:B118)-2*STDEV(B99:B118)</f>
        <v>4736.49282877723</v>
      </c>
      <c r="R118" s="19" t="n">
        <f aca="false">B118/B98-1</f>
        <v>0.0263745725909104</v>
      </c>
      <c r="S118" s="17" t="n">
        <f aca="false">STDEV(C99:C118)*SQRT(252)*100</f>
        <v>11.9794339611417</v>
      </c>
      <c r="T118" s="18"/>
      <c r="U118" s="18"/>
      <c r="V118" s="17" t="n">
        <f aca="false">(B118-AVERAGE(B99:B118))/STDEV(B99:B118)</f>
        <v>1.26555061187983</v>
      </c>
    </row>
    <row r="119" customFormat="false" ht="15" hidden="false" customHeight="false" outlineLevel="0" collapsed="false">
      <c r="A119" s="17" t="s">
        <v>683</v>
      </c>
      <c r="B119" s="17" t="n">
        <v>4953.8</v>
      </c>
      <c r="C119" s="19" t="n">
        <f aca="false">B119/B118-1</f>
        <v>0.00384003566471125</v>
      </c>
      <c r="D119" s="17" t="n">
        <f aca="false">AVERAGE(B70:B119)</f>
        <v>4825.17</v>
      </c>
      <c r="F119" s="17" t="n">
        <f aca="false">B119*2/13+F118*11/13</f>
        <v>4897.57214486926</v>
      </c>
      <c r="G119" s="17" t="n">
        <f aca="false">B119*2/27+G118*25/27</f>
        <v>4862.41693419882</v>
      </c>
      <c r="H119" s="17" t="n">
        <f aca="false">F119-G119</f>
        <v>35.1552106704439</v>
      </c>
      <c r="I119" s="17" t="n">
        <f aca="false">H119*2/10+I118*8/10</f>
        <v>23.7790740789266</v>
      </c>
      <c r="J119" s="17" t="n">
        <f aca="false">H119-I119</f>
        <v>11.3761365915173</v>
      </c>
      <c r="K119" s="17" t="n">
        <f aca="false">MAX(B119-B118,0)</f>
        <v>18.9499999999998</v>
      </c>
      <c r="L119" s="17" t="n">
        <f aca="false">MAX(B118-B119,0)</f>
        <v>0</v>
      </c>
      <c r="M119" s="17" t="n">
        <f aca="false">(M118*13+K119)/14</f>
        <v>17.8472200730191</v>
      </c>
      <c r="N119" s="17" t="n">
        <f aca="false">(N118*13+L119)/14</f>
        <v>10.6982396787277</v>
      </c>
      <c r="O119" s="17" t="n">
        <f aca="false">IF(N119=0,100,100-100/(1+M119/N119))</f>
        <v>62.5220971328969</v>
      </c>
      <c r="P119" s="17" t="n">
        <f aca="false">AVERAGE(B100:B119)+2*STDEV(B100:B119)</f>
        <v>4991.54586347964</v>
      </c>
      <c r="Q119" s="17" t="n">
        <f aca="false">AVERAGE(B100:B119)-2*STDEV(B100:B119)</f>
        <v>4733.88913652036</v>
      </c>
      <c r="R119" s="19" t="n">
        <f aca="false">B119/B99-1</f>
        <v>0.0195101872813337</v>
      </c>
      <c r="S119" s="17" t="n">
        <f aca="false">STDEV(C100:C119)*SQRT(252)*100</f>
        <v>11.5171172777378</v>
      </c>
      <c r="T119" s="18"/>
      <c r="U119" s="18"/>
      <c r="V119" s="17" t="n">
        <f aca="false">(B119-AVERAGE(B100:B119))/STDEV(B100:B119)</f>
        <v>1.41401314958712</v>
      </c>
    </row>
    <row r="120" customFormat="false" ht="15" hidden="false" customHeight="false" outlineLevel="0" collapsed="false">
      <c r="A120" s="17" t="s">
        <v>684</v>
      </c>
      <c r="B120" s="17" t="n">
        <v>4948.91</v>
      </c>
      <c r="C120" s="19" t="n">
        <f aca="false">B120/B119-1</f>
        <v>-0.000987120998021784</v>
      </c>
      <c r="D120" s="17" t="n">
        <f aca="false">AVERAGE(B71:B120)</f>
        <v>4827.71</v>
      </c>
      <c r="F120" s="17" t="n">
        <f aca="false">B120*2/13+F119*11/13</f>
        <v>4905.47027642784</v>
      </c>
      <c r="G120" s="17" t="n">
        <f aca="false">B120*2/27+G119*25/27</f>
        <v>4868.82382796187</v>
      </c>
      <c r="H120" s="17" t="n">
        <f aca="false">F120-G120</f>
        <v>36.6464484659682</v>
      </c>
      <c r="I120" s="17" t="n">
        <f aca="false">H120*2/10+I119*8/10</f>
        <v>26.3525489563349</v>
      </c>
      <c r="J120" s="17" t="n">
        <f aca="false">H120-I120</f>
        <v>10.2938995096333</v>
      </c>
      <c r="K120" s="17" t="n">
        <f aca="false">MAX(B120-B119,0)</f>
        <v>0</v>
      </c>
      <c r="L120" s="17" t="n">
        <f aca="false">MAX(B119-B120,0)</f>
        <v>4.89000000000033</v>
      </c>
      <c r="M120" s="17" t="n">
        <f aca="false">(M119*13+K120)/14</f>
        <v>16.572418639232</v>
      </c>
      <c r="N120" s="17" t="n">
        <f aca="false">(N119*13+L120)/14</f>
        <v>10.2833654159614</v>
      </c>
      <c r="O120" s="17" t="n">
        <f aca="false">IF(N120=0,100,100-100/(1+M120/N120))</f>
        <v>61.7089361650092</v>
      </c>
      <c r="P120" s="17" t="n">
        <f aca="false">AVERAGE(B101:B120)+2*STDEV(B101:B120)</f>
        <v>5000.91583210596</v>
      </c>
      <c r="Q120" s="17" t="n">
        <f aca="false">AVERAGE(B101:B120)-2*STDEV(B101:B120)</f>
        <v>4732.02616789404</v>
      </c>
      <c r="R120" s="19" t="n">
        <f aca="false">B120/B100-1</f>
        <v>0.0154026393972719</v>
      </c>
      <c r="S120" s="17" t="n">
        <f aca="false">STDEV(C101:C120)*SQRT(252)*100</f>
        <v>11.5104645128066</v>
      </c>
      <c r="T120" s="18"/>
      <c r="U120" s="18"/>
      <c r="V120" s="17" t="n">
        <f aca="false">(B120-AVERAGE(B101:B120))/STDEV(B101:B120)</f>
        <v>1.22636175312454</v>
      </c>
    </row>
    <row r="121" customFormat="false" ht="15" hidden="false" customHeight="false" outlineLevel="0" collapsed="false">
      <c r="A121" s="17" t="s">
        <v>685</v>
      </c>
      <c r="B121" s="17" t="n">
        <v>4934.39</v>
      </c>
      <c r="C121" s="19" t="n">
        <f aca="false">B121/B120-1</f>
        <v>-0.00293397940152473</v>
      </c>
      <c r="D121" s="17" t="n">
        <f aca="false">AVERAGE(B72:B121)</f>
        <v>4830.005</v>
      </c>
      <c r="F121" s="17" t="n">
        <f aca="false">B121*2/13+F120*11/13</f>
        <v>4909.91946466971</v>
      </c>
      <c r="G121" s="17" t="n">
        <f aca="false">B121*2/27+G120*25/27</f>
        <v>4873.68058144617</v>
      </c>
      <c r="H121" s="17" t="n">
        <f aca="false">F121-G121</f>
        <v>36.2388832235329</v>
      </c>
      <c r="I121" s="17" t="n">
        <f aca="false">H121*2/10+I120*8/10</f>
        <v>28.3298158097745</v>
      </c>
      <c r="J121" s="17" t="n">
        <f aca="false">H121-I121</f>
        <v>7.90906741375834</v>
      </c>
      <c r="K121" s="17" t="n">
        <f aca="false">MAX(B121-B120,0)</f>
        <v>0</v>
      </c>
      <c r="L121" s="17" t="n">
        <f aca="false">MAX(B120-B121,0)</f>
        <v>14.5199999999995</v>
      </c>
      <c r="M121" s="17" t="n">
        <f aca="false">(M120*13+K121)/14</f>
        <v>15.3886744507155</v>
      </c>
      <c r="N121" s="17" t="n">
        <f aca="false">(N120*13+L121)/14</f>
        <v>10.5859821719641</v>
      </c>
      <c r="O121" s="17" t="n">
        <f aca="false">IF(N121=0,100,100-100/(1+M121/N121))</f>
        <v>59.24495816926</v>
      </c>
      <c r="P121" s="17" t="n">
        <f aca="false">AVERAGE(B102:B121)+2*STDEV(B102:B121)</f>
        <v>5008.13769484454</v>
      </c>
      <c r="Q121" s="17" t="n">
        <f aca="false">AVERAGE(B102:B121)-2*STDEV(B102:B121)</f>
        <v>4732.85730515546</v>
      </c>
      <c r="R121" s="19" t="n">
        <f aca="false">B121/B101-1</f>
        <v>0.0165909193919891</v>
      </c>
      <c r="S121" s="17" t="n">
        <f aca="false">STDEV(C102:C121)*SQRT(252)*100</f>
        <v>11.4520954064772</v>
      </c>
      <c r="T121" s="18"/>
      <c r="U121" s="18"/>
      <c r="V121" s="17" t="n">
        <f aca="false">(B121-AVERAGE(B102:B121))/STDEV(B102:B121)</f>
        <v>0.928398860117377</v>
      </c>
    </row>
    <row r="122" customFormat="false" ht="15" hidden="false" customHeight="false" outlineLevel="0" collapsed="false">
      <c r="A122" s="17" t="s">
        <v>686</v>
      </c>
      <c r="B122" s="17" t="n">
        <v>4940.02</v>
      </c>
      <c r="C122" s="19" t="n">
        <f aca="false">B122/B121-1</f>
        <v>0.00114097183238449</v>
      </c>
      <c r="D122" s="17" t="n">
        <f aca="false">AVERAGE(B73:B122)</f>
        <v>4832.7434</v>
      </c>
      <c r="F122" s="17" t="n">
        <f aca="false">B122*2/13+F121*11/13</f>
        <v>4914.55031625898</v>
      </c>
      <c r="G122" s="17" t="n">
        <f aca="false">B122*2/27+G121*25/27</f>
        <v>4878.59461245016</v>
      </c>
      <c r="H122" s="17" t="n">
        <f aca="false">F122-G122</f>
        <v>35.9557038088215</v>
      </c>
      <c r="I122" s="17" t="n">
        <f aca="false">H122*2/10+I121*8/10</f>
        <v>29.8549934095839</v>
      </c>
      <c r="J122" s="17" t="n">
        <f aca="false">H122-I122</f>
        <v>6.10071039923754</v>
      </c>
      <c r="K122" s="17" t="n">
        <f aca="false">MAX(B122-B121,0)</f>
        <v>5.63000000000011</v>
      </c>
      <c r="L122" s="17" t="n">
        <f aca="false">MAX(B121-B122,0)</f>
        <v>0</v>
      </c>
      <c r="M122" s="17" t="n">
        <f aca="false">(M121*13+K122)/14</f>
        <v>14.6916262756644</v>
      </c>
      <c r="N122" s="17" t="n">
        <f aca="false">(N121*13+L122)/14</f>
        <v>9.82984058825241</v>
      </c>
      <c r="O122" s="17" t="n">
        <f aca="false">IF(N122=0,100,100-100/(1+M122/N122))</f>
        <v>59.9133255657027</v>
      </c>
      <c r="P122" s="17" t="n">
        <f aca="false">AVERAGE(B103:B122)+2*STDEV(B103:B122)</f>
        <v>5015.10295543186</v>
      </c>
      <c r="Q122" s="17" t="n">
        <f aca="false">AVERAGE(B103:B122)-2*STDEV(B103:B122)</f>
        <v>4732.89204456814</v>
      </c>
      <c r="R122" s="19" t="n">
        <f aca="false">B122/B102-1</f>
        <v>0.0143736576030489</v>
      </c>
      <c r="S122" s="17" t="n">
        <f aca="false">STDEV(C103:C122)*SQRT(252)*100</f>
        <v>11.4154904374407</v>
      </c>
      <c r="T122" s="18"/>
      <c r="U122" s="18"/>
      <c r="V122" s="17" t="n">
        <f aca="false">(B122-AVERAGE(B103:B122))/STDEV(B103:B122)</f>
        <v>0.935789474587466</v>
      </c>
    </row>
    <row r="123" customFormat="false" ht="15" hidden="false" customHeight="false" outlineLevel="0" collapsed="false">
      <c r="A123" s="17" t="s">
        <v>687</v>
      </c>
      <c r="B123" s="17" t="n">
        <v>4965.81</v>
      </c>
      <c r="C123" s="19" t="n">
        <f aca="false">B123/B122-1</f>
        <v>0.00522062663713907</v>
      </c>
      <c r="D123" s="17" t="n">
        <f aca="false">AVERAGE(B74:B123)</f>
        <v>4835.89</v>
      </c>
      <c r="F123" s="17" t="n">
        <f aca="false">B123*2/13+F122*11/13</f>
        <v>4922.43642144991</v>
      </c>
      <c r="G123" s="17" t="n">
        <f aca="false">B123*2/27+G122*25/27</f>
        <v>4885.05501152793</v>
      </c>
      <c r="H123" s="17" t="n">
        <f aca="false">F123-G123</f>
        <v>37.3814099219817</v>
      </c>
      <c r="I123" s="17" t="n">
        <f aca="false">H123*2/10+I122*8/10</f>
        <v>31.3602767120635</v>
      </c>
      <c r="J123" s="17" t="n">
        <f aca="false">H123-I123</f>
        <v>6.02113320991822</v>
      </c>
      <c r="K123" s="17" t="n">
        <f aca="false">MAX(B123-B122,0)</f>
        <v>25.79</v>
      </c>
      <c r="L123" s="17" t="n">
        <f aca="false">MAX(B122-B123,0)</f>
        <v>0</v>
      </c>
      <c r="M123" s="17" t="n">
        <f aca="false">(M122*13+K123)/14</f>
        <v>15.4843672559741</v>
      </c>
      <c r="N123" s="17" t="n">
        <f aca="false">(N122*13+L123)/14</f>
        <v>9.12770911766295</v>
      </c>
      <c r="O123" s="17" t="n">
        <f aca="false">IF(N123=0,100,100-100/(1+M123/N123))</f>
        <v>62.9136974097805</v>
      </c>
      <c r="P123" s="17" t="n">
        <f aca="false">AVERAGE(B104:B123)+2*STDEV(B104:B123)</f>
        <v>5026.06621143591</v>
      </c>
      <c r="Q123" s="17" t="n">
        <f aca="false">AVERAGE(B104:B123)-2*STDEV(B104:B123)</f>
        <v>4732.80778856409</v>
      </c>
      <c r="R123" s="19" t="n">
        <f aca="false">B123/B103-1</f>
        <v>0.0223985077269602</v>
      </c>
      <c r="S123" s="17" t="n">
        <f aca="false">STDEV(C104:C123)*SQRT(252)*100</f>
        <v>11.4466111957024</v>
      </c>
      <c r="T123" s="18"/>
      <c r="U123" s="18"/>
      <c r="V123" s="17" t="n">
        <f aca="false">(B123-AVERAGE(B104:B123))/STDEV(B104:B123)</f>
        <v>1.17811449920748</v>
      </c>
    </row>
    <row r="124" customFormat="false" ht="15" hidden="false" customHeight="false" outlineLevel="0" collapsed="false">
      <c r="A124" s="17" t="s">
        <v>688</v>
      </c>
      <c r="B124" s="17" t="n">
        <v>4926.29</v>
      </c>
      <c r="C124" s="19" t="n">
        <f aca="false">B124/B123-1</f>
        <v>-0.00795841967372901</v>
      </c>
      <c r="D124" s="17" t="n">
        <f aca="false">AVERAGE(B75:B124)</f>
        <v>4838.4924</v>
      </c>
      <c r="F124" s="17" t="n">
        <f aca="false">B124*2/13+F123*11/13</f>
        <v>4923.02927968839</v>
      </c>
      <c r="G124" s="17" t="n">
        <f aca="false">B124*2/27+G123*25/27</f>
        <v>4888.10945511845</v>
      </c>
      <c r="H124" s="17" t="n">
        <f aca="false">F124-G124</f>
        <v>34.9198245699336</v>
      </c>
      <c r="I124" s="17" t="n">
        <f aca="false">H124*2/10+I123*8/10</f>
        <v>32.0721862836375</v>
      </c>
      <c r="J124" s="17" t="n">
        <f aca="false">H124-I124</f>
        <v>2.84763828629607</v>
      </c>
      <c r="K124" s="17" t="n">
        <f aca="false">MAX(B124-B123,0)</f>
        <v>0</v>
      </c>
      <c r="L124" s="17" t="n">
        <f aca="false">MAX(B123-B124,0)</f>
        <v>39.5200000000004</v>
      </c>
      <c r="M124" s="17" t="n">
        <f aca="false">(M123*13+K124)/14</f>
        <v>14.3783410234045</v>
      </c>
      <c r="N124" s="17" t="n">
        <f aca="false">(N123*13+L124)/14</f>
        <v>11.2985870378299</v>
      </c>
      <c r="O124" s="17" t="n">
        <f aca="false">IF(N124=0,100,100-100/(1+M124/N124))</f>
        <v>55.9971231337136</v>
      </c>
      <c r="P124" s="17" t="n">
        <f aca="false">AVERAGE(B105:B124)+2*STDEV(B105:B124)</f>
        <v>5030.16008101857</v>
      </c>
      <c r="Q124" s="17" t="n">
        <f aca="false">AVERAGE(B105:B124)-2*STDEV(B105:B124)</f>
        <v>4734.02191898143</v>
      </c>
      <c r="R124" s="19" t="n">
        <f aca="false">B124/B104-1</f>
        <v>0.0108922045222759</v>
      </c>
      <c r="S124" s="17" t="n">
        <f aca="false">STDEV(C105:C124)*SQRT(252)*100</f>
        <v>11.8532491318354</v>
      </c>
      <c r="T124" s="18"/>
      <c r="U124" s="18"/>
      <c r="V124" s="17" t="n">
        <f aca="false">(B124-AVERAGE(B105:B124))/STDEV(B105:B124)</f>
        <v>0.597005123499835</v>
      </c>
    </row>
    <row r="125" customFormat="false" ht="15" hidden="false" customHeight="false" outlineLevel="0" collapsed="false">
      <c r="A125" s="17" t="s">
        <v>689</v>
      </c>
      <c r="B125" s="17" t="n">
        <v>4918.28</v>
      </c>
      <c r="C125" s="19" t="n">
        <f aca="false">B125/B124-1</f>
        <v>-0.00162597005048426</v>
      </c>
      <c r="D125" s="17" t="n">
        <f aca="false">AVERAGE(B76:B125)</f>
        <v>4840.0636</v>
      </c>
      <c r="F125" s="17" t="n">
        <f aca="false">B125*2/13+F124*11/13</f>
        <v>4922.29862127479</v>
      </c>
      <c r="G125" s="17" t="n">
        <f aca="false">B125*2/27+G124*25/27</f>
        <v>4890.34431029486</v>
      </c>
      <c r="H125" s="17" t="n">
        <f aca="false">F125-G125</f>
        <v>31.9543109799242</v>
      </c>
      <c r="I125" s="17" t="n">
        <f aca="false">H125*2/10+I124*8/10</f>
        <v>32.0486112228948</v>
      </c>
      <c r="J125" s="17" t="n">
        <f aca="false">H125-I125</f>
        <v>-0.0943002429706041</v>
      </c>
      <c r="K125" s="17" t="n">
        <f aca="false">MAX(B125-B124,0)</f>
        <v>0</v>
      </c>
      <c r="L125" s="17" t="n">
        <f aca="false">MAX(B124-B125,0)</f>
        <v>8.01000000000022</v>
      </c>
      <c r="M125" s="17" t="n">
        <f aca="false">(M124*13+K125)/14</f>
        <v>13.3513166645899</v>
      </c>
      <c r="N125" s="17" t="n">
        <f aca="false">(N124*13+L125)/14</f>
        <v>11.0636879636992</v>
      </c>
      <c r="O125" s="17" t="n">
        <f aca="false">IF(N125=0,100,100-100/(1+M125/N125))</f>
        <v>54.6848827917895</v>
      </c>
      <c r="P125" s="17" t="n">
        <f aca="false">AVERAGE(B106:B125)+2*STDEV(B106:B125)</f>
        <v>5032.40900719972</v>
      </c>
      <c r="Q125" s="17" t="n">
        <f aca="false">AVERAGE(B106:B125)-2*STDEV(B106:B125)</f>
        <v>4742.51999280028</v>
      </c>
      <c r="R125" s="19" t="n">
        <f aca="false">B125/B105-1</f>
        <v>0.0223392734279673</v>
      </c>
      <c r="S125" s="17" t="n">
        <f aca="false">STDEV(C106:C125)*SQRT(252)*100</f>
        <v>10.7976779396873</v>
      </c>
      <c r="T125" s="18"/>
      <c r="U125" s="18"/>
      <c r="V125" s="17" t="n">
        <f aca="false">(B125-AVERAGE(B106:B125))/STDEV(B106:B125)</f>
        <v>0.425204108735763</v>
      </c>
    </row>
    <row r="126" customFormat="false" ht="15" hidden="false" customHeight="false" outlineLevel="0" collapsed="false">
      <c r="A126" s="17" t="s">
        <v>690</v>
      </c>
      <c r="B126" s="17" t="n">
        <v>4863.62</v>
      </c>
      <c r="C126" s="19" t="n">
        <f aca="false">B126/B125-1</f>
        <v>-0.0111136413542946</v>
      </c>
      <c r="D126" s="17" t="n">
        <f aca="false">AVERAGE(B77:B126)</f>
        <v>4840.6038</v>
      </c>
      <c r="F126" s="17" t="n">
        <f aca="false">B126*2/13+F125*11/13</f>
        <v>4913.27114107867</v>
      </c>
      <c r="G126" s="17" t="n">
        <f aca="false">B126*2/27+G125*25/27</f>
        <v>4888.3647317545</v>
      </c>
      <c r="H126" s="17" t="n">
        <f aca="false">F126-G126</f>
        <v>24.906409324165</v>
      </c>
      <c r="I126" s="17" t="n">
        <f aca="false">H126*2/10+I125*8/10</f>
        <v>30.6201708431489</v>
      </c>
      <c r="J126" s="17" t="n">
        <f aca="false">H126-I126</f>
        <v>-5.71376151898387</v>
      </c>
      <c r="K126" s="17" t="n">
        <f aca="false">MAX(B126-B125,0)</f>
        <v>0</v>
      </c>
      <c r="L126" s="17" t="n">
        <f aca="false">MAX(B125-B126,0)</f>
        <v>54.6599999999999</v>
      </c>
      <c r="M126" s="17" t="n">
        <f aca="false">(M125*13+K126)/14</f>
        <v>12.3976511885477</v>
      </c>
      <c r="N126" s="17" t="n">
        <f aca="false">(N125*13+L126)/14</f>
        <v>14.1777102520064</v>
      </c>
      <c r="O126" s="17" t="n">
        <f aca="false">IF(N126=0,100,100-100/(1+M126/N126))</f>
        <v>46.6509221945289</v>
      </c>
      <c r="P126" s="17" t="n">
        <f aca="false">AVERAGE(B107:B126)+2*STDEV(B107:B126)</f>
        <v>5020.43280648125</v>
      </c>
      <c r="Q126" s="17" t="n">
        <f aca="false">AVERAGE(B107:B126)-2*STDEV(B107:B126)</f>
        <v>4767.44819351875</v>
      </c>
      <c r="R126" s="19" t="n">
        <f aca="false">B126/B106-1</f>
        <v>0.0273589489026425</v>
      </c>
      <c r="S126" s="17" t="n">
        <f aca="false">STDEV(C107:C126)*SQRT(252)*100</f>
        <v>9.88179536690869</v>
      </c>
      <c r="T126" s="18"/>
      <c r="U126" s="18"/>
      <c r="V126" s="17" t="n">
        <f aca="false">(B126-AVERAGE(B107:B126))/STDEV(B107:B126)</f>
        <v>-0.479404650661396</v>
      </c>
    </row>
    <row r="127" customFormat="false" ht="15" hidden="false" customHeight="false" outlineLevel="0" collapsed="false">
      <c r="A127" s="17" t="s">
        <v>691</v>
      </c>
      <c r="B127" s="17" t="n">
        <v>4911.33</v>
      </c>
      <c r="C127" s="19" t="n">
        <f aca="false">B127/B126-1</f>
        <v>0.00980956571442682</v>
      </c>
      <c r="D127" s="17" t="n">
        <f aca="false">AVERAGE(B78:B127)</f>
        <v>4842.1762</v>
      </c>
      <c r="F127" s="17" t="n">
        <f aca="false">B127*2/13+F126*11/13</f>
        <v>4912.97250398964</v>
      </c>
      <c r="G127" s="17" t="n">
        <f aca="false">B127*2/27+G126*25/27</f>
        <v>4890.06586273565</v>
      </c>
      <c r="H127" s="17" t="n">
        <f aca="false">F127-G127</f>
        <v>22.9066412539923</v>
      </c>
      <c r="I127" s="17" t="n">
        <f aca="false">H127*2/10+I126*8/10</f>
        <v>29.0774649253176</v>
      </c>
      <c r="J127" s="17" t="n">
        <f aca="false">H127-I127</f>
        <v>-6.17082367132522</v>
      </c>
      <c r="K127" s="17" t="n">
        <f aca="false">MAX(B127-B126,0)</f>
        <v>47.71</v>
      </c>
      <c r="L127" s="17" t="n">
        <f aca="false">MAX(B126-B127,0)</f>
        <v>0</v>
      </c>
      <c r="M127" s="17" t="n">
        <f aca="false">(M126*13+K127)/14</f>
        <v>14.9199618179372</v>
      </c>
      <c r="N127" s="17" t="n">
        <f aca="false">(N126*13+L127)/14</f>
        <v>13.1650166625774</v>
      </c>
      <c r="O127" s="17" t="n">
        <f aca="false">IF(N127=0,100,100-100/(1+M127/N127))</f>
        <v>53.1243484067068</v>
      </c>
      <c r="P127" s="17" t="n">
        <f aca="false">AVERAGE(B108:B127)+2*STDEV(B108:B127)</f>
        <v>5006.08943865238</v>
      </c>
      <c r="Q127" s="17" t="n">
        <f aca="false">AVERAGE(B108:B127)-2*STDEV(B108:B127)</f>
        <v>4798.98756134762</v>
      </c>
      <c r="R127" s="19" t="n">
        <f aca="false">B127/B107-1</f>
        <v>0.0362833034770445</v>
      </c>
      <c r="S127" s="17" t="n">
        <f aca="false">STDEV(C108:C127)*SQRT(252)*100</f>
        <v>10.3241998789628</v>
      </c>
      <c r="T127" s="18"/>
      <c r="U127" s="18"/>
      <c r="V127" s="17" t="n">
        <f aca="false">(B127-AVERAGE(B108:B127))/STDEV(B108:B127)</f>
        <v>0.169800488810868</v>
      </c>
    </row>
    <row r="128" customFormat="false" ht="15" hidden="false" customHeight="false" outlineLevel="0" collapsed="false">
      <c r="A128" s="17" t="s">
        <v>692</v>
      </c>
      <c r="B128" s="17" t="n">
        <v>4937.21</v>
      </c>
      <c r="C128" s="19" t="n">
        <f aca="false">B128/B127-1</f>
        <v>0.00526944839788812</v>
      </c>
      <c r="D128" s="17" t="n">
        <f aca="false">AVERAGE(B79:B128)</f>
        <v>4843.8832</v>
      </c>
      <c r="F128" s="17" t="n">
        <f aca="false">B128*2/13+F127*11/13</f>
        <v>4916.7013495297</v>
      </c>
      <c r="G128" s="17" t="n">
        <f aca="false">B128*2/27+G127*25/27</f>
        <v>4893.55802105153</v>
      </c>
      <c r="H128" s="17" t="n">
        <f aca="false">F128-G128</f>
        <v>23.1433284781706</v>
      </c>
      <c r="I128" s="17" t="n">
        <f aca="false">H128*2/10+I127*8/10</f>
        <v>27.8906376358882</v>
      </c>
      <c r="J128" s="17" t="n">
        <f aca="false">H128-I128</f>
        <v>-4.74730915771758</v>
      </c>
      <c r="K128" s="17" t="n">
        <f aca="false">MAX(B128-B127,0)</f>
        <v>25.8800000000001</v>
      </c>
      <c r="L128" s="17" t="n">
        <f aca="false">MAX(B127-B128,0)</f>
        <v>0</v>
      </c>
      <c r="M128" s="17" t="n">
        <f aca="false">(M127*13+K128)/14</f>
        <v>15.7028216880845</v>
      </c>
      <c r="N128" s="17" t="n">
        <f aca="false">(N127*13+L128)/14</f>
        <v>12.2246583295361</v>
      </c>
      <c r="O128" s="17" t="n">
        <f aca="false">IF(N128=0,100,100-100/(1+M128/N128))</f>
        <v>56.2271342712516</v>
      </c>
      <c r="P128" s="17" t="n">
        <f aca="false">AVERAGE(B109:B128)+2*STDEV(B109:B128)</f>
        <v>4996.81483118132</v>
      </c>
      <c r="Q128" s="17" t="n">
        <f aca="false">AVERAGE(B109:B128)-2*STDEV(B109:B128)</f>
        <v>4824.16916881869</v>
      </c>
      <c r="R128" s="19" t="n">
        <f aca="false">B128/B108-1</f>
        <v>0.0332911969929721</v>
      </c>
      <c r="S128" s="17" t="n">
        <f aca="false">STDEV(C109:C128)*SQRT(252)*100</f>
        <v>10.1357217108157</v>
      </c>
      <c r="T128" s="18"/>
      <c r="U128" s="18"/>
      <c r="V128" s="17" t="n">
        <f aca="false">(B128-AVERAGE(B109:B128))/STDEV(B109:B128)</f>
        <v>0.619025109217754</v>
      </c>
    </row>
    <row r="129" customFormat="false" ht="15" hidden="false" customHeight="false" outlineLevel="0" collapsed="false">
      <c r="A129" s="17" t="s">
        <v>693</v>
      </c>
      <c r="B129" s="17" t="n">
        <v>4964.95</v>
      </c>
      <c r="C129" s="19" t="n">
        <f aca="false">B129/B128-1</f>
        <v>0.00561855784947363</v>
      </c>
      <c r="D129" s="17" t="n">
        <f aca="false">AVERAGE(B80:B129)</f>
        <v>4844.9828</v>
      </c>
      <c r="F129" s="17" t="n">
        <f aca="false">B129*2/13+F128*11/13</f>
        <v>4924.12421883282</v>
      </c>
      <c r="G129" s="17" t="n">
        <f aca="false">B129*2/27+G128*25/27</f>
        <v>4898.84631578845</v>
      </c>
      <c r="H129" s="17" t="n">
        <f aca="false">F129-G129</f>
        <v>25.2779030443699</v>
      </c>
      <c r="I129" s="17" t="n">
        <f aca="false">H129*2/10+I128*8/10</f>
        <v>27.3680907175845</v>
      </c>
      <c r="J129" s="17" t="n">
        <f aca="false">H129-I129</f>
        <v>-2.09018767321465</v>
      </c>
      <c r="K129" s="17" t="n">
        <f aca="false">MAX(B129-B128,0)</f>
        <v>27.7399999999998</v>
      </c>
      <c r="L129" s="17" t="n">
        <f aca="false">MAX(B128-B129,0)</f>
        <v>0</v>
      </c>
      <c r="M129" s="17" t="n">
        <f aca="false">(M128*13+K129)/14</f>
        <v>16.5626201389356</v>
      </c>
      <c r="N129" s="17" t="n">
        <f aca="false">(N128*13+L129)/14</f>
        <v>11.351468448855</v>
      </c>
      <c r="O129" s="17" t="n">
        <f aca="false">IF(N129=0,100,100-100/(1+M129/N129))</f>
        <v>59.3342680232805</v>
      </c>
      <c r="P129" s="17" t="n">
        <f aca="false">AVERAGE(B110:B129)+2*STDEV(B110:B129)</f>
        <v>4987.31000960315</v>
      </c>
      <c r="Q129" s="17" t="n">
        <f aca="false">AVERAGE(B110:B129)-2*STDEV(B110:B129)</f>
        <v>4851.30199039685</v>
      </c>
      <c r="R129" s="19" t="n">
        <f aca="false">B129/B109-1</f>
        <v>0.0368118914019968</v>
      </c>
      <c r="S129" s="17" t="n">
        <f aca="false">STDEV(C110:C129)*SQRT(252)*100</f>
        <v>10.2321242086538</v>
      </c>
      <c r="T129" s="18"/>
      <c r="U129" s="18"/>
      <c r="V129" s="17" t="n">
        <f aca="false">(B129-AVERAGE(B110:B129))/STDEV(B110:B129)</f>
        <v>1.34239143445701</v>
      </c>
    </row>
    <row r="130" customFormat="false" ht="15" hidden="false" customHeight="false" outlineLevel="0" collapsed="false">
      <c r="A130" s="17" t="s">
        <v>694</v>
      </c>
      <c r="B130" s="17" t="n">
        <v>5007.08</v>
      </c>
      <c r="C130" s="19" t="n">
        <f aca="false">B130/B129-1</f>
        <v>0.00848548323749476</v>
      </c>
      <c r="D130" s="17" t="n">
        <f aca="false">AVERAGE(B81:B130)</f>
        <v>4847.2954</v>
      </c>
      <c r="F130" s="17" t="n">
        <f aca="false">B130*2/13+F129*11/13</f>
        <v>4936.88664670469</v>
      </c>
      <c r="G130" s="17" t="n">
        <f aca="false">B130*2/27+G129*25/27</f>
        <v>4906.86362573005</v>
      </c>
      <c r="H130" s="17" t="n">
        <f aca="false">F130-G130</f>
        <v>30.0230209746469</v>
      </c>
      <c r="I130" s="17" t="n">
        <f aca="false">H130*2/10+I129*8/10</f>
        <v>27.899076768997</v>
      </c>
      <c r="J130" s="17" t="n">
        <f aca="false">H130-I130</f>
        <v>2.12394420564991</v>
      </c>
      <c r="K130" s="17" t="n">
        <f aca="false">MAX(B130-B129,0)</f>
        <v>42.1300000000001</v>
      </c>
      <c r="L130" s="17" t="n">
        <f aca="false">MAX(B129-B130,0)</f>
        <v>0</v>
      </c>
      <c r="M130" s="17" t="n">
        <f aca="false">(M129*13+K130)/14</f>
        <v>18.3888615575831</v>
      </c>
      <c r="N130" s="17" t="n">
        <f aca="false">(N129*13+L130)/14</f>
        <v>10.5406492739368</v>
      </c>
      <c r="O130" s="17" t="n">
        <f aca="false">IF(N130=0,100,100-100/(1+M130/N130))</f>
        <v>63.5643708760802</v>
      </c>
      <c r="P130" s="17" t="n">
        <f aca="false">AVERAGE(B111:B130)+2*STDEV(B111:B130)</f>
        <v>4998.04004064659</v>
      </c>
      <c r="Q130" s="17" t="n">
        <f aca="false">AVERAGE(B111:B130)-2*STDEV(B111:B130)</f>
        <v>4856.08595935341</v>
      </c>
      <c r="R130" s="19" t="n">
        <f aca="false">B130/B110-1</f>
        <v>0.0319748389304073</v>
      </c>
      <c r="S130" s="17" t="n">
        <f aca="false">STDEV(C111:C130)*SQRT(252)*100</f>
        <v>9.65598313296514</v>
      </c>
      <c r="T130" s="18"/>
      <c r="U130" s="18"/>
      <c r="V130" s="17" t="n">
        <f aca="false">(B130-AVERAGE(B111:B130))/STDEV(B111:B130)</f>
        <v>2.25472911440262</v>
      </c>
    </row>
    <row r="131" customFormat="false" ht="15" hidden="false" customHeight="false" outlineLevel="0" collapsed="false">
      <c r="A131" s="17" t="s">
        <v>695</v>
      </c>
      <c r="B131" s="17" t="n">
        <v>5024.9</v>
      </c>
      <c r="C131" s="19" t="n">
        <f aca="false">B131/B130-1</f>
        <v>0.00355896051191507</v>
      </c>
      <c r="D131" s="17" t="n">
        <f aca="false">AVERAGE(B82:B131)</f>
        <v>4850.5816</v>
      </c>
      <c r="F131" s="17" t="n">
        <f aca="false">B131*2/13+F130*11/13</f>
        <v>4950.42716259628</v>
      </c>
      <c r="G131" s="17" t="n">
        <f aca="false">B131*2/27+G130*25/27</f>
        <v>4915.60706086115</v>
      </c>
      <c r="H131" s="17" t="n">
        <f aca="false">F131-G131</f>
        <v>34.8201017351248</v>
      </c>
      <c r="I131" s="17" t="n">
        <f aca="false">H131*2/10+I130*8/10</f>
        <v>29.2832817622226</v>
      </c>
      <c r="J131" s="17" t="n">
        <f aca="false">H131-I131</f>
        <v>5.53681997290226</v>
      </c>
      <c r="K131" s="17" t="n">
        <f aca="false">MAX(B131-B130,0)</f>
        <v>17.8199999999997</v>
      </c>
      <c r="L131" s="17" t="n">
        <f aca="false">MAX(B130-B131,0)</f>
        <v>0</v>
      </c>
      <c r="M131" s="17" t="n">
        <f aca="false">(M130*13+K131)/14</f>
        <v>18.3482285891843</v>
      </c>
      <c r="N131" s="17" t="n">
        <f aca="false">(N130*13+L131)/14</f>
        <v>9.78774575436986</v>
      </c>
      <c r="O131" s="17" t="n">
        <f aca="false">IF(N131=0,100,100-100/(1+M131/N131))</f>
        <v>65.2127001721829</v>
      </c>
      <c r="P131" s="17" t="n">
        <f aca="false">AVERAGE(B112:B131)+2*STDEV(B112:B131)</f>
        <v>5011.46698195931</v>
      </c>
      <c r="Q131" s="17" t="n">
        <f aca="false">AVERAGE(B112:B131)-2*STDEV(B112:B131)</f>
        <v>4859.23001804069</v>
      </c>
      <c r="R131" s="19" t="n">
        <f aca="false">B131/B111-1</f>
        <v>0.0341023915508552</v>
      </c>
      <c r="S131" s="17" t="n">
        <f aca="false">STDEV(C112:C131)*SQRT(252)*100</f>
        <v>9.68097787674806</v>
      </c>
      <c r="T131" s="18"/>
      <c r="U131" s="18"/>
      <c r="V131" s="17" t="n">
        <f aca="false">(B131-AVERAGE(B112:B131))/STDEV(B112:B131)</f>
        <v>2.35295023481611</v>
      </c>
    </row>
    <row r="132" customFormat="false" ht="15" hidden="false" customHeight="false" outlineLevel="0" collapsed="false">
      <c r="A132" s="17" t="s">
        <v>696</v>
      </c>
      <c r="B132" s="17" t="n">
        <v>5035.17</v>
      </c>
      <c r="C132" s="19" t="n">
        <f aca="false">B132/B131-1</f>
        <v>0.00204382176759754</v>
      </c>
      <c r="D132" s="17" t="n">
        <f aca="false">AVERAGE(B83:B132)</f>
        <v>4854.556</v>
      </c>
      <c r="F132" s="17" t="n">
        <f aca="false">B132*2/13+F131*11/13</f>
        <v>4963.46452219685</v>
      </c>
      <c r="G132" s="17" t="n">
        <f aca="false">B132*2/27+G131*25/27</f>
        <v>4924.46357487144</v>
      </c>
      <c r="H132" s="17" t="n">
        <f aca="false">F132-G132</f>
        <v>39.0009473254122</v>
      </c>
      <c r="I132" s="17" t="n">
        <f aca="false">H132*2/10+I131*8/10</f>
        <v>31.2268148748605</v>
      </c>
      <c r="J132" s="17" t="n">
        <f aca="false">H132-I132</f>
        <v>7.77413245055172</v>
      </c>
      <c r="K132" s="17" t="n">
        <f aca="false">MAX(B132-B131,0)</f>
        <v>10.2700000000004</v>
      </c>
      <c r="L132" s="17" t="n">
        <f aca="false">MAX(B131-B132,0)</f>
        <v>0</v>
      </c>
      <c r="M132" s="17" t="n">
        <f aca="false">(M131*13+K132)/14</f>
        <v>17.7712122613854</v>
      </c>
      <c r="N132" s="17" t="n">
        <f aca="false">(N131*13+L132)/14</f>
        <v>9.08862105762916</v>
      </c>
      <c r="O132" s="17" t="n">
        <f aca="false">IF(N132=0,100,100-100/(1+M132/N132))</f>
        <v>66.1627793825692</v>
      </c>
      <c r="P132" s="17" t="n">
        <f aca="false">AVERAGE(B113:B132)+2*STDEV(B113:B132)</f>
        <v>5028.10238311949</v>
      </c>
      <c r="Q132" s="17" t="n">
        <f aca="false">AVERAGE(B113:B132)-2*STDEV(B113:B132)</f>
        <v>4856.52161688051</v>
      </c>
      <c r="R132" s="19" t="n">
        <f aca="false">B132/B112-1</f>
        <v>0.0284462509446681</v>
      </c>
      <c r="S132" s="17" t="n">
        <f aca="false">STDEV(C113:C132)*SQRT(252)*100</f>
        <v>9.43308154291744</v>
      </c>
      <c r="T132" s="18"/>
      <c r="U132" s="18"/>
      <c r="V132" s="17" t="n">
        <f aca="false">(B132-AVERAGE(B113:B132))/STDEV(B113:B132)</f>
        <v>2.16476478186751</v>
      </c>
    </row>
    <row r="133" customFormat="false" ht="15" hidden="false" customHeight="false" outlineLevel="0" collapsed="false">
      <c r="A133" s="17" t="s">
        <v>697</v>
      </c>
      <c r="B133" s="17" t="n">
        <v>5050.21</v>
      </c>
      <c r="C133" s="19" t="n">
        <f aca="false">B133/B132-1</f>
        <v>0.00298698951574616</v>
      </c>
      <c r="D133" s="17" t="n">
        <f aca="false">AVERAGE(B84:B133)</f>
        <v>4859.4484</v>
      </c>
      <c r="F133" s="17" t="n">
        <f aca="false">B133*2/13+F132*11/13</f>
        <v>4976.80998032041</v>
      </c>
      <c r="G133" s="17" t="n">
        <f aca="false">B133*2/27+G132*25/27</f>
        <v>4933.77812488096</v>
      </c>
      <c r="H133" s="17" t="n">
        <f aca="false">F133-G133</f>
        <v>43.0318554394517</v>
      </c>
      <c r="I133" s="17" t="n">
        <f aca="false">H133*2/10+I132*8/10</f>
        <v>33.5878229877787</v>
      </c>
      <c r="J133" s="17" t="n">
        <f aca="false">H133-I133</f>
        <v>9.44403245167293</v>
      </c>
      <c r="K133" s="17" t="n">
        <f aca="false">MAX(B133-B132,0)</f>
        <v>15.04</v>
      </c>
      <c r="L133" s="17" t="n">
        <f aca="false">MAX(B132-B133,0)</f>
        <v>0</v>
      </c>
      <c r="M133" s="17" t="n">
        <f aca="false">(M132*13+K133)/14</f>
        <v>17.5761256712865</v>
      </c>
      <c r="N133" s="17" t="n">
        <f aca="false">(N132*13+L133)/14</f>
        <v>8.43943383922708</v>
      </c>
      <c r="O133" s="17" t="n">
        <f aca="false">IF(N133=0,100,100-100/(1+M133/N133))</f>
        <v>67.5600525300389</v>
      </c>
      <c r="P133" s="17" t="n">
        <f aca="false">AVERAGE(B114:B133)+2*STDEV(B114:B133)</f>
        <v>5043.36467096647</v>
      </c>
      <c r="Q133" s="17" t="n">
        <f aca="false">AVERAGE(B114:B133)-2*STDEV(B114:B133)</f>
        <v>4858.85032903353</v>
      </c>
      <c r="R133" s="19" t="n">
        <f aca="false">B133/B113-1</f>
        <v>0.0360892846152268</v>
      </c>
      <c r="S133" s="17" t="n">
        <f aca="false">STDEV(C114:C133)*SQRT(252)*100</f>
        <v>9.18881902255695</v>
      </c>
      <c r="T133" s="18"/>
      <c r="U133" s="18"/>
      <c r="V133" s="17" t="n">
        <f aca="false">(B133-AVERAGE(B114:B133))/STDEV(B114:B133)</f>
        <v>2.14839668205338</v>
      </c>
    </row>
    <row r="134" customFormat="false" ht="15" hidden="false" customHeight="false" outlineLevel="0" collapsed="false">
      <c r="A134" s="17" t="s">
        <v>698</v>
      </c>
      <c r="B134" s="17" t="n">
        <v>5041.43</v>
      </c>
      <c r="C134" s="19" t="n">
        <f aca="false">B134/B133-1</f>
        <v>-0.00173854156559816</v>
      </c>
      <c r="D134" s="17" t="n">
        <f aca="false">AVERAGE(B85:B134)</f>
        <v>4864.2516</v>
      </c>
      <c r="F134" s="17" t="n">
        <f aca="false">B134*2/13+F133*11/13</f>
        <v>4986.75152180958</v>
      </c>
      <c r="G134" s="17" t="n">
        <f aca="false">B134*2/27+G133*25/27</f>
        <v>4941.75233785274</v>
      </c>
      <c r="H134" s="17" t="n">
        <f aca="false">F134-G134</f>
        <v>44.9991839568384</v>
      </c>
      <c r="I134" s="17" t="n">
        <f aca="false">H134*2/10+I133*8/10</f>
        <v>35.8700951815906</v>
      </c>
      <c r="J134" s="17" t="n">
        <f aca="false">H134-I134</f>
        <v>9.12908877524771</v>
      </c>
      <c r="K134" s="17" t="n">
        <f aca="false">MAX(B134-B133,0)</f>
        <v>0</v>
      </c>
      <c r="L134" s="17" t="n">
        <f aca="false">MAX(B133-B134,0)</f>
        <v>8.77999999999975</v>
      </c>
      <c r="M134" s="17" t="n">
        <f aca="false">(M133*13+K134)/14</f>
        <v>16.3206881233374</v>
      </c>
      <c r="N134" s="17" t="n">
        <f aca="false">(N133*13+L134)/14</f>
        <v>8.46375999356798</v>
      </c>
      <c r="O134" s="17" t="n">
        <f aca="false">IF(N134=0,100,100-100/(1+M134/N134))</f>
        <v>65.8505206424392</v>
      </c>
      <c r="P134" s="17" t="n">
        <f aca="false">AVERAGE(B115:B134)+2*STDEV(B115:B134)</f>
        <v>5056.69880506695</v>
      </c>
      <c r="Q134" s="17" t="n">
        <f aca="false">AVERAGE(B115:B134)-2*STDEV(B115:B134)</f>
        <v>4856.07519493305</v>
      </c>
      <c r="R134" s="19" t="n">
        <f aca="false">B134/B114-1</f>
        <v>0.0213925086712699</v>
      </c>
      <c r="S134" s="17" t="n">
        <f aca="false">STDEV(C115:C134)*SQRT(252)*100</f>
        <v>8.31542627197902</v>
      </c>
      <c r="T134" s="18"/>
      <c r="U134" s="18"/>
      <c r="V134" s="17" t="n">
        <f aca="false">(B134-AVERAGE(B115:B134))/STDEV(B115:B134)</f>
        <v>1.69557311710704</v>
      </c>
    </row>
    <row r="135" customFormat="false" ht="15" hidden="false" customHeight="false" outlineLevel="0" collapsed="false">
      <c r="A135" s="17" t="s">
        <v>699</v>
      </c>
      <c r="B135" s="17" t="n">
        <v>5059.51</v>
      </c>
      <c r="C135" s="19" t="n">
        <f aca="false">B135/B134-1</f>
        <v>0.00358628405035866</v>
      </c>
      <c r="D135" s="17" t="n">
        <f aca="false">AVERAGE(B86:B135)</f>
        <v>4870.103</v>
      </c>
      <c r="F135" s="17" t="n">
        <f aca="false">B135*2/13+F134*11/13</f>
        <v>4997.94513383888</v>
      </c>
      <c r="G135" s="17" t="n">
        <f aca="false">B135*2/27+G134*25/27</f>
        <v>4950.47512764143</v>
      </c>
      <c r="H135" s="17" t="n">
        <f aca="false">F135-G135</f>
        <v>47.4700061974481</v>
      </c>
      <c r="I135" s="17" t="n">
        <f aca="false">H135*2/10+I134*8/10</f>
        <v>38.1900773847621</v>
      </c>
      <c r="J135" s="17" t="n">
        <f aca="false">H135-I135</f>
        <v>9.27992881268599</v>
      </c>
      <c r="K135" s="17" t="n">
        <f aca="false">MAX(B135-B134,0)</f>
        <v>18.0799999999999</v>
      </c>
      <c r="L135" s="17" t="n">
        <f aca="false">MAX(B134-B135,0)</f>
        <v>0</v>
      </c>
      <c r="M135" s="17" t="n">
        <f aca="false">(M134*13+K135)/14</f>
        <v>16.4463532573848</v>
      </c>
      <c r="N135" s="17" t="n">
        <f aca="false">(N134*13+L135)/14</f>
        <v>7.85920570831312</v>
      </c>
      <c r="O135" s="17" t="n">
        <f aca="false">IF(N135=0,100,100-100/(1+M135/N135))</f>
        <v>67.6649867653539</v>
      </c>
      <c r="P135" s="17" t="n">
        <f aca="false">AVERAGE(B116:B135)+2*STDEV(B116:B135)</f>
        <v>5072.11143148847</v>
      </c>
      <c r="Q135" s="17" t="n">
        <f aca="false">AVERAGE(B116:B135)-2*STDEV(B116:B135)</f>
        <v>4854.49156851153</v>
      </c>
      <c r="R135" s="19" t="n">
        <f aca="false">B135/B115-1</f>
        <v>0.0281007555037165</v>
      </c>
      <c r="S135" s="17" t="n">
        <f aca="false">STDEV(C116:C135)*SQRT(252)*100</f>
        <v>8.21840267364196</v>
      </c>
      <c r="T135" s="18"/>
      <c r="U135" s="18"/>
      <c r="V135" s="17" t="n">
        <f aca="false">(B135-AVERAGE(B116:B135))/STDEV(B116:B135)</f>
        <v>1.76837718182356</v>
      </c>
    </row>
    <row r="136" customFormat="false" ht="15" hidden="false" customHeight="false" outlineLevel="0" collapsed="false">
      <c r="A136" s="17" t="s">
        <v>700</v>
      </c>
      <c r="B136" s="17" t="n">
        <v>5044.65</v>
      </c>
      <c r="C136" s="19" t="n">
        <f aca="false">B136/B135-1</f>
        <v>-0.00293704331051836</v>
      </c>
      <c r="D136" s="17" t="n">
        <f aca="false">AVERAGE(B87:B136)</f>
        <v>4876.4578</v>
      </c>
      <c r="F136" s="17" t="n">
        <f aca="false">B136*2/13+F135*11/13</f>
        <v>5005.13049786366</v>
      </c>
      <c r="G136" s="17" t="n">
        <f aca="false">B136*2/27+G135*25/27</f>
        <v>4957.45104411243</v>
      </c>
      <c r="H136" s="17" t="n">
        <f aca="false">F136-G136</f>
        <v>47.6794537512296</v>
      </c>
      <c r="I136" s="17" t="n">
        <f aca="false">H136*2/10+I135*8/10</f>
        <v>40.0879526580556</v>
      </c>
      <c r="J136" s="17" t="n">
        <f aca="false">H136-I136</f>
        <v>7.59150109317399</v>
      </c>
      <c r="K136" s="17" t="n">
        <f aca="false">MAX(B136-B135,0)</f>
        <v>0</v>
      </c>
      <c r="L136" s="17" t="n">
        <f aca="false">MAX(B135-B136,0)</f>
        <v>14.8600000000006</v>
      </c>
      <c r="M136" s="17" t="n">
        <f aca="false">(M135*13+K136)/14</f>
        <v>15.2716137390001</v>
      </c>
      <c r="N136" s="17" t="n">
        <f aca="false">(N135*13+L136)/14</f>
        <v>8.35926244343366</v>
      </c>
      <c r="O136" s="17" t="n">
        <f aca="false">IF(N136=0,100,100-100/(1+M136/N136))</f>
        <v>64.6256771060923</v>
      </c>
      <c r="P136" s="17" t="n">
        <f aca="false">AVERAGE(B117:B136)+2*STDEV(B117:B136)</f>
        <v>5082.50510232943</v>
      </c>
      <c r="Q136" s="17" t="n">
        <f aca="false">AVERAGE(B117:B136)-2*STDEV(B117:B136)</f>
        <v>4855.22189767057</v>
      </c>
      <c r="R136" s="19" t="n">
        <f aca="false">B136/B116-1</f>
        <v>0.0225482982359058</v>
      </c>
      <c r="S136" s="17" t="n">
        <f aca="false">STDEV(C117:C136)*SQRT(252)*100</f>
        <v>8.34792097696503</v>
      </c>
      <c r="T136" s="18"/>
      <c r="U136" s="18"/>
      <c r="V136" s="17" t="n">
        <f aca="false">(B136-AVERAGE(B117:B136))/STDEV(B117:B136)</f>
        <v>1.33378091203442</v>
      </c>
    </row>
    <row r="137" customFormat="false" ht="15" hidden="false" customHeight="false" outlineLevel="0" collapsed="false">
      <c r="A137" s="17" t="s">
        <v>701</v>
      </c>
      <c r="B137" s="17" t="n">
        <v>5055.85</v>
      </c>
      <c r="C137" s="19" t="n">
        <f aca="false">B137/B136-1</f>
        <v>0.00222017384754158</v>
      </c>
      <c r="D137" s="17" t="n">
        <f aca="false">AVERAGE(B88:B137)</f>
        <v>4883.9928</v>
      </c>
      <c r="F137" s="17" t="n">
        <f aca="false">B137*2/13+F136*11/13</f>
        <v>5012.93349819233</v>
      </c>
      <c r="G137" s="17" t="n">
        <f aca="false">B137*2/27+G136*25/27</f>
        <v>4964.73985565966</v>
      </c>
      <c r="H137" s="17" t="n">
        <f aca="false">F137-G137</f>
        <v>48.1936425326694</v>
      </c>
      <c r="I137" s="17" t="n">
        <f aca="false">H137*2/10+I136*8/10</f>
        <v>41.7090906329784</v>
      </c>
      <c r="J137" s="17" t="n">
        <f aca="false">H137-I137</f>
        <v>6.48455189969101</v>
      </c>
      <c r="K137" s="17" t="n">
        <f aca="false">MAX(B137-B136,0)</f>
        <v>11.2000000000007</v>
      </c>
      <c r="L137" s="17" t="n">
        <f aca="false">MAX(B136-B137,0)</f>
        <v>0</v>
      </c>
      <c r="M137" s="17" t="n">
        <f aca="false">(M136*13+K137)/14</f>
        <v>14.9807841862145</v>
      </c>
      <c r="N137" s="17" t="n">
        <f aca="false">(N136*13+L137)/14</f>
        <v>7.76217226890268</v>
      </c>
      <c r="O137" s="17" t="n">
        <f aca="false">IF(N137=0,100,100-100/(1+M137/N137))</f>
        <v>65.8699945883412</v>
      </c>
      <c r="P137" s="17" t="n">
        <f aca="false">AVERAGE(B118:B137)+2*STDEV(B118:B137)</f>
        <v>5092.89237705785</v>
      </c>
      <c r="Q137" s="17" t="n">
        <f aca="false">AVERAGE(B118:B137)-2*STDEV(B118:B137)</f>
        <v>4858.93362294215</v>
      </c>
      <c r="R137" s="19" t="n">
        <f aca="false">B137/B117-1</f>
        <v>0.0286864732667871</v>
      </c>
      <c r="S137" s="17" t="n">
        <f aca="false">STDEV(C118:C137)*SQRT(252)*100</f>
        <v>8.15099825652544</v>
      </c>
      <c r="T137" s="18"/>
      <c r="U137" s="18"/>
      <c r="V137" s="17" t="n">
        <f aca="false">(B137-AVERAGE(B118:B137))/STDEV(B118:B137)</f>
        <v>1.36668534250223</v>
      </c>
    </row>
    <row r="138" customFormat="false" ht="15" hidden="false" customHeight="false" outlineLevel="0" collapsed="false">
      <c r="A138" s="17" t="s">
        <v>702</v>
      </c>
      <c r="B138" s="17" t="n">
        <v>5051.17</v>
      </c>
      <c r="C138" s="19" t="n">
        <f aca="false">B138/B137-1</f>
        <v>-0.000925660373626625</v>
      </c>
      <c r="D138" s="17" t="n">
        <f aca="false">AVERAGE(B89:B138)</f>
        <v>4891.807</v>
      </c>
      <c r="F138" s="17" t="n">
        <f aca="false">B138*2/13+F137*11/13</f>
        <v>5018.81603693197</v>
      </c>
      <c r="G138" s="17" t="n">
        <f aca="false">B138*2/27+G137*25/27</f>
        <v>4971.14208857376</v>
      </c>
      <c r="H138" s="17" t="n">
        <f aca="false">F138-G138</f>
        <v>47.6739483582114</v>
      </c>
      <c r="I138" s="17" t="n">
        <f aca="false">H138*2/10+I137*8/10</f>
        <v>42.902062178025</v>
      </c>
      <c r="J138" s="17" t="n">
        <f aca="false">H138-I138</f>
        <v>4.77188618018641</v>
      </c>
      <c r="K138" s="17" t="n">
        <f aca="false">MAX(B138-B137,0)</f>
        <v>0</v>
      </c>
      <c r="L138" s="17" t="n">
        <f aca="false">MAX(B137-B138,0)</f>
        <v>4.68000000000029</v>
      </c>
      <c r="M138" s="17" t="n">
        <f aca="false">(M137*13+K138)/14</f>
        <v>13.9107281729134</v>
      </c>
      <c r="N138" s="17" t="n">
        <f aca="false">(N137*13+L138)/14</f>
        <v>7.54201710683823</v>
      </c>
      <c r="O138" s="17" t="n">
        <f aca="false">IF(N138=0,100,100-100/(1+M138/N138))</f>
        <v>64.8435805838015</v>
      </c>
      <c r="P138" s="17" t="n">
        <f aca="false">AVERAGE(B119:B138)+2*STDEV(B119:B138)</f>
        <v>5101.64191452331</v>
      </c>
      <c r="Q138" s="17" t="n">
        <f aca="false">AVERAGE(B119:B138)-2*STDEV(B119:B138)</f>
        <v>4861.81608547669</v>
      </c>
      <c r="R138" s="19" t="n">
        <f aca="false">B138/B118-1</f>
        <v>0.0235711318479792</v>
      </c>
      <c r="S138" s="17" t="n">
        <f aca="false">STDEV(C119:C138)*SQRT(252)*100</f>
        <v>8.12919994805759</v>
      </c>
      <c r="T138" s="18"/>
      <c r="U138" s="18"/>
      <c r="V138" s="17" t="n">
        <f aca="false">(B138-AVERAGE(B119:B138))/STDEV(B119:B138)</f>
        <v>1.1581905131078</v>
      </c>
    </row>
    <row r="139" customFormat="false" ht="15" hidden="false" customHeight="false" outlineLevel="0" collapsed="false">
      <c r="A139" s="17" t="s">
        <v>703</v>
      </c>
      <c r="B139" s="17" t="n">
        <v>5063.2</v>
      </c>
      <c r="C139" s="19" t="n">
        <f aca="false">B139/B138-1</f>
        <v>0.00238162643506357</v>
      </c>
      <c r="D139" s="17" t="n">
        <f aca="false">AVERAGE(B90:B139)</f>
        <v>4897.5964</v>
      </c>
      <c r="F139" s="17" t="n">
        <f aca="false">B139*2/13+F138*11/13</f>
        <v>5025.64433894244</v>
      </c>
      <c r="G139" s="17" t="n">
        <f aca="false">B139*2/27+G138*25/27</f>
        <v>4977.96119312385</v>
      </c>
      <c r="H139" s="17" t="n">
        <f aca="false">F139-G139</f>
        <v>47.6831458185852</v>
      </c>
      <c r="I139" s="17" t="n">
        <f aca="false">H139*2/10+I138*8/10</f>
        <v>43.8582789061371</v>
      </c>
      <c r="J139" s="17" t="n">
        <f aca="false">H139-I139</f>
        <v>3.82486691244817</v>
      </c>
      <c r="K139" s="17" t="n">
        <f aca="false">MAX(B139-B138,0)</f>
        <v>12.0299999999997</v>
      </c>
      <c r="L139" s="17" t="n">
        <f aca="false">MAX(B138-B139,0)</f>
        <v>0</v>
      </c>
      <c r="M139" s="17" t="n">
        <f aca="false">(M138*13+K139)/14</f>
        <v>13.7763904462767</v>
      </c>
      <c r="N139" s="17" t="n">
        <f aca="false">(N138*13+L139)/14</f>
        <v>7.00330159920692</v>
      </c>
      <c r="O139" s="17" t="n">
        <f aca="false">IF(N139=0,100,100-100/(1+M139/N139))</f>
        <v>66.2973754188573</v>
      </c>
      <c r="P139" s="17" t="n">
        <f aca="false">AVERAGE(B120:B139)+2*STDEV(B120:B139)</f>
        <v>5111.64288748601</v>
      </c>
      <c r="Q139" s="17" t="n">
        <f aca="false">AVERAGE(B120:B139)-2*STDEV(B120:B139)</f>
        <v>4862.75511251399</v>
      </c>
      <c r="R139" s="19" t="n">
        <f aca="false">B139/B119-1</f>
        <v>0.0220840566837579</v>
      </c>
      <c r="S139" s="17" t="n">
        <f aca="false">STDEV(C120:C139)*SQRT(252)*100</f>
        <v>8.08220624913914</v>
      </c>
      <c r="T139" s="18"/>
      <c r="U139" s="18"/>
      <c r="V139" s="17" t="n">
        <f aca="false">(B139-AVERAGE(B120:B139))/STDEV(B120:B139)</f>
        <v>1.22145010952896</v>
      </c>
    </row>
    <row r="140" customFormat="false" ht="15" hidden="false" customHeight="false" outlineLevel="0" collapsed="false">
      <c r="A140" s="17" t="s">
        <v>704</v>
      </c>
      <c r="B140" s="17" t="n">
        <v>5065.7</v>
      </c>
      <c r="C140" s="19" t="n">
        <f aca="false">B140/B139-1</f>
        <v>0.000493758887659901</v>
      </c>
      <c r="D140" s="17" t="n">
        <f aca="false">AVERAGE(B91:B140)</f>
        <v>4902.812</v>
      </c>
      <c r="F140" s="17" t="n">
        <f aca="false">B140*2/13+F139*11/13</f>
        <v>5031.80674833591</v>
      </c>
      <c r="G140" s="17" t="n">
        <f aca="false">B140*2/27+G139*25/27</f>
        <v>4984.46036400357</v>
      </c>
      <c r="H140" s="17" t="n">
        <f aca="false">F140-G140</f>
        <v>47.3463843323416</v>
      </c>
      <c r="I140" s="17" t="n">
        <f aca="false">H140*2/10+I139*8/10</f>
        <v>44.555899991378</v>
      </c>
      <c r="J140" s="17" t="n">
        <f aca="false">H140-I140</f>
        <v>2.79048434096363</v>
      </c>
      <c r="K140" s="17" t="n">
        <f aca="false">MAX(B140-B139,0)</f>
        <v>2.5</v>
      </c>
      <c r="L140" s="17" t="n">
        <f aca="false">MAX(B139-B140,0)</f>
        <v>0</v>
      </c>
      <c r="M140" s="17" t="n">
        <f aca="false">(M139*13+K140)/14</f>
        <v>12.9709339858284</v>
      </c>
      <c r="N140" s="17" t="n">
        <f aca="false">(N139*13+L140)/14</f>
        <v>6.50306577069214</v>
      </c>
      <c r="O140" s="17" t="n">
        <f aca="false">IF(N140=0,100,100-100/(1+M140/N140))</f>
        <v>66.6064195748246</v>
      </c>
      <c r="P140" s="17" t="n">
        <f aca="false">AVERAGE(B121:B140)+2*STDEV(B121:B140)</f>
        <v>5120.83290697341</v>
      </c>
      <c r="Q140" s="17" t="n">
        <f aca="false">AVERAGE(B121:B140)-2*STDEV(B121:B140)</f>
        <v>4865.2440930266</v>
      </c>
      <c r="R140" s="19" t="n">
        <f aca="false">B140/B120-1</f>
        <v>0.0235991359713552</v>
      </c>
      <c r="S140" s="17" t="n">
        <f aca="false">STDEV(C121:C140)*SQRT(252)*100</f>
        <v>8.04838503255496</v>
      </c>
      <c r="T140" s="18"/>
      <c r="U140" s="18"/>
      <c r="V140" s="17" t="n">
        <f aca="false">(B140-AVERAGE(B121:B140))/STDEV(B121:B140)</f>
        <v>1.13716244272131</v>
      </c>
    </row>
    <row r="141" customFormat="false" ht="15" hidden="false" customHeight="false" outlineLevel="0" collapsed="false">
      <c r="A141" s="17" t="s">
        <v>705</v>
      </c>
      <c r="B141" s="17" t="n">
        <v>5101.06</v>
      </c>
      <c r="C141" s="19" t="n">
        <f aca="false">B141/B140-1</f>
        <v>0.00698027913220289</v>
      </c>
      <c r="D141" s="17" t="n">
        <f aca="false">AVERAGE(B92:B141)</f>
        <v>4908.3296</v>
      </c>
      <c r="F141" s="17" t="n">
        <f aca="false">B141*2/13+F140*11/13</f>
        <v>5042.46109474577</v>
      </c>
      <c r="G141" s="17" t="n">
        <f aca="false">B141*2/27+G140*25/27</f>
        <v>4993.09737407738</v>
      </c>
      <c r="H141" s="17" t="n">
        <f aca="false">F141-G141</f>
        <v>49.3637206683925</v>
      </c>
      <c r="I141" s="17" t="n">
        <f aca="false">H141*2/10+I140*8/10</f>
        <v>45.5174641267809</v>
      </c>
      <c r="J141" s="17" t="n">
        <f aca="false">H141-I141</f>
        <v>3.84625654161162</v>
      </c>
      <c r="K141" s="17" t="n">
        <f aca="false">MAX(B141-B140,0)</f>
        <v>35.3600000000006</v>
      </c>
      <c r="L141" s="17" t="n">
        <f aca="false">MAX(B140-B141,0)</f>
        <v>0</v>
      </c>
      <c r="M141" s="17" t="n">
        <f aca="false">(M140*13+K141)/14</f>
        <v>14.5701529868407</v>
      </c>
      <c r="N141" s="17" t="n">
        <f aca="false">(N140*13+L141)/14</f>
        <v>6.03856107278556</v>
      </c>
      <c r="O141" s="17" t="n">
        <f aca="false">IF(N141=0,100,100-100/(1+M141/N141))</f>
        <v>70.6989914299628</v>
      </c>
      <c r="P141" s="17" t="n">
        <f aca="false">AVERAGE(B122:B141)+2*STDEV(B122:B141)</f>
        <v>5134.68149594636</v>
      </c>
      <c r="Q141" s="17" t="n">
        <f aca="false">AVERAGE(B122:B141)-2*STDEV(B122:B141)</f>
        <v>4868.06250405364</v>
      </c>
      <c r="R141" s="19" t="n">
        <f aca="false">B141/B121-1</f>
        <v>0.0337772247430788</v>
      </c>
      <c r="S141" s="17" t="n">
        <f aca="false">STDEV(C122:C141)*SQRT(252)*100</f>
        <v>8.14520042883379</v>
      </c>
      <c r="T141" s="18"/>
      <c r="U141" s="18"/>
      <c r="V141" s="17" t="n">
        <f aca="false">(B141-AVERAGE(B122:B141))/STDEV(B122:B141)</f>
        <v>1.49558738171373</v>
      </c>
    </row>
    <row r="142" customFormat="false" ht="15" hidden="false" customHeight="false" outlineLevel="0" collapsed="false">
      <c r="A142" s="17" t="s">
        <v>706</v>
      </c>
      <c r="B142" s="17" t="n">
        <v>5151.47</v>
      </c>
      <c r="C142" s="19" t="n">
        <f aca="false">B142/B141-1</f>
        <v>0.00988225976561741</v>
      </c>
      <c r="D142" s="17" t="n">
        <f aca="false">AVERAGE(B93:B142)</f>
        <v>4916.4184</v>
      </c>
      <c r="F142" s="17" t="n">
        <f aca="false">B142*2/13+F141*11/13</f>
        <v>5059.23169555411</v>
      </c>
      <c r="G142" s="17" t="n">
        <f aca="false">B142*2/27+G141*25/27</f>
        <v>5004.82867970127</v>
      </c>
      <c r="H142" s="17" t="n">
        <f aca="false">F142-G142</f>
        <v>54.4030158528376</v>
      </c>
      <c r="I142" s="17" t="n">
        <f aca="false">H142*2/10+I141*8/10</f>
        <v>47.2945744719922</v>
      </c>
      <c r="J142" s="17" t="n">
        <f aca="false">H142-I142</f>
        <v>7.10844138084539</v>
      </c>
      <c r="K142" s="17" t="n">
        <f aca="false">MAX(B142-B141,0)</f>
        <v>50.4099999999999</v>
      </c>
      <c r="L142" s="17" t="n">
        <f aca="false">MAX(B141-B142,0)</f>
        <v>0</v>
      </c>
      <c r="M142" s="17" t="n">
        <f aca="false">(M141*13+K142)/14</f>
        <v>17.1301420592092</v>
      </c>
      <c r="N142" s="17" t="n">
        <f aca="false">(N141*13+L142)/14</f>
        <v>5.60723528187231</v>
      </c>
      <c r="O142" s="17" t="n">
        <f aca="false">IF(N142=0,100,100-100/(1+M142/N142))</f>
        <v>75.3391290571528</v>
      </c>
      <c r="P142" s="17" t="n">
        <f aca="false">AVERAGE(B123:B142)+2*STDEV(B123:B142)</f>
        <v>5157.72301960387</v>
      </c>
      <c r="Q142" s="17" t="n">
        <f aca="false">AVERAGE(B123:B142)-2*STDEV(B123:B142)</f>
        <v>4866.16598039613</v>
      </c>
      <c r="R142" s="19" t="n">
        <f aca="false">B142/B122-1</f>
        <v>0.0428034704312938</v>
      </c>
      <c r="S142" s="17" t="n">
        <f aca="false">STDEV(C123:C142)*SQRT(252)*100</f>
        <v>8.64488331140845</v>
      </c>
      <c r="T142" s="18"/>
      <c r="U142" s="18"/>
      <c r="V142" s="17" t="n">
        <f aca="false">(B142-AVERAGE(B123:B142))/STDEV(B123:B142)</f>
        <v>1.91421205784148</v>
      </c>
    </row>
    <row r="143" customFormat="false" ht="15" hidden="false" customHeight="false" outlineLevel="0" collapsed="false">
      <c r="A143" s="17" t="s">
        <v>707</v>
      </c>
      <c r="B143" s="17" t="n">
        <v>5156.92</v>
      </c>
      <c r="C143" s="19" t="n">
        <f aca="false">B143/B142-1</f>
        <v>0.00105795044909507</v>
      </c>
      <c r="D143" s="17" t="n">
        <f aca="false">AVERAGE(B94:B143)</f>
        <v>4924.5178</v>
      </c>
      <c r="F143" s="17" t="n">
        <f aca="false">B143*2/13+F142*11/13</f>
        <v>5074.26066546886</v>
      </c>
      <c r="G143" s="17" t="n">
        <f aca="false">B143*2/27+G142*25/27</f>
        <v>5016.09470342711</v>
      </c>
      <c r="H143" s="17" t="n">
        <f aca="false">F143-G143</f>
        <v>58.1659620417586</v>
      </c>
      <c r="I143" s="17" t="n">
        <f aca="false">H143*2/10+I142*8/10</f>
        <v>49.4688519859455</v>
      </c>
      <c r="J143" s="17" t="n">
        <f aca="false">H143-I143</f>
        <v>8.69711005581308</v>
      </c>
      <c r="K143" s="17" t="n">
        <f aca="false">MAX(B143-B142,0)</f>
        <v>5.44999999999982</v>
      </c>
      <c r="L143" s="17" t="n">
        <f aca="false">MAX(B142-B143,0)</f>
        <v>0</v>
      </c>
      <c r="M143" s="17" t="n">
        <f aca="false">(M142*13+K143)/14</f>
        <v>16.2958461978371</v>
      </c>
      <c r="N143" s="17" t="n">
        <f aca="false">(N142*13+L143)/14</f>
        <v>5.20671847602429</v>
      </c>
      <c r="O143" s="17" t="n">
        <f aca="false">IF(N143=0,100,100-100/(1+M143/N143))</f>
        <v>75.7855932304038</v>
      </c>
      <c r="P143" s="17" t="n">
        <f aca="false">AVERAGE(B124:B143)+2*STDEV(B124:B143)</f>
        <v>5179.11872157036</v>
      </c>
      <c r="Q143" s="17" t="n">
        <f aca="false">AVERAGE(B124:B143)-2*STDEV(B124:B143)</f>
        <v>4863.88127842964</v>
      </c>
      <c r="R143" s="19" t="n">
        <f aca="false">B143/B123-1</f>
        <v>0.0384851615345734</v>
      </c>
      <c r="S143" s="17" t="n">
        <f aca="false">STDEV(C124:C143)*SQRT(252)*100</f>
        <v>8.57232057312974</v>
      </c>
      <c r="T143" s="18"/>
      <c r="U143" s="18"/>
      <c r="V143" s="17" t="n">
        <f aca="false">(B143-AVERAGE(B124:B143))/STDEV(B124:B143)</f>
        <v>1.71832379619387</v>
      </c>
    </row>
    <row r="144" customFormat="false" ht="15" hidden="false" customHeight="false" outlineLevel="0" collapsed="false">
      <c r="A144" s="17" t="s">
        <v>708</v>
      </c>
      <c r="B144" s="17" t="n">
        <v>5168.06</v>
      </c>
      <c r="C144" s="19" t="n">
        <f aca="false">B144/B143-1</f>
        <v>0.00216020415286655</v>
      </c>
      <c r="D144" s="17" t="n">
        <f aca="false">AVERAGE(B95:B144)</f>
        <v>4933.8382</v>
      </c>
      <c r="F144" s="17" t="n">
        <f aca="false">B144*2/13+F143*11/13</f>
        <v>5088.69133231981</v>
      </c>
      <c r="G144" s="17" t="n">
        <f aca="false">B144*2/27+G143*25/27</f>
        <v>5027.35139206214</v>
      </c>
      <c r="H144" s="17" t="n">
        <f aca="false">F144-G144</f>
        <v>61.3399402576733</v>
      </c>
      <c r="I144" s="17" t="n">
        <f aca="false">H144*2/10+I143*8/10</f>
        <v>51.8430696402911</v>
      </c>
      <c r="J144" s="17" t="n">
        <f aca="false">H144-I144</f>
        <v>9.49687061738228</v>
      </c>
      <c r="K144" s="17" t="n">
        <f aca="false">MAX(B144-B143,0)</f>
        <v>11.1400000000003</v>
      </c>
      <c r="L144" s="17" t="n">
        <f aca="false">MAX(B143-B144,0)</f>
        <v>0</v>
      </c>
      <c r="M144" s="17" t="n">
        <f aca="false">(M143*13+K144)/14</f>
        <v>15.9275714694202</v>
      </c>
      <c r="N144" s="17" t="n">
        <f aca="false">(N143*13+L144)/14</f>
        <v>4.83481001345112</v>
      </c>
      <c r="O144" s="17" t="n">
        <f aca="false">IF(N144=0,100,100-100/(1+M144/N144))</f>
        <v>76.7136057227357</v>
      </c>
      <c r="P144" s="17" t="n">
        <f aca="false">AVERAGE(B125:B144)+2*STDEV(B125:B144)</f>
        <v>5197.42387594665</v>
      </c>
      <c r="Q144" s="17" t="n">
        <f aca="false">AVERAGE(B125:B144)-2*STDEV(B125:B144)</f>
        <v>4869.75312405335</v>
      </c>
      <c r="R144" s="19" t="n">
        <f aca="false">B144/B124-1</f>
        <v>0.0490775005125561</v>
      </c>
      <c r="S144" s="17" t="n">
        <f aca="false">STDEV(C125:C144)*SQRT(252)*100</f>
        <v>7.74042864191981</v>
      </c>
      <c r="T144" s="18"/>
      <c r="U144" s="18"/>
      <c r="V144" s="17" t="n">
        <f aca="false">(B144-AVERAGE(B125:B144))/STDEV(B125:B144)</f>
        <v>1.6415441320047</v>
      </c>
    </row>
    <row r="145" customFormat="false" ht="15" hidden="false" customHeight="false" outlineLevel="0" collapsed="false">
      <c r="A145" s="17" t="s">
        <v>709</v>
      </c>
      <c r="B145" s="17" t="n">
        <v>5129.33</v>
      </c>
      <c r="C145" s="19" t="n">
        <f aca="false">B145/B144-1</f>
        <v>-0.0074941080405414</v>
      </c>
      <c r="D145" s="17" t="n">
        <f aca="false">AVERAGE(B96:B145)</f>
        <v>4941.1354</v>
      </c>
      <c r="F145" s="17" t="n">
        <f aca="false">B145*2/13+F144*11/13</f>
        <v>5094.94343503984</v>
      </c>
      <c r="G145" s="17" t="n">
        <f aca="false">B145*2/27+G144*25/27</f>
        <v>5034.9053630205</v>
      </c>
      <c r="H145" s="17" t="n">
        <f aca="false">F145-G145</f>
        <v>60.0380720193425</v>
      </c>
      <c r="I145" s="17" t="n">
        <f aca="false">H145*2/10+I144*8/10</f>
        <v>53.4820701161014</v>
      </c>
      <c r="J145" s="17" t="n">
        <f aca="false">H145-I145</f>
        <v>6.55600190324116</v>
      </c>
      <c r="K145" s="17" t="n">
        <f aca="false">MAX(B145-B144,0)</f>
        <v>0</v>
      </c>
      <c r="L145" s="17" t="n">
        <f aca="false">MAX(B144-B145,0)</f>
        <v>38.7300000000005</v>
      </c>
      <c r="M145" s="17" t="n">
        <f aca="false">(M144*13+K145)/14</f>
        <v>14.789887793033</v>
      </c>
      <c r="N145" s="17" t="n">
        <f aca="false">(N144*13+L145)/14</f>
        <v>7.25589501249036</v>
      </c>
      <c r="O145" s="17" t="n">
        <f aca="false">IF(N145=0,100,100-100/(1+M145/N145))</f>
        <v>67.0871518761745</v>
      </c>
      <c r="P145" s="17" t="n">
        <f aca="false">AVERAGE(B126:B145)+2*STDEV(B126:B145)</f>
        <v>5203.84000898088</v>
      </c>
      <c r="Q145" s="17" t="n">
        <f aca="false">AVERAGE(B126:B145)-2*STDEV(B126:B145)</f>
        <v>4884.44199101913</v>
      </c>
      <c r="R145" s="19" t="n">
        <f aca="false">B145/B125-1</f>
        <v>0.0429113429898258</v>
      </c>
      <c r="S145" s="17" t="n">
        <f aca="false">STDEV(C126:C145)*SQRT(252)*100</f>
        <v>8.39851283197778</v>
      </c>
      <c r="T145" s="18"/>
      <c r="U145" s="18"/>
      <c r="V145" s="17" t="n">
        <f aca="false">(B145-AVERAGE(B126:B145))/STDEV(B126:B145)</f>
        <v>1.06686948834105</v>
      </c>
    </row>
    <row r="146" customFormat="false" ht="15" hidden="false" customHeight="false" outlineLevel="0" collapsed="false">
      <c r="A146" s="17" t="s">
        <v>710</v>
      </c>
      <c r="B146" s="17" t="n">
        <v>5116.77</v>
      </c>
      <c r="C146" s="19" t="n">
        <f aca="false">B146/B145-1</f>
        <v>-0.00244866288579593</v>
      </c>
      <c r="D146" s="17" t="n">
        <f aca="false">AVERAGE(B97:B146)</f>
        <v>4947.6254</v>
      </c>
      <c r="F146" s="17" t="n">
        <f aca="false">B146*2/13+F145*11/13</f>
        <v>5098.30136811063</v>
      </c>
      <c r="G146" s="17" t="n">
        <f aca="false">B146*2/27+G145*25/27</f>
        <v>5040.96941020416</v>
      </c>
      <c r="H146" s="17" t="n">
        <f aca="false">F146-G146</f>
        <v>57.3319579064691</v>
      </c>
      <c r="I146" s="17" t="n">
        <f aca="false">H146*2/10+I145*8/10</f>
        <v>54.2520476741749</v>
      </c>
      <c r="J146" s="17" t="n">
        <f aca="false">H146-I146</f>
        <v>3.07991023229424</v>
      </c>
      <c r="K146" s="17" t="n">
        <f aca="false">MAX(B146-B145,0)</f>
        <v>0</v>
      </c>
      <c r="L146" s="17" t="n">
        <f aca="false">MAX(B145-B146,0)</f>
        <v>12.5599999999995</v>
      </c>
      <c r="M146" s="17" t="n">
        <f aca="false">(M145*13+K146)/14</f>
        <v>13.7334672363878</v>
      </c>
      <c r="N146" s="17" t="n">
        <f aca="false">(N145*13+L146)/14</f>
        <v>7.6347596544553</v>
      </c>
      <c r="O146" s="17" t="n">
        <f aca="false">IF(N146=0,100,100-100/(1+M146/N146))</f>
        <v>64.2705045511895</v>
      </c>
      <c r="P146" s="17" t="n">
        <f aca="false">AVERAGE(B127:B146)+2*STDEV(B127:B146)</f>
        <v>5194.92568628325</v>
      </c>
      <c r="Q146" s="17" t="n">
        <f aca="false">AVERAGE(B127:B146)-2*STDEV(B127:B146)</f>
        <v>4918.67131371675</v>
      </c>
      <c r="R146" s="19" t="n">
        <f aca="false">B146/B126-1</f>
        <v>0.0520497078307929</v>
      </c>
      <c r="S146" s="17" t="n">
        <f aca="false">STDEV(C127:C146)*SQRT(252)*100</f>
        <v>7.04175222772526</v>
      </c>
      <c r="T146" s="18"/>
      <c r="U146" s="18"/>
      <c r="V146" s="17" t="n">
        <f aca="false">(B146-AVERAGE(B127:B146))/STDEV(B127:B146)</f>
        <v>0.868351866330242</v>
      </c>
    </row>
    <row r="147" customFormat="false" ht="15" hidden="false" customHeight="false" outlineLevel="0" collapsed="false">
      <c r="A147" s="17" t="s">
        <v>711</v>
      </c>
      <c r="B147" s="17" t="n">
        <v>5152.69</v>
      </c>
      <c r="C147" s="19" t="n">
        <f aca="false">B147/B146-1</f>
        <v>0.00702005366666847</v>
      </c>
      <c r="D147" s="17" t="n">
        <f aca="false">AVERAGE(B98:B147)</f>
        <v>4954.1474</v>
      </c>
      <c r="F147" s="17" t="n">
        <f aca="false">B147*2/13+F146*11/13</f>
        <v>5106.66884993977</v>
      </c>
      <c r="G147" s="17" t="n">
        <f aca="false">B147*2/27+G146*25/27</f>
        <v>5049.2450094483</v>
      </c>
      <c r="H147" s="17" t="n">
        <f aca="false">F147-G147</f>
        <v>57.4238404914659</v>
      </c>
      <c r="I147" s="17" t="n">
        <f aca="false">H147*2/10+I146*8/10</f>
        <v>54.8864062376331</v>
      </c>
      <c r="J147" s="17" t="n">
        <f aca="false">H147-I147</f>
        <v>2.53743425383276</v>
      </c>
      <c r="K147" s="17" t="n">
        <f aca="false">MAX(B147-B146,0)</f>
        <v>35.9199999999992</v>
      </c>
      <c r="L147" s="17" t="n">
        <f aca="false">MAX(B146-B147,0)</f>
        <v>0</v>
      </c>
      <c r="M147" s="17" t="n">
        <f aca="false">(M146*13+K147)/14</f>
        <v>15.3182195766458</v>
      </c>
      <c r="N147" s="17" t="n">
        <f aca="false">(N146*13+L147)/14</f>
        <v>7.08941967913707</v>
      </c>
      <c r="O147" s="17" t="n">
        <f aca="false">IF(N147=0,100,100-100/(1+M147/N147))</f>
        <v>68.3615949087209</v>
      </c>
      <c r="P147" s="17" t="n">
        <f aca="false">AVERAGE(B128:B147)+2*STDEV(B128:B147)</f>
        <v>5195.14704053116</v>
      </c>
      <c r="Q147" s="17" t="n">
        <f aca="false">AVERAGE(B128:B147)-2*STDEV(B128:B147)</f>
        <v>4942.58595946884</v>
      </c>
      <c r="R147" s="19" t="n">
        <f aca="false">B147/B127-1</f>
        <v>0.0491435110245086</v>
      </c>
      <c r="S147" s="17" t="n">
        <f aca="false">STDEV(C128:C147)*SQRT(252)*100</f>
        <v>6.72269719402423</v>
      </c>
      <c r="T147" s="18"/>
      <c r="U147" s="18"/>
      <c r="V147" s="17" t="n">
        <f aca="false">(B147-AVERAGE(B128:B147))/STDEV(B128:B147)</f>
        <v>1.32757588219723</v>
      </c>
    </row>
    <row r="148" customFormat="false" ht="15" hidden="false" customHeight="false" outlineLevel="0" collapsed="false">
      <c r="A148" s="17" t="s">
        <v>712</v>
      </c>
      <c r="B148" s="17" t="n">
        <v>5147.7</v>
      </c>
      <c r="C148" s="19" t="n">
        <f aca="false">B148/B147-1</f>
        <v>-0.000968426200683492</v>
      </c>
      <c r="D148" s="17" t="n">
        <f aca="false">AVERAGE(B99:B148)</f>
        <v>4960.9406</v>
      </c>
      <c r="F148" s="17" t="n">
        <f aca="false">B148*2/13+F147*11/13</f>
        <v>5112.98133456442</v>
      </c>
      <c r="G148" s="17" t="n">
        <f aca="false">B148*2/27+G147*25/27</f>
        <v>5056.53797171139</v>
      </c>
      <c r="H148" s="17" t="n">
        <f aca="false">F148-G148</f>
        <v>56.4433628530278</v>
      </c>
      <c r="I148" s="17" t="n">
        <f aca="false">H148*2/10+I147*8/10</f>
        <v>55.197797560712</v>
      </c>
      <c r="J148" s="17" t="n">
        <f aca="false">H148-I148</f>
        <v>1.24556529231576</v>
      </c>
      <c r="K148" s="17" t="n">
        <f aca="false">MAX(B148-B147,0)</f>
        <v>0</v>
      </c>
      <c r="L148" s="17" t="n">
        <f aca="false">MAX(B147-B148,0)</f>
        <v>4.98999999999978</v>
      </c>
      <c r="M148" s="17" t="n">
        <f aca="false">(M147*13+K148)/14</f>
        <v>14.2240610354568</v>
      </c>
      <c r="N148" s="17" t="n">
        <f aca="false">(N147*13+L148)/14</f>
        <v>6.93946113062726</v>
      </c>
      <c r="O148" s="17" t="n">
        <f aca="false">IF(N148=0,100,100-100/(1+M148/N148))</f>
        <v>67.2102730529977</v>
      </c>
      <c r="P148" s="17" t="n">
        <f aca="false">AVERAGE(B129:B148)+2*STDEV(B129:B148)</f>
        <v>5194.01915450977</v>
      </c>
      <c r="Q148" s="17" t="n">
        <f aca="false">AVERAGE(B129:B148)-2*STDEV(B129:B148)</f>
        <v>4964.76284549023</v>
      </c>
      <c r="R148" s="19" t="n">
        <f aca="false">B148/B128-1</f>
        <v>0.0426333901130396</v>
      </c>
      <c r="S148" s="17" t="n">
        <f aca="false">STDEV(C129:C148)*SQRT(252)*100</f>
        <v>6.7354389747247</v>
      </c>
      <c r="T148" s="18"/>
      <c r="U148" s="18"/>
      <c r="V148" s="17" t="n">
        <f aca="false">(B148-AVERAGE(B129:B148))/STDEV(B129:B148)</f>
        <v>1.19183633884949</v>
      </c>
    </row>
    <row r="149" customFormat="false" ht="15" hidden="false" customHeight="false" outlineLevel="0" collapsed="false">
      <c r="A149" s="17" t="s">
        <v>713</v>
      </c>
      <c r="B149" s="17" t="n">
        <v>5161.6</v>
      </c>
      <c r="C149" s="19" t="n">
        <f aca="false">B149/B148-1</f>
        <v>0.00270023505643313</v>
      </c>
      <c r="D149" s="17" t="n">
        <f aca="false">AVERAGE(B100:B149)</f>
        <v>4966.9926</v>
      </c>
      <c r="F149" s="17" t="n">
        <f aca="false">B149*2/13+F148*11/13</f>
        <v>5120.46112924681</v>
      </c>
      <c r="G149" s="17" t="n">
        <f aca="false">B149*2/27+G148*25/27</f>
        <v>5064.32034417721</v>
      </c>
      <c r="H149" s="17" t="n">
        <f aca="false">F149-G149</f>
        <v>56.1407850696032</v>
      </c>
      <c r="I149" s="17" t="n">
        <f aca="false">H149*2/10+I148*8/10</f>
        <v>55.3863950624903</v>
      </c>
      <c r="J149" s="17" t="n">
        <f aca="false">H149-I149</f>
        <v>0.754390007112953</v>
      </c>
      <c r="K149" s="17" t="n">
        <f aca="false">MAX(B149-B148,0)</f>
        <v>13.9000000000005</v>
      </c>
      <c r="L149" s="17" t="n">
        <f aca="false">MAX(B148-B149,0)</f>
        <v>0</v>
      </c>
      <c r="M149" s="17" t="n">
        <f aca="false">(M148*13+K149)/14</f>
        <v>14.2009138186385</v>
      </c>
      <c r="N149" s="17" t="n">
        <f aca="false">(N148*13+L149)/14</f>
        <v>6.44378533558245</v>
      </c>
      <c r="O149" s="17" t="n">
        <f aca="false">IF(N149=0,100,100-100/(1+M149/N149))</f>
        <v>68.7872160914247</v>
      </c>
      <c r="P149" s="17" t="n">
        <f aca="false">AVERAGE(B130:B149)+2*STDEV(B130:B149)</f>
        <v>5195.98558833812</v>
      </c>
      <c r="Q149" s="17" t="n">
        <f aca="false">AVERAGE(B130:B149)-2*STDEV(B130:B149)</f>
        <v>4982.46141166188</v>
      </c>
      <c r="R149" s="19" t="n">
        <f aca="false">B149/B129-1</f>
        <v>0.0396076496238633</v>
      </c>
      <c r="S149" s="17" t="n">
        <f aca="false">STDEV(C130:C149)*SQRT(252)*100</f>
        <v>6.611659206091</v>
      </c>
      <c r="T149" s="18"/>
      <c r="U149" s="18"/>
      <c r="V149" s="17" t="n">
        <f aca="false">(B149-AVERAGE(B130:B149))/STDEV(B130:B149)</f>
        <v>1.35584646435134</v>
      </c>
    </row>
    <row r="150" customFormat="false" ht="15" hidden="false" customHeight="false" outlineLevel="0" collapsed="false">
      <c r="A150" s="17" t="s">
        <v>714</v>
      </c>
      <c r="B150" s="17" t="n">
        <v>5167.96</v>
      </c>
      <c r="C150" s="19" t="n">
        <f aca="false">B150/B149-1</f>
        <v>0.00123217606943582</v>
      </c>
      <c r="D150" s="17" t="n">
        <f aca="false">AVERAGE(B101:B150)</f>
        <v>4972.875</v>
      </c>
      <c r="F150" s="17" t="n">
        <f aca="false">B150*2/13+F149*11/13</f>
        <v>5127.76864782423</v>
      </c>
      <c r="G150" s="17" t="n">
        <f aca="false">B150*2/27+G149*25/27</f>
        <v>5071.99735571964</v>
      </c>
      <c r="H150" s="17" t="n">
        <f aca="false">F150-G150</f>
        <v>55.7712921045868</v>
      </c>
      <c r="I150" s="17" t="n">
        <f aca="false">H150*2/10+I149*8/10</f>
        <v>55.4633744709096</v>
      </c>
      <c r="J150" s="17" t="n">
        <f aca="false">H150-I150</f>
        <v>0.307917633677214</v>
      </c>
      <c r="K150" s="17" t="n">
        <f aca="false">MAX(B150-B149,0)</f>
        <v>6.35999999999967</v>
      </c>
      <c r="L150" s="17" t="n">
        <f aca="false">MAX(B149-B150,0)</f>
        <v>0</v>
      </c>
      <c r="M150" s="17" t="n">
        <f aca="false">(M149*13+K150)/14</f>
        <v>13.6408485458786</v>
      </c>
      <c r="N150" s="17" t="n">
        <f aca="false">(N149*13+L150)/14</f>
        <v>5.98351495446942</v>
      </c>
      <c r="O150" s="17" t="n">
        <f aca="false">IF(N150=0,100,100-100/(1+M150/N150))</f>
        <v>69.5097629313516</v>
      </c>
      <c r="P150" s="17" t="n">
        <f aca="false">AVERAGE(B131:B150)+2*STDEV(B131:B150)</f>
        <v>5202.19749648889</v>
      </c>
      <c r="Q150" s="17" t="n">
        <f aca="false">AVERAGE(B131:B150)-2*STDEV(B131:B150)</f>
        <v>4992.33750351111</v>
      </c>
      <c r="R150" s="19" t="n">
        <f aca="false">B150/B130-1</f>
        <v>0.0321305032074584</v>
      </c>
      <c r="S150" s="17" t="n">
        <f aca="false">STDEV(C131:C150)*SQRT(252)*100</f>
        <v>6.14596183933733</v>
      </c>
      <c r="T150" s="18"/>
      <c r="U150" s="18"/>
      <c r="V150" s="17" t="n">
        <f aca="false">(B150-AVERAGE(B131:B150))/STDEV(B131:B150)</f>
        <v>1.34742213600449</v>
      </c>
    </row>
    <row r="151" customFormat="false" ht="15" hidden="false" customHeight="false" outlineLevel="0" collapsed="false">
      <c r="A151" s="17" t="s">
        <v>715</v>
      </c>
      <c r="B151" s="17" t="n">
        <v>5185.88</v>
      </c>
      <c r="C151" s="19" t="n">
        <f aca="false">B151/B150-1</f>
        <v>0.003467519098445</v>
      </c>
      <c r="D151" s="17" t="n">
        <f aca="false">AVERAGE(B102:B151)</f>
        <v>4979.5154</v>
      </c>
      <c r="F151" s="17" t="n">
        <f aca="false">B151*2/13+F150*11/13</f>
        <v>5136.70885585127</v>
      </c>
      <c r="G151" s="17" t="n">
        <f aca="false">B151*2/27+G150*25/27</f>
        <v>5080.43310714782</v>
      </c>
      <c r="H151" s="17" t="n">
        <f aca="false">F151-G151</f>
        <v>56.2757487034551</v>
      </c>
      <c r="I151" s="17" t="n">
        <f aca="false">H151*2/10+I150*8/10</f>
        <v>55.6258493174187</v>
      </c>
      <c r="J151" s="17" t="n">
        <f aca="false">H151-I151</f>
        <v>0.649899386036395</v>
      </c>
      <c r="K151" s="17" t="n">
        <f aca="false">MAX(B151-B150,0)</f>
        <v>17.9200000000001</v>
      </c>
      <c r="L151" s="17" t="n">
        <f aca="false">MAX(B150-B151,0)</f>
        <v>0</v>
      </c>
      <c r="M151" s="17" t="n">
        <f aca="false">(M150*13+K151)/14</f>
        <v>13.946502221173</v>
      </c>
      <c r="N151" s="17" t="n">
        <f aca="false">(N150*13+L151)/14</f>
        <v>5.55612102915018</v>
      </c>
      <c r="O151" s="17" t="n">
        <f aca="false">IF(N151=0,100,100-100/(1+M151/N151))</f>
        <v>71.510904159736</v>
      </c>
      <c r="P151" s="17" t="n">
        <f aca="false">AVERAGE(B132:B151)+2*STDEV(B132:B151)</f>
        <v>5211.56183362385</v>
      </c>
      <c r="Q151" s="17" t="n">
        <f aca="false">AVERAGE(B132:B151)-2*STDEV(B132:B151)</f>
        <v>4999.07116637616</v>
      </c>
      <c r="R151" s="19" t="n">
        <f aca="false">B151/B131-1</f>
        <v>0.0320364584369839</v>
      </c>
      <c r="S151" s="17" t="n">
        <f aca="false">STDEV(C132:C151)*SQRT(252)*100</f>
        <v>6.14216020642418</v>
      </c>
      <c r="T151" s="18"/>
      <c r="U151" s="18"/>
      <c r="V151" s="17" t="n">
        <f aca="false">(B151-AVERAGE(B132:B151))/STDEV(B132:B151)</f>
        <v>1.51655601713729</v>
      </c>
    </row>
    <row r="152" customFormat="false" ht="15" hidden="false" customHeight="false" outlineLevel="0" collapsed="false">
      <c r="A152" s="17" t="s">
        <v>716</v>
      </c>
      <c r="B152" s="17" t="n">
        <v>5196.58</v>
      </c>
      <c r="C152" s="19" t="n">
        <f aca="false">B152/B151-1</f>
        <v>0.00206329494704849</v>
      </c>
      <c r="D152" s="17" t="n">
        <f aca="false">AVERAGE(B103:B152)</f>
        <v>4986.0466</v>
      </c>
      <c r="F152" s="17" t="n">
        <f aca="false">B152*2/13+F151*11/13</f>
        <v>5145.91980110492</v>
      </c>
      <c r="G152" s="17" t="n">
        <f aca="false">B152*2/27+G151*25/27</f>
        <v>5089.03658069242</v>
      </c>
      <c r="H152" s="17" t="n">
        <f aca="false">F152-G152</f>
        <v>56.8832204124992</v>
      </c>
      <c r="I152" s="17" t="n">
        <f aca="false">H152*2/10+I151*8/10</f>
        <v>55.8773235364348</v>
      </c>
      <c r="J152" s="17" t="n">
        <f aca="false">H152-I152</f>
        <v>1.00589687606443</v>
      </c>
      <c r="K152" s="17" t="n">
        <f aca="false">MAX(B152-B151,0)</f>
        <v>10.6999999999998</v>
      </c>
      <c r="L152" s="17" t="n">
        <f aca="false">MAX(B151-B152,0)</f>
        <v>0</v>
      </c>
      <c r="M152" s="17" t="n">
        <f aca="false">(M151*13+K152)/14</f>
        <v>13.7146092053749</v>
      </c>
      <c r="N152" s="17" t="n">
        <f aca="false">(N151*13+L152)/14</f>
        <v>5.15925524135374</v>
      </c>
      <c r="O152" s="17" t="n">
        <f aca="false">IF(N152=0,100,100-100/(1+M152/N152))</f>
        <v>72.664552848116</v>
      </c>
      <c r="P152" s="17" t="n">
        <f aca="false">AVERAGE(B133:B152)+2*STDEV(B133:B152)</f>
        <v>5221.69860935006</v>
      </c>
      <c r="Q152" s="17" t="n">
        <f aca="false">AVERAGE(B133:B152)-2*STDEV(B133:B152)</f>
        <v>5005.07539064994</v>
      </c>
      <c r="R152" s="19" t="n">
        <f aca="false">B152/B132-1</f>
        <v>0.0320565144771676</v>
      </c>
      <c r="S152" s="17" t="n">
        <f aca="false">STDEV(C133:C152)*SQRT(252)*100</f>
        <v>6.14235700713572</v>
      </c>
      <c r="T152" s="18"/>
      <c r="U152" s="18"/>
      <c r="V152" s="17" t="n">
        <f aca="false">(B152-AVERAGE(B133:B152))/STDEV(B133:B152)</f>
        <v>1.53617881775022</v>
      </c>
    </row>
    <row r="153" customFormat="false" ht="15" hidden="false" customHeight="false" outlineLevel="0" collapsed="false">
      <c r="A153" s="17" t="s">
        <v>717</v>
      </c>
      <c r="B153" s="17" t="n">
        <v>5212.16</v>
      </c>
      <c r="C153" s="19" t="n">
        <f aca="false">B153/B152-1</f>
        <v>0.00299812569035796</v>
      </c>
      <c r="D153" s="17" t="n">
        <f aca="false">AVERAGE(B104:B153)</f>
        <v>4993.1494</v>
      </c>
      <c r="F153" s="17" t="n">
        <f aca="false">B153*2/13+F152*11/13</f>
        <v>5156.11060093493</v>
      </c>
      <c r="G153" s="17" t="n">
        <f aca="false">B153*2/27+G152*25/27</f>
        <v>5098.15683397446</v>
      </c>
      <c r="H153" s="17" t="n">
        <f aca="false">F153-G153</f>
        <v>57.9537669604688</v>
      </c>
      <c r="I153" s="17" t="n">
        <f aca="false">H153*2/10+I152*8/10</f>
        <v>56.2926122212416</v>
      </c>
      <c r="J153" s="17" t="n">
        <f aca="false">H153-I153</f>
        <v>1.6611547392272</v>
      </c>
      <c r="K153" s="17" t="n">
        <f aca="false">MAX(B153-B152,0)</f>
        <v>15.5799999999999</v>
      </c>
      <c r="L153" s="17" t="n">
        <f aca="false">MAX(B152-B153,0)</f>
        <v>0</v>
      </c>
      <c r="M153" s="17" t="n">
        <f aca="false">(M152*13+K153)/14</f>
        <v>13.847851404991</v>
      </c>
      <c r="N153" s="17" t="n">
        <f aca="false">(N152*13+L153)/14</f>
        <v>4.79073700982847</v>
      </c>
      <c r="O153" s="17" t="n">
        <f aca="false">IF(N153=0,100,100-100/(1+M153/N153))</f>
        <v>74.2966747094464</v>
      </c>
      <c r="P153" s="17" t="n">
        <f aca="false">AVERAGE(B134:B153)+2*STDEV(B134:B153)</f>
        <v>5234.04096956552</v>
      </c>
      <c r="Q153" s="17" t="n">
        <f aca="false">AVERAGE(B134:B153)-2*STDEV(B134:B153)</f>
        <v>5008.92803043449</v>
      </c>
      <c r="R153" s="19" t="n">
        <f aca="false">B153/B133-1</f>
        <v>0.0320679734110065</v>
      </c>
      <c r="S153" s="17" t="n">
        <f aca="false">STDEV(C134:C153)*SQRT(252)*100</f>
        <v>6.14269515131424</v>
      </c>
      <c r="T153" s="18"/>
      <c r="U153" s="18"/>
      <c r="V153" s="17" t="n">
        <f aca="false">(B153-AVERAGE(B134:B153))/STDEV(B134:B153)</f>
        <v>1.61120014424796</v>
      </c>
    </row>
    <row r="154" customFormat="false" ht="15" hidden="false" customHeight="false" outlineLevel="0" collapsed="false">
      <c r="A154" s="17" t="s">
        <v>718</v>
      </c>
      <c r="B154" s="17" t="n">
        <v>5226.69</v>
      </c>
      <c r="C154" s="19" t="n">
        <f aca="false">B154/B153-1</f>
        <v>0.00278771181237714</v>
      </c>
      <c r="D154" s="17" t="n">
        <f aca="false">AVERAGE(B105:B154)</f>
        <v>5000.219</v>
      </c>
      <c r="F154" s="17" t="n">
        <f aca="false">B154*2/13+F153*11/13</f>
        <v>5166.96897002187</v>
      </c>
      <c r="G154" s="17" t="n">
        <f aca="false">B154*2/27+G153*25/27</f>
        <v>5107.67780923561</v>
      </c>
      <c r="H154" s="17" t="n">
        <f aca="false">F154-G154</f>
        <v>59.2911607862507</v>
      </c>
      <c r="I154" s="17" t="n">
        <f aca="false">H154*2/10+I153*8/10</f>
        <v>56.8923219342434</v>
      </c>
      <c r="J154" s="17" t="n">
        <f aca="false">H154-I154</f>
        <v>2.39883885200726</v>
      </c>
      <c r="K154" s="17" t="n">
        <f aca="false">MAX(B154-B153,0)</f>
        <v>14.5299999999997</v>
      </c>
      <c r="L154" s="17" t="n">
        <f aca="false">MAX(B153-B154,0)</f>
        <v>0</v>
      </c>
      <c r="M154" s="17" t="n">
        <f aca="false">(M153*13+K154)/14</f>
        <v>13.8965763046344</v>
      </c>
      <c r="N154" s="17" t="n">
        <f aca="false">(N153*13+L154)/14</f>
        <v>4.44854150912644</v>
      </c>
      <c r="O154" s="17" t="n">
        <f aca="false">IF(N154=0,100,100-100/(1+M154/N154))</f>
        <v>75.7508152616522</v>
      </c>
      <c r="P154" s="17" t="n">
        <f aca="false">AVERAGE(B135:B154)+2*STDEV(B135:B154)</f>
        <v>5246.02379543611</v>
      </c>
      <c r="Q154" s="17" t="n">
        <f aca="false">AVERAGE(B135:B154)-2*STDEV(B135:B154)</f>
        <v>5015.47120456389</v>
      </c>
      <c r="R154" s="19" t="n">
        <f aca="false">B154/B134-1</f>
        <v>0.0367475101310539</v>
      </c>
      <c r="S154" s="17" t="n">
        <f aca="false">STDEV(C135:C154)*SQRT(252)*100</f>
        <v>6.02675422851161</v>
      </c>
      <c r="T154" s="18"/>
      <c r="U154" s="18"/>
      <c r="V154" s="17" t="n">
        <f aca="false">(B154-AVERAGE(B135:B154))/STDEV(B135:B154)</f>
        <v>1.66456598274662</v>
      </c>
    </row>
    <row r="155" customFormat="false" ht="15" hidden="false" customHeight="false" outlineLevel="0" collapsed="false">
      <c r="A155" s="17" t="s">
        <v>719</v>
      </c>
      <c r="B155" s="17" t="n">
        <v>5256.82</v>
      </c>
      <c r="C155" s="19" t="n">
        <f aca="false">B155/B154-1</f>
        <v>0.00576464263233523</v>
      </c>
      <c r="D155" s="17" t="n">
        <f aca="false">AVERAGE(B106:B155)</f>
        <v>5009.1392</v>
      </c>
      <c r="F155" s="17" t="n">
        <f aca="false">B155*2/13+F154*11/13</f>
        <v>5180.79220540312</v>
      </c>
      <c r="G155" s="17" t="n">
        <f aca="false">B155*2/27+G154*25/27</f>
        <v>5118.72537892187</v>
      </c>
      <c r="H155" s="17" t="n">
        <f aca="false">F155-G155</f>
        <v>62.0668264812521</v>
      </c>
      <c r="I155" s="17" t="n">
        <f aca="false">H155*2/10+I154*8/10</f>
        <v>57.9272228436451</v>
      </c>
      <c r="J155" s="17" t="n">
        <f aca="false">H155-I155</f>
        <v>4.13960363760693</v>
      </c>
      <c r="K155" s="17" t="n">
        <f aca="false">MAX(B155-B154,0)</f>
        <v>30.1300000000001</v>
      </c>
      <c r="L155" s="17" t="n">
        <f aca="false">MAX(B154-B155,0)</f>
        <v>0</v>
      </c>
      <c r="M155" s="17" t="n">
        <f aca="false">(M154*13+K155)/14</f>
        <v>15.0561065685891</v>
      </c>
      <c r="N155" s="17" t="n">
        <f aca="false">(N154*13+L155)/14</f>
        <v>4.13078854418883</v>
      </c>
      <c r="O155" s="17" t="n">
        <f aca="false">IF(N155=0,100,100-100/(1+M155/N155))</f>
        <v>78.4707816459692</v>
      </c>
      <c r="P155" s="17" t="n">
        <f aca="false">AVERAGE(B136:B155)+2*STDEV(B136:B155)</f>
        <v>5263.72518454385</v>
      </c>
      <c r="Q155" s="17" t="n">
        <f aca="false">AVERAGE(B136:B155)-2*STDEV(B136:B155)</f>
        <v>5017.50081545615</v>
      </c>
      <c r="R155" s="19" t="n">
        <f aca="false">B155/B135-1</f>
        <v>0.0389978476176547</v>
      </c>
      <c r="S155" s="17" t="n">
        <f aca="false">STDEV(C136:C155)*SQRT(252)*100</f>
        <v>6.15990291174503</v>
      </c>
      <c r="T155" s="18"/>
      <c r="U155" s="18"/>
      <c r="V155" s="17" t="n">
        <f aca="false">(B155-AVERAGE(B136:B155))/STDEV(B136:B155)</f>
        <v>1.88782288983937</v>
      </c>
    </row>
    <row r="156" customFormat="false" ht="15" hidden="false" customHeight="false" outlineLevel="0" collapsed="false">
      <c r="A156" s="17" t="s">
        <v>720</v>
      </c>
      <c r="B156" s="17" t="n">
        <v>5271.07</v>
      </c>
      <c r="C156" s="19" t="n">
        <f aca="false">B156/B155-1</f>
        <v>0.00271076430237294</v>
      </c>
      <c r="D156" s="17" t="n">
        <f aca="false">AVERAGE(B107:B156)</f>
        <v>5019.8786</v>
      </c>
      <c r="F156" s="17" t="n">
        <f aca="false">B156*2/13+F155*11/13</f>
        <v>5194.68109687956</v>
      </c>
      <c r="G156" s="17" t="n">
        <f aca="false">B156*2/27+G155*25/27</f>
        <v>5130.01016566839</v>
      </c>
      <c r="H156" s="17" t="n">
        <f aca="false">F156-G156</f>
        <v>64.670931211168</v>
      </c>
      <c r="I156" s="17" t="n">
        <f aca="false">H156*2/10+I155*8/10</f>
        <v>59.2759645171497</v>
      </c>
      <c r="J156" s="17" t="n">
        <f aca="false">H156-I156</f>
        <v>5.39496669401825</v>
      </c>
      <c r="K156" s="17" t="n">
        <f aca="false">MAX(B156-B155,0)</f>
        <v>14.25</v>
      </c>
      <c r="L156" s="17" t="n">
        <f aca="false">MAX(B155-B156,0)</f>
        <v>0</v>
      </c>
      <c r="M156" s="17" t="n">
        <f aca="false">(M155*13+K156)/14</f>
        <v>14.9985275279756</v>
      </c>
      <c r="N156" s="17" t="n">
        <f aca="false">(N155*13+L156)/14</f>
        <v>3.83573221960392</v>
      </c>
      <c r="O156" s="17" t="n">
        <f aca="false">IF(N156=0,100,100-100/(1+M156/N156))</f>
        <v>79.6342820423465</v>
      </c>
      <c r="P156" s="17" t="n">
        <f aca="false">AVERAGE(B137:B156)+2*STDEV(B137:B156)</f>
        <v>5279.45343346635</v>
      </c>
      <c r="Q156" s="17" t="n">
        <f aca="false">AVERAGE(B137:B156)-2*STDEV(B137:B156)</f>
        <v>5024.41456653365</v>
      </c>
      <c r="R156" s="19" t="n">
        <f aca="false">B156/B136-1</f>
        <v>0.0448831930857443</v>
      </c>
      <c r="S156" s="17" t="n">
        <f aca="false">STDEV(C137:C156)*SQRT(252)*100</f>
        <v>5.88933000365414</v>
      </c>
      <c r="T156" s="18"/>
      <c r="U156" s="18"/>
      <c r="V156" s="17" t="n">
        <f aca="false">(B156-AVERAGE(B137:B156))/STDEV(B137:B156)</f>
        <v>1.86851520213879</v>
      </c>
    </row>
    <row r="157" customFormat="false" ht="15" hidden="false" customHeight="false" outlineLevel="0" collapsed="false">
      <c r="A157" s="17" t="s">
        <v>721</v>
      </c>
      <c r="B157" s="17" t="n">
        <v>5302.39</v>
      </c>
      <c r="C157" s="19" t="n">
        <f aca="false">B157/B156-1</f>
        <v>0.00594186759045146</v>
      </c>
      <c r="D157" s="17" t="n">
        <f aca="false">AVERAGE(B108:B157)</f>
        <v>5031.139</v>
      </c>
      <c r="F157" s="17" t="n">
        <f aca="false">B157*2/13+F156*11/13</f>
        <v>5211.25169735963</v>
      </c>
      <c r="G157" s="17" t="n">
        <f aca="false">B157*2/27+G156*25/27</f>
        <v>5142.77904228555</v>
      </c>
      <c r="H157" s="17" t="n">
        <f aca="false">F157-G157</f>
        <v>68.4726550740788</v>
      </c>
      <c r="I157" s="17" t="n">
        <f aca="false">H157*2/10+I156*8/10</f>
        <v>61.1153026285355</v>
      </c>
      <c r="J157" s="17" t="n">
        <f aca="false">H157-I157</f>
        <v>7.3573524455433</v>
      </c>
      <c r="K157" s="17" t="n">
        <f aca="false">MAX(B157-B156,0)</f>
        <v>31.3200000000006</v>
      </c>
      <c r="L157" s="17" t="n">
        <f aca="false">MAX(B156-B157,0)</f>
        <v>0</v>
      </c>
      <c r="M157" s="17" t="n">
        <f aca="false">(M156*13+K157)/14</f>
        <v>16.1643469902631</v>
      </c>
      <c r="N157" s="17" t="n">
        <f aca="false">(N156*13+L157)/14</f>
        <v>3.56175134677506</v>
      </c>
      <c r="O157" s="17" t="n">
        <f aca="false">IF(N157=0,100,100-100/(1+M157/N157))</f>
        <v>81.9439643566643</v>
      </c>
      <c r="P157" s="17" t="n">
        <f aca="false">AVERAGE(B138:B157)+2*STDEV(B138:B157)</f>
        <v>5300.06775309153</v>
      </c>
      <c r="Q157" s="17" t="n">
        <f aca="false">AVERAGE(B138:B157)-2*STDEV(B138:B157)</f>
        <v>5028.45424690847</v>
      </c>
      <c r="R157" s="19" t="n">
        <f aca="false">B157/B137-1</f>
        <v>0.0487633137850214</v>
      </c>
      <c r="S157" s="17" t="n">
        <f aca="false">STDEV(C138:C157)*SQRT(252)*100</f>
        <v>6.03698668995956</v>
      </c>
      <c r="T157" s="18"/>
      <c r="U157" s="18"/>
      <c r="V157" s="17" t="n">
        <f aca="false">(B157-AVERAGE(B138:B157))/STDEV(B138:B157)</f>
        <v>2.03419928472787</v>
      </c>
    </row>
    <row r="158" customFormat="false" ht="15" hidden="false" customHeight="false" outlineLevel="0" collapsed="false">
      <c r="A158" s="17" t="s">
        <v>722</v>
      </c>
      <c r="B158" s="17" t="n">
        <v>5300.64</v>
      </c>
      <c r="C158" s="19" t="n">
        <f aca="false">B158/B157-1</f>
        <v>-0.0003300398499545</v>
      </c>
      <c r="D158" s="17" t="n">
        <f aca="false">AVERAGE(B109:B158)</f>
        <v>5041.589</v>
      </c>
      <c r="F158" s="17" t="n">
        <f aca="false">B158*2/13+F157*11/13</f>
        <v>5225.00374391969</v>
      </c>
      <c r="G158" s="17" t="n">
        <f aca="false">B158*2/27+G157*25/27</f>
        <v>5154.47244656069</v>
      </c>
      <c r="H158" s="17" t="n">
        <f aca="false">F158-G158</f>
        <v>70.5312973589907</v>
      </c>
      <c r="I158" s="17" t="n">
        <f aca="false">H158*2/10+I157*8/10</f>
        <v>62.9985015746266</v>
      </c>
      <c r="J158" s="17" t="n">
        <f aca="false">H158-I158</f>
        <v>7.53279578436417</v>
      </c>
      <c r="K158" s="17" t="n">
        <f aca="false">MAX(B158-B157,0)</f>
        <v>0</v>
      </c>
      <c r="L158" s="17" t="n">
        <f aca="false">MAX(B157-B158,0)</f>
        <v>1.75</v>
      </c>
      <c r="M158" s="17" t="n">
        <f aca="false">(M157*13+K158)/14</f>
        <v>15.0097507766729</v>
      </c>
      <c r="N158" s="17" t="n">
        <f aca="false">(N157*13+L158)/14</f>
        <v>3.43234053629113</v>
      </c>
      <c r="O158" s="17" t="n">
        <f aca="false">IF(N158=0,100,100-100/(1+M158/N158))</f>
        <v>81.3885503653355</v>
      </c>
      <c r="P158" s="17" t="n">
        <f aca="false">AVERAGE(B139:B158)+2*STDEV(B139:B158)</f>
        <v>5314.61652103706</v>
      </c>
      <c r="Q158" s="17" t="n">
        <f aca="false">AVERAGE(B139:B158)-2*STDEV(B139:B158)</f>
        <v>5038.85247896295</v>
      </c>
      <c r="R158" s="19" t="n">
        <f aca="false">B158/B138-1</f>
        <v>0.0493885575025193</v>
      </c>
      <c r="S158" s="17" t="n">
        <f aca="false">STDEV(C139:C158)*SQRT(252)*100</f>
        <v>5.99716620770118</v>
      </c>
      <c r="T158" s="18"/>
      <c r="U158" s="18"/>
      <c r="V158" s="17" t="n">
        <f aca="false">(B158-AVERAGE(B139:B158))/STDEV(B139:B158)</f>
        <v>1.79726840480094</v>
      </c>
    </row>
    <row r="159" customFormat="false" ht="15" hidden="false" customHeight="false" outlineLevel="0" collapsed="false">
      <c r="A159" s="17" t="s">
        <v>723</v>
      </c>
      <c r="B159" s="17" t="n">
        <v>5324.72</v>
      </c>
      <c r="C159" s="19" t="n">
        <f aca="false">B159/B158-1</f>
        <v>0.004542847656132</v>
      </c>
      <c r="D159" s="17" t="n">
        <f aca="false">AVERAGE(B110:B159)</f>
        <v>5052.31</v>
      </c>
      <c r="F159" s="17" t="n">
        <f aca="false">B159*2/13+F158*11/13</f>
        <v>5240.34470639358</v>
      </c>
      <c r="G159" s="17" t="n">
        <f aca="false">B159*2/27+G158*25/27</f>
        <v>5167.08337644509</v>
      </c>
      <c r="H159" s="17" t="n">
        <f aca="false">F159-G159</f>
        <v>73.2613299484929</v>
      </c>
      <c r="I159" s="17" t="n">
        <f aca="false">H159*2/10+I158*8/10</f>
        <v>65.0510672493998</v>
      </c>
      <c r="J159" s="17" t="n">
        <f aca="false">H159-I159</f>
        <v>8.21026269909302</v>
      </c>
      <c r="K159" s="17" t="n">
        <f aca="false">MAX(B159-B158,0)</f>
        <v>24.0799999999999</v>
      </c>
      <c r="L159" s="17" t="n">
        <f aca="false">MAX(B158-B159,0)</f>
        <v>0</v>
      </c>
      <c r="M159" s="17" t="n">
        <f aca="false">(M158*13+K159)/14</f>
        <v>15.6576257211963</v>
      </c>
      <c r="N159" s="17" t="n">
        <f aca="false">(N158*13+L159)/14</f>
        <v>3.18717335512748</v>
      </c>
      <c r="O159" s="17" t="n">
        <f aca="false">IF(N159=0,100,100-100/(1+M159/N159))</f>
        <v>83.0872521260692</v>
      </c>
      <c r="P159" s="17" t="n">
        <f aca="false">AVERAGE(B140:B159)+2*STDEV(B140:B159)</f>
        <v>5331.89600849845</v>
      </c>
      <c r="Q159" s="17" t="n">
        <f aca="false">AVERAGE(B140:B159)-2*STDEV(B140:B159)</f>
        <v>5047.72499150155</v>
      </c>
      <c r="R159" s="19" t="n">
        <f aca="false">B159/B139-1</f>
        <v>0.051651129720335</v>
      </c>
      <c r="S159" s="17" t="n">
        <f aca="false">STDEV(C140:C159)*SQRT(252)*100</f>
        <v>6.04421197830792</v>
      </c>
      <c r="T159" s="18"/>
      <c r="U159" s="18"/>
      <c r="V159" s="17" t="n">
        <f aca="false">(B159-AVERAGE(B140:B159))/STDEV(B140:B159)</f>
        <v>1.89899028304454</v>
      </c>
    </row>
    <row r="160" customFormat="false" ht="15" hidden="false" customHeight="false" outlineLevel="0" collapsed="false">
      <c r="A160" s="17" t="s">
        <v>724</v>
      </c>
      <c r="B160" s="17" t="n">
        <v>5350.73</v>
      </c>
      <c r="C160" s="19" t="n">
        <f aca="false">B160/B159-1</f>
        <v>0.00488476389368819</v>
      </c>
      <c r="D160" s="17" t="n">
        <f aca="false">AVERAGE(B111:B160)</f>
        <v>5062.2858</v>
      </c>
      <c r="F160" s="17" t="n">
        <f aca="false">B160*2/13+F159*11/13</f>
        <v>5257.32705925611</v>
      </c>
      <c r="G160" s="17" t="n">
        <f aca="false">B160*2/27+G159*25/27</f>
        <v>5180.68683004175</v>
      </c>
      <c r="H160" s="17" t="n">
        <f aca="false">F160-G160</f>
        <v>76.6402292143594</v>
      </c>
      <c r="I160" s="17" t="n">
        <f aca="false">H160*2/10+I159*8/10</f>
        <v>67.3688996423917</v>
      </c>
      <c r="J160" s="17" t="n">
        <f aca="false">H160-I160</f>
        <v>9.27132957196761</v>
      </c>
      <c r="K160" s="17" t="n">
        <f aca="false">MAX(B160-B159,0)</f>
        <v>26.0099999999993</v>
      </c>
      <c r="L160" s="17" t="n">
        <f aca="false">MAX(B159-B160,0)</f>
        <v>0</v>
      </c>
      <c r="M160" s="17" t="n">
        <f aca="false">(M159*13+K160)/14</f>
        <v>16.397081026825</v>
      </c>
      <c r="N160" s="17" t="n">
        <f aca="false">(N159*13+L160)/14</f>
        <v>2.95951811547552</v>
      </c>
      <c r="O160" s="17" t="n">
        <f aca="false">IF(N160=0,100,100-100/(1+M160/N160))</f>
        <v>84.7105470660495</v>
      </c>
      <c r="P160" s="17" t="n">
        <f aca="false">AVERAGE(B141:B160)+2*STDEV(B141:B160)</f>
        <v>5350.83353740996</v>
      </c>
      <c r="Q160" s="17" t="n">
        <f aca="false">AVERAGE(B141:B160)-2*STDEV(B141:B160)</f>
        <v>5057.29046259004</v>
      </c>
      <c r="R160" s="19" t="n">
        <f aca="false">B160/B140-1</f>
        <v>0.056266656138342</v>
      </c>
      <c r="S160" s="17" t="n">
        <f aca="false">STDEV(C141:C160)*SQRT(252)*100</f>
        <v>6.04915905544772</v>
      </c>
      <c r="T160" s="18"/>
      <c r="U160" s="18"/>
      <c r="V160" s="17" t="n">
        <f aca="false">(B160-AVERAGE(B141:B160))/STDEV(B141:B160)</f>
        <v>1.99858913503544</v>
      </c>
    </row>
    <row r="161" customFormat="false" ht="15" hidden="false" customHeight="false" outlineLevel="0" collapsed="false">
      <c r="A161" s="17" t="s">
        <v>725</v>
      </c>
      <c r="B161" s="17" t="n">
        <v>5352.13</v>
      </c>
      <c r="C161" s="19" t="n">
        <f aca="false">B161/B160-1</f>
        <v>0.000261646541686922</v>
      </c>
      <c r="D161" s="17" t="n">
        <f aca="false">AVERAGE(B112:B161)</f>
        <v>5072.1446</v>
      </c>
      <c r="F161" s="17" t="n">
        <f aca="false">B161*2/13+F160*11/13</f>
        <v>5271.91212706286</v>
      </c>
      <c r="G161" s="17" t="n">
        <f aca="false">B161*2/27+G160*25/27</f>
        <v>5193.38632411273</v>
      </c>
      <c r="H161" s="17" t="n">
        <f aca="false">F161-G161</f>
        <v>78.525802950131</v>
      </c>
      <c r="I161" s="17" t="n">
        <f aca="false">H161*2/10+I160*8/10</f>
        <v>69.6002803039396</v>
      </c>
      <c r="J161" s="17" t="n">
        <f aca="false">H161-I161</f>
        <v>8.92552264619144</v>
      </c>
      <c r="K161" s="17" t="n">
        <f aca="false">MAX(B161-B160,0)</f>
        <v>1.40000000000055</v>
      </c>
      <c r="L161" s="17" t="n">
        <f aca="false">MAX(B160-B161,0)</f>
        <v>0</v>
      </c>
      <c r="M161" s="17" t="n">
        <f aca="false">(M160*13+K161)/14</f>
        <v>15.3258609534804</v>
      </c>
      <c r="N161" s="17" t="n">
        <f aca="false">(N160*13+L161)/14</f>
        <v>2.74812396437012</v>
      </c>
      <c r="O161" s="17" t="n">
        <f aca="false">IF(N161=0,100,100-100/(1+M161/N161))</f>
        <v>84.7951407680109</v>
      </c>
      <c r="P161" s="17" t="n">
        <f aca="false">AVERAGE(B142:B161)+2*STDEV(B142:B161)</f>
        <v>5369.12908061704</v>
      </c>
      <c r="Q161" s="17" t="n">
        <f aca="false">AVERAGE(B142:B161)-2*STDEV(B142:B161)</f>
        <v>5064.10191938296</v>
      </c>
      <c r="R161" s="19" t="n">
        <f aca="false">B161/B141-1</f>
        <v>0.0492191818955274</v>
      </c>
      <c r="S161" s="17" t="n">
        <f aca="false">STDEV(C142:C161)*SQRT(252)*100</f>
        <v>5.89377582100717</v>
      </c>
      <c r="T161" s="18"/>
      <c r="U161" s="18"/>
      <c r="V161" s="17" t="n">
        <f aca="false">(B161-AVERAGE(B142:B161))/STDEV(B142:B161)</f>
        <v>1.7770810894575</v>
      </c>
    </row>
    <row r="162" customFormat="false" ht="15" hidden="false" customHeight="false" outlineLevel="0" collapsed="false">
      <c r="A162" s="17" t="s">
        <v>726</v>
      </c>
      <c r="B162" s="17" t="n">
        <v>5332.37</v>
      </c>
      <c r="C162" s="19" t="n">
        <f aca="false">B162/B161-1</f>
        <v>-0.00369198804961768</v>
      </c>
      <c r="D162" s="17" t="n">
        <f aca="false">AVERAGE(B113:B162)</f>
        <v>5080.874</v>
      </c>
      <c r="F162" s="17" t="n">
        <f aca="false">B162*2/13+F161*11/13</f>
        <v>5281.21333828396</v>
      </c>
      <c r="G162" s="17" t="n">
        <f aca="false">B162*2/27+G161*25/27</f>
        <v>5203.68141121549</v>
      </c>
      <c r="H162" s="17" t="n">
        <f aca="false">F162-G162</f>
        <v>77.5319270684695</v>
      </c>
      <c r="I162" s="17" t="n">
        <f aca="false">H162*2/10+I161*8/10</f>
        <v>71.1866096568456</v>
      </c>
      <c r="J162" s="17" t="n">
        <f aca="false">H162-I162</f>
        <v>6.34531741162391</v>
      </c>
      <c r="K162" s="17" t="n">
        <f aca="false">MAX(B162-B161,0)</f>
        <v>0</v>
      </c>
      <c r="L162" s="17" t="n">
        <f aca="false">MAX(B161-B162,0)</f>
        <v>19.7600000000002</v>
      </c>
      <c r="M162" s="17" t="n">
        <f aca="false">(M161*13+K162)/14</f>
        <v>14.2311565996604</v>
      </c>
      <c r="N162" s="17" t="n">
        <f aca="false">(N161*13+L162)/14</f>
        <v>3.96325796691513</v>
      </c>
      <c r="O162" s="17" t="n">
        <f aca="false">IF(N162=0,100,100-100/(1+M162/N162))</f>
        <v>78.2171723502666</v>
      </c>
      <c r="P162" s="17" t="n">
        <f aca="false">AVERAGE(B143:B162)+2*STDEV(B143:B162)</f>
        <v>5383.27815256134</v>
      </c>
      <c r="Q162" s="17" t="n">
        <f aca="false">AVERAGE(B143:B162)-2*STDEV(B143:B162)</f>
        <v>5068.04284743866</v>
      </c>
      <c r="R162" s="19" t="n">
        <f aca="false">B162/B142-1</f>
        <v>0.0351161901360193</v>
      </c>
      <c r="S162" s="17" t="n">
        <f aca="false">STDEV(C143:C162)*SQRT(252)*100</f>
        <v>5.57260494951013</v>
      </c>
      <c r="T162" s="18"/>
      <c r="U162" s="18"/>
      <c r="V162" s="17" t="n">
        <f aca="false">(B162-AVERAGE(B143:B162))/STDEV(B143:B162)</f>
        <v>1.35402980904657</v>
      </c>
    </row>
    <row r="163" customFormat="false" ht="15" hidden="false" customHeight="false" outlineLevel="0" collapsed="false">
      <c r="A163" s="17" t="s">
        <v>727</v>
      </c>
      <c r="B163" s="17" t="n">
        <v>5343.31</v>
      </c>
      <c r="C163" s="19" t="n">
        <f aca="false">B163/B162-1</f>
        <v>0.00205162057396624</v>
      </c>
      <c r="D163" s="17" t="n">
        <f aca="false">AVERAGE(B114:B163)</f>
        <v>5090.2542</v>
      </c>
      <c r="F163" s="17" t="n">
        <f aca="false">B163*2/13+F162*11/13</f>
        <v>5290.76667085566</v>
      </c>
      <c r="G163" s="17" t="n">
        <f aca="false">B163*2/27+G162*25/27</f>
        <v>5214.02426964397</v>
      </c>
      <c r="H163" s="17" t="n">
        <f aca="false">F163-G163</f>
        <v>76.7424012116862</v>
      </c>
      <c r="I163" s="17" t="n">
        <f aca="false">H163*2/10+I162*8/10</f>
        <v>72.2977679678137</v>
      </c>
      <c r="J163" s="17" t="n">
        <f aca="false">H163-I163</f>
        <v>4.44463324387252</v>
      </c>
      <c r="K163" s="17" t="n">
        <f aca="false">MAX(B163-B162,0)</f>
        <v>10.9400000000005</v>
      </c>
      <c r="L163" s="17" t="n">
        <f aca="false">MAX(B162-B163,0)</f>
        <v>0</v>
      </c>
      <c r="M163" s="17" t="n">
        <f aca="false">(M162*13+K163)/14</f>
        <v>13.996073985399</v>
      </c>
      <c r="N163" s="17" t="n">
        <f aca="false">(N162*13+L163)/14</f>
        <v>3.68016811213548</v>
      </c>
      <c r="O163" s="17" t="n">
        <f aca="false">IF(N163=0,100,100-100/(1+M163/N163))</f>
        <v>79.1801442194051</v>
      </c>
      <c r="P163" s="17" t="n">
        <f aca="false">AVERAGE(B144:B163)+2*STDEV(B144:B163)</f>
        <v>5397.45097088079</v>
      </c>
      <c r="Q163" s="17" t="n">
        <f aca="false">AVERAGE(B144:B163)-2*STDEV(B144:B163)</f>
        <v>5072.50902911921</v>
      </c>
      <c r="R163" s="19" t="n">
        <f aca="false">B163/B143-1</f>
        <v>0.0361436671501594</v>
      </c>
      <c r="S163" s="17" t="n">
        <f aca="false">STDEV(C144:C163)*SQRT(252)*100</f>
        <v>5.5677999162186</v>
      </c>
      <c r="T163" s="18"/>
      <c r="U163" s="18"/>
      <c r="V163" s="17" t="n">
        <f aca="false">(B163-AVERAGE(B144:B163))/STDEV(B144:B163)</f>
        <v>1.33353053056454</v>
      </c>
    </row>
    <row r="164" customFormat="false" ht="15" hidden="false" customHeight="false" outlineLevel="0" collapsed="false">
      <c r="A164" s="17" t="s">
        <v>728</v>
      </c>
      <c r="B164" s="17" t="n">
        <v>5347.55</v>
      </c>
      <c r="C164" s="19" t="n">
        <f aca="false">B164/B163-1</f>
        <v>0.000793515629824881</v>
      </c>
      <c r="D164" s="17" t="n">
        <f aca="false">AVERAGE(B115:B164)</f>
        <v>5098.4884</v>
      </c>
      <c r="F164" s="17" t="n">
        <f aca="false">B164*2/13+F163*11/13</f>
        <v>5299.50256764709</v>
      </c>
      <c r="G164" s="17" t="n">
        <f aca="false">B164*2/27+G163*25/27</f>
        <v>5223.91506448516</v>
      </c>
      <c r="H164" s="17" t="n">
        <f aca="false">F164-G164</f>
        <v>75.5875031619362</v>
      </c>
      <c r="I164" s="17" t="n">
        <f aca="false">H164*2/10+I163*8/10</f>
        <v>72.9557150066382</v>
      </c>
      <c r="J164" s="17" t="n">
        <f aca="false">H164-I164</f>
        <v>2.63178815529798</v>
      </c>
      <c r="K164" s="17" t="n">
        <f aca="false">MAX(B164-B163,0)</f>
        <v>4.23999999999978</v>
      </c>
      <c r="L164" s="17" t="n">
        <f aca="false">MAX(B163-B164,0)</f>
        <v>0</v>
      </c>
      <c r="M164" s="17" t="n">
        <f aca="false">(M163*13+K164)/14</f>
        <v>13.2992115578705</v>
      </c>
      <c r="N164" s="17" t="n">
        <f aca="false">(N163*13+L164)/14</f>
        <v>3.41729896126866</v>
      </c>
      <c r="O164" s="17" t="n">
        <f aca="false">IF(N164=0,100,100-100/(1+M164/N164))</f>
        <v>79.5573426801239</v>
      </c>
      <c r="P164" s="17" t="n">
        <f aca="false">AVERAGE(B145:B164)+2*STDEV(B145:B164)</f>
        <v>5410.6358937111</v>
      </c>
      <c r="Q164" s="17" t="n">
        <f aca="false">AVERAGE(B145:B164)-2*STDEV(B145:B164)</f>
        <v>5077.2731062889</v>
      </c>
      <c r="R164" s="19" t="n">
        <f aca="false">B164/B144-1</f>
        <v>0.0347306339322686</v>
      </c>
      <c r="S164" s="17" t="n">
        <f aca="false">STDEV(C145:C164)*SQRT(252)*100</f>
        <v>5.57663792650848</v>
      </c>
      <c r="T164" s="18"/>
      <c r="U164" s="18"/>
      <c r="V164" s="17" t="n">
        <f aca="false">(B164-AVERAGE(B145:B164))/STDEV(B145:B164)</f>
        <v>1.24303616250724</v>
      </c>
    </row>
    <row r="165" customFormat="false" ht="15" hidden="false" customHeight="false" outlineLevel="0" collapsed="false">
      <c r="A165" s="17" t="s">
        <v>729</v>
      </c>
      <c r="B165" s="17" t="n">
        <v>5330.31</v>
      </c>
      <c r="C165" s="19" t="n">
        <f aca="false">B165/B164-1</f>
        <v>-0.00322390627483615</v>
      </c>
      <c r="D165" s="17" t="n">
        <f aca="false">AVERAGE(B116:B165)</f>
        <v>5106.6702</v>
      </c>
      <c r="F165" s="17" t="n">
        <f aca="false">B165*2/13+F164*11/13</f>
        <v>5304.24217262446</v>
      </c>
      <c r="G165" s="17" t="n">
        <f aca="false">B165*2/27+G164*25/27</f>
        <v>5231.79617081959</v>
      </c>
      <c r="H165" s="17" t="n">
        <f aca="false">F165-G165</f>
        <v>72.4460018048731</v>
      </c>
      <c r="I165" s="17" t="n">
        <f aca="false">H165*2/10+I164*8/10</f>
        <v>72.8537723662852</v>
      </c>
      <c r="J165" s="17" t="n">
        <f aca="false">H165-I165</f>
        <v>-0.407770561412121</v>
      </c>
      <c r="K165" s="17" t="n">
        <f aca="false">MAX(B165-B164,0)</f>
        <v>0</v>
      </c>
      <c r="L165" s="17" t="n">
        <f aca="false">MAX(B164-B165,0)</f>
        <v>17.2399999999998</v>
      </c>
      <c r="M165" s="17" t="n">
        <f aca="false">(M164*13+K165)/14</f>
        <v>12.3492678751654</v>
      </c>
      <c r="N165" s="17" t="n">
        <f aca="false">(N164*13+L165)/14</f>
        <v>4.40463474974945</v>
      </c>
      <c r="O165" s="17" t="n">
        <f aca="false">IF(N165=0,100,100-100/(1+M165/N165))</f>
        <v>73.7097985564314</v>
      </c>
      <c r="P165" s="17" t="n">
        <f aca="false">AVERAGE(B146:B165)+2*STDEV(B146:B165)</f>
        <v>5415.74833585997</v>
      </c>
      <c r="Q165" s="17" t="n">
        <f aca="false">AVERAGE(B146:B165)-2*STDEV(B146:B165)</f>
        <v>5092.25866414003</v>
      </c>
      <c r="R165" s="19" t="n">
        <f aca="false">B165/B145-1</f>
        <v>0.0391825053174588</v>
      </c>
      <c r="S165" s="17" t="n">
        <f aca="false">STDEV(C146:C165)*SQRT(252)*100</f>
        <v>4.79225942660131</v>
      </c>
      <c r="T165" s="18"/>
      <c r="U165" s="18"/>
      <c r="V165" s="17" t="n">
        <f aca="false">(B165-AVERAGE(B146:B165))/STDEV(B146:B165)</f>
        <v>0.943541716114659</v>
      </c>
    </row>
    <row r="166" customFormat="false" ht="15" hidden="false" customHeight="false" outlineLevel="0" collapsed="false">
      <c r="A166" s="17" t="s">
        <v>730</v>
      </c>
      <c r="B166" s="17" t="n">
        <v>5390.99</v>
      </c>
      <c r="C166" s="19" t="n">
        <f aca="false">B166/B165-1</f>
        <v>0.0113839532785147</v>
      </c>
      <c r="D166" s="17" t="n">
        <f aca="false">AVERAGE(B117:B166)</f>
        <v>5115.8218</v>
      </c>
      <c r="F166" s="17" t="n">
        <f aca="false">B166*2/13+F165*11/13</f>
        <v>5317.5879922207</v>
      </c>
      <c r="G166" s="17" t="n">
        <f aca="false">B166*2/27+G165*25/27</f>
        <v>5243.58830631444</v>
      </c>
      <c r="H166" s="17" t="n">
        <f aca="false">F166-G166</f>
        <v>73.999685906264</v>
      </c>
      <c r="I166" s="17" t="n">
        <f aca="false">H166*2/10+I165*8/10</f>
        <v>73.0829550742809</v>
      </c>
      <c r="J166" s="17" t="n">
        <f aca="false">H166-I166</f>
        <v>0.916730831983017</v>
      </c>
      <c r="K166" s="17" t="n">
        <f aca="false">MAX(B166-B165,0)</f>
        <v>60.6799999999994</v>
      </c>
      <c r="L166" s="17" t="n">
        <f aca="false">MAX(B165-B166,0)</f>
        <v>0</v>
      </c>
      <c r="M166" s="17" t="n">
        <f aca="false">(M165*13+K166)/14</f>
        <v>15.8014630269393</v>
      </c>
      <c r="N166" s="17" t="n">
        <f aca="false">(N165*13+L166)/14</f>
        <v>4.09001798191021</v>
      </c>
      <c r="O166" s="17" t="n">
        <f aca="false">IF(N166=0,100,100-100/(1+M166/N166))</f>
        <v>79.4383435798943</v>
      </c>
      <c r="P166" s="17" t="n">
        <f aca="false">AVERAGE(B147:B166)+2*STDEV(B147:B166)</f>
        <v>5426.94888460663</v>
      </c>
      <c r="Q166" s="17" t="n">
        <f aca="false">AVERAGE(B147:B166)-2*STDEV(B147:B166)</f>
        <v>5108.48011539337</v>
      </c>
      <c r="R166" s="19" t="n">
        <f aca="false">B166/B146-1</f>
        <v>0.0535924030198738</v>
      </c>
      <c r="S166" s="17" t="n">
        <f aca="false">STDEV(C147:C166)*SQRT(252)*100</f>
        <v>5.56919602477088</v>
      </c>
      <c r="T166" s="18"/>
      <c r="U166" s="18"/>
      <c r="V166" s="17" t="n">
        <f aca="false">(B166-AVERAGE(B147:B166))/STDEV(B147:B166)</f>
        <v>1.54835276695465</v>
      </c>
    </row>
    <row r="167" customFormat="false" ht="15" hidden="false" customHeight="false" outlineLevel="0" collapsed="false">
      <c r="A167" s="17" t="s">
        <v>731</v>
      </c>
      <c r="B167" s="17" t="n">
        <v>5363.26</v>
      </c>
      <c r="C167" s="19" t="n">
        <f aca="false">B167/B166-1</f>
        <v>-0.00514376765677538</v>
      </c>
      <c r="D167" s="17" t="n">
        <f aca="false">AVERAGE(B118:B167)</f>
        <v>5124.7898</v>
      </c>
      <c r="F167" s="17" t="n">
        <f aca="false">B167*2/13+F166*11/13</f>
        <v>5324.61445495598</v>
      </c>
      <c r="G167" s="17" t="n">
        <f aca="false">B167*2/27+G166*25/27</f>
        <v>5252.45287621707</v>
      </c>
      <c r="H167" s="17" t="n">
        <f aca="false">F167-G167</f>
        <v>72.1615787389055</v>
      </c>
      <c r="I167" s="17" t="n">
        <f aca="false">H167*2/10+I166*8/10</f>
        <v>72.8986798072059</v>
      </c>
      <c r="J167" s="17" t="n">
        <f aca="false">H167-I167</f>
        <v>-0.737101068300333</v>
      </c>
      <c r="K167" s="17" t="n">
        <f aca="false">MAX(B167-B166,0)</f>
        <v>0</v>
      </c>
      <c r="L167" s="17" t="n">
        <f aca="false">MAX(B166-B167,0)</f>
        <v>27.7299999999996</v>
      </c>
      <c r="M167" s="17" t="n">
        <f aca="false">(M166*13+K167)/14</f>
        <v>14.6727870964436</v>
      </c>
      <c r="N167" s="17" t="n">
        <f aca="false">(N166*13+L167)/14</f>
        <v>5.77858812605945</v>
      </c>
      <c r="O167" s="17" t="n">
        <f aca="false">IF(N167=0,100,100-100/(1+M167/N167))</f>
        <v>71.7447454599476</v>
      </c>
      <c r="P167" s="17" t="n">
        <f aca="false">AVERAGE(B148:B167)+2*STDEV(B148:B167)</f>
        <v>5433.24409990781</v>
      </c>
      <c r="Q167" s="17" t="n">
        <f aca="false">AVERAGE(B148:B167)-2*STDEV(B148:B167)</f>
        <v>5123.24190009219</v>
      </c>
      <c r="R167" s="19" t="n">
        <f aca="false">B167/B147-1</f>
        <v>0.0408660330817496</v>
      </c>
      <c r="S167" s="17" t="n">
        <f aca="false">STDEV(C148:C167)*SQRT(252)*100</f>
        <v>5.95482123974045</v>
      </c>
      <c r="T167" s="18"/>
      <c r="U167" s="18"/>
      <c r="V167" s="17" t="n">
        <f aca="false">(B167-AVERAGE(B148:B167))/STDEV(B148:B167)</f>
        <v>1.09698576397928</v>
      </c>
    </row>
    <row r="168" customFormat="false" ht="15" hidden="false" customHeight="false" outlineLevel="0" collapsed="false">
      <c r="A168" s="17" t="s">
        <v>732</v>
      </c>
      <c r="B168" s="17" t="n">
        <v>5373.48</v>
      </c>
      <c r="C168" s="19" t="n">
        <f aca="false">B168/B167-1</f>
        <v>0.00190555744081022</v>
      </c>
      <c r="D168" s="17" t="n">
        <f aca="false">AVERAGE(B119:B168)</f>
        <v>5133.5624</v>
      </c>
      <c r="F168" s="17" t="n">
        <f aca="false">B168*2/13+F167*11/13</f>
        <v>5332.1322311166</v>
      </c>
      <c r="G168" s="17" t="n">
        <f aca="false">B168*2/27+G167*25/27</f>
        <v>5261.41784834914</v>
      </c>
      <c r="H168" s="17" t="n">
        <f aca="false">F168-G168</f>
        <v>70.7143827674554</v>
      </c>
      <c r="I168" s="17" t="n">
        <f aca="false">H168*2/10+I167*8/10</f>
        <v>72.4618203992558</v>
      </c>
      <c r="J168" s="17" t="n">
        <f aca="false">H168-I168</f>
        <v>-1.74743763180037</v>
      </c>
      <c r="K168" s="17" t="n">
        <f aca="false">MAX(B168-B167,0)</f>
        <v>10.2199999999993</v>
      </c>
      <c r="L168" s="17" t="n">
        <f aca="false">MAX(B167-B168,0)</f>
        <v>0</v>
      </c>
      <c r="M168" s="17" t="n">
        <f aca="false">(M167*13+K168)/14</f>
        <v>14.354730875269</v>
      </c>
      <c r="N168" s="17" t="n">
        <f aca="false">(N167*13+L168)/14</f>
        <v>5.36583183134091</v>
      </c>
      <c r="O168" s="17" t="n">
        <f aca="false">IF(N168=0,100,100-100/(1+M168/N168))</f>
        <v>72.7906758485021</v>
      </c>
      <c r="P168" s="17" t="n">
        <f aca="false">AVERAGE(B149:B168)+2*STDEV(B149:B168)</f>
        <v>5437.21598018814</v>
      </c>
      <c r="Q168" s="17" t="n">
        <f aca="false">AVERAGE(B149:B168)-2*STDEV(B149:B168)</f>
        <v>5141.84801981186</v>
      </c>
      <c r="R168" s="19" t="n">
        <f aca="false">B168/B148-1</f>
        <v>0.0438603648231248</v>
      </c>
      <c r="S168" s="17" t="n">
        <f aca="false">STDEV(C149:C168)*SQRT(252)*100</f>
        <v>5.85055359329718</v>
      </c>
      <c r="T168" s="18"/>
      <c r="U168" s="18"/>
      <c r="V168" s="17" t="n">
        <f aca="false">(B168-AVERAGE(B149:B168))/STDEV(B149:B168)</f>
        <v>1.13685993420621</v>
      </c>
    </row>
    <row r="169" customFormat="false" ht="15" hidden="false" customHeight="false" outlineLevel="0" collapsed="false">
      <c r="A169" s="17" t="s">
        <v>733</v>
      </c>
      <c r="B169" s="17" t="n">
        <v>5360.31</v>
      </c>
      <c r="C169" s="19" t="n">
        <f aca="false">B169/B168-1</f>
        <v>-0.00245092565711591</v>
      </c>
      <c r="D169" s="17" t="n">
        <f aca="false">AVERAGE(B120:B169)</f>
        <v>5141.6926</v>
      </c>
      <c r="F169" s="17" t="n">
        <f aca="false">B169*2/13+F168*11/13</f>
        <v>5336.46727248327</v>
      </c>
      <c r="G169" s="17" t="n">
        <f aca="false">B169*2/27+G168*25/27</f>
        <v>5268.74319291587</v>
      </c>
      <c r="H169" s="17" t="n">
        <f aca="false">F169-G169</f>
        <v>67.7240795674024</v>
      </c>
      <c r="I169" s="17" t="n">
        <f aca="false">H169*2/10+I168*8/10</f>
        <v>71.5142722328851</v>
      </c>
      <c r="J169" s="17" t="n">
        <f aca="false">H169-I169</f>
        <v>-3.79019266548265</v>
      </c>
      <c r="K169" s="17" t="n">
        <f aca="false">MAX(B169-B168,0)</f>
        <v>0</v>
      </c>
      <c r="L169" s="17" t="n">
        <f aca="false">MAX(B168-B169,0)</f>
        <v>13.1699999999992</v>
      </c>
      <c r="M169" s="17" t="n">
        <f aca="false">(M168*13+K169)/14</f>
        <v>13.329392955607</v>
      </c>
      <c r="N169" s="17" t="n">
        <f aca="false">(N168*13+L169)/14</f>
        <v>5.9232724148165</v>
      </c>
      <c r="O169" s="17" t="n">
        <f aca="false">IF(N169=0,100,100-100/(1+M169/N169))</f>
        <v>69.234013572396</v>
      </c>
      <c r="P169" s="17" t="n">
        <f aca="false">AVERAGE(B150:B169)+2*STDEV(B150:B169)</f>
        <v>5437.32234049307</v>
      </c>
      <c r="Q169" s="17" t="n">
        <f aca="false">AVERAGE(B150:B169)-2*STDEV(B150:B169)</f>
        <v>5161.61265950694</v>
      </c>
      <c r="R169" s="19" t="n">
        <f aca="false">B169/B149-1</f>
        <v>0.038497752634842</v>
      </c>
      <c r="S169" s="17" t="n">
        <f aca="false">STDEV(C150:C169)*SQRT(252)*100</f>
        <v>6.06855332480426</v>
      </c>
      <c r="T169" s="18"/>
      <c r="U169" s="18"/>
      <c r="V169" s="17" t="n">
        <f aca="false">(B169-AVERAGE(B150:B169))/STDEV(B150:B169)</f>
        <v>0.882703861284587</v>
      </c>
    </row>
    <row r="170" customFormat="false" ht="15" hidden="false" customHeight="false" outlineLevel="0" collapsed="false">
      <c r="A170" s="17" t="s">
        <v>734</v>
      </c>
      <c r="B170" s="17" t="n">
        <v>5351.28</v>
      </c>
      <c r="C170" s="19" t="n">
        <f aca="false">B170/B169-1</f>
        <v>-0.0016846040620786</v>
      </c>
      <c r="D170" s="17" t="n">
        <f aca="false">AVERAGE(B121:B170)</f>
        <v>5149.74</v>
      </c>
      <c r="F170" s="17" t="n">
        <f aca="false">B170*2/13+F169*11/13</f>
        <v>5338.74615363969</v>
      </c>
      <c r="G170" s="17" t="n">
        <f aca="false">B170*2/27+G169*25/27</f>
        <v>5274.85703047766</v>
      </c>
      <c r="H170" s="17" t="n">
        <f aca="false">F170-G170</f>
        <v>63.8891231620355</v>
      </c>
      <c r="I170" s="17" t="n">
        <f aca="false">H170*2/10+I169*8/10</f>
        <v>69.9892424187152</v>
      </c>
      <c r="J170" s="17" t="n">
        <f aca="false">H170-I170</f>
        <v>-6.10011925667968</v>
      </c>
      <c r="K170" s="17" t="n">
        <f aca="false">MAX(B170-B169,0)</f>
        <v>0</v>
      </c>
      <c r="L170" s="17" t="n">
        <f aca="false">MAX(B169-B170,0)</f>
        <v>9.03000000000066</v>
      </c>
      <c r="M170" s="17" t="n">
        <f aca="false">(M169*13+K170)/14</f>
        <v>12.3772934587779</v>
      </c>
      <c r="N170" s="17" t="n">
        <f aca="false">(N169*13+L170)/14</f>
        <v>6.14518152804394</v>
      </c>
      <c r="O170" s="17" t="n">
        <f aca="false">IF(N170=0,100,100-100/(1+M170/N170))</f>
        <v>66.823107967936</v>
      </c>
      <c r="P170" s="17" t="n">
        <f aca="false">AVERAGE(B151:B170)+2*STDEV(B151:B170)</f>
        <v>5433.43127111286</v>
      </c>
      <c r="Q170" s="17" t="n">
        <f aca="false">AVERAGE(B151:B170)-2*STDEV(B151:B170)</f>
        <v>5183.83572888714</v>
      </c>
      <c r="R170" s="19" t="n">
        <f aca="false">B170/B150-1</f>
        <v>0.0354724107771731</v>
      </c>
      <c r="S170" s="17" t="n">
        <f aca="false">STDEV(C151:C170)*SQRT(252)*100</f>
        <v>6.19790646115662</v>
      </c>
      <c r="T170" s="18"/>
      <c r="U170" s="18"/>
      <c r="V170" s="17" t="n">
        <f aca="false">(B170-AVERAGE(B151:B170))/STDEV(B151:B170)</f>
        <v>0.683449706188006</v>
      </c>
    </row>
    <row r="171" customFormat="false" ht="15" hidden="false" customHeight="false" outlineLevel="0" collapsed="false">
      <c r="A171" s="17" t="s">
        <v>735</v>
      </c>
      <c r="B171" s="17" t="n">
        <v>5359.81</v>
      </c>
      <c r="C171" s="19" t="n">
        <f aca="false">B171/B170-1</f>
        <v>0.00159401115247215</v>
      </c>
      <c r="D171" s="17" t="n">
        <f aca="false">AVERAGE(B122:B171)</f>
        <v>5158.2484</v>
      </c>
      <c r="F171" s="17" t="n">
        <f aca="false">B171*2/13+F170*11/13</f>
        <v>5341.98674538743</v>
      </c>
      <c r="G171" s="17" t="n">
        <f aca="false">B171*2/27+G170*25/27</f>
        <v>5281.14984303487</v>
      </c>
      <c r="H171" s="17" t="n">
        <f aca="false">F171-G171</f>
        <v>60.8369023525647</v>
      </c>
      <c r="I171" s="17" t="n">
        <f aca="false">H171*2/10+I170*8/10</f>
        <v>68.1587744054851</v>
      </c>
      <c r="J171" s="17" t="n">
        <f aca="false">H171-I171</f>
        <v>-7.32187205292037</v>
      </c>
      <c r="K171" s="17" t="n">
        <f aca="false">MAX(B171-B170,0)</f>
        <v>8.53000000000066</v>
      </c>
      <c r="L171" s="17" t="n">
        <f aca="false">MAX(B170-B171,0)</f>
        <v>0</v>
      </c>
      <c r="M171" s="17" t="n">
        <f aca="false">(M170*13+K171)/14</f>
        <v>12.102486783151</v>
      </c>
      <c r="N171" s="17" t="n">
        <f aca="false">(N170*13+L171)/14</f>
        <v>5.70623999032652</v>
      </c>
      <c r="O171" s="17" t="n">
        <f aca="false">IF(N171=0,100,100-100/(1+M171/N171))</f>
        <v>67.9581810484912</v>
      </c>
      <c r="P171" s="17" t="n">
        <f aca="false">AVERAGE(B152:B171)+2*STDEV(B152:B171)</f>
        <v>5429.73605677631</v>
      </c>
      <c r="Q171" s="17" t="n">
        <f aca="false">AVERAGE(B152:B171)-2*STDEV(B152:B171)</f>
        <v>5204.92394322369</v>
      </c>
      <c r="R171" s="19" t="n">
        <f aca="false">B171/B151-1</f>
        <v>0.0335391486112291</v>
      </c>
      <c r="S171" s="17" t="n">
        <f aca="false">STDEV(C152:C171)*SQRT(252)*100</f>
        <v>6.16470263675989</v>
      </c>
      <c r="T171" s="18"/>
      <c r="U171" s="18"/>
      <c r="V171" s="17" t="n">
        <f aca="false">(B171-AVERAGE(B152:B171))/STDEV(B152:B171)</f>
        <v>0.755831157471073</v>
      </c>
    </row>
    <row r="172" customFormat="false" ht="15" hidden="false" customHeight="false" outlineLevel="0" collapsed="false">
      <c r="A172" s="17" t="s">
        <v>736</v>
      </c>
      <c r="B172" s="17" t="n">
        <v>5363.98</v>
      </c>
      <c r="C172" s="19" t="n">
        <f aca="false">B172/B171-1</f>
        <v>0.000778012653433358</v>
      </c>
      <c r="D172" s="17" t="n">
        <f aca="false">AVERAGE(B123:B172)</f>
        <v>5166.7276</v>
      </c>
      <c r="F172" s="17" t="n">
        <f aca="false">B172*2/13+F171*11/13</f>
        <v>5345.37032302014</v>
      </c>
      <c r="G172" s="17" t="n">
        <f aca="false">B172*2/27+G171*25/27</f>
        <v>5287.28541021747</v>
      </c>
      <c r="H172" s="17" t="n">
        <f aca="false">F172-G172</f>
        <v>58.0849128026648</v>
      </c>
      <c r="I172" s="17" t="n">
        <f aca="false">H172*2/10+I171*8/10</f>
        <v>66.144002084921</v>
      </c>
      <c r="J172" s="17" t="n">
        <f aca="false">H172-I172</f>
        <v>-8.05908928225622</v>
      </c>
      <c r="K172" s="17" t="n">
        <f aca="false">MAX(B172-B171,0)</f>
        <v>4.16999999999916</v>
      </c>
      <c r="L172" s="17" t="n">
        <f aca="false">MAX(B171-B172,0)</f>
        <v>0</v>
      </c>
      <c r="M172" s="17" t="n">
        <f aca="false">(M171*13+K172)/14</f>
        <v>11.5358805843544</v>
      </c>
      <c r="N172" s="17" t="n">
        <f aca="false">(N171*13+L172)/14</f>
        <v>5.29865141958891</v>
      </c>
      <c r="O172" s="17" t="n">
        <f aca="false">IF(N172=0,100,100-100/(1+M172/N172))</f>
        <v>68.525104123193</v>
      </c>
      <c r="P172" s="17" t="n">
        <f aca="false">AVERAGE(B153:B172)+2*STDEV(B153:B172)</f>
        <v>5424.33419883057</v>
      </c>
      <c r="Q172" s="17" t="n">
        <f aca="false">AVERAGE(B153:B172)-2*STDEV(B153:B172)</f>
        <v>5227.06580116944</v>
      </c>
      <c r="R172" s="19" t="n">
        <f aca="false">B172/B152-1</f>
        <v>0.0322134942596861</v>
      </c>
      <c r="S172" s="17" t="n">
        <f aca="false">STDEV(C153:C172)*SQRT(252)*100</f>
        <v>6.1703734426387</v>
      </c>
      <c r="T172" s="18"/>
      <c r="U172" s="18"/>
      <c r="V172" s="17" t="n">
        <f aca="false">(B172-AVERAGE(B153:B172))/STDEV(B153:B172)</f>
        <v>0.776201367352467</v>
      </c>
    </row>
    <row r="173" customFormat="false" ht="15" hidden="false" customHeight="false" outlineLevel="0" collapsed="false">
      <c r="A173" s="17" t="s">
        <v>737</v>
      </c>
      <c r="B173" s="17" t="n">
        <v>5385.9</v>
      </c>
      <c r="C173" s="19" t="n">
        <f aca="false">B173/B172-1</f>
        <v>0.00408651784682279</v>
      </c>
      <c r="D173" s="17" t="n">
        <f aca="false">AVERAGE(B124:B173)</f>
        <v>5175.1294</v>
      </c>
      <c r="F173" s="17" t="n">
        <f aca="false">B173*2/13+F172*11/13</f>
        <v>5351.60565794011</v>
      </c>
      <c r="G173" s="17" t="n">
        <f aca="false">B173*2/27+G172*25/27</f>
        <v>5294.59019464581</v>
      </c>
      <c r="H173" s="17" t="n">
        <f aca="false">F173-G173</f>
        <v>57.0154632943077</v>
      </c>
      <c r="I173" s="17" t="n">
        <f aca="false">H173*2/10+I172*8/10</f>
        <v>64.3182943267984</v>
      </c>
      <c r="J173" s="17" t="n">
        <f aca="false">H173-I173</f>
        <v>-7.30283103249069</v>
      </c>
      <c r="K173" s="17" t="n">
        <f aca="false">MAX(B173-B172,0)</f>
        <v>21.9200000000001</v>
      </c>
      <c r="L173" s="17" t="n">
        <f aca="false">MAX(B172-B173,0)</f>
        <v>0</v>
      </c>
      <c r="M173" s="17" t="n">
        <f aca="false">(M172*13+K173)/14</f>
        <v>12.2776033997577</v>
      </c>
      <c r="N173" s="17" t="n">
        <f aca="false">(N172*13+L173)/14</f>
        <v>4.9201763181897</v>
      </c>
      <c r="O173" s="17" t="n">
        <f aca="false">IF(N173=0,100,100-100/(1+M173/N173))</f>
        <v>71.3906306576594</v>
      </c>
      <c r="P173" s="17" t="n">
        <f aca="false">AVERAGE(B154:B173)+2*STDEV(B154:B173)</f>
        <v>5420.75802172421</v>
      </c>
      <c r="Q173" s="17" t="n">
        <f aca="false">AVERAGE(B154:B173)-2*STDEV(B154:B173)</f>
        <v>5248.01597827579</v>
      </c>
      <c r="R173" s="19" t="n">
        <f aca="false">B173/B153-1</f>
        <v>0.033333589145383</v>
      </c>
      <c r="S173" s="17" t="n">
        <f aca="false">STDEV(C154:C173)*SQRT(252)*100</f>
        <v>6.21516232104784</v>
      </c>
      <c r="T173" s="18"/>
      <c r="U173" s="18"/>
      <c r="V173" s="17" t="n">
        <f aca="false">(B173-AVERAGE(B154:B173))/STDEV(B154:B173)</f>
        <v>1.19283062702404</v>
      </c>
    </row>
    <row r="174" customFormat="false" ht="15" hidden="false" customHeight="false" outlineLevel="0" collapsed="false">
      <c r="A174" s="17" t="s">
        <v>738</v>
      </c>
      <c r="B174" s="17" t="n">
        <v>5394.57</v>
      </c>
      <c r="C174" s="19" t="n">
        <f aca="false">B174/B173-1</f>
        <v>0.00160975881468284</v>
      </c>
      <c r="D174" s="17" t="n">
        <f aca="false">AVERAGE(B125:B174)</f>
        <v>5184.495</v>
      </c>
      <c r="F174" s="17" t="n">
        <f aca="false">B174*2/13+F173*11/13</f>
        <v>5358.21555671856</v>
      </c>
      <c r="G174" s="17" t="n">
        <f aca="false">B174*2/27+G173*25/27</f>
        <v>5301.99610615352</v>
      </c>
      <c r="H174" s="17" t="n">
        <f aca="false">F174-G174</f>
        <v>56.2194505650341</v>
      </c>
      <c r="I174" s="17" t="n">
        <f aca="false">H174*2/10+I173*8/10</f>
        <v>62.6985255744455</v>
      </c>
      <c r="J174" s="17" t="n">
        <f aca="false">H174-I174</f>
        <v>-6.47907500941141</v>
      </c>
      <c r="K174" s="17" t="n">
        <f aca="false">MAX(B174-B173,0)</f>
        <v>8.67000000000007</v>
      </c>
      <c r="L174" s="17" t="n">
        <f aca="false">MAX(B173-B174,0)</f>
        <v>0</v>
      </c>
      <c r="M174" s="17" t="n">
        <f aca="false">(M173*13+K174)/14</f>
        <v>12.0199174426321</v>
      </c>
      <c r="N174" s="17" t="n">
        <f aca="false">(N173*13+L174)/14</f>
        <v>4.56873515260472</v>
      </c>
      <c r="O174" s="17" t="n">
        <f aca="false">IF(N174=0,100,100-100/(1+M174/N174))</f>
        <v>72.4586724185389</v>
      </c>
      <c r="P174" s="17" t="n">
        <f aca="false">AVERAGE(B155:B174)+2*STDEV(B155:B174)</f>
        <v>5416.83495412877</v>
      </c>
      <c r="Q174" s="17" t="n">
        <f aca="false">AVERAGE(B155:B174)-2*STDEV(B155:B174)</f>
        <v>5268.72704587124</v>
      </c>
      <c r="R174" s="19" t="n">
        <f aca="false">B174/B154-1</f>
        <v>0.0321197545674223</v>
      </c>
      <c r="S174" s="17" t="n">
        <f aca="false">STDEV(C155:C174)*SQRT(252)*100</f>
        <v>6.20056355223136</v>
      </c>
      <c r="T174" s="18"/>
      <c r="U174" s="18"/>
      <c r="V174" s="17" t="n">
        <f aca="false">(B174-AVERAGE(B155:B174))/STDEV(B155:B174)</f>
        <v>1.39868290921911</v>
      </c>
    </row>
    <row r="175" customFormat="false" ht="15" hidden="false" customHeight="false" outlineLevel="0" collapsed="false">
      <c r="A175" s="17" t="s">
        <v>739</v>
      </c>
      <c r="B175" s="17" t="n">
        <v>5382.17</v>
      </c>
      <c r="C175" s="19" t="n">
        <f aca="false">B175/B174-1</f>
        <v>-0.00229860767401291</v>
      </c>
      <c r="D175" s="17" t="n">
        <f aca="false">AVERAGE(B126:B175)</f>
        <v>5193.7728</v>
      </c>
      <c r="F175" s="17" t="n">
        <f aca="false">B175*2/13+F174*11/13</f>
        <v>5361.90085568493</v>
      </c>
      <c r="G175" s="17" t="n">
        <f aca="false">B175*2/27+G174*25/27</f>
        <v>5307.93491310512</v>
      </c>
      <c r="H175" s="17" t="n">
        <f aca="false">F175-G175</f>
        <v>53.9659425798191</v>
      </c>
      <c r="I175" s="17" t="n">
        <f aca="false">H175*2/10+I174*8/10</f>
        <v>60.9520089755202</v>
      </c>
      <c r="J175" s="17" t="n">
        <f aca="false">H175-I175</f>
        <v>-6.98606639570116</v>
      </c>
      <c r="K175" s="17" t="n">
        <f aca="false">MAX(B175-B174,0)</f>
        <v>0</v>
      </c>
      <c r="L175" s="17" t="n">
        <f aca="false">MAX(B174-B175,0)</f>
        <v>12.3999999999996</v>
      </c>
      <c r="M175" s="17" t="n">
        <f aca="false">(M174*13+K175)/14</f>
        <v>11.1613519110155</v>
      </c>
      <c r="N175" s="17" t="n">
        <f aca="false">(N174*13+L175)/14</f>
        <v>5.12811121313293</v>
      </c>
      <c r="O175" s="17" t="n">
        <f aca="false">IF(N175=0,100,100-100/(1+M175/N175))</f>
        <v>68.5188445190025</v>
      </c>
      <c r="P175" s="17" t="n">
        <f aca="false">AVERAGE(B156:B175)+2*STDEV(B156:B175)</f>
        <v>5412.998336023</v>
      </c>
      <c r="Q175" s="17" t="n">
        <f aca="false">AVERAGE(B156:B175)-2*STDEV(B156:B175)</f>
        <v>5285.098663977</v>
      </c>
      <c r="R175" s="19" t="n">
        <f aca="false">B175/B155-1</f>
        <v>0.0238452144071892</v>
      </c>
      <c r="S175" s="17" t="n">
        <f aca="false">STDEV(C156:C175)*SQRT(252)*100</f>
        <v>6.14070414262532</v>
      </c>
      <c r="T175" s="18"/>
      <c r="U175" s="18"/>
      <c r="V175" s="17" t="n">
        <f aca="false">(B175-AVERAGE(B156:B175))/STDEV(B156:B175)</f>
        <v>1.0358587936985</v>
      </c>
    </row>
    <row r="176" customFormat="false" ht="15" hidden="false" customHeight="false" outlineLevel="0" collapsed="false">
      <c r="A176" s="17" t="s">
        <v>740</v>
      </c>
      <c r="B176" s="17" t="n">
        <v>5416.25</v>
      </c>
      <c r="C176" s="19" t="n">
        <f aca="false">B176/B175-1</f>
        <v>0.00633201849811504</v>
      </c>
      <c r="D176" s="17" t="n">
        <f aca="false">AVERAGE(B127:B176)</f>
        <v>5204.8254</v>
      </c>
      <c r="F176" s="17" t="n">
        <f aca="false">B176*2/13+F175*11/13</f>
        <v>5370.26226250264</v>
      </c>
      <c r="G176" s="17" t="n">
        <f aca="false">B176*2/27+G175*25/27</f>
        <v>5315.95825287511</v>
      </c>
      <c r="H176" s="17" t="n">
        <f aca="false">F176-G176</f>
        <v>54.3040096275299</v>
      </c>
      <c r="I176" s="17" t="n">
        <f aca="false">H176*2/10+I175*8/10</f>
        <v>59.6224091059222</v>
      </c>
      <c r="J176" s="17" t="n">
        <f aca="false">H176-I176</f>
        <v>-5.31839947839224</v>
      </c>
      <c r="K176" s="17" t="n">
        <f aca="false">MAX(B176-B175,0)</f>
        <v>34.0799999999999</v>
      </c>
      <c r="L176" s="17" t="n">
        <f aca="false">MAX(B175-B176,0)</f>
        <v>0</v>
      </c>
      <c r="M176" s="17" t="n">
        <f aca="false">(M175*13+K176)/14</f>
        <v>12.7983982030859</v>
      </c>
      <c r="N176" s="17" t="n">
        <f aca="false">(N175*13+L176)/14</f>
        <v>4.76181755505201</v>
      </c>
      <c r="O176" s="17" t="n">
        <f aca="false">IF(N176=0,100,100-100/(1+M176/N176))</f>
        <v>72.8829211403894</v>
      </c>
      <c r="P176" s="17" t="n">
        <f aca="false">AVERAGE(B157:B176)+2*STDEV(B157:B176)</f>
        <v>5415.7913249133</v>
      </c>
      <c r="Q176" s="17" t="n">
        <f aca="false">AVERAGE(B157:B176)-2*STDEV(B157:B176)</f>
        <v>5296.8236750867</v>
      </c>
      <c r="R176" s="19" t="n">
        <f aca="false">B176/B156-1</f>
        <v>0.0275427949164022</v>
      </c>
      <c r="S176" s="17" t="n">
        <f aca="false">STDEV(C157:C176)*SQRT(252)*100</f>
        <v>6.38945728236783</v>
      </c>
      <c r="T176" s="18"/>
      <c r="U176" s="18"/>
      <c r="V176" s="17" t="n">
        <f aca="false">(B176-AVERAGE(B157:B176))/STDEV(B157:B176)</f>
        <v>2.01542184240411</v>
      </c>
    </row>
    <row r="177" customFormat="false" ht="15" hidden="false" customHeight="false" outlineLevel="0" collapsed="false">
      <c r="A177" s="17" t="s">
        <v>741</v>
      </c>
      <c r="B177" s="17" t="n">
        <v>5412.08</v>
      </c>
      <c r="C177" s="19" t="n">
        <f aca="false">B177/B176-1</f>
        <v>-0.000769905377336677</v>
      </c>
      <c r="D177" s="17" t="n">
        <f aca="false">AVERAGE(B128:B177)</f>
        <v>5214.8404</v>
      </c>
      <c r="F177" s="17" t="n">
        <f aca="false">B177*2/13+F176*11/13</f>
        <v>5376.69576057915</v>
      </c>
      <c r="G177" s="17" t="n">
        <f aca="false">B177*2/27+G176*25/27</f>
        <v>5323.07838229177</v>
      </c>
      <c r="H177" s="17" t="n">
        <f aca="false">F177-G177</f>
        <v>53.6173782873884</v>
      </c>
      <c r="I177" s="17" t="n">
        <f aca="false">H177*2/10+I176*8/10</f>
        <v>58.4214029422154</v>
      </c>
      <c r="J177" s="17" t="n">
        <f aca="false">H177-I177</f>
        <v>-4.804024654827</v>
      </c>
      <c r="K177" s="17" t="n">
        <f aca="false">MAX(B177-B176,0)</f>
        <v>0</v>
      </c>
      <c r="L177" s="17" t="n">
        <f aca="false">MAX(B176-B177,0)</f>
        <v>4.17000000000007</v>
      </c>
      <c r="M177" s="17" t="n">
        <f aca="false">(M176*13+K177)/14</f>
        <v>11.8842269028654</v>
      </c>
      <c r="N177" s="17" t="n">
        <f aca="false">(N176*13+L177)/14</f>
        <v>4.7195448725483</v>
      </c>
      <c r="O177" s="17" t="n">
        <f aca="false">IF(N177=0,100,100-100/(1+M177/N177))</f>
        <v>71.5754652835157</v>
      </c>
      <c r="P177" s="17" t="n">
        <f aca="false">AVERAGE(B158:B177)+2*STDEV(B158:B177)</f>
        <v>5420.56708587829</v>
      </c>
      <c r="Q177" s="17" t="n">
        <f aca="false">AVERAGE(B158:B177)-2*STDEV(B158:B177)</f>
        <v>5303.01691412171</v>
      </c>
      <c r="R177" s="19" t="n">
        <f aca="false">B177/B157-1</f>
        <v>0.0206868977951451</v>
      </c>
      <c r="S177" s="17" t="n">
        <f aca="false">STDEV(C158:C177)*SQRT(252)*100</f>
        <v>6.19325190632142</v>
      </c>
      <c r="T177" s="18"/>
      <c r="U177" s="18"/>
      <c r="V177" s="17" t="n">
        <f aca="false">(B177-AVERAGE(B158:B177))/STDEV(B158:B177)</f>
        <v>1.71120124278979</v>
      </c>
    </row>
    <row r="178" customFormat="false" ht="15" hidden="false" customHeight="false" outlineLevel="0" collapsed="false">
      <c r="A178" s="17" t="s">
        <v>742</v>
      </c>
      <c r="B178" s="17" t="n">
        <v>5408.76</v>
      </c>
      <c r="C178" s="19" t="n">
        <f aca="false">B178/B177-1</f>
        <v>-0.00061344252117479</v>
      </c>
      <c r="D178" s="17" t="n">
        <f aca="false">AVERAGE(B129:B178)</f>
        <v>5224.2714</v>
      </c>
      <c r="F178" s="17" t="n">
        <f aca="false">B178*2/13+F177*11/13</f>
        <v>5381.62872049005</v>
      </c>
      <c r="G178" s="17" t="n">
        <f aca="false">B178*2/27+G177*25/27</f>
        <v>5329.42516878867</v>
      </c>
      <c r="H178" s="17" t="n">
        <f aca="false">F178-G178</f>
        <v>52.2035517013819</v>
      </c>
      <c r="I178" s="17" t="n">
        <f aca="false">H178*2/10+I177*8/10</f>
        <v>57.1778326940487</v>
      </c>
      <c r="J178" s="17" t="n">
        <f aca="false">H178-I178</f>
        <v>-4.97428099266681</v>
      </c>
      <c r="K178" s="17" t="n">
        <f aca="false">MAX(B178-B177,0)</f>
        <v>0</v>
      </c>
      <c r="L178" s="17" t="n">
        <f aca="false">MAX(B177-B178,0)</f>
        <v>3.31999999999971</v>
      </c>
      <c r="M178" s="17" t="n">
        <f aca="false">(M177*13+K178)/14</f>
        <v>11.0353535526608</v>
      </c>
      <c r="N178" s="17" t="n">
        <f aca="false">(N177*13+L178)/14</f>
        <v>4.61957738165197</v>
      </c>
      <c r="O178" s="17" t="n">
        <f aca="false">IF(N178=0,100,100-100/(1+M178/N178))</f>
        <v>70.4912311588248</v>
      </c>
      <c r="P178" s="17" t="n">
        <f aca="false">AVERAGE(B159:B178)+2*STDEV(B159:B178)</f>
        <v>5422.04871629336</v>
      </c>
      <c r="Q178" s="17" t="n">
        <f aca="false">AVERAGE(B159:B178)-2*STDEV(B159:B178)</f>
        <v>5312.34728370664</v>
      </c>
      <c r="R178" s="19" t="n">
        <f aca="false">B178/B158-1</f>
        <v>0.0203975369012044</v>
      </c>
      <c r="S178" s="17" t="n">
        <f aca="false">STDEV(C159:C178)*SQRT(252)*100</f>
        <v>6.20232588950423</v>
      </c>
      <c r="T178" s="18"/>
      <c r="U178" s="18"/>
      <c r="V178" s="17" t="n">
        <f aca="false">(B178-AVERAGE(B159:B178))/STDEV(B159:B178)</f>
        <v>1.51545878736431</v>
      </c>
    </row>
    <row r="179" customFormat="false" ht="15" hidden="false" customHeight="false" outlineLevel="0" collapsed="false">
      <c r="A179" s="17" t="s">
        <v>743</v>
      </c>
      <c r="B179" s="17" t="n">
        <v>5413.31</v>
      </c>
      <c r="C179" s="19" t="n">
        <f aca="false">B179/B178-1</f>
        <v>0.000841227933944255</v>
      </c>
      <c r="D179" s="17" t="n">
        <f aca="false">AVERAGE(B130:B179)</f>
        <v>5233.2386</v>
      </c>
      <c r="F179" s="17" t="n">
        <f aca="false">B179*2/13+F178*11/13</f>
        <v>5386.50276349158</v>
      </c>
      <c r="G179" s="17" t="n">
        <f aca="false">B179*2/27+G178*25/27</f>
        <v>5335.63885998951</v>
      </c>
      <c r="H179" s="17" t="n">
        <f aca="false">F179-G179</f>
        <v>50.8639035020751</v>
      </c>
      <c r="I179" s="17" t="n">
        <f aca="false">H179*2/10+I178*8/10</f>
        <v>55.915046855654</v>
      </c>
      <c r="J179" s="17" t="n">
        <f aca="false">H179-I179</f>
        <v>-5.05114335357888</v>
      </c>
      <c r="K179" s="17" t="n">
        <f aca="false">MAX(B179-B178,0)</f>
        <v>4.55000000000018</v>
      </c>
      <c r="L179" s="17" t="n">
        <f aca="false">MAX(B178-B179,0)</f>
        <v>0</v>
      </c>
      <c r="M179" s="17" t="n">
        <f aca="false">(M178*13+K179)/14</f>
        <v>10.572114013185</v>
      </c>
      <c r="N179" s="17" t="n">
        <f aca="false">(N178*13+L179)/14</f>
        <v>4.28960756867683</v>
      </c>
      <c r="O179" s="17" t="n">
        <f aca="false">IF(N179=0,100,100-100/(1+M179/N179))</f>
        <v>71.1365366048027</v>
      </c>
      <c r="P179" s="17" t="n">
        <f aca="false">AVERAGE(B160:B179)+2*STDEV(B160:B179)</f>
        <v>5426.34280484435</v>
      </c>
      <c r="Q179" s="17" t="n">
        <f aca="false">AVERAGE(B160:B179)-2*STDEV(B160:B179)</f>
        <v>5316.91219515565</v>
      </c>
      <c r="R179" s="19" t="n">
        <f aca="false">B179/B159-1</f>
        <v>0.0166374945537042</v>
      </c>
      <c r="S179" s="17" t="n">
        <f aca="false">STDEV(C160:C179)*SQRT(252)*100</f>
        <v>6.0608252616738</v>
      </c>
      <c r="T179" s="18"/>
      <c r="U179" s="18"/>
      <c r="V179" s="17" t="n">
        <f aca="false">(B179-AVERAGE(B160:B179))/STDEV(B160:B179)</f>
        <v>1.52361391821073</v>
      </c>
    </row>
    <row r="180" customFormat="false" ht="15" hidden="false" customHeight="false" outlineLevel="0" collapsed="false">
      <c r="A180" s="17" t="s">
        <v>744</v>
      </c>
      <c r="B180" s="17" t="n">
        <v>5332.53</v>
      </c>
      <c r="C180" s="19" t="n">
        <f aca="false">B180/B179-1</f>
        <v>-0.0149224781141299</v>
      </c>
      <c r="D180" s="17" t="n">
        <f aca="false">AVERAGE(B131:B180)</f>
        <v>5239.7476</v>
      </c>
      <c r="F180" s="17" t="n">
        <f aca="false">B180*2/13+F179*11/13</f>
        <v>5378.19926141596</v>
      </c>
      <c r="G180" s="17" t="n">
        <f aca="false">B180*2/27+G179*25/27</f>
        <v>5335.40857406436</v>
      </c>
      <c r="H180" s="17" t="n">
        <f aca="false">F180-G180</f>
        <v>42.7906873515949</v>
      </c>
      <c r="I180" s="17" t="n">
        <f aca="false">H180*2/10+I179*8/10</f>
        <v>53.2901749548422</v>
      </c>
      <c r="J180" s="17" t="n">
        <f aca="false">H180-I180</f>
        <v>-10.4994876032473</v>
      </c>
      <c r="K180" s="17" t="n">
        <f aca="false">MAX(B180-B179,0)</f>
        <v>0</v>
      </c>
      <c r="L180" s="17" t="n">
        <f aca="false">MAX(B179-B180,0)</f>
        <v>80.7800000000007</v>
      </c>
      <c r="M180" s="17" t="n">
        <f aca="false">(M179*13+K180)/14</f>
        <v>9.81696301224322</v>
      </c>
      <c r="N180" s="17" t="n">
        <f aca="false">(N179*13+L180)/14</f>
        <v>9.7532070280571</v>
      </c>
      <c r="O180" s="17" t="n">
        <f aca="false">IF(N180=0,100,100-100/(1+M180/N180))</f>
        <v>50.1628907261787</v>
      </c>
      <c r="P180" s="17" t="n">
        <f aca="false">AVERAGE(B161:B180)+2*STDEV(B161:B180)</f>
        <v>5427.46389571211</v>
      </c>
      <c r="Q180" s="17" t="n">
        <f aca="false">AVERAGE(B161:B180)-2*STDEV(B161:B180)</f>
        <v>5313.97110428789</v>
      </c>
      <c r="R180" s="19" t="n">
        <f aca="false">B180/B160-1</f>
        <v>-0.00340140504192887</v>
      </c>
      <c r="S180" s="17" t="n">
        <f aca="false">STDEV(C161:C180)*SQRT(252)*100</f>
        <v>8.05446851585514</v>
      </c>
      <c r="T180" s="18"/>
      <c r="U180" s="18"/>
      <c r="V180" s="17" t="n">
        <f aca="false">(B180-AVERAGE(B161:B180))/STDEV(B161:B180)</f>
        <v>-1.34590045837393</v>
      </c>
    </row>
    <row r="181" customFormat="false" ht="15" hidden="false" customHeight="false" outlineLevel="0" collapsed="false">
      <c r="A181" s="17" t="s">
        <v>745</v>
      </c>
      <c r="B181" s="17" t="n">
        <v>5367.55</v>
      </c>
      <c r="C181" s="19" t="n">
        <f aca="false">B181/B180-1</f>
        <v>0.00656723919040303</v>
      </c>
      <c r="D181" s="17" t="n">
        <f aca="false">AVERAGE(B132:B181)</f>
        <v>5246.6006</v>
      </c>
      <c r="F181" s="17" t="n">
        <f aca="false">B181*2/13+F180*11/13</f>
        <v>5376.56091350581</v>
      </c>
      <c r="G181" s="17" t="n">
        <f aca="false">B181*2/27+G180*25/27</f>
        <v>5337.78942042996</v>
      </c>
      <c r="H181" s="17" t="n">
        <f aca="false">F181-G181</f>
        <v>38.7714930758457</v>
      </c>
      <c r="I181" s="17" t="n">
        <f aca="false">H181*2/10+I180*8/10</f>
        <v>50.3864385790429</v>
      </c>
      <c r="J181" s="17" t="n">
        <f aca="false">H181-I181</f>
        <v>-11.6149455031972</v>
      </c>
      <c r="K181" s="17" t="n">
        <f aca="false">MAX(B181-B180,0)</f>
        <v>35.0200000000004</v>
      </c>
      <c r="L181" s="17" t="n">
        <f aca="false">MAX(B180-B181,0)</f>
        <v>0</v>
      </c>
      <c r="M181" s="17" t="n">
        <f aca="false">(M180*13+K181)/14</f>
        <v>11.6171799399402</v>
      </c>
      <c r="N181" s="17" t="n">
        <f aca="false">(N180*13+L181)/14</f>
        <v>9.05654938319588</v>
      </c>
      <c r="O181" s="17" t="n">
        <f aca="false">IF(N181=0,100,100-100/(1+M181/N181))</f>
        <v>56.1929575373677</v>
      </c>
      <c r="P181" s="17" t="n">
        <f aca="false">AVERAGE(B162:B181)+2*STDEV(B162:B181)</f>
        <v>5427.58686821907</v>
      </c>
      <c r="Q181" s="17" t="n">
        <f aca="false">AVERAGE(B162:B181)-2*STDEV(B162:B181)</f>
        <v>5315.39013178093</v>
      </c>
      <c r="R181" s="19" t="n">
        <f aca="false">B181/B161-1</f>
        <v>0.00288109593750518</v>
      </c>
      <c r="S181" s="17" t="n">
        <f aca="false">STDEV(C162:C181)*SQRT(252)*100</f>
        <v>8.40156850682431</v>
      </c>
      <c r="T181" s="18"/>
      <c r="U181" s="18"/>
      <c r="V181" s="17" t="n">
        <f aca="false">(B181-AVERAGE(B162:B181))/STDEV(B162:B181)</f>
        <v>-0.140414066399226</v>
      </c>
    </row>
    <row r="182" customFormat="false" ht="15" hidden="false" customHeight="false" outlineLevel="0" collapsed="false">
      <c r="A182" s="17" t="s">
        <v>746</v>
      </c>
      <c r="B182" s="17" t="n">
        <v>5355.14</v>
      </c>
      <c r="C182" s="19" t="n">
        <f aca="false">B182/B181-1</f>
        <v>-0.00231204180678335</v>
      </c>
      <c r="D182" s="17" t="n">
        <f aca="false">AVERAGE(B133:B182)</f>
        <v>5253</v>
      </c>
      <c r="F182" s="17" t="n">
        <f aca="false">B182*2/13+F181*11/13</f>
        <v>5373.26538835107</v>
      </c>
      <c r="G182" s="17" t="n">
        <f aca="false">B182*2/27+G181*25/27</f>
        <v>5339.07464854626</v>
      </c>
      <c r="H182" s="17" t="n">
        <f aca="false">F182-G182</f>
        <v>34.190739804807</v>
      </c>
      <c r="I182" s="17" t="n">
        <f aca="false">H182*2/10+I181*8/10</f>
        <v>47.1472988241957</v>
      </c>
      <c r="J182" s="17" t="n">
        <f aca="false">H182-I182</f>
        <v>-12.9565590193887</v>
      </c>
      <c r="K182" s="17" t="n">
        <f aca="false">MAX(B182-B181,0)</f>
        <v>0</v>
      </c>
      <c r="L182" s="17" t="n">
        <f aca="false">MAX(B181-B182,0)</f>
        <v>12.4099999999999</v>
      </c>
      <c r="M182" s="17" t="n">
        <f aca="false">(M181*13+K182)/14</f>
        <v>10.7873813728016</v>
      </c>
      <c r="N182" s="17" t="n">
        <f aca="false">(N181*13+L182)/14</f>
        <v>9.29608157011045</v>
      </c>
      <c r="O182" s="17" t="n">
        <f aca="false">IF(N182=0,100,100-100/(1+M182/N182))</f>
        <v>53.7127556311633</v>
      </c>
      <c r="P182" s="17" t="n">
        <f aca="false">AVERAGE(B163:B182)+2*STDEV(B163:B182)</f>
        <v>5426.25234871927</v>
      </c>
      <c r="Q182" s="17" t="n">
        <f aca="false">AVERAGE(B163:B182)-2*STDEV(B163:B182)</f>
        <v>5319.00165128073</v>
      </c>
      <c r="R182" s="19" t="n">
        <f aca="false">B182/B162-1</f>
        <v>0.00427014629517464</v>
      </c>
      <c r="S182" s="17" t="n">
        <f aca="false">STDEV(C163:C182)*SQRT(252)*100</f>
        <v>8.33170460094519</v>
      </c>
      <c r="T182" s="18"/>
      <c r="U182" s="18"/>
      <c r="V182" s="17" t="n">
        <f aca="false">(B182-AVERAGE(B163:B182))/STDEV(B163:B182)</f>
        <v>-0.652191563044017</v>
      </c>
    </row>
    <row r="183" customFormat="false" ht="15" hidden="false" customHeight="false" outlineLevel="0" collapsed="false">
      <c r="A183" s="17" t="s">
        <v>747</v>
      </c>
      <c r="B183" s="17" t="n">
        <v>5364</v>
      </c>
      <c r="C183" s="19" t="n">
        <f aca="false">B183/B182-1</f>
        <v>0.00165448522354228</v>
      </c>
      <c r="D183" s="17" t="n">
        <f aca="false">AVERAGE(B134:B183)</f>
        <v>5259.2758</v>
      </c>
      <c r="F183" s="17" t="n">
        <f aca="false">B183*2/13+F182*11/13</f>
        <v>5371.83994398937</v>
      </c>
      <c r="G183" s="17" t="n">
        <f aca="false">B183*2/27+G182*25/27</f>
        <v>5340.92097087617</v>
      </c>
      <c r="H183" s="17" t="n">
        <f aca="false">F183-G183</f>
        <v>30.9189731131983</v>
      </c>
      <c r="I183" s="17" t="n">
        <f aca="false">H183*2/10+I182*8/10</f>
        <v>43.9016336819962</v>
      </c>
      <c r="J183" s="17" t="n">
        <f aca="false">H183-I183</f>
        <v>-12.9826605687979</v>
      </c>
      <c r="K183" s="17" t="n">
        <f aca="false">MAX(B183-B182,0)</f>
        <v>8.85999999999967</v>
      </c>
      <c r="L183" s="17" t="n">
        <f aca="false">MAX(B182-B183,0)</f>
        <v>0</v>
      </c>
      <c r="M183" s="17" t="n">
        <f aca="false">(M182*13+K183)/14</f>
        <v>10.6497112747443</v>
      </c>
      <c r="N183" s="17" t="n">
        <f aca="false">(N182*13+L183)/14</f>
        <v>8.63207574367399</v>
      </c>
      <c r="O183" s="17" t="n">
        <f aca="false">IF(N183=0,100,100-100/(1+M183/N183))</f>
        <v>55.2319723507552</v>
      </c>
      <c r="P183" s="17" t="n">
        <f aca="false">AVERAGE(B164:B183)+2*STDEV(B164:B183)</f>
        <v>5425.67972647172</v>
      </c>
      <c r="Q183" s="17" t="n">
        <f aca="false">AVERAGE(B164:B183)-2*STDEV(B164:B183)</f>
        <v>5321.64327352828</v>
      </c>
      <c r="R183" s="19" t="n">
        <f aca="false">B183/B163-1</f>
        <v>0.00387213169365053</v>
      </c>
      <c r="S183" s="17" t="n">
        <f aca="false">STDEV(C164:C183)*SQRT(252)*100</f>
        <v>8.3213504264289</v>
      </c>
      <c r="T183" s="18"/>
      <c r="U183" s="18"/>
      <c r="V183" s="17" t="n">
        <f aca="false">(B183-AVERAGE(B164:B183))/STDEV(B164:B183)</f>
        <v>-0.371465951660335</v>
      </c>
    </row>
    <row r="184" customFormat="false" ht="15" hidden="false" customHeight="false" outlineLevel="0" collapsed="false">
      <c r="A184" s="17" t="s">
        <v>748</v>
      </c>
      <c r="B184" s="17" t="n">
        <v>5374.27</v>
      </c>
      <c r="C184" s="19" t="n">
        <f aca="false">B184/B183-1</f>
        <v>0.00191461595824016</v>
      </c>
      <c r="D184" s="17" t="n">
        <f aca="false">AVERAGE(B135:B184)</f>
        <v>5265.9326</v>
      </c>
      <c r="F184" s="17" t="n">
        <f aca="false">B184*2/13+F183*11/13</f>
        <v>5372.21379876023</v>
      </c>
      <c r="G184" s="17" t="n">
        <f aca="false">B184*2/27+G183*25/27</f>
        <v>5343.39126932979</v>
      </c>
      <c r="H184" s="17" t="n">
        <f aca="false">F184-G184</f>
        <v>28.8225294304475</v>
      </c>
      <c r="I184" s="17" t="n">
        <f aca="false">H184*2/10+I183*8/10</f>
        <v>40.8858128316865</v>
      </c>
      <c r="J184" s="17" t="n">
        <f aca="false">H184-I184</f>
        <v>-12.063283401239</v>
      </c>
      <c r="K184" s="17" t="n">
        <f aca="false">MAX(B184-B183,0)</f>
        <v>10.2700000000004</v>
      </c>
      <c r="L184" s="17" t="n">
        <f aca="false">MAX(B183-B184,0)</f>
        <v>0</v>
      </c>
      <c r="M184" s="17" t="n">
        <f aca="false">(M183*13+K184)/14</f>
        <v>10.622589040834</v>
      </c>
      <c r="N184" s="17" t="n">
        <f aca="false">(N183*13+L184)/14</f>
        <v>8.01549890484013</v>
      </c>
      <c r="O184" s="17" t="n">
        <f aca="false">IF(N184=0,100,100-100/(1+M184/N184))</f>
        <v>56.9939849613141</v>
      </c>
      <c r="P184" s="17" t="n">
        <f aca="false">AVERAGE(B165:B184)+2*STDEV(B165:B184)</f>
        <v>5425.54371100902</v>
      </c>
      <c r="Q184" s="17" t="n">
        <f aca="false">AVERAGE(B165:B184)-2*STDEV(B165:B184)</f>
        <v>5324.45128899098</v>
      </c>
      <c r="R184" s="19" t="n">
        <f aca="false">B184/B164-1</f>
        <v>0.00499668072294801</v>
      </c>
      <c r="S184" s="17" t="n">
        <f aca="false">STDEV(C165:C184)*SQRT(252)*100</f>
        <v>8.34133435963492</v>
      </c>
      <c r="T184" s="18"/>
      <c r="U184" s="18"/>
      <c r="V184" s="17" t="n">
        <f aca="false">(B184-AVERAGE(B165:B184))/STDEV(B165:B184)</f>
        <v>-0.0287855404184193</v>
      </c>
    </row>
    <row r="185" customFormat="false" ht="15" hidden="false" customHeight="false" outlineLevel="0" collapsed="false">
      <c r="A185" s="17" t="s">
        <v>749</v>
      </c>
      <c r="B185" s="17" t="n">
        <v>5407.21</v>
      </c>
      <c r="C185" s="19" t="n">
        <f aca="false">B185/B184-1</f>
        <v>0.00612920452452137</v>
      </c>
      <c r="D185" s="17" t="n">
        <f aca="false">AVERAGE(B136:B185)</f>
        <v>5272.8866</v>
      </c>
      <c r="F185" s="17" t="n">
        <f aca="false">B185*2/13+F184*11/13</f>
        <v>5377.5978297202</v>
      </c>
      <c r="G185" s="17" t="n">
        <f aca="false">B185*2/27+G184*25/27</f>
        <v>5348.11858271277</v>
      </c>
      <c r="H185" s="17" t="n">
        <f aca="false">F185-G185</f>
        <v>29.4792470074335</v>
      </c>
      <c r="I185" s="17" t="n">
        <f aca="false">H185*2/10+I184*8/10</f>
        <v>38.6044996668359</v>
      </c>
      <c r="J185" s="17" t="n">
        <f aca="false">H185-I185</f>
        <v>-9.12525265940236</v>
      </c>
      <c r="K185" s="17" t="n">
        <f aca="false">MAX(B185-B184,0)</f>
        <v>32.9399999999996</v>
      </c>
      <c r="L185" s="17" t="n">
        <f aca="false">MAX(B184-B185,0)</f>
        <v>0</v>
      </c>
      <c r="M185" s="17" t="n">
        <f aca="false">(M184*13+K185)/14</f>
        <v>12.2166898236316</v>
      </c>
      <c r="N185" s="17" t="n">
        <f aca="false">(N184*13+L185)/14</f>
        <v>7.44296326878013</v>
      </c>
      <c r="O185" s="17" t="n">
        <f aca="false">IF(N185=0,100,100-100/(1+M185/N185))</f>
        <v>62.1409226612804</v>
      </c>
      <c r="P185" s="17" t="n">
        <f aca="false">AVERAGE(B166:B185)+2*STDEV(B166:B185)</f>
        <v>5426.70383342106</v>
      </c>
      <c r="Q185" s="17" t="n">
        <f aca="false">AVERAGE(B166:B185)-2*STDEV(B166:B185)</f>
        <v>5330.98116657894</v>
      </c>
      <c r="R185" s="19" t="n">
        <f aca="false">B185/B165-1</f>
        <v>0.0144269282649601</v>
      </c>
      <c r="S185" s="17" t="n">
        <f aca="false">STDEV(C166:C185)*SQRT(252)*100</f>
        <v>8.48238228971783</v>
      </c>
      <c r="T185" s="18"/>
      <c r="U185" s="18"/>
      <c r="V185" s="17" t="n">
        <f aca="false">(B185-AVERAGE(B166:B185))/STDEV(B166:B185)</f>
        <v>1.18540366397379</v>
      </c>
    </row>
    <row r="186" customFormat="false" ht="15" hidden="false" customHeight="false" outlineLevel="0" collapsed="false">
      <c r="A186" s="17" t="s">
        <v>750</v>
      </c>
      <c r="B186" s="17" t="n">
        <v>5430.27</v>
      </c>
      <c r="C186" s="19" t="n">
        <f aca="false">B186/B185-1</f>
        <v>0.00426467623783799</v>
      </c>
      <c r="D186" s="17" t="n">
        <f aca="false">AVERAGE(B137:B186)</f>
        <v>5280.599</v>
      </c>
      <c r="F186" s="17" t="n">
        <f aca="false">B186*2/13+F185*11/13</f>
        <v>5385.70124053248</v>
      </c>
      <c r="G186" s="17" t="n">
        <f aca="false">B186*2/27+G185*25/27</f>
        <v>5354.20387288219</v>
      </c>
      <c r="H186" s="17" t="n">
        <f aca="false">F186-G186</f>
        <v>31.4973676502868</v>
      </c>
      <c r="I186" s="17" t="n">
        <f aca="false">H186*2/10+I185*8/10</f>
        <v>37.1830732635261</v>
      </c>
      <c r="J186" s="17" t="n">
        <f aca="false">H186-I186</f>
        <v>-5.68570561323924</v>
      </c>
      <c r="K186" s="17" t="n">
        <f aca="false">MAX(B186-B185,0)</f>
        <v>23.0600000000004</v>
      </c>
      <c r="L186" s="17" t="n">
        <f aca="false">MAX(B185-B186,0)</f>
        <v>0</v>
      </c>
      <c r="M186" s="17" t="n">
        <f aca="false">(M185*13+K186)/14</f>
        <v>12.9912119790865</v>
      </c>
      <c r="N186" s="17" t="n">
        <f aca="false">(N185*13+L186)/14</f>
        <v>6.91132303529583</v>
      </c>
      <c r="O186" s="17" t="n">
        <f aca="false">IF(N186=0,100,100-100/(1+M186/N186))</f>
        <v>65.2741571347497</v>
      </c>
      <c r="P186" s="17" t="n">
        <f aca="false">AVERAGE(B167:B186)+2*STDEV(B167:B186)</f>
        <v>5433.72339503363</v>
      </c>
      <c r="Q186" s="17" t="n">
        <f aca="false">AVERAGE(B167:B186)-2*STDEV(B167:B186)</f>
        <v>5327.88960496637</v>
      </c>
      <c r="R186" s="19" t="n">
        <f aca="false">B186/B166-1</f>
        <v>0.007286231285905</v>
      </c>
      <c r="S186" s="17" t="n">
        <f aca="false">STDEV(C167:C186)*SQRT(252)*100</f>
        <v>7.63002535494859</v>
      </c>
      <c r="T186" s="18"/>
      <c r="U186" s="18"/>
      <c r="V186" s="17" t="n">
        <f aca="false">(B186-AVERAGE(B167:B186))/STDEV(B167:B186)</f>
        <v>1.86947854625886</v>
      </c>
    </row>
    <row r="187" customFormat="false" ht="15" hidden="false" customHeight="false" outlineLevel="0" collapsed="false">
      <c r="A187" s="17" t="s">
        <v>751</v>
      </c>
      <c r="B187" s="17" t="n">
        <v>5439.74</v>
      </c>
      <c r="C187" s="19" t="n">
        <f aca="false">B187/B186-1</f>
        <v>0.00174392801831202</v>
      </c>
      <c r="D187" s="17" t="n">
        <f aca="false">AVERAGE(B138:B187)</f>
        <v>5288.2768</v>
      </c>
      <c r="F187" s="17" t="n">
        <f aca="false">B187*2/13+F186*11/13</f>
        <v>5394.01489583517</v>
      </c>
      <c r="G187" s="17" t="n">
        <f aca="false">B187*2/27+G186*25/27</f>
        <v>5360.53988229832</v>
      </c>
      <c r="H187" s="17" t="n">
        <f aca="false">F187-G187</f>
        <v>33.4750135368477</v>
      </c>
      <c r="I187" s="17" t="n">
        <f aca="false">H187*2/10+I186*8/10</f>
        <v>36.4414613181904</v>
      </c>
      <c r="J187" s="17" t="n">
        <f aca="false">H187-I187</f>
        <v>-2.96644778134273</v>
      </c>
      <c r="K187" s="17" t="n">
        <f aca="false">MAX(B187-B186,0)</f>
        <v>9.46999999999935</v>
      </c>
      <c r="L187" s="17" t="n">
        <f aca="false">MAX(B186-B187,0)</f>
        <v>0</v>
      </c>
      <c r="M187" s="17" t="n">
        <f aca="false">(M186*13+K187)/14</f>
        <v>12.7396968377231</v>
      </c>
      <c r="N187" s="17" t="n">
        <f aca="false">(N186*13+L187)/14</f>
        <v>6.41765710420327</v>
      </c>
      <c r="O187" s="17" t="n">
        <f aca="false">IF(N187=0,100,100-100/(1+M187/N187))</f>
        <v>66.5002947502157</v>
      </c>
      <c r="P187" s="17" t="n">
        <f aca="false">AVERAGE(B168:B187)+2*STDEV(B168:B187)</f>
        <v>5442.98289172476</v>
      </c>
      <c r="Q187" s="17" t="n">
        <f aca="false">AVERAGE(B168:B187)-2*STDEV(B168:B187)</f>
        <v>5326.27810827524</v>
      </c>
      <c r="R187" s="19" t="n">
        <f aca="false">B187/B167-1</f>
        <v>0.0142599836666504</v>
      </c>
      <c r="S187" s="17" t="n">
        <f aca="false">STDEV(C168:C187)*SQRT(252)*100</f>
        <v>7.35617981615419</v>
      </c>
      <c r="T187" s="18"/>
      <c r="U187" s="18"/>
      <c r="V187" s="17" t="n">
        <f aca="false">(B187-AVERAGE(B168:B187))/STDEV(B168:B187)</f>
        <v>1.88885145479356</v>
      </c>
    </row>
    <row r="188" customFormat="false" ht="15" hidden="false" customHeight="false" outlineLevel="0" collapsed="false">
      <c r="A188" s="17" t="s">
        <v>752</v>
      </c>
      <c r="B188" s="17" t="n">
        <v>5436.23</v>
      </c>
      <c r="C188" s="19" t="n">
        <f aca="false">B188/B187-1</f>
        <v>-0.000645251427457971</v>
      </c>
      <c r="D188" s="17" t="n">
        <f aca="false">AVERAGE(B139:B188)</f>
        <v>5295.978</v>
      </c>
      <c r="F188" s="17" t="n">
        <f aca="false">B188*2/13+F187*11/13</f>
        <v>5400.50952724515</v>
      </c>
      <c r="G188" s="17" t="n">
        <f aca="false">B188*2/27+G187*25/27</f>
        <v>5366.14655768363</v>
      </c>
      <c r="H188" s="17" t="n">
        <f aca="false">F188-G188</f>
        <v>34.3629695615118</v>
      </c>
      <c r="I188" s="17" t="n">
        <f aca="false">H188*2/10+I187*8/10</f>
        <v>36.0257629668547</v>
      </c>
      <c r="J188" s="17" t="n">
        <f aca="false">H188-I188</f>
        <v>-1.66279340534285</v>
      </c>
      <c r="K188" s="17" t="n">
        <f aca="false">MAX(B188-B187,0)</f>
        <v>0</v>
      </c>
      <c r="L188" s="17" t="n">
        <f aca="false">MAX(B187-B188,0)</f>
        <v>3.51000000000022</v>
      </c>
      <c r="M188" s="17" t="n">
        <f aca="false">(M187*13+K188)/14</f>
        <v>11.8297184921715</v>
      </c>
      <c r="N188" s="17" t="n">
        <f aca="false">(N187*13+L188)/14</f>
        <v>6.20996731104591</v>
      </c>
      <c r="O188" s="17" t="n">
        <f aca="false">IF(N188=0,100,100-100/(1+M188/N188))</f>
        <v>65.5760783264952</v>
      </c>
      <c r="P188" s="17" t="n">
        <f aca="false">AVERAGE(B169:B188)+2*STDEV(B169:B188)</f>
        <v>5450.20121369777</v>
      </c>
      <c r="Q188" s="17" t="n">
        <f aca="false">AVERAGE(B169:B188)-2*STDEV(B169:B188)</f>
        <v>5325.33478630223</v>
      </c>
      <c r="R188" s="19" t="n">
        <f aca="false">B188/B168-1</f>
        <v>0.0116777209555075</v>
      </c>
      <c r="S188" s="17" t="n">
        <f aca="false">STDEV(C169:C188)*SQRT(252)*100</f>
        <v>7.35730831042015</v>
      </c>
      <c r="T188" s="18"/>
      <c r="U188" s="18"/>
      <c r="V188" s="17" t="n">
        <f aca="false">(B188-AVERAGE(B169:B188))/STDEV(B169:B188)</f>
        <v>1.55244291074286</v>
      </c>
    </row>
    <row r="189" customFormat="false" ht="15" hidden="false" customHeight="false" outlineLevel="0" collapsed="false">
      <c r="A189" s="17" t="s">
        <v>753</v>
      </c>
      <c r="B189" s="17" t="n">
        <v>5432.2</v>
      </c>
      <c r="C189" s="19" t="n">
        <f aca="false">B189/B188-1</f>
        <v>-0.000741322570972813</v>
      </c>
      <c r="D189" s="17" t="n">
        <f aca="false">AVERAGE(B140:B189)</f>
        <v>5303.358</v>
      </c>
      <c r="F189" s="17" t="n">
        <f aca="false">B189*2/13+F188*11/13</f>
        <v>5405.38498459205</v>
      </c>
      <c r="G189" s="17" t="n">
        <f aca="false">B189*2/27+G188*25/27</f>
        <v>5371.03940526262</v>
      </c>
      <c r="H189" s="17" t="n">
        <f aca="false">F189-G189</f>
        <v>34.3455793294233</v>
      </c>
      <c r="I189" s="17" t="n">
        <f aca="false">H189*2/10+I188*8/10</f>
        <v>35.6897262393684</v>
      </c>
      <c r="J189" s="17" t="n">
        <f aca="false">H189-I189</f>
        <v>-1.34414690994506</v>
      </c>
      <c r="K189" s="17" t="n">
        <f aca="false">MAX(B189-B188,0)</f>
        <v>0</v>
      </c>
      <c r="L189" s="17" t="n">
        <f aca="false">MAX(B188-B189,0)</f>
        <v>4.02999999999975</v>
      </c>
      <c r="M189" s="17" t="n">
        <f aca="false">(M188*13+K189)/14</f>
        <v>10.9847385998735</v>
      </c>
      <c r="N189" s="17" t="n">
        <f aca="false">(N188*13+L189)/14</f>
        <v>6.0542553602569</v>
      </c>
      <c r="O189" s="17" t="n">
        <f aca="false">IF(N189=0,100,100-100/(1+M189/N189))</f>
        <v>64.4682346010376</v>
      </c>
      <c r="P189" s="17" t="n">
        <f aca="false">AVERAGE(B170:B189)+2*STDEV(B170:B189)</f>
        <v>5455.39687658173</v>
      </c>
      <c r="Q189" s="17" t="n">
        <f aca="false">AVERAGE(B170:B189)-2*STDEV(B170:B189)</f>
        <v>5327.32812341827</v>
      </c>
      <c r="R189" s="19" t="n">
        <f aca="false">B189/B169-1</f>
        <v>0.0134115377655395</v>
      </c>
      <c r="S189" s="17" t="n">
        <f aca="false">STDEV(C170:C189)*SQRT(252)*100</f>
        <v>7.28826380822179</v>
      </c>
      <c r="T189" s="18"/>
      <c r="U189" s="18"/>
      <c r="V189" s="17" t="n">
        <f aca="false">(B189-AVERAGE(B170:B189))/STDEV(B170:B189)</f>
        <v>1.27548676757642</v>
      </c>
    </row>
    <row r="190" customFormat="false" ht="15" hidden="false" customHeight="false" outlineLevel="0" collapsed="false">
      <c r="A190" s="17" t="s">
        <v>754</v>
      </c>
      <c r="B190" s="17" t="n">
        <v>5440.41</v>
      </c>
      <c r="C190" s="19" t="n">
        <f aca="false">B190/B189-1</f>
        <v>0.00151135819741532</v>
      </c>
      <c r="D190" s="17" t="n">
        <f aca="false">AVERAGE(B141:B190)</f>
        <v>5310.8522</v>
      </c>
      <c r="F190" s="17" t="n">
        <f aca="false">B190*2/13+F189*11/13</f>
        <v>5410.77344850096</v>
      </c>
      <c r="G190" s="17" t="n">
        <f aca="false">B190*2/27+G189*25/27</f>
        <v>5376.17796783576</v>
      </c>
      <c r="H190" s="17" t="n">
        <f aca="false">F190-G190</f>
        <v>34.5954806651989</v>
      </c>
      <c r="I190" s="17" t="n">
        <f aca="false">H190*2/10+I189*8/10</f>
        <v>35.4708771245345</v>
      </c>
      <c r="J190" s="17" t="n">
        <f aca="false">H190-I190</f>
        <v>-0.87539645933559</v>
      </c>
      <c r="K190" s="17" t="n">
        <f aca="false">MAX(B190-B189,0)</f>
        <v>8.21000000000004</v>
      </c>
      <c r="L190" s="17" t="n">
        <f aca="false">MAX(B189-B190,0)</f>
        <v>0</v>
      </c>
      <c r="M190" s="17" t="n">
        <f aca="false">(M189*13+K190)/14</f>
        <v>10.7865429855968</v>
      </c>
      <c r="N190" s="17" t="n">
        <f aca="false">(N189*13+L190)/14</f>
        <v>5.62180854880998</v>
      </c>
      <c r="O190" s="17" t="n">
        <f aca="false">IF(N190=0,100,100-100/(1+M190/N190))</f>
        <v>65.7381270932576</v>
      </c>
      <c r="P190" s="17" t="n">
        <f aca="false">AVERAGE(B171:B190)+2*STDEV(B171:B190)</f>
        <v>5460.51057462428</v>
      </c>
      <c r="Q190" s="17" t="n">
        <f aca="false">AVERAGE(B171:B190)-2*STDEV(B171:B190)</f>
        <v>5331.12742537572</v>
      </c>
      <c r="R190" s="19" t="n">
        <f aca="false">B190/B170-1</f>
        <v>0.0166558281383147</v>
      </c>
      <c r="S190" s="17" t="n">
        <f aca="false">STDEV(C171:C190)*SQRT(252)*100</f>
        <v>7.23907333050684</v>
      </c>
      <c r="T190" s="18"/>
      <c r="U190" s="18"/>
      <c r="V190" s="17" t="n">
        <f aca="false">(B190-AVERAGE(B171:B190))/STDEV(B171:B190)</f>
        <v>1.37857210182253</v>
      </c>
    </row>
    <row r="191" customFormat="false" ht="15" hidden="false" customHeight="false" outlineLevel="0" collapsed="false">
      <c r="A191" s="17" t="s">
        <v>755</v>
      </c>
      <c r="B191" s="17" t="n">
        <v>5418.52</v>
      </c>
      <c r="C191" s="19" t="n">
        <f aca="false">B191/B190-1</f>
        <v>-0.00402359381002526</v>
      </c>
      <c r="D191" s="17" t="n">
        <f aca="false">AVERAGE(B142:B191)</f>
        <v>5317.2014</v>
      </c>
      <c r="F191" s="17" t="n">
        <f aca="false">B191*2/13+F190*11/13</f>
        <v>5411.96522565466</v>
      </c>
      <c r="G191" s="17" t="n">
        <f aca="false">B191*2/27+G190*25/27</f>
        <v>5379.31441466274</v>
      </c>
      <c r="H191" s="17" t="n">
        <f aca="false">F191-G191</f>
        <v>32.6508109919168</v>
      </c>
      <c r="I191" s="17" t="n">
        <f aca="false">H191*2/10+I190*8/10</f>
        <v>34.906863898011</v>
      </c>
      <c r="J191" s="17" t="n">
        <f aca="false">H191-I191</f>
        <v>-2.25605290609413</v>
      </c>
      <c r="K191" s="17" t="n">
        <f aca="false">MAX(B191-B190,0)</f>
        <v>0</v>
      </c>
      <c r="L191" s="17" t="n">
        <f aca="false">MAX(B190-B191,0)</f>
        <v>21.8899999999994</v>
      </c>
      <c r="M191" s="17" t="n">
        <f aca="false">(M190*13+K191)/14</f>
        <v>10.0160756294828</v>
      </c>
      <c r="N191" s="17" t="n">
        <f aca="false">(N190*13+L191)/14</f>
        <v>6.78382222389494</v>
      </c>
      <c r="O191" s="17" t="n">
        <f aca="false">IF(N191=0,100,100-100/(1+M191/N191))</f>
        <v>59.6198602925969</v>
      </c>
      <c r="P191" s="17" t="n">
        <f aca="false">AVERAGE(B172:B191)+2*STDEV(B172:B191)</f>
        <v>5461.87525860894</v>
      </c>
      <c r="Q191" s="17" t="n">
        <f aca="false">AVERAGE(B172:B191)-2*STDEV(B172:B191)</f>
        <v>5335.63374139106</v>
      </c>
      <c r="R191" s="19" t="n">
        <f aca="false">B191/B171-1</f>
        <v>0.0109537464947451</v>
      </c>
      <c r="S191" s="17" t="n">
        <f aca="false">STDEV(C172:C191)*SQRT(252)*100</f>
        <v>7.43311366458002</v>
      </c>
      <c r="T191" s="18"/>
      <c r="U191" s="18"/>
      <c r="V191" s="17" t="n">
        <f aca="false">(B191-AVERAGE(B172:B191))/STDEV(B172:B191)</f>
        <v>0.626275743054841</v>
      </c>
    </row>
    <row r="192" customFormat="false" ht="15" hidden="false" customHeight="false" outlineLevel="0" collapsed="false">
      <c r="A192" s="17" t="s">
        <v>756</v>
      </c>
      <c r="B192" s="17" t="n">
        <v>5420.88</v>
      </c>
      <c r="C192" s="19" t="n">
        <f aca="false">B192/B191-1</f>
        <v>0.000435543284882156</v>
      </c>
      <c r="D192" s="17" t="n">
        <f aca="false">AVERAGE(B143:B192)</f>
        <v>5322.5896</v>
      </c>
      <c r="F192" s="17" t="n">
        <f aca="false">B192*2/13+F191*11/13</f>
        <v>5413.3367294001</v>
      </c>
      <c r="G192" s="17" t="n">
        <f aca="false">B192*2/27+G191*25/27</f>
        <v>5382.39334690995</v>
      </c>
      <c r="H192" s="17" t="n">
        <f aca="false">F192-G192</f>
        <v>30.9433824901498</v>
      </c>
      <c r="I192" s="17" t="n">
        <f aca="false">H192*2/10+I191*8/10</f>
        <v>34.1141676164387</v>
      </c>
      <c r="J192" s="17" t="n">
        <f aca="false">H192-I192</f>
        <v>-3.17078512628893</v>
      </c>
      <c r="K192" s="17" t="n">
        <f aca="false">MAX(B192-B191,0)</f>
        <v>2.35999999999967</v>
      </c>
      <c r="L192" s="17" t="n">
        <f aca="false">MAX(B191-B192,0)</f>
        <v>0</v>
      </c>
      <c r="M192" s="17" t="n">
        <f aca="false">(M191*13+K192)/14</f>
        <v>9.46921308451969</v>
      </c>
      <c r="N192" s="17" t="n">
        <f aca="false">(N191*13+L192)/14</f>
        <v>6.29926349361673</v>
      </c>
      <c r="O192" s="17" t="n">
        <f aca="false">IF(N192=0,100,100-100/(1+M192/N192))</f>
        <v>60.0515404110065</v>
      </c>
      <c r="P192" s="17" t="n">
        <f aca="false">AVERAGE(B173:B192)+2*STDEV(B173:B192)</f>
        <v>5463.23251353043</v>
      </c>
      <c r="Q192" s="17" t="n">
        <f aca="false">AVERAGE(B173:B192)-2*STDEV(B173:B192)</f>
        <v>5339.96648646957</v>
      </c>
      <c r="R192" s="19" t="n">
        <f aca="false">B192/B172-1</f>
        <v>0.0106077949582215</v>
      </c>
      <c r="S192" s="17" t="n">
        <f aca="false">STDEV(C173:C192)*SQRT(252)*100</f>
        <v>7.43274688720951</v>
      </c>
      <c r="T192" s="18"/>
      <c r="U192" s="18"/>
      <c r="V192" s="17" t="n">
        <f aca="false">(B192-AVERAGE(B173:B192))/STDEV(B173:B192)</f>
        <v>0.625654950020599</v>
      </c>
    </row>
    <row r="193" customFormat="false" ht="15" hidden="false" customHeight="false" outlineLevel="0" collapsed="false">
      <c r="A193" s="17" t="s">
        <v>757</v>
      </c>
      <c r="B193" s="17" t="n">
        <v>5418.37</v>
      </c>
      <c r="C193" s="19" t="n">
        <f aca="false">B193/B192-1</f>
        <v>-0.000463024453594252</v>
      </c>
      <c r="D193" s="17" t="n">
        <f aca="false">AVERAGE(B144:B193)</f>
        <v>5327.8186</v>
      </c>
      <c r="F193" s="17" t="n">
        <f aca="false">B193*2/13+F192*11/13</f>
        <v>5414.11107872316</v>
      </c>
      <c r="G193" s="17" t="n">
        <f aca="false">B193*2/27+G192*25/27</f>
        <v>5385.05828417588</v>
      </c>
      <c r="H193" s="17" t="n">
        <f aca="false">F193-G193</f>
        <v>29.0527945472822</v>
      </c>
      <c r="I193" s="17" t="n">
        <f aca="false">H193*2/10+I192*8/10</f>
        <v>33.1018930026074</v>
      </c>
      <c r="J193" s="17" t="n">
        <f aca="false">H193-I193</f>
        <v>-4.04909845532519</v>
      </c>
      <c r="K193" s="17" t="n">
        <f aca="false">MAX(B193-B192,0)</f>
        <v>0</v>
      </c>
      <c r="L193" s="17" t="n">
        <f aca="false">MAX(B192-B193,0)</f>
        <v>2.51000000000022</v>
      </c>
      <c r="M193" s="17" t="n">
        <f aca="false">(M192*13+K193)/14</f>
        <v>8.79284072133971</v>
      </c>
      <c r="N193" s="17" t="n">
        <f aca="false">(N192*13+L193)/14</f>
        <v>6.02860181550126</v>
      </c>
      <c r="O193" s="17" t="n">
        <f aca="false">IF(N193=0,100,100-100/(1+M193/N193))</f>
        <v>59.3251345102459</v>
      </c>
      <c r="P193" s="17" t="n">
        <f aca="false">AVERAGE(B174:B193)+2*STDEV(B174:B193)</f>
        <v>5464.82536670095</v>
      </c>
      <c r="Q193" s="17" t="n">
        <f aca="false">AVERAGE(B174:B193)-2*STDEV(B174:B193)</f>
        <v>5341.62063329905</v>
      </c>
      <c r="R193" s="19" t="n">
        <f aca="false">B193/B173-1</f>
        <v>0.00602870458047877</v>
      </c>
      <c r="S193" s="17" t="n">
        <f aca="false">STDEV(C174:C193)*SQRT(252)*100</f>
        <v>7.31925612585974</v>
      </c>
      <c r="T193" s="18"/>
      <c r="U193" s="18"/>
      <c r="V193" s="17" t="n">
        <f aca="false">(B193-AVERAGE(B174:B193))/STDEV(B174:B193)</f>
        <v>0.491766820373387</v>
      </c>
    </row>
    <row r="194" customFormat="false" ht="15" hidden="false" customHeight="false" outlineLevel="0" collapsed="false">
      <c r="A194" s="17" t="s">
        <v>758</v>
      </c>
      <c r="B194" s="17" t="n">
        <v>5421.68</v>
      </c>
      <c r="C194" s="19" t="n">
        <f aca="false">B194/B193-1</f>
        <v>0.000610884823295743</v>
      </c>
      <c r="D194" s="17" t="n">
        <f aca="false">AVERAGE(B145:B194)</f>
        <v>5332.891</v>
      </c>
      <c r="F194" s="17" t="n">
        <f aca="false">B194*2/13+F193*11/13</f>
        <v>5415.27552815037</v>
      </c>
      <c r="G194" s="17" t="n">
        <f aca="false">B194*2/27+G193*25/27</f>
        <v>5387.77100386655</v>
      </c>
      <c r="H194" s="17" t="n">
        <f aca="false">F194-G194</f>
        <v>27.5045242838141</v>
      </c>
      <c r="I194" s="17" t="n">
        <f aca="false">H194*2/10+I193*8/10</f>
        <v>31.9824192588488</v>
      </c>
      <c r="J194" s="17" t="n">
        <f aca="false">H194-I194</f>
        <v>-4.47789497503464</v>
      </c>
      <c r="K194" s="17" t="n">
        <f aca="false">MAX(B194-B193,0)</f>
        <v>3.3100000000004</v>
      </c>
      <c r="L194" s="17" t="n">
        <f aca="false">MAX(B193-B194,0)</f>
        <v>0</v>
      </c>
      <c r="M194" s="17" t="n">
        <f aca="false">(M193*13+K194)/14</f>
        <v>8.40120924124405</v>
      </c>
      <c r="N194" s="17" t="n">
        <f aca="false">(N193*13+L194)/14</f>
        <v>5.59798740010832</v>
      </c>
      <c r="O194" s="17" t="n">
        <f aca="false">IF(N194=0,100,100-100/(1+M194/N194))</f>
        <v>60.0120810963369</v>
      </c>
      <c r="P194" s="17" t="n">
        <f aca="false">AVERAGE(B175:B194)+2*STDEV(B175:B194)</f>
        <v>5466.5710018471</v>
      </c>
      <c r="Q194" s="17" t="n">
        <f aca="false">AVERAGE(B175:B194)-2*STDEV(B175:B194)</f>
        <v>5342.5859981529</v>
      </c>
      <c r="R194" s="19" t="n">
        <f aca="false">B194/B174-1</f>
        <v>0.00502542371310422</v>
      </c>
      <c r="S194" s="17" t="n">
        <f aca="false">STDEV(C175:C194)*SQRT(252)*100</f>
        <v>7.3043156663777</v>
      </c>
      <c r="T194" s="18"/>
      <c r="U194" s="18"/>
      <c r="V194" s="17" t="n">
        <f aca="false">(B194-AVERAGE(B175:B194))/STDEV(B175:B194)</f>
        <v>0.551728015177654</v>
      </c>
    </row>
    <row r="195" customFormat="false" ht="15" hidden="false" customHeight="false" outlineLevel="0" collapsed="false">
      <c r="A195" s="17" t="s">
        <v>759</v>
      </c>
      <c r="B195" s="17" t="n">
        <v>5398.4</v>
      </c>
      <c r="C195" s="19" t="n">
        <f aca="false">B195/B194-1</f>
        <v>-0.00429387201015197</v>
      </c>
      <c r="D195" s="17" t="n">
        <f aca="false">AVERAGE(B146:B195)</f>
        <v>5338.2724</v>
      </c>
      <c r="F195" s="17" t="n">
        <f aca="false">B195*2/13+F194*11/13</f>
        <v>5412.67929305031</v>
      </c>
      <c r="G195" s="17" t="n">
        <f aca="false">B195*2/27+G194*25/27</f>
        <v>5388.55833691347</v>
      </c>
      <c r="H195" s="17" t="n">
        <f aca="false">F195-G195</f>
        <v>24.120956136835</v>
      </c>
      <c r="I195" s="17" t="n">
        <f aca="false">H195*2/10+I194*8/10</f>
        <v>30.410126634446</v>
      </c>
      <c r="J195" s="17" t="n">
        <f aca="false">H195-I195</f>
        <v>-6.28917049761099</v>
      </c>
      <c r="K195" s="17" t="n">
        <f aca="false">MAX(B195-B194,0)</f>
        <v>0</v>
      </c>
      <c r="L195" s="17" t="n">
        <f aca="false">MAX(B194-B195,0)</f>
        <v>23.2800000000007</v>
      </c>
      <c r="M195" s="17" t="n">
        <f aca="false">(M194*13+K195)/14</f>
        <v>7.80112286686947</v>
      </c>
      <c r="N195" s="17" t="n">
        <f aca="false">(N194*13+L195)/14</f>
        <v>6.86098830010063</v>
      </c>
      <c r="O195" s="17" t="n">
        <f aca="false">IF(N195=0,100,100-100/(1+M195/N195))</f>
        <v>53.2059999957125</v>
      </c>
      <c r="P195" s="17" t="n">
        <f aca="false">AVERAGE(B176:B195)+2*STDEV(B176:B195)</f>
        <v>5466.5669585108</v>
      </c>
      <c r="Q195" s="17" t="n">
        <f aca="false">AVERAGE(B176:B195)-2*STDEV(B176:B195)</f>
        <v>5344.21304148921</v>
      </c>
      <c r="R195" s="19" t="n">
        <f aca="false">B195/B175-1</f>
        <v>0.00301551233052821</v>
      </c>
      <c r="S195" s="17" t="n">
        <f aca="false">STDEV(C176:C195)*SQRT(252)*100</f>
        <v>7.43029262888245</v>
      </c>
      <c r="T195" s="18"/>
      <c r="U195" s="18"/>
      <c r="V195" s="17" t="n">
        <f aca="false">(B195-AVERAGE(B176:B195))/STDEV(B176:B195)</f>
        <v>-0.228517408192734</v>
      </c>
    </row>
    <row r="196" customFormat="false" ht="15" hidden="false" customHeight="false" outlineLevel="0" collapsed="false">
      <c r="A196" s="17" t="s">
        <v>760</v>
      </c>
      <c r="B196" s="17" t="n">
        <v>5377.03</v>
      </c>
      <c r="C196" s="19" t="n">
        <f aca="false">B196/B195-1</f>
        <v>-0.00395858032009477</v>
      </c>
      <c r="D196" s="17" t="n">
        <f aca="false">AVERAGE(B147:B196)</f>
        <v>5343.4776</v>
      </c>
      <c r="F196" s="17" t="n">
        <f aca="false">B196*2/13+F195*11/13</f>
        <v>5407.19478642718</v>
      </c>
      <c r="G196" s="17" t="n">
        <f aca="false">B196*2/27+G195*25/27</f>
        <v>5387.704386031</v>
      </c>
      <c r="H196" s="17" t="n">
        <f aca="false">F196-G196</f>
        <v>19.4904003961892</v>
      </c>
      <c r="I196" s="17" t="n">
        <f aca="false">H196*2/10+I195*8/10</f>
        <v>28.2261813867947</v>
      </c>
      <c r="J196" s="17" t="n">
        <f aca="false">H196-I196</f>
        <v>-8.73578099060546</v>
      </c>
      <c r="K196" s="17" t="n">
        <f aca="false">MAX(B196-B195,0)</f>
        <v>0</v>
      </c>
      <c r="L196" s="17" t="n">
        <f aca="false">MAX(B195-B196,0)</f>
        <v>21.3699999999999</v>
      </c>
      <c r="M196" s="17" t="n">
        <f aca="false">(M195*13+K196)/14</f>
        <v>7.24389980495022</v>
      </c>
      <c r="N196" s="17" t="n">
        <f aca="false">(N195*13+L196)/14</f>
        <v>7.89734627866486</v>
      </c>
      <c r="O196" s="17" t="n">
        <f aca="false">IF(N196=0,100,100-100/(1+M196/N196))</f>
        <v>47.8421641451896</v>
      </c>
      <c r="P196" s="17" t="n">
        <f aca="false">AVERAGE(B177:B196)+2*STDEV(B177:B196)</f>
        <v>5465.64574470836</v>
      </c>
      <c r="Q196" s="17" t="n">
        <f aca="false">AVERAGE(B177:B196)-2*STDEV(B177:B196)</f>
        <v>5341.21225529164</v>
      </c>
      <c r="R196" s="19" t="n">
        <f aca="false">B196/B176-1</f>
        <v>-0.00724117239787681</v>
      </c>
      <c r="S196" s="17" t="n">
        <f aca="false">STDEV(C177:C196)*SQRT(252)*100</f>
        <v>7.19076488154452</v>
      </c>
      <c r="T196" s="18"/>
      <c r="U196" s="18"/>
      <c r="V196" s="17" t="n">
        <f aca="false">(B196-AVERAGE(B177:B196))/STDEV(B177:B196)</f>
        <v>-0.848613990453701</v>
      </c>
    </row>
    <row r="197" customFormat="false" ht="15" hidden="false" customHeight="false" outlineLevel="0" collapsed="false">
      <c r="A197" s="17" t="s">
        <v>761</v>
      </c>
      <c r="B197" s="17" t="n">
        <v>5353.59</v>
      </c>
      <c r="C197" s="19" t="n">
        <f aca="false">B197/B196-1</f>
        <v>-0.00435928384256734</v>
      </c>
      <c r="D197" s="17" t="n">
        <f aca="false">AVERAGE(B148:B197)</f>
        <v>5347.4956</v>
      </c>
      <c r="F197" s="17" t="n">
        <f aca="false">B197*2/13+F196*11/13</f>
        <v>5398.94789620762</v>
      </c>
      <c r="G197" s="17" t="n">
        <f aca="false">B197*2/27+G196*25/27</f>
        <v>5385.17739447314</v>
      </c>
      <c r="H197" s="17" t="n">
        <f aca="false">F197-G197</f>
        <v>13.7705017344733</v>
      </c>
      <c r="I197" s="17" t="n">
        <f aca="false">H197*2/10+I196*8/10</f>
        <v>25.3350454563304</v>
      </c>
      <c r="J197" s="17" t="n">
        <f aca="false">H197-I197</f>
        <v>-11.5645437218571</v>
      </c>
      <c r="K197" s="17" t="n">
        <f aca="false">MAX(B197-B196,0)</f>
        <v>0</v>
      </c>
      <c r="L197" s="17" t="n">
        <f aca="false">MAX(B196-B197,0)</f>
        <v>23.4399999999996</v>
      </c>
      <c r="M197" s="17" t="n">
        <f aca="false">(M196*13+K197)/14</f>
        <v>6.72647839031092</v>
      </c>
      <c r="N197" s="17" t="n">
        <f aca="false">(N196*13+L197)/14</f>
        <v>9.00753583018877</v>
      </c>
      <c r="O197" s="17" t="n">
        <f aca="false">IF(N197=0,100,100-100/(1+M197/N197))</f>
        <v>42.7511904847973</v>
      </c>
      <c r="P197" s="17" t="n">
        <f aca="false">AVERAGE(B178:B197)+2*STDEV(B178:B197)</f>
        <v>5466.3990216076</v>
      </c>
      <c r="Q197" s="17" t="n">
        <f aca="false">AVERAGE(B178:B197)-2*STDEV(B178:B197)</f>
        <v>5334.6099783924</v>
      </c>
      <c r="R197" s="19" t="n">
        <f aca="false">B197/B177-1</f>
        <v>-0.0108073051396136</v>
      </c>
      <c r="S197" s="17" t="n">
        <f aca="false">STDEV(C178:C197)*SQRT(252)*100</f>
        <v>7.32986311748236</v>
      </c>
      <c r="T197" s="18"/>
      <c r="U197" s="18"/>
      <c r="V197" s="17" t="n">
        <f aca="false">(B197-AVERAGE(B178:B197))/STDEV(B178:B197)</f>
        <v>-1.42392717498954</v>
      </c>
    </row>
    <row r="198" customFormat="false" ht="15" hidden="false" customHeight="false" outlineLevel="0" collapsed="false">
      <c r="A198" s="17" t="s">
        <v>762</v>
      </c>
      <c r="B198" s="17" t="n">
        <v>5399.2</v>
      </c>
      <c r="C198" s="19" t="n">
        <f aca="false">B198/B197-1</f>
        <v>0.00851951681021523</v>
      </c>
      <c r="D198" s="17" t="n">
        <f aca="false">AVERAGE(B149:B198)</f>
        <v>5352.5256</v>
      </c>
      <c r="F198" s="17" t="n">
        <f aca="false">B198*2/13+F197*11/13</f>
        <v>5398.98668140645</v>
      </c>
      <c r="G198" s="17" t="n">
        <f aca="false">B198*2/27+G197*25/27</f>
        <v>5386.21610599365</v>
      </c>
      <c r="H198" s="17" t="n">
        <f aca="false">F198-G198</f>
        <v>12.7705754127937</v>
      </c>
      <c r="I198" s="17" t="n">
        <f aca="false">H198*2/10+I197*8/10</f>
        <v>22.8221514476231</v>
      </c>
      <c r="J198" s="17" t="n">
        <f aca="false">H198-I198</f>
        <v>-10.0515760348293</v>
      </c>
      <c r="K198" s="17" t="n">
        <f aca="false">MAX(B198-B197,0)</f>
        <v>45.6099999999997</v>
      </c>
      <c r="L198" s="17" t="n">
        <f aca="false">MAX(B197-B198,0)</f>
        <v>0</v>
      </c>
      <c r="M198" s="17" t="n">
        <f aca="false">(M197*13+K198)/14</f>
        <v>9.50387279100298</v>
      </c>
      <c r="N198" s="17" t="n">
        <f aca="false">(N197*13+L198)/14</f>
        <v>8.36414041374671</v>
      </c>
      <c r="O198" s="17" t="n">
        <f aca="false">IF(N198=0,100,100-100/(1+M198/N198))</f>
        <v>53.1893091979395</v>
      </c>
      <c r="P198" s="17" t="n">
        <f aca="false">AVERAGE(B179:B198)+2*STDEV(B179:B198)</f>
        <v>5465.80747094065</v>
      </c>
      <c r="Q198" s="17" t="n">
        <f aca="false">AVERAGE(B179:B198)-2*STDEV(B179:B198)</f>
        <v>5334.24552905935</v>
      </c>
      <c r="R198" s="19" t="n">
        <f aca="false">B198/B178-1</f>
        <v>-0.00176750308758389</v>
      </c>
      <c r="S198" s="17" t="n">
        <f aca="false">STDEV(C179:C198)*SQRT(252)*100</f>
        <v>8.00260935235294</v>
      </c>
      <c r="T198" s="18"/>
      <c r="U198" s="18"/>
      <c r="V198" s="17" t="n">
        <f aca="false">(B198-AVERAGE(B179:B198))/STDEV(B179:B198)</f>
        <v>-0.0251288476950519</v>
      </c>
    </row>
    <row r="199" customFormat="false" ht="15" hidden="false" customHeight="false" outlineLevel="0" collapsed="false">
      <c r="A199" s="17" t="s">
        <v>763</v>
      </c>
      <c r="B199" s="17" t="n">
        <v>5391.66</v>
      </c>
      <c r="C199" s="19" t="n">
        <f aca="false">B199/B198-1</f>
        <v>-0.00139650318565709</v>
      </c>
      <c r="D199" s="17" t="n">
        <f aca="false">AVERAGE(B150:B199)</f>
        <v>5357.1268</v>
      </c>
      <c r="F199" s="17" t="n">
        <f aca="false">B199*2/13+F198*11/13</f>
        <v>5397.85949965161</v>
      </c>
      <c r="G199" s="17" t="n">
        <f aca="false">B199*2/27+G198*25/27</f>
        <v>5386.61935740153</v>
      </c>
      <c r="H199" s="17" t="n">
        <f aca="false">F199-G199</f>
        <v>11.240142250078</v>
      </c>
      <c r="I199" s="17" t="n">
        <f aca="false">H199*2/10+I198*8/10</f>
        <v>20.505749608114</v>
      </c>
      <c r="J199" s="17" t="n">
        <f aca="false">H199-I199</f>
        <v>-9.26560735803609</v>
      </c>
      <c r="K199" s="17" t="n">
        <f aca="false">MAX(B199-B198,0)</f>
        <v>0</v>
      </c>
      <c r="L199" s="17" t="n">
        <f aca="false">MAX(B198-B199,0)</f>
        <v>7.53999999999996</v>
      </c>
      <c r="M199" s="17" t="n">
        <f aca="false">(M198*13+K199)/14</f>
        <v>8.82502473450276</v>
      </c>
      <c r="N199" s="17" t="n">
        <f aca="false">(N198*13+L199)/14</f>
        <v>8.30527324133623</v>
      </c>
      <c r="O199" s="17" t="n">
        <f aca="false">IF(N199=0,100,100-100/(1+M199/N199))</f>
        <v>51.5170532757212</v>
      </c>
      <c r="P199" s="17" t="n">
        <f aca="false">AVERAGE(B180:B199)+2*STDEV(B180:B199)</f>
        <v>5464.51679198281</v>
      </c>
      <c r="Q199" s="17" t="n">
        <f aca="false">AVERAGE(B180:B199)-2*STDEV(B180:B199)</f>
        <v>5333.37120801719</v>
      </c>
      <c r="R199" s="19" t="n">
        <f aca="false">B199/B179-1</f>
        <v>-0.0039994014752528</v>
      </c>
      <c r="S199" s="17" t="n">
        <f aca="false">STDEV(C180:C199)*SQRT(252)*100</f>
        <v>8.00799837246787</v>
      </c>
      <c r="T199" s="18"/>
      <c r="U199" s="18"/>
      <c r="V199" s="17" t="n">
        <f aca="false">(B199-AVERAGE(B180:B199))/STDEV(B180:B199)</f>
        <v>-0.222165315209086</v>
      </c>
    </row>
    <row r="200" customFormat="false" ht="15" hidden="false" customHeight="false" outlineLevel="0" collapsed="false">
      <c r="A200" s="17" t="s">
        <v>764</v>
      </c>
      <c r="B200" s="17" t="n">
        <v>5399.64</v>
      </c>
      <c r="C200" s="19" t="n">
        <f aca="false">B200/B199-1</f>
        <v>0.00148006365386544</v>
      </c>
      <c r="D200" s="17" t="n">
        <f aca="false">AVERAGE(B151:B200)</f>
        <v>5361.7604</v>
      </c>
      <c r="F200" s="17" t="n">
        <f aca="false">B200*2/13+F199*11/13</f>
        <v>5398.13342278213</v>
      </c>
      <c r="G200" s="17" t="n">
        <f aca="false">B200*2/27+G199*25/27</f>
        <v>5387.58384944586</v>
      </c>
      <c r="H200" s="17" t="n">
        <f aca="false">F200-G200</f>
        <v>10.5495733362695</v>
      </c>
      <c r="I200" s="17" t="n">
        <f aca="false">H200*2/10+I199*8/10</f>
        <v>18.5145143537451</v>
      </c>
      <c r="J200" s="17" t="n">
        <f aca="false">H200-I200</f>
        <v>-7.96494101747561</v>
      </c>
      <c r="K200" s="17" t="n">
        <f aca="false">MAX(B200-B199,0)</f>
        <v>7.98000000000047</v>
      </c>
      <c r="L200" s="17" t="n">
        <f aca="false">MAX(B199-B200,0)</f>
        <v>0</v>
      </c>
      <c r="M200" s="17" t="n">
        <f aca="false">(M199*13+K200)/14</f>
        <v>8.76466582489546</v>
      </c>
      <c r="N200" s="17" t="n">
        <f aca="false">(N199*13+L200)/14</f>
        <v>7.71203943838364</v>
      </c>
      <c r="O200" s="17" t="n">
        <f aca="false">IF(N200=0,100,100-100/(1+M200/N200))</f>
        <v>53.1942866297965</v>
      </c>
      <c r="P200" s="17" t="n">
        <f aca="false">AVERAGE(B181:B200)+2*STDEV(B181:B200)</f>
        <v>5459.95270075106</v>
      </c>
      <c r="Q200" s="17" t="n">
        <f aca="false">AVERAGE(B181:B200)-2*STDEV(B181:B200)</f>
        <v>5344.64629924894</v>
      </c>
      <c r="R200" s="19" t="n">
        <f aca="false">B200/B180-1</f>
        <v>0.0125850206187308</v>
      </c>
      <c r="S200" s="17" t="n">
        <f aca="false">STDEV(C181:C200)*SQRT(252)*100</f>
        <v>5.82399475059495</v>
      </c>
      <c r="T200" s="18"/>
      <c r="U200" s="18"/>
      <c r="V200" s="17" t="n">
        <f aca="false">(B200-AVERAGE(B181:B200))/STDEV(B181:B200)</f>
        <v>-0.0922585377864153</v>
      </c>
    </row>
    <row r="201" customFormat="false" ht="15" hidden="false" customHeight="false" outlineLevel="0" collapsed="false">
      <c r="A201" s="17" t="s">
        <v>765</v>
      </c>
      <c r="B201" s="17" t="n">
        <v>5443.53</v>
      </c>
      <c r="C201" s="19" t="n">
        <f aca="false">B201/B200-1</f>
        <v>0.00812831966575534</v>
      </c>
      <c r="D201" s="17" t="n">
        <f aca="false">AVERAGE(B152:B201)</f>
        <v>5366.9134</v>
      </c>
      <c r="F201" s="17" t="n">
        <f aca="false">B201*2/13+F200*11/13</f>
        <v>5405.11751158488</v>
      </c>
      <c r="G201" s="17" t="n">
        <f aca="false">B201*2/27+G200*25/27</f>
        <v>5391.72800874617</v>
      </c>
      <c r="H201" s="17" t="n">
        <f aca="false">F201-G201</f>
        <v>13.3895028387124</v>
      </c>
      <c r="I201" s="17" t="n">
        <f aca="false">H201*2/10+I200*8/10</f>
        <v>17.4895120507386</v>
      </c>
      <c r="J201" s="17" t="n">
        <f aca="false">H201-I201</f>
        <v>-4.10000921202623</v>
      </c>
      <c r="K201" s="17" t="n">
        <f aca="false">MAX(B201-B200,0)</f>
        <v>43.8899999999994</v>
      </c>
      <c r="L201" s="17" t="n">
        <f aca="false">MAX(B200-B201,0)</f>
        <v>0</v>
      </c>
      <c r="M201" s="17" t="n">
        <f aca="false">(M200*13+K201)/14</f>
        <v>11.2736182659743</v>
      </c>
      <c r="N201" s="17" t="n">
        <f aca="false">(N200*13+L201)/14</f>
        <v>7.1611794784991</v>
      </c>
      <c r="O201" s="17" t="n">
        <f aca="false">IF(N201=0,100,100-100/(1+M201/N201))</f>
        <v>61.1540111382781</v>
      </c>
      <c r="P201" s="17" t="n">
        <f aca="false">AVERAGE(B182:B201)+2*STDEV(B182:B201)</f>
        <v>5464.12256625023</v>
      </c>
      <c r="Q201" s="17" t="n">
        <f aca="false">AVERAGE(B182:B201)-2*STDEV(B182:B201)</f>
        <v>5348.07443374978</v>
      </c>
      <c r="R201" s="19" t="n">
        <f aca="false">B201/B181-1</f>
        <v>0.0141554340434649</v>
      </c>
      <c r="S201" s="17" t="n">
        <f aca="false">STDEV(C182:C201)*SQRT(252)*100</f>
        <v>6.05671358430289</v>
      </c>
      <c r="T201" s="18"/>
      <c r="U201" s="18"/>
      <c r="V201" s="17" t="n">
        <f aca="false">(B201-AVERAGE(B182:B201))/STDEV(B182:B201)</f>
        <v>1.29020602722252</v>
      </c>
    </row>
    <row r="202" customFormat="false" ht="15" hidden="false" customHeight="false" outlineLevel="0" collapsed="false">
      <c r="A202" s="17" t="s">
        <v>766</v>
      </c>
      <c r="B202" s="17" t="n">
        <v>5442.05</v>
      </c>
      <c r="C202" s="19" t="n">
        <f aca="false">B202/B201-1</f>
        <v>-0.000271882399839773</v>
      </c>
      <c r="D202" s="17" t="n">
        <f aca="false">AVERAGE(B153:B202)</f>
        <v>5371.8228</v>
      </c>
      <c r="F202" s="17" t="n">
        <f aca="false">B202*2/13+F201*11/13</f>
        <v>5410.79943287951</v>
      </c>
      <c r="G202" s="17" t="n">
        <f aca="false">B202*2/27+G201*25/27</f>
        <v>5395.45556365386</v>
      </c>
      <c r="H202" s="17" t="n">
        <f aca="false">F202-G202</f>
        <v>15.3438692256541</v>
      </c>
      <c r="I202" s="17" t="n">
        <f aca="false">H202*2/10+I201*8/10</f>
        <v>17.0603834857217</v>
      </c>
      <c r="J202" s="17" t="n">
        <f aca="false">H202-I202</f>
        <v>-1.7165142600676</v>
      </c>
      <c r="K202" s="17" t="n">
        <f aca="false">MAX(B202-B201,0)</f>
        <v>0</v>
      </c>
      <c r="L202" s="17" t="n">
        <f aca="false">MAX(B201-B202,0)</f>
        <v>1.47999999999956</v>
      </c>
      <c r="M202" s="17" t="n">
        <f aca="false">(M201*13+K202)/14</f>
        <v>10.4683598184047</v>
      </c>
      <c r="N202" s="17" t="n">
        <f aca="false">(N201*13+L202)/14</f>
        <v>6.75538094432056</v>
      </c>
      <c r="O202" s="17" t="n">
        <f aca="false">IF(N202=0,100,100-100/(1+M202/N202))</f>
        <v>60.7786656953163</v>
      </c>
      <c r="P202" s="17" t="n">
        <f aca="false">AVERAGE(B183:B202)+2*STDEV(B183:B202)</f>
        <v>5465.33209185396</v>
      </c>
      <c r="Q202" s="17" t="n">
        <f aca="false">AVERAGE(B183:B202)-2*STDEV(B183:B202)</f>
        <v>5355.55590814604</v>
      </c>
      <c r="R202" s="19" t="n">
        <f aca="false">B202/B182-1</f>
        <v>0.0162292675821734</v>
      </c>
      <c r="S202" s="17" t="n">
        <f aca="false">STDEV(C183:C202)*SQRT(252)*100</f>
        <v>5.9642921439572</v>
      </c>
      <c r="T202" s="18"/>
      <c r="U202" s="18"/>
      <c r="V202" s="17" t="n">
        <f aca="false">(B202-AVERAGE(B183:B202))/STDEV(B183:B202)</f>
        <v>1.15165235053517</v>
      </c>
    </row>
    <row r="203" customFormat="false" ht="15" hidden="false" customHeight="false" outlineLevel="0" collapsed="false">
      <c r="A203" s="17" t="s">
        <v>767</v>
      </c>
      <c r="B203" s="17" t="n">
        <v>5508.03</v>
      </c>
      <c r="C203" s="19" t="n">
        <f aca="false">B203/B202-1</f>
        <v>0.0121241076432594</v>
      </c>
      <c r="D203" s="17" t="n">
        <f aca="false">AVERAGE(B154:B203)</f>
        <v>5377.7402</v>
      </c>
      <c r="E203" s="17" t="n">
        <f aca="false">AVERAGE(B4:B203)</f>
        <v>4982.444</v>
      </c>
      <c r="F203" s="17" t="n">
        <f aca="false">B203*2/13+F202*11/13</f>
        <v>5425.75798166728</v>
      </c>
      <c r="G203" s="17" t="n">
        <f aca="false">B203*2/27+G202*25/27</f>
        <v>5403.79441079061</v>
      </c>
      <c r="H203" s="17" t="n">
        <f aca="false">F203-G203</f>
        <v>21.9635708766691</v>
      </c>
      <c r="I203" s="17" t="n">
        <f aca="false">H203*2/10+I202*8/10</f>
        <v>18.0410209639112</v>
      </c>
      <c r="J203" s="17" t="n">
        <f aca="false">H203-I203</f>
        <v>3.92254991275794</v>
      </c>
      <c r="K203" s="17" t="n">
        <f aca="false">MAX(B203-B202,0)</f>
        <v>65.9799999999996</v>
      </c>
      <c r="L203" s="17" t="n">
        <f aca="false">MAX(B202-B203,0)</f>
        <v>0</v>
      </c>
      <c r="M203" s="17" t="n">
        <f aca="false">(M202*13+K203)/14</f>
        <v>14.4334769742329</v>
      </c>
      <c r="N203" s="17" t="n">
        <f aca="false">(N202*13+L203)/14</f>
        <v>6.27285373401195</v>
      </c>
      <c r="O203" s="17" t="n">
        <f aca="false">IF(N203=0,100,100-100/(1+M203/N203))</f>
        <v>69.705623741853</v>
      </c>
      <c r="P203" s="17" t="n">
        <f aca="false">AVERAGE(B184:B203)+2*STDEV(B184:B203)</f>
        <v>5483.56265325835</v>
      </c>
      <c r="Q203" s="17" t="n">
        <f aca="false">AVERAGE(B184:B203)-2*STDEV(B184:B203)</f>
        <v>5351.72834674166</v>
      </c>
      <c r="R203" s="19" t="n">
        <f aca="false">B203/B183-1</f>
        <v>0.0268512304250559</v>
      </c>
      <c r="S203" s="17" t="n">
        <f aca="false">STDEV(C184:C203)*SQRT(252)*100</f>
        <v>7.19193102625973</v>
      </c>
      <c r="T203" s="18"/>
      <c r="U203" s="18"/>
      <c r="V203" s="17" t="n">
        <f aca="false">(B203-AVERAGE(B184:B203))/STDEV(B184:B203)</f>
        <v>2.74236660815009</v>
      </c>
    </row>
    <row r="204" customFormat="false" ht="15" hidden="false" customHeight="false" outlineLevel="0" collapsed="false">
      <c r="A204" s="17" t="s">
        <v>768</v>
      </c>
      <c r="B204" s="17" t="n">
        <v>5548.19</v>
      </c>
      <c r="C204" s="19" t="n">
        <f aca="false">B204/B203-1</f>
        <v>0.00729117306913718</v>
      </c>
      <c r="D204" s="17" t="n">
        <f aca="false">AVERAGE(B155:B204)</f>
        <v>5384.1702</v>
      </c>
      <c r="E204" s="17" t="n">
        <f aca="false">AVERAGE(B5:B204)</f>
        <v>4987.54315</v>
      </c>
      <c r="F204" s="17" t="n">
        <f aca="false">B204*2/13+F203*11/13</f>
        <v>5444.59367679539</v>
      </c>
      <c r="G204" s="17" t="n">
        <f aca="false">B204*2/27+G203*25/27</f>
        <v>5414.49038036168</v>
      </c>
      <c r="H204" s="17" t="n">
        <f aca="false">F204-G204</f>
        <v>30.1032964337146</v>
      </c>
      <c r="I204" s="17" t="n">
        <f aca="false">H204*2/10+I203*8/10</f>
        <v>20.4534760578719</v>
      </c>
      <c r="J204" s="17" t="n">
        <f aca="false">H204-I204</f>
        <v>9.64982037584274</v>
      </c>
      <c r="K204" s="17" t="n">
        <f aca="false">MAX(B204-B203,0)</f>
        <v>40.1599999999999</v>
      </c>
      <c r="L204" s="17" t="n">
        <f aca="false">MAX(B203-B204,0)</f>
        <v>0</v>
      </c>
      <c r="M204" s="17" t="n">
        <f aca="false">(M203*13+K204)/14</f>
        <v>16.2710857617877</v>
      </c>
      <c r="N204" s="17" t="n">
        <f aca="false">(N203*13+L204)/14</f>
        <v>5.8247927530111</v>
      </c>
      <c r="O204" s="17" t="n">
        <f aca="false">IF(N204=0,100,100-100/(1+M204/N204))</f>
        <v>73.6385554930078</v>
      </c>
      <c r="P204" s="17" t="n">
        <f aca="false">AVERAGE(B185:B204)+2*STDEV(B185:B204)</f>
        <v>5511.30231060051</v>
      </c>
      <c r="Q204" s="17" t="n">
        <f aca="false">AVERAGE(B185:B204)-2*STDEV(B185:B204)</f>
        <v>5341.3806893995</v>
      </c>
      <c r="R204" s="19" t="n">
        <f aca="false">B204/B184-1</f>
        <v>0.0323616044597683</v>
      </c>
      <c r="S204" s="17" t="n">
        <f aca="false">STDEV(C185:C204)*SQRT(252)*100</f>
        <v>7.49614666248569</v>
      </c>
      <c r="T204" s="18"/>
      <c r="U204" s="18"/>
      <c r="V204" s="17" t="n">
        <f aca="false">(B204-AVERAGE(B185:B204))/STDEV(B185:B204)</f>
        <v>2.86834598537308</v>
      </c>
    </row>
    <row r="205" customFormat="false" ht="15" hidden="false" customHeight="false" outlineLevel="0" collapsed="false">
      <c r="A205" s="17" t="s">
        <v>769</v>
      </c>
      <c r="B205" s="17" t="n">
        <v>5541.09</v>
      </c>
      <c r="C205" s="19" t="n">
        <f aca="false">B205/B204-1</f>
        <v>-0.00127969662178107</v>
      </c>
      <c r="D205" s="17" t="n">
        <f aca="false">AVERAGE(B156:B205)</f>
        <v>5389.8556</v>
      </c>
      <c r="E205" s="17" t="n">
        <f aca="false">AVERAGE(B6:B205)</f>
        <v>4992.47505</v>
      </c>
      <c r="F205" s="17" t="n">
        <f aca="false">B205*2/13+F204*11/13</f>
        <v>5459.43926498072</v>
      </c>
      <c r="G205" s="17" t="n">
        <f aca="false">B205*2/27+G204*25/27</f>
        <v>5423.86812996452</v>
      </c>
      <c r="H205" s="17" t="n">
        <f aca="false">F205-G205</f>
        <v>35.5711350162001</v>
      </c>
      <c r="I205" s="17" t="n">
        <f aca="false">H205*2/10+I204*8/10</f>
        <v>23.4770078495375</v>
      </c>
      <c r="J205" s="17" t="n">
        <f aca="false">H205-I205</f>
        <v>12.0941271666626</v>
      </c>
      <c r="K205" s="17" t="n">
        <f aca="false">MAX(B205-B204,0)</f>
        <v>0</v>
      </c>
      <c r="L205" s="17" t="n">
        <f aca="false">MAX(B204-B205,0)</f>
        <v>7.09999999999945</v>
      </c>
      <c r="M205" s="17" t="n">
        <f aca="false">(M204*13+K205)/14</f>
        <v>15.1088653502314</v>
      </c>
      <c r="N205" s="17" t="n">
        <f aca="false">(N204*13+L205)/14</f>
        <v>5.91587898493884</v>
      </c>
      <c r="O205" s="17" t="n">
        <f aca="false">IF(N205=0,100,100-100/(1+M205/N205))</f>
        <v>71.8623023869892</v>
      </c>
      <c r="P205" s="17" t="n">
        <f aca="false">AVERAGE(B186:B205)+2*STDEV(B186:B205)</f>
        <v>5531.64917802533</v>
      </c>
      <c r="Q205" s="17" t="n">
        <f aca="false">AVERAGE(B186:B205)-2*STDEV(B186:B205)</f>
        <v>5334.42182197467</v>
      </c>
      <c r="R205" s="19" t="n">
        <f aca="false">B205/B185-1</f>
        <v>0.0247595340295643</v>
      </c>
      <c r="S205" s="17" t="n">
        <f aca="false">STDEV(C186:C205)*SQRT(252)*100</f>
        <v>7.36313094821352</v>
      </c>
      <c r="T205" s="18"/>
      <c r="U205" s="18"/>
      <c r="V205" s="17" t="n">
        <f aca="false">(B205-AVERAGE(B186:B205))/STDEV(B186:B205)</f>
        <v>2.19147084184896</v>
      </c>
    </row>
    <row r="206" customFormat="false" ht="15" hidden="false" customHeight="false" outlineLevel="0" collapsed="false">
      <c r="A206" s="17" t="s">
        <v>770</v>
      </c>
      <c r="B206" s="17" t="n">
        <v>5571.28</v>
      </c>
      <c r="C206" s="19" t="n">
        <f aca="false">B206/B205-1</f>
        <v>0.00544838650879154</v>
      </c>
      <c r="D206" s="17" t="n">
        <f aca="false">AVERAGE(B157:B206)</f>
        <v>5395.8598</v>
      </c>
      <c r="E206" s="17" t="n">
        <f aca="false">AVERAGE(B7:B206)</f>
        <v>4997.4434</v>
      </c>
      <c r="F206" s="17" t="n">
        <f aca="false">B206*2/13+F205*11/13</f>
        <v>5476.64553190676</v>
      </c>
      <c r="G206" s="17" t="n">
        <f aca="false">B206*2/27+G205*25/27</f>
        <v>5434.78752774492</v>
      </c>
      <c r="H206" s="17" t="n">
        <f aca="false">F206-G206</f>
        <v>41.8580041618379</v>
      </c>
      <c r="I206" s="17" t="n">
        <f aca="false">H206*2/10+I205*8/10</f>
        <v>27.1532071119976</v>
      </c>
      <c r="J206" s="17" t="n">
        <f aca="false">H206-I206</f>
        <v>14.7047970498403</v>
      </c>
      <c r="K206" s="17" t="n">
        <f aca="false">MAX(B206-B205,0)</f>
        <v>30.1899999999996</v>
      </c>
      <c r="L206" s="17" t="n">
        <f aca="false">MAX(B205-B206,0)</f>
        <v>0</v>
      </c>
      <c r="M206" s="17" t="n">
        <f aca="false">(M205*13+K206)/14</f>
        <v>16.1860892537863</v>
      </c>
      <c r="N206" s="17" t="n">
        <f aca="false">(N205*13+L206)/14</f>
        <v>5.49331620030035</v>
      </c>
      <c r="O206" s="17" t="n">
        <f aca="false">IF(N206=0,100,100-100/(1+M206/N206))</f>
        <v>74.6611307587089</v>
      </c>
      <c r="P206" s="17" t="n">
        <f aca="false">AVERAGE(B187:B206)+2*STDEV(B187:B206)</f>
        <v>5556.43558745545</v>
      </c>
      <c r="Q206" s="17" t="n">
        <f aca="false">AVERAGE(B187:B206)-2*STDEV(B187:B206)</f>
        <v>5323.73641254455</v>
      </c>
      <c r="R206" s="19" t="n">
        <f aca="false">B206/B186-1</f>
        <v>0.0259674012526079</v>
      </c>
      <c r="S206" s="17" t="n">
        <f aca="false">STDEV(C187:C206)*SQRT(252)*100</f>
        <v>7.43934910638948</v>
      </c>
      <c r="T206" s="18"/>
      <c r="U206" s="18"/>
      <c r="V206" s="17" t="n">
        <f aca="false">(B206-AVERAGE(B187:B206))/STDEV(B187:B206)</f>
        <v>2.25516914789642</v>
      </c>
    </row>
    <row r="207" customFormat="false" ht="15" hidden="false" customHeight="false" outlineLevel="0" collapsed="false">
      <c r="A207" s="17" t="s">
        <v>771</v>
      </c>
      <c r="B207" s="17" t="n">
        <v>5583.53</v>
      </c>
      <c r="C207" s="19" t="n">
        <f aca="false">B207/B206-1</f>
        <v>0.00219877658276024</v>
      </c>
      <c r="D207" s="17" t="n">
        <f aca="false">AVERAGE(B158:B207)</f>
        <v>5401.4826</v>
      </c>
      <c r="E207" s="17" t="n">
        <f aca="false">AVERAGE(B8:B207)</f>
        <v>5002.5322</v>
      </c>
      <c r="F207" s="17" t="n">
        <f aca="false">B207*2/13+F206*11/13</f>
        <v>5493.0892962288</v>
      </c>
      <c r="G207" s="17" t="n">
        <f aca="false">B207*2/27+G206*25/27</f>
        <v>5445.8054886527</v>
      </c>
      <c r="H207" s="17" t="n">
        <f aca="false">F207-G207</f>
        <v>47.283807576091</v>
      </c>
      <c r="I207" s="17" t="n">
        <f aca="false">H207*2/10+I206*8/10</f>
        <v>31.1793272048163</v>
      </c>
      <c r="J207" s="17" t="n">
        <f aca="false">H207-I207</f>
        <v>16.1044803712747</v>
      </c>
      <c r="K207" s="17" t="n">
        <f aca="false">MAX(B207-B206,0)</f>
        <v>12.25</v>
      </c>
      <c r="L207" s="17" t="n">
        <f aca="false">MAX(B206-B207,0)</f>
        <v>0</v>
      </c>
      <c r="M207" s="17" t="n">
        <f aca="false">(M206*13+K207)/14</f>
        <v>15.904940021373</v>
      </c>
      <c r="N207" s="17" t="n">
        <f aca="false">(N206*13+L207)/14</f>
        <v>5.10093647170747</v>
      </c>
      <c r="O207" s="17" t="n">
        <f aca="false">IF(N207=0,100,100-100/(1+M207/N207))</f>
        <v>75.7166216159189</v>
      </c>
      <c r="P207" s="17" t="n">
        <f aca="false">AVERAGE(B188:B207)+2*STDEV(B188:B207)</f>
        <v>5580.13403901207</v>
      </c>
      <c r="Q207" s="17" t="n">
        <f aca="false">AVERAGE(B188:B207)-2*STDEV(B188:B207)</f>
        <v>5314.41696098793</v>
      </c>
      <c r="R207" s="19" t="n">
        <f aca="false">B207/B187-1</f>
        <v>0.0264332486479133</v>
      </c>
      <c r="S207" s="17" t="n">
        <f aca="false">STDEV(C188:C207)*SQRT(252)*100</f>
        <v>7.44475572504319</v>
      </c>
      <c r="T207" s="18"/>
      <c r="U207" s="18"/>
      <c r="V207" s="17" t="n">
        <f aca="false">(B207-AVERAGE(B188:B207))/STDEV(B188:B207)</f>
        <v>2.05112145614704</v>
      </c>
    </row>
    <row r="208" customFormat="false" ht="15" hidden="false" customHeight="false" outlineLevel="0" collapsed="false">
      <c r="A208" s="17" t="s">
        <v>772</v>
      </c>
      <c r="B208" s="17" t="n">
        <v>5629.63</v>
      </c>
      <c r="C208" s="19" t="n">
        <f aca="false">B208/B207-1</f>
        <v>0.00825642559456119</v>
      </c>
      <c r="D208" s="17" t="n">
        <f aca="false">AVERAGE(B159:B208)</f>
        <v>5408.0624</v>
      </c>
      <c r="E208" s="17" t="n">
        <f aca="false">AVERAGE(B9:B208)</f>
        <v>5007.6979</v>
      </c>
      <c r="F208" s="17" t="n">
        <f aca="false">B208*2/13+F207*11/13</f>
        <v>5514.09555834744</v>
      </c>
      <c r="G208" s="17" t="n">
        <f aca="false">B208*2/27+G207*25/27</f>
        <v>5459.42211912287</v>
      </c>
      <c r="H208" s="17" t="n">
        <f aca="false">F208-G208</f>
        <v>54.673439224568</v>
      </c>
      <c r="I208" s="17" t="n">
        <f aca="false">H208*2/10+I207*8/10</f>
        <v>35.8781496087666</v>
      </c>
      <c r="J208" s="17" t="n">
        <f aca="false">H208-I208</f>
        <v>18.7952896158014</v>
      </c>
      <c r="K208" s="17" t="n">
        <f aca="false">MAX(B208-B207,0)</f>
        <v>46.1000000000004</v>
      </c>
      <c r="L208" s="17" t="n">
        <f aca="false">MAX(B207-B208,0)</f>
        <v>0</v>
      </c>
      <c r="M208" s="17" t="n">
        <f aca="false">(M207*13+K208)/14</f>
        <v>18.0617300198464</v>
      </c>
      <c r="N208" s="17" t="n">
        <f aca="false">(N207*13+L208)/14</f>
        <v>4.7365838665855</v>
      </c>
      <c r="O208" s="17" t="n">
        <f aca="false">IF(N208=0,100,100-100/(1+M208/N208))</f>
        <v>79.2239729210658</v>
      </c>
      <c r="P208" s="17" t="n">
        <f aca="false">AVERAGE(B189:B208)+2*STDEV(B189:B208)</f>
        <v>5612.6139004002</v>
      </c>
      <c r="Q208" s="17" t="n">
        <f aca="false">AVERAGE(B189:B208)-2*STDEV(B189:B208)</f>
        <v>5301.2770995998</v>
      </c>
      <c r="R208" s="19" t="n">
        <f aca="false">B208/B188-1</f>
        <v>0.0355761253662925</v>
      </c>
      <c r="S208" s="17" t="n">
        <f aca="false">STDEV(C189:C208)*SQRT(252)*100</f>
        <v>7.7960315655212</v>
      </c>
      <c r="T208" s="18"/>
      <c r="U208" s="18"/>
      <c r="V208" s="17" t="n">
        <f aca="false">(B208-AVERAGE(B189:B208))/STDEV(B189:B208)</f>
        <v>2.2186198297927</v>
      </c>
    </row>
    <row r="209" customFormat="false" ht="15" hidden="false" customHeight="false" outlineLevel="0" collapsed="false">
      <c r="A209" s="17" t="s">
        <v>773</v>
      </c>
      <c r="B209" s="17" t="n">
        <v>5644.07</v>
      </c>
      <c r="C209" s="19" t="n">
        <f aca="false">B209/B208-1</f>
        <v>0.00256499983125003</v>
      </c>
      <c r="D209" s="17" t="n">
        <f aca="false">AVERAGE(B160:B209)</f>
        <v>5414.4494</v>
      </c>
      <c r="E209" s="17" t="n">
        <f aca="false">AVERAGE(B10:B209)</f>
        <v>5012.9691</v>
      </c>
      <c r="F209" s="17" t="n">
        <f aca="false">B209*2/13+F208*11/13</f>
        <v>5534.09162629399</v>
      </c>
      <c r="G209" s="17" t="n">
        <f aca="false">B209*2/27+G208*25/27</f>
        <v>5473.09973992859</v>
      </c>
      <c r="H209" s="17" t="n">
        <f aca="false">F209-G209</f>
        <v>60.9918863654029</v>
      </c>
      <c r="I209" s="17" t="n">
        <f aca="false">H209*2/10+I208*8/10</f>
        <v>40.9008969600939</v>
      </c>
      <c r="J209" s="17" t="n">
        <f aca="false">H209-I209</f>
        <v>20.090989405309</v>
      </c>
      <c r="K209" s="17" t="n">
        <f aca="false">MAX(B209-B208,0)</f>
        <v>14.4399999999996</v>
      </c>
      <c r="L209" s="17" t="n">
        <f aca="false">MAX(B208-B209,0)</f>
        <v>0</v>
      </c>
      <c r="M209" s="17" t="n">
        <f aca="false">(M208*13+K209)/14</f>
        <v>17.8030350184288</v>
      </c>
      <c r="N209" s="17" t="n">
        <f aca="false">(N208*13+L209)/14</f>
        <v>4.39825644754368</v>
      </c>
      <c r="O209" s="17" t="n">
        <f aca="false">IF(N209=0,100,100-100/(1+M209/N209))</f>
        <v>80.1891864971692</v>
      </c>
      <c r="P209" s="17" t="n">
        <f aca="false">AVERAGE(B190:B209)+2*STDEV(B190:B209)</f>
        <v>5643.61546997825</v>
      </c>
      <c r="Q209" s="17" t="n">
        <f aca="false">AVERAGE(B190:B209)-2*STDEV(B190:B209)</f>
        <v>5291.46253002175</v>
      </c>
      <c r="R209" s="19" t="n">
        <f aca="false">B209/B189-1</f>
        <v>0.0390026140421929</v>
      </c>
      <c r="S209" s="17" t="n">
        <f aca="false">STDEV(C190:C209)*SQRT(252)*100</f>
        <v>7.74344888201297</v>
      </c>
      <c r="T209" s="18"/>
      <c r="U209" s="18"/>
      <c r="V209" s="17" t="n">
        <f aca="false">(B209-AVERAGE(B190:B209))/STDEV(B190:B209)</f>
        <v>2.00516287067557</v>
      </c>
    </row>
    <row r="210" customFormat="false" ht="15" hidden="false" customHeight="false" outlineLevel="0" collapsed="false">
      <c r="A210" s="17" t="s">
        <v>774</v>
      </c>
      <c r="B210" s="17" t="n">
        <v>5625.16</v>
      </c>
      <c r="C210" s="19" t="n">
        <f aca="false">B210/B209-1</f>
        <v>-0.00335041911244893</v>
      </c>
      <c r="D210" s="17" t="n">
        <f aca="false">AVERAGE(B161:B210)</f>
        <v>5419.938</v>
      </c>
      <c r="E210" s="17" t="n">
        <f aca="false">AVERAGE(B11:B210)</f>
        <v>5017.9965</v>
      </c>
      <c r="F210" s="17" t="n">
        <f aca="false">B210*2/13+F209*11/13</f>
        <v>5548.10214532568</v>
      </c>
      <c r="G210" s="17" t="n">
        <f aca="false">B210*2/27+G209*25/27</f>
        <v>5484.36346289684</v>
      </c>
      <c r="H210" s="17" t="n">
        <f aca="false">F210-G210</f>
        <v>63.7386824288451</v>
      </c>
      <c r="I210" s="17" t="n">
        <f aca="false">H210*2/10+I209*8/10</f>
        <v>45.4684540538441</v>
      </c>
      <c r="J210" s="17" t="n">
        <f aca="false">H210-I210</f>
        <v>18.270228375001</v>
      </c>
      <c r="K210" s="17" t="n">
        <f aca="false">MAX(B210-B209,0)</f>
        <v>0</v>
      </c>
      <c r="L210" s="17" t="n">
        <f aca="false">MAX(B209-B210,0)</f>
        <v>18.9099999999999</v>
      </c>
      <c r="M210" s="17" t="n">
        <f aca="false">(M209*13+K210)/14</f>
        <v>16.5313896599696</v>
      </c>
      <c r="N210" s="17" t="n">
        <f aca="false">(N209*13+L210)/14</f>
        <v>5.43480955843341</v>
      </c>
      <c r="O210" s="17" t="n">
        <f aca="false">IF(N210=0,100,100-100/(1+M210/N210))</f>
        <v>75.2583070726218</v>
      </c>
      <c r="P210" s="17" t="n">
        <f aca="false">AVERAGE(B191:B210)+2*STDEV(B191:B210)</f>
        <v>5665.77143418719</v>
      </c>
      <c r="Q210" s="17" t="n">
        <f aca="false">AVERAGE(B191:B210)-2*STDEV(B191:B210)</f>
        <v>5287.78156581281</v>
      </c>
      <c r="R210" s="19" t="n">
        <f aca="false">B210/B190-1</f>
        <v>0.0339588376611322</v>
      </c>
      <c r="S210" s="17" t="n">
        <f aca="false">STDEV(C191:C210)*SQRT(252)*100</f>
        <v>7.96706918403079</v>
      </c>
      <c r="T210" s="18"/>
      <c r="U210" s="18"/>
      <c r="V210" s="17" t="n">
        <f aca="false">(B210-AVERAGE(B191:B210))/STDEV(B191:B210)</f>
        <v>1.57023785466156</v>
      </c>
    </row>
    <row r="211" customFormat="false" ht="15" hidden="false" customHeight="false" outlineLevel="0" collapsed="false">
      <c r="A211" s="17" t="s">
        <v>775</v>
      </c>
      <c r="B211" s="17" t="n">
        <v>5626.32</v>
      </c>
      <c r="C211" s="19" t="n">
        <f aca="false">B211/B210-1</f>
        <v>0.000206216356512412</v>
      </c>
      <c r="D211" s="17" t="n">
        <f aca="false">AVERAGE(B162:B211)</f>
        <v>5425.4218</v>
      </c>
      <c r="E211" s="17" t="n">
        <f aca="false">AVERAGE(B12:B211)</f>
        <v>5023.1117</v>
      </c>
      <c r="F211" s="17" t="n">
        <f aca="false">B211*2/13+F210*11/13</f>
        <v>5560.13566142942</v>
      </c>
      <c r="G211" s="17" t="n">
        <f aca="false">B211*2/27+G210*25/27</f>
        <v>5494.87876194152</v>
      </c>
      <c r="H211" s="17" t="n">
        <f aca="false">F211-G211</f>
        <v>65.2568994879066</v>
      </c>
      <c r="I211" s="17" t="n">
        <f aca="false">H211*2/10+I210*8/10</f>
        <v>49.4261431406566</v>
      </c>
      <c r="J211" s="17" t="n">
        <f aca="false">H211-I211</f>
        <v>15.83075634725</v>
      </c>
      <c r="K211" s="17" t="n">
        <f aca="false">MAX(B211-B210,0)</f>
        <v>1.15999999999985</v>
      </c>
      <c r="L211" s="17" t="n">
        <f aca="false">MAX(B210-B211,0)</f>
        <v>0</v>
      </c>
      <c r="M211" s="17" t="n">
        <f aca="false">(M210*13+K211)/14</f>
        <v>15.433433255686</v>
      </c>
      <c r="N211" s="17" t="n">
        <f aca="false">(N210*13+L211)/14</f>
        <v>5.04660887568817</v>
      </c>
      <c r="O211" s="17" t="n">
        <f aca="false">IF(N211=0,100,100-100/(1+M211/N211))</f>
        <v>75.358405791768</v>
      </c>
      <c r="P211" s="17" t="n">
        <f aca="false">AVERAGE(B192:B211)+2*STDEV(B192:B211)</f>
        <v>5685.30310946826</v>
      </c>
      <c r="Q211" s="17" t="n">
        <f aca="false">AVERAGE(B192:B211)-2*STDEV(B192:B211)</f>
        <v>5289.02989053174</v>
      </c>
      <c r="R211" s="19" t="n">
        <f aca="false">B211/B191-1</f>
        <v>0.0383499553383579</v>
      </c>
      <c r="S211" s="17" t="n">
        <f aca="false">STDEV(C192:C211)*SQRT(252)*100</f>
        <v>7.70230795611602</v>
      </c>
      <c r="T211" s="18"/>
      <c r="U211" s="18"/>
      <c r="V211" s="17" t="n">
        <f aca="false">(B211-AVERAGE(B192:B211))/STDEV(B192:B211)</f>
        <v>1.40462179476518</v>
      </c>
    </row>
    <row r="212" customFormat="false" ht="15" hidden="false" customHeight="false" outlineLevel="0" collapsed="false">
      <c r="A212" s="17" t="s">
        <v>776</v>
      </c>
      <c r="B212" s="17" t="n">
        <v>5646.09</v>
      </c>
      <c r="C212" s="19" t="n">
        <f aca="false">B212/B211-1</f>
        <v>0.00351384208505756</v>
      </c>
      <c r="D212" s="17" t="n">
        <f aca="false">AVERAGE(B163:B212)</f>
        <v>5431.6962</v>
      </c>
      <c r="E212" s="17" t="n">
        <f aca="false">AVERAGE(B13:B212)</f>
        <v>5028.05615</v>
      </c>
      <c r="F212" s="17" t="n">
        <f aca="false">B212*2/13+F211*11/13</f>
        <v>5573.3594058249</v>
      </c>
      <c r="G212" s="17" t="n">
        <f aca="false">B212*2/27+G211*25/27</f>
        <v>5506.0795943903</v>
      </c>
      <c r="H212" s="17" t="n">
        <f aca="false">F212-G212</f>
        <v>67.2798114346033</v>
      </c>
      <c r="I212" s="17" t="n">
        <f aca="false">H212*2/10+I211*8/10</f>
        <v>52.996876799446</v>
      </c>
      <c r="J212" s="17" t="n">
        <f aca="false">H212-I212</f>
        <v>14.2829346351573</v>
      </c>
      <c r="K212" s="17" t="n">
        <f aca="false">MAX(B212-B211,0)</f>
        <v>19.7700000000004</v>
      </c>
      <c r="L212" s="17" t="n">
        <f aca="false">MAX(B211-B212,0)</f>
        <v>0</v>
      </c>
      <c r="M212" s="17" t="n">
        <f aca="false">(M211*13+K212)/14</f>
        <v>15.743188023137</v>
      </c>
      <c r="N212" s="17" t="n">
        <f aca="false">(N211*13+L212)/14</f>
        <v>4.68613681313901</v>
      </c>
      <c r="O212" s="17" t="n">
        <f aca="false">IF(N212=0,100,100-100/(1+M212/N212))</f>
        <v>77.0617147130682</v>
      </c>
      <c r="P212" s="17" t="n">
        <f aca="false">AVERAGE(B193:B212)+2*STDEV(B193:B212)</f>
        <v>5706.07186515506</v>
      </c>
      <c r="Q212" s="17" t="n">
        <f aca="false">AVERAGE(B193:B212)-2*STDEV(B193:B212)</f>
        <v>5290.78213484494</v>
      </c>
      <c r="R212" s="19" t="n">
        <f aca="false">B212/B192-1</f>
        <v>0.0415449152167176</v>
      </c>
      <c r="S212" s="17" t="n">
        <f aca="false">STDEV(C193:C212)*SQRT(252)*100</f>
        <v>7.70247639183334</v>
      </c>
      <c r="T212" s="18"/>
      <c r="U212" s="18"/>
      <c r="V212" s="17" t="n">
        <f aca="false">(B212-AVERAGE(B193:B212))/STDEV(B193:B212)</f>
        <v>1.42226488374497</v>
      </c>
    </row>
    <row r="213" customFormat="false" ht="15" hidden="false" customHeight="false" outlineLevel="0" collapsed="false">
      <c r="A213" s="17" t="s">
        <v>777</v>
      </c>
      <c r="B213" s="17" t="n">
        <v>5659.07</v>
      </c>
      <c r="C213" s="19" t="n">
        <f aca="false">B213/B212-1</f>
        <v>0.00229893607788756</v>
      </c>
      <c r="D213" s="17" t="n">
        <f aca="false">AVERAGE(B164:B213)</f>
        <v>5438.0114</v>
      </c>
      <c r="E213" s="17" t="n">
        <f aca="false">AVERAGE(B14:B213)</f>
        <v>5033.1164</v>
      </c>
      <c r="F213" s="17" t="n">
        <f aca="false">B213*2/13+F212*11/13</f>
        <v>5586.54565108261</v>
      </c>
      <c r="G213" s="17" t="n">
        <f aca="false">B213*2/27+G212*25/27</f>
        <v>5517.41221702805</v>
      </c>
      <c r="H213" s="17" t="n">
        <f aca="false">F213-G213</f>
        <v>69.1334340545554</v>
      </c>
      <c r="I213" s="17" t="n">
        <f aca="false">H213*2/10+I212*8/10</f>
        <v>56.2241882504679</v>
      </c>
      <c r="J213" s="17" t="n">
        <f aca="false">H213-I213</f>
        <v>12.9092458040876</v>
      </c>
      <c r="K213" s="17" t="n">
        <f aca="false">MAX(B213-B212,0)</f>
        <v>12.9799999999996</v>
      </c>
      <c r="L213" s="17" t="n">
        <f aca="false">MAX(B212-B213,0)</f>
        <v>0</v>
      </c>
      <c r="M213" s="17" t="n">
        <f aca="false">(M212*13+K213)/14</f>
        <v>15.5458174500558</v>
      </c>
      <c r="N213" s="17" t="n">
        <f aca="false">(N212*13+L213)/14</f>
        <v>4.35141275505765</v>
      </c>
      <c r="O213" s="17" t="n">
        <f aca="false">IF(N213=0,100,100-100/(1+M213/N213))</f>
        <v>78.1305603332701</v>
      </c>
      <c r="P213" s="17" t="n">
        <f aca="false">AVERAGE(B194:B213)+2*STDEV(B194:B213)</f>
        <v>5726.30945018549</v>
      </c>
      <c r="Q213" s="17" t="n">
        <f aca="false">AVERAGE(B194:B213)-2*STDEV(B194:B213)</f>
        <v>5294.61454981451</v>
      </c>
      <c r="R213" s="19" t="n">
        <f aca="false">B213/B193-1</f>
        <v>0.0444229537665386</v>
      </c>
      <c r="S213" s="17" t="n">
        <f aca="false">STDEV(C194:C213)*SQRT(252)*100</f>
        <v>7.64521321365936</v>
      </c>
      <c r="T213" s="18"/>
      <c r="U213" s="18"/>
      <c r="V213" s="17" t="n">
        <f aca="false">(B213-AVERAGE(B194:B213))/STDEV(B194:B213)</f>
        <v>1.37697248563549</v>
      </c>
    </row>
    <row r="214" customFormat="false" ht="15" hidden="false" customHeight="false" outlineLevel="0" collapsed="false">
      <c r="A214" s="17" t="s">
        <v>778</v>
      </c>
      <c r="B214" s="17" t="n">
        <v>5678.31</v>
      </c>
      <c r="C214" s="19" t="n">
        <f aca="false">B214/B213-1</f>
        <v>0.00339985191913161</v>
      </c>
      <c r="D214" s="17" t="n">
        <f aca="false">AVERAGE(B165:B214)</f>
        <v>5444.6266</v>
      </c>
      <c r="E214" s="17" t="n">
        <f aca="false">AVERAGE(B15:B214)</f>
        <v>5038.1776</v>
      </c>
      <c r="F214" s="17" t="n">
        <f aca="false">B214*2/13+F213*11/13</f>
        <v>5600.66324322374</v>
      </c>
      <c r="G214" s="17" t="n">
        <f aca="false">B214*2/27+G213*25/27</f>
        <v>5529.33057132227</v>
      </c>
      <c r="H214" s="17" t="n">
        <f aca="false">F214-G214</f>
        <v>71.3326719014749</v>
      </c>
      <c r="I214" s="17" t="n">
        <f aca="false">H214*2/10+I213*8/10</f>
        <v>59.2458849806693</v>
      </c>
      <c r="J214" s="17" t="n">
        <f aca="false">H214-I214</f>
        <v>12.0867869208056</v>
      </c>
      <c r="K214" s="17" t="n">
        <f aca="false">MAX(B214-B213,0)</f>
        <v>19.2400000000007</v>
      </c>
      <c r="L214" s="17" t="n">
        <f aca="false">MAX(B213-B214,0)</f>
        <v>0</v>
      </c>
      <c r="M214" s="17" t="n">
        <f aca="false">(M213*13+K214)/14</f>
        <v>15.8096876321947</v>
      </c>
      <c r="N214" s="17" t="n">
        <f aca="false">(N213*13+L214)/14</f>
        <v>4.04059755826782</v>
      </c>
      <c r="O214" s="17" t="n">
        <f aca="false">IF(N214=0,100,100-100/(1+M214/N214))</f>
        <v>79.6446372457701</v>
      </c>
      <c r="P214" s="17" t="n">
        <f aca="false">AVERAGE(B195:B214)+2*STDEV(B195:B214)</f>
        <v>5747.27697592013</v>
      </c>
      <c r="Q214" s="17" t="n">
        <f aca="false">AVERAGE(B195:B214)-2*STDEV(B195:B214)</f>
        <v>5299.31002407987</v>
      </c>
      <c r="R214" s="19" t="n">
        <f aca="false">B214/B194-1</f>
        <v>0.0473340366823567</v>
      </c>
      <c r="S214" s="17" t="n">
        <f aca="false">STDEV(C195:C214)*SQRT(252)*100</f>
        <v>7.63306276615122</v>
      </c>
      <c r="T214" s="18"/>
      <c r="U214" s="18"/>
      <c r="V214" s="17" t="n">
        <f aca="false">(B214-AVERAGE(B195:B214))/STDEV(B195:B214)</f>
        <v>1.38417800119575</v>
      </c>
    </row>
    <row r="215" customFormat="false" ht="15" hidden="false" customHeight="false" outlineLevel="0" collapsed="false">
      <c r="A215" s="17" t="s">
        <v>779</v>
      </c>
      <c r="B215" s="17" t="n">
        <v>5681.68</v>
      </c>
      <c r="C215" s="19" t="n">
        <f aca="false">B215/B214-1</f>
        <v>0.000593486442268976</v>
      </c>
      <c r="D215" s="17" t="n">
        <f aca="false">AVERAGE(B166:B215)</f>
        <v>5451.654</v>
      </c>
      <c r="E215" s="17" t="n">
        <f aca="false">AVERAGE(B16:B215)</f>
        <v>5043.25635</v>
      </c>
      <c r="F215" s="17" t="n">
        <f aca="false">B215*2/13+F214*11/13</f>
        <v>5613.12735965086</v>
      </c>
      <c r="G215" s="17" t="n">
        <f aca="false">B215*2/27+G214*25/27</f>
        <v>5540.61571418729</v>
      </c>
      <c r="H215" s="17" t="n">
        <f aca="false">F215-G215</f>
        <v>72.5116454635736</v>
      </c>
      <c r="I215" s="17" t="n">
        <f aca="false">H215*2/10+I214*8/10</f>
        <v>61.8990370772501</v>
      </c>
      <c r="J215" s="17" t="n">
        <f aca="false">H215-I215</f>
        <v>10.6126083863235</v>
      </c>
      <c r="K215" s="17" t="n">
        <f aca="false">MAX(B215-B214,0)</f>
        <v>3.36999999999989</v>
      </c>
      <c r="L215" s="17" t="n">
        <f aca="false">MAX(B214-B215,0)</f>
        <v>0</v>
      </c>
      <c r="M215" s="17" t="n">
        <f aca="false">(M214*13+K215)/14</f>
        <v>14.9211385156094</v>
      </c>
      <c r="N215" s="17" t="n">
        <f aca="false">(N214*13+L215)/14</f>
        <v>3.75198344696298</v>
      </c>
      <c r="O215" s="17" t="n">
        <f aca="false">IF(N215=0,100,100-100/(1+M215/N215))</f>
        <v>79.9070372137916</v>
      </c>
      <c r="P215" s="17" t="n">
        <f aca="false">AVERAGE(B196:B215)+2*STDEV(B196:B215)</f>
        <v>5763.9996337249</v>
      </c>
      <c r="Q215" s="17" t="n">
        <f aca="false">AVERAGE(B196:B215)-2*STDEV(B196:B215)</f>
        <v>5310.9153662751</v>
      </c>
      <c r="R215" s="19" t="n">
        <f aca="false">B215/B195-1</f>
        <v>0.0524748073503261</v>
      </c>
      <c r="S215" s="17" t="n">
        <f aca="false">STDEV(C196:C215)*SQRT(252)*100</f>
        <v>7.25886022232118</v>
      </c>
      <c r="T215" s="18"/>
      <c r="U215" s="18"/>
      <c r="V215" s="17" t="n">
        <f aca="false">(B215-AVERAGE(B196:B215))/STDEV(B196:B215)</f>
        <v>1.27325100747162</v>
      </c>
    </row>
    <row r="216" customFormat="false" ht="15" hidden="false" customHeight="false" outlineLevel="0" collapsed="false">
      <c r="A216" s="17" t="s">
        <v>780</v>
      </c>
      <c r="B216" s="17" t="n">
        <v>5674.22</v>
      </c>
      <c r="C216" s="19" t="n">
        <f aca="false">B216/B215-1</f>
        <v>-0.00131299193196377</v>
      </c>
      <c r="D216" s="17" t="n">
        <f aca="false">AVERAGE(B167:B216)</f>
        <v>5457.3186</v>
      </c>
      <c r="E216" s="17" t="n">
        <f aca="false">AVERAGE(B17:B216)</f>
        <v>5048.2669</v>
      </c>
      <c r="F216" s="17" t="n">
        <f aca="false">B216*2/13+F215*11/13</f>
        <v>5622.52622739688</v>
      </c>
      <c r="G216" s="17" t="n">
        <f aca="false">B216*2/27+G215*25/27</f>
        <v>5550.51232795119</v>
      </c>
      <c r="H216" s="17" t="n">
        <f aca="false">F216-G216</f>
        <v>72.0138994456902</v>
      </c>
      <c r="I216" s="17" t="n">
        <f aca="false">H216*2/10+I215*8/10</f>
        <v>63.9220095509381</v>
      </c>
      <c r="J216" s="17" t="n">
        <f aca="false">H216-I216</f>
        <v>8.09188989475205</v>
      </c>
      <c r="K216" s="17" t="n">
        <f aca="false">MAX(B216-B215,0)</f>
        <v>0</v>
      </c>
      <c r="L216" s="17" t="n">
        <f aca="false">MAX(B215-B216,0)</f>
        <v>7.46000000000004</v>
      </c>
      <c r="M216" s="17" t="n">
        <f aca="false">(M215*13+K216)/14</f>
        <v>13.8553429073516</v>
      </c>
      <c r="N216" s="17" t="n">
        <f aca="false">(N215*13+L216)/14</f>
        <v>4.01684177217991</v>
      </c>
      <c r="O216" s="17" t="n">
        <f aca="false">IF(N216=0,100,100-100/(1+M216/N216))</f>
        <v>77.5246180351958</v>
      </c>
      <c r="P216" s="17" t="n">
        <f aca="false">AVERAGE(B197:B216)+2*STDEV(B197:B216)</f>
        <v>5773.47531958125</v>
      </c>
      <c r="Q216" s="17" t="n">
        <f aca="false">AVERAGE(B197:B216)-2*STDEV(B197:B216)</f>
        <v>5331.15868041876</v>
      </c>
      <c r="R216" s="19" t="n">
        <f aca="false">B216/B196-1</f>
        <v>0.0552702886165783</v>
      </c>
      <c r="S216" s="17" t="n">
        <f aca="false">STDEV(C197:C216)*SQRT(252)*100</f>
        <v>6.99936163295732</v>
      </c>
      <c r="T216" s="18"/>
      <c r="U216" s="18"/>
      <c r="V216" s="17" t="n">
        <f aca="false">(B216-AVERAGE(B197:B216))/STDEV(B197:B216)</f>
        <v>1.10240483135176</v>
      </c>
    </row>
    <row r="217" customFormat="false" ht="15" hidden="false" customHeight="false" outlineLevel="0" collapsed="false">
      <c r="A217" s="17" t="s">
        <v>781</v>
      </c>
      <c r="B217" s="17" t="n">
        <v>5686.81</v>
      </c>
      <c r="C217" s="19" t="n">
        <f aca="false">B217/B216-1</f>
        <v>0.00221880716644751</v>
      </c>
      <c r="D217" s="17" t="n">
        <f aca="false">AVERAGE(B168:B217)</f>
        <v>5463.7896</v>
      </c>
      <c r="E217" s="17" t="n">
        <f aca="false">AVERAGE(B18:B217)</f>
        <v>5053.18655</v>
      </c>
      <c r="F217" s="17" t="n">
        <f aca="false">B217*2/13+F216*11/13</f>
        <v>5632.41603856659</v>
      </c>
      <c r="G217" s="17" t="n">
        <f aca="false">B217*2/27+G216*25/27</f>
        <v>5560.60845180666</v>
      </c>
      <c r="H217" s="17" t="n">
        <f aca="false">F217-G217</f>
        <v>71.8075867599337</v>
      </c>
      <c r="I217" s="17" t="n">
        <f aca="false">H217*2/10+I216*8/10</f>
        <v>65.4991249927372</v>
      </c>
      <c r="J217" s="17" t="n">
        <f aca="false">H217-I217</f>
        <v>6.30846176719642</v>
      </c>
      <c r="K217" s="17" t="n">
        <f aca="false">MAX(B217-B216,0)</f>
        <v>12.5900000000001</v>
      </c>
      <c r="L217" s="17" t="n">
        <f aca="false">MAX(B216-B217,0)</f>
        <v>0</v>
      </c>
      <c r="M217" s="17" t="n">
        <f aca="false">(M216*13+K217)/14</f>
        <v>13.7649612711122</v>
      </c>
      <c r="N217" s="17" t="n">
        <f aca="false">(N216*13+L217)/14</f>
        <v>3.72992450273849</v>
      </c>
      <c r="O217" s="17" t="n">
        <f aca="false">IF(N217=0,100,100-100/(1+M217/N217))</f>
        <v>78.6799150851642</v>
      </c>
      <c r="P217" s="17" t="n">
        <f aca="false">AVERAGE(B198:B217)+2*STDEV(B198:B217)</f>
        <v>5776.91089865015</v>
      </c>
      <c r="Q217" s="17" t="n">
        <f aca="false">AVERAGE(B198:B217)-2*STDEV(B198:B217)</f>
        <v>5361.04510134985</v>
      </c>
      <c r="R217" s="19" t="n">
        <f aca="false">B217/B197-1</f>
        <v>0.0622423457903949</v>
      </c>
      <c r="S217" s="17" t="n">
        <f aca="false">STDEV(C198:C217)*SQRT(252)*100</f>
        <v>6.49004391878527</v>
      </c>
      <c r="T217" s="18"/>
      <c r="U217" s="18"/>
      <c r="V217" s="17" t="n">
        <f aca="false">(B217-AVERAGE(B198:B217))/STDEV(B198:B217)</f>
        <v>1.13336562674727</v>
      </c>
    </row>
    <row r="218" customFormat="false" ht="15" hidden="false" customHeight="false" outlineLevel="0" collapsed="false">
      <c r="A218" s="17" t="s">
        <v>782</v>
      </c>
      <c r="B218" s="17" t="n">
        <v>5704.48</v>
      </c>
      <c r="C218" s="19" t="n">
        <f aca="false">B218/B217-1</f>
        <v>0.00310719014702432</v>
      </c>
      <c r="D218" s="17" t="n">
        <f aca="false">AVERAGE(B169:B218)</f>
        <v>5470.4096</v>
      </c>
      <c r="E218" s="17" t="n">
        <f aca="false">AVERAGE(B19:B218)</f>
        <v>5058.1019</v>
      </c>
      <c r="F218" s="17" t="n">
        <f aca="false">B218*2/13+F217*11/13</f>
        <v>5643.50280186404</v>
      </c>
      <c r="G218" s="17" t="n">
        <f aca="false">B218*2/27+G217*25/27</f>
        <v>5571.26560352468</v>
      </c>
      <c r="H218" s="17" t="n">
        <f aca="false">F218-G218</f>
        <v>72.2371983393559</v>
      </c>
      <c r="I218" s="17" t="n">
        <f aca="false">H218*2/10+I217*8/10</f>
        <v>66.846739662061</v>
      </c>
      <c r="J218" s="17" t="n">
        <f aca="false">H218-I218</f>
        <v>5.39045867729496</v>
      </c>
      <c r="K218" s="17" t="n">
        <f aca="false">MAX(B218-B217,0)</f>
        <v>17.6699999999992</v>
      </c>
      <c r="L218" s="17" t="n">
        <f aca="false">MAX(B217-B218,0)</f>
        <v>0</v>
      </c>
      <c r="M218" s="17" t="n">
        <f aca="false">(M217*13+K218)/14</f>
        <v>14.0438926088898</v>
      </c>
      <c r="N218" s="17" t="n">
        <f aca="false">(N217*13+L218)/14</f>
        <v>3.46350132397145</v>
      </c>
      <c r="O218" s="17" t="n">
        <f aca="false">IF(N218=0,100,100-100/(1+M218/N218))</f>
        <v>80.2169224200155</v>
      </c>
      <c r="P218" s="17" t="n">
        <f aca="false">AVERAGE(B199:B218)+2*STDEV(B199:B218)</f>
        <v>5784.37240902056</v>
      </c>
      <c r="Q218" s="17" t="n">
        <f aca="false">AVERAGE(B199:B218)-2*STDEV(B199:B218)</f>
        <v>5384.11159097944</v>
      </c>
      <c r="R218" s="19" t="n">
        <f aca="false">B218/B198-1</f>
        <v>0.0565417098829455</v>
      </c>
      <c r="S218" s="17" t="n">
        <f aca="false">STDEV(C199:C218)*SQRT(252)*100</f>
        <v>6.15894710223577</v>
      </c>
      <c r="T218" s="18"/>
      <c r="U218" s="18"/>
      <c r="V218" s="17" t="n">
        <f aca="false">(B218-AVERAGE(B199:B218))/STDEV(B199:B218)</f>
        <v>1.20159650488344</v>
      </c>
    </row>
    <row r="219" customFormat="false" ht="15" hidden="false" customHeight="false" outlineLevel="0" collapsed="false">
      <c r="A219" s="17" t="s">
        <v>783</v>
      </c>
      <c r="B219" s="17" t="n">
        <v>5724.44</v>
      </c>
      <c r="C219" s="19" t="n">
        <f aca="false">B219/B218-1</f>
        <v>0.00349900429136407</v>
      </c>
      <c r="D219" s="17" t="n">
        <f aca="false">AVERAGE(B170:B219)</f>
        <v>5477.6922</v>
      </c>
      <c r="E219" s="17" t="n">
        <f aca="false">AVERAGE(B20:B219)</f>
        <v>5063.07295</v>
      </c>
      <c r="F219" s="17" t="n">
        <f aca="false">B219*2/13+F218*11/13</f>
        <v>5655.95467850034</v>
      </c>
      <c r="G219" s="17" t="n">
        <f aca="false">B219*2/27+G218*25/27</f>
        <v>5582.61185511545</v>
      </c>
      <c r="H219" s="17" t="n">
        <f aca="false">F219-G219</f>
        <v>73.3428233848917</v>
      </c>
      <c r="I219" s="17" t="n">
        <f aca="false">H219*2/10+I218*8/10</f>
        <v>68.1459564066271</v>
      </c>
      <c r="J219" s="17" t="n">
        <f aca="false">H219-I219</f>
        <v>5.19686697826462</v>
      </c>
      <c r="K219" s="17" t="n">
        <f aca="false">MAX(B219-B218,0)</f>
        <v>19.96</v>
      </c>
      <c r="L219" s="17" t="n">
        <f aca="false">MAX(B218-B219,0)</f>
        <v>0</v>
      </c>
      <c r="M219" s="17" t="n">
        <f aca="false">(M218*13+K219)/14</f>
        <v>14.4664717082548</v>
      </c>
      <c r="N219" s="17" t="n">
        <f aca="false">(N218*13+L219)/14</f>
        <v>3.2161083722592</v>
      </c>
      <c r="O219" s="17" t="n">
        <f aca="false">IF(N219=0,100,100-100/(1+M219/N219))</f>
        <v>81.8119960004971</v>
      </c>
      <c r="P219" s="17" t="n">
        <f aca="false">AVERAGE(B200:B219)+2*STDEV(B200:B219)</f>
        <v>5788.54160292594</v>
      </c>
      <c r="Q219" s="17" t="n">
        <f aca="false">AVERAGE(B200:B219)-2*STDEV(B200:B219)</f>
        <v>5413.22039707406</v>
      </c>
      <c r="R219" s="19" t="n">
        <f aca="false">B219/B199-1</f>
        <v>0.0617212509690892</v>
      </c>
      <c r="S219" s="17" t="n">
        <f aca="false">STDEV(C200:C219)*SQRT(252)*100</f>
        <v>5.96267384027124</v>
      </c>
      <c r="T219" s="18"/>
      <c r="U219" s="18"/>
      <c r="V219" s="17" t="n">
        <f aca="false">(B219-AVERAGE(B200:B219))/STDEV(B200:B219)</f>
        <v>1.31683473327392</v>
      </c>
    </row>
    <row r="220" customFormat="false" ht="15" hidden="false" customHeight="false" outlineLevel="0" collapsed="false">
      <c r="A220" s="17" t="s">
        <v>784</v>
      </c>
      <c r="B220" s="17" t="n">
        <v>5580.55</v>
      </c>
      <c r="C220" s="19" t="n">
        <f aca="false">B220/B219-1</f>
        <v>-0.0251360831801887</v>
      </c>
      <c r="D220" s="17" t="n">
        <f aca="false">AVERAGE(B171:B220)</f>
        <v>5482.2776</v>
      </c>
      <c r="E220" s="17" t="n">
        <f aca="false">AVERAGE(B21:B220)</f>
        <v>5067.1955</v>
      </c>
      <c r="F220" s="17" t="n">
        <f aca="false">B220*2/13+F219*11/13</f>
        <v>5644.35395873106</v>
      </c>
      <c r="G220" s="17" t="n">
        <f aca="false">B220*2/27+G219*25/27</f>
        <v>5582.4591251069</v>
      </c>
      <c r="H220" s="17" t="n">
        <f aca="false">F220-G220</f>
        <v>61.894833624161</v>
      </c>
      <c r="I220" s="17" t="n">
        <f aca="false">H220*2/10+I219*8/10</f>
        <v>66.8957318501339</v>
      </c>
      <c r="J220" s="17" t="n">
        <f aca="false">H220-I220</f>
        <v>-5.00089822597286</v>
      </c>
      <c r="K220" s="17" t="n">
        <f aca="false">MAX(B220-B219,0)</f>
        <v>0</v>
      </c>
      <c r="L220" s="17" t="n">
        <f aca="false">MAX(B219-B220,0)</f>
        <v>143.889999999999</v>
      </c>
      <c r="M220" s="17" t="n">
        <f aca="false">(M219*13+K220)/14</f>
        <v>13.4331523005223</v>
      </c>
      <c r="N220" s="17" t="n">
        <f aca="false">(N219*13+L220)/14</f>
        <v>13.2642434885264</v>
      </c>
      <c r="O220" s="17" t="n">
        <f aca="false">IF(N220=0,100,100-100/(1+M220/N220))</f>
        <v>50.3163394911823</v>
      </c>
      <c r="P220" s="17" t="n">
        <f aca="false">AVERAGE(B201:B220)+2*STDEV(B201:B220)</f>
        <v>5772.50918960424</v>
      </c>
      <c r="Q220" s="17" t="n">
        <f aca="false">AVERAGE(B201:B220)-2*STDEV(B201:B220)</f>
        <v>5447.34381039576</v>
      </c>
      <c r="R220" s="19" t="n">
        <f aca="false">B220/B200-1</f>
        <v>0.033504085457549</v>
      </c>
      <c r="S220" s="17" t="n">
        <f aca="false">STDEV(C201:C220)*SQRT(252)*100</f>
        <v>11.6441377085618</v>
      </c>
      <c r="T220" s="18"/>
      <c r="U220" s="18"/>
      <c r="V220" s="17" t="n">
        <f aca="false">(B220-AVERAGE(B201:B220))/STDEV(B201:B220)</f>
        <v>-0.36137303511842</v>
      </c>
    </row>
    <row r="221" customFormat="false" ht="15" hidden="false" customHeight="false" outlineLevel="0" collapsed="false">
      <c r="A221" s="17" t="s">
        <v>785</v>
      </c>
      <c r="B221" s="17" t="n">
        <v>5626.31</v>
      </c>
      <c r="C221" s="19" t="n">
        <f aca="false">B221/B220-1</f>
        <v>0.00819990861115838</v>
      </c>
      <c r="D221" s="17" t="n">
        <f aca="false">AVERAGE(B172:B221)</f>
        <v>5487.6076</v>
      </c>
      <c r="E221" s="17" t="n">
        <f aca="false">AVERAGE(B22:B221)</f>
        <v>5071.731</v>
      </c>
      <c r="F221" s="17" t="n">
        <f aca="false">B221*2/13+F220*11/13</f>
        <v>5641.57796508013</v>
      </c>
      <c r="G221" s="17" t="n">
        <f aca="false">B221*2/27+G220*25/27</f>
        <v>5585.70733806194</v>
      </c>
      <c r="H221" s="17" t="n">
        <f aca="false">F221-G221</f>
        <v>55.8706270181838</v>
      </c>
      <c r="I221" s="17" t="n">
        <f aca="false">H221*2/10+I220*8/10</f>
        <v>64.6907108837439</v>
      </c>
      <c r="J221" s="17" t="n">
        <f aca="false">H221-I221</f>
        <v>-8.82008386556011</v>
      </c>
      <c r="K221" s="17" t="n">
        <f aca="false">MAX(B221-B220,0)</f>
        <v>45.7600000000002</v>
      </c>
      <c r="L221" s="17" t="n">
        <f aca="false">MAX(B220-B221,0)</f>
        <v>0</v>
      </c>
      <c r="M221" s="17" t="n">
        <f aca="false">(M220*13+K221)/14</f>
        <v>15.742212850485</v>
      </c>
      <c r="N221" s="17" t="n">
        <f aca="false">(N220*13+L221)/14</f>
        <v>12.3167975250602</v>
      </c>
      <c r="O221" s="17" t="n">
        <f aca="false">IF(N221=0,100,100-100/(1+M221/N221))</f>
        <v>56.1039489268842</v>
      </c>
      <c r="P221" s="17" t="n">
        <f aca="false">AVERAGE(B202:B221)+2*STDEV(B202:B221)</f>
        <v>5761.57501546808</v>
      </c>
      <c r="Q221" s="17" t="n">
        <f aca="false">AVERAGE(B202:B221)-2*STDEV(B202:B221)</f>
        <v>5476.55598453192</v>
      </c>
      <c r="R221" s="19" t="n">
        <f aca="false">B221/B201-1</f>
        <v>0.0335774763802166</v>
      </c>
      <c r="S221" s="17" t="n">
        <f aca="false">STDEV(C202:C221)*SQRT(252)*100</f>
        <v>11.6494265160374</v>
      </c>
      <c r="T221" s="18"/>
      <c r="U221" s="18"/>
      <c r="V221" s="17" t="n">
        <f aca="false">(B221-AVERAGE(B202:B221))/STDEV(B202:B221)</f>
        <v>0.101670403919425</v>
      </c>
    </row>
    <row r="222" customFormat="false" ht="15" hidden="false" customHeight="false" outlineLevel="0" collapsed="false">
      <c r="A222" s="17" t="s">
        <v>786</v>
      </c>
      <c r="B222" s="17" t="n">
        <v>5651.56</v>
      </c>
      <c r="C222" s="19" t="n">
        <f aca="false">B222/B221-1</f>
        <v>0.00448784371995137</v>
      </c>
      <c r="D222" s="17" t="n">
        <f aca="false">AVERAGE(B173:B222)</f>
        <v>5493.3592</v>
      </c>
      <c r="E222" s="17" t="n">
        <f aca="false">AVERAGE(B23:B222)</f>
        <v>5076.31715</v>
      </c>
      <c r="F222" s="17" t="n">
        <f aca="false">B222*2/13+F221*11/13</f>
        <v>5643.11366276011</v>
      </c>
      <c r="G222" s="17" t="n">
        <f aca="false">B222*2/27+G221*25/27</f>
        <v>5590.58531302032</v>
      </c>
      <c r="H222" s="17" t="n">
        <f aca="false">F222-G222</f>
        <v>52.5283497397895</v>
      </c>
      <c r="I222" s="17" t="n">
        <f aca="false">H222*2/10+I221*8/10</f>
        <v>62.258238654953</v>
      </c>
      <c r="J222" s="17" t="n">
        <f aca="false">H222-I222</f>
        <v>-9.72988891516349</v>
      </c>
      <c r="K222" s="17" t="n">
        <f aca="false">MAX(B222-B221,0)</f>
        <v>25.25</v>
      </c>
      <c r="L222" s="17" t="n">
        <f aca="false">MAX(B221-B222,0)</f>
        <v>0</v>
      </c>
      <c r="M222" s="17" t="n">
        <f aca="false">(M221*13+K222)/14</f>
        <v>16.4213405040218</v>
      </c>
      <c r="N222" s="17" t="n">
        <f aca="false">(N221*13+L222)/14</f>
        <v>11.4370262732702</v>
      </c>
      <c r="O222" s="17" t="n">
        <f aca="false">IF(N222=0,100,100-100/(1+M222/N222))</f>
        <v>58.9458119899808</v>
      </c>
      <c r="P222" s="17" t="n">
        <f aca="false">AVERAGE(B203:B222)+2*STDEV(B203:B222)</f>
        <v>5745.61198806107</v>
      </c>
      <c r="Q222" s="17" t="n">
        <f aca="false">AVERAGE(B203:B222)-2*STDEV(B203:B222)</f>
        <v>5513.47001193893</v>
      </c>
      <c r="R222" s="19" t="n">
        <f aca="false">B222/B202-1</f>
        <v>0.0384983599930173</v>
      </c>
      <c r="S222" s="17" t="n">
        <f aca="false">STDEV(C203:C222)*SQRT(252)*100</f>
        <v>11.6662397967936</v>
      </c>
      <c r="T222" s="18"/>
      <c r="U222" s="18"/>
      <c r="V222" s="17" t="n">
        <f aca="false">(B222-AVERAGE(B203:B222))/STDEV(B203:B222)</f>
        <v>0.379405747600159</v>
      </c>
    </row>
    <row r="223" customFormat="false" ht="15" hidden="false" customHeight="false" outlineLevel="0" collapsed="false">
      <c r="A223" s="17" t="s">
        <v>787</v>
      </c>
      <c r="B223" s="17" t="n">
        <v>5699.4</v>
      </c>
      <c r="C223" s="19" t="n">
        <f aca="false">B223/B222-1</f>
        <v>0.00846491942047845</v>
      </c>
      <c r="D223" s="17" t="n">
        <f aca="false">AVERAGE(B174:B223)</f>
        <v>5499.6292</v>
      </c>
      <c r="E223" s="17" t="n">
        <f aca="false">AVERAGE(B24:B223)</f>
        <v>5081.0951</v>
      </c>
      <c r="F223" s="17" t="n">
        <f aca="false">B223*2/13+F222*11/13</f>
        <v>5651.77309925855</v>
      </c>
      <c r="G223" s="17" t="n">
        <f aca="false">B223*2/27+G222*25/27</f>
        <v>5598.645660204</v>
      </c>
      <c r="H223" s="17" t="n">
        <f aca="false">F223-G223</f>
        <v>53.1274390545532</v>
      </c>
      <c r="I223" s="17" t="n">
        <f aca="false">H223*2/10+I222*8/10</f>
        <v>60.432078734873</v>
      </c>
      <c r="J223" s="17" t="n">
        <f aca="false">H223-I223</f>
        <v>-7.30463968031986</v>
      </c>
      <c r="K223" s="17" t="n">
        <f aca="false">MAX(B223-B222,0)</f>
        <v>47.8399999999992</v>
      </c>
      <c r="L223" s="17" t="n">
        <f aca="false">MAX(B222-B223,0)</f>
        <v>0</v>
      </c>
      <c r="M223" s="17" t="n">
        <f aca="false">(M222*13+K223)/14</f>
        <v>18.6655304680202</v>
      </c>
      <c r="N223" s="17" t="n">
        <f aca="false">(N222*13+L223)/14</f>
        <v>10.6200958251795</v>
      </c>
      <c r="O223" s="17" t="n">
        <f aca="false">IF(N223=0,100,100-100/(1+M223/N223))</f>
        <v>63.7361491987436</v>
      </c>
      <c r="P223" s="17" t="n">
        <f aca="false">AVERAGE(B204:B223)+2*STDEV(B204:B223)</f>
        <v>5744.018970442</v>
      </c>
      <c r="Q223" s="17" t="n">
        <f aca="false">AVERAGE(B204:B223)-2*STDEV(B204:B223)</f>
        <v>5534.200029558</v>
      </c>
      <c r="R223" s="19" t="n">
        <f aca="false">B223/B203-1</f>
        <v>0.0347438194781073</v>
      </c>
      <c r="S223" s="17" t="n">
        <f aca="false">STDEV(C204:C223)*SQRT(252)*100</f>
        <v>11.3084147618253</v>
      </c>
      <c r="T223" s="18"/>
      <c r="U223" s="18"/>
      <c r="V223" s="17" t="n">
        <f aca="false">(B223-AVERAGE(B204:B223))/STDEV(B204:B223)</f>
        <v>1.14938145709792</v>
      </c>
    </row>
    <row r="224" customFormat="false" ht="15" hidden="false" customHeight="false" outlineLevel="0" collapsed="false">
      <c r="A224" s="17" t="s">
        <v>788</v>
      </c>
      <c r="B224" s="17" t="n">
        <v>5703.35</v>
      </c>
      <c r="C224" s="19" t="n">
        <f aca="false">B224/B223-1</f>
        <v>0.000693055409341392</v>
      </c>
      <c r="D224" s="17" t="n">
        <f aca="false">AVERAGE(B175:B224)</f>
        <v>5505.8048</v>
      </c>
      <c r="E224" s="17" t="n">
        <f aca="false">AVERAGE(B25:B224)</f>
        <v>5085.6558</v>
      </c>
      <c r="F224" s="17" t="n">
        <f aca="false">B224*2/13+F223*11/13</f>
        <v>5659.70800706493</v>
      </c>
      <c r="G224" s="17" t="n">
        <f aca="false">B224*2/27+G223*25/27</f>
        <v>5606.40153722593</v>
      </c>
      <c r="H224" s="17" t="n">
        <f aca="false">F224-G224</f>
        <v>53.3064698390035</v>
      </c>
      <c r="I224" s="17" t="n">
        <f aca="false">H224*2/10+I223*8/10</f>
        <v>59.0069569556991</v>
      </c>
      <c r="J224" s="17" t="n">
        <f aca="false">H224-I224</f>
        <v>-5.70048711669562</v>
      </c>
      <c r="K224" s="17" t="n">
        <f aca="false">MAX(B224-B223,0)</f>
        <v>3.95000000000073</v>
      </c>
      <c r="L224" s="17" t="n">
        <f aca="false">MAX(B223-B224,0)</f>
        <v>0</v>
      </c>
      <c r="M224" s="17" t="n">
        <f aca="false">(M223*13+K224)/14</f>
        <v>17.614421148876</v>
      </c>
      <c r="N224" s="17" t="n">
        <f aca="false">(N223*13+L224)/14</f>
        <v>9.86151755195235</v>
      </c>
      <c r="O224" s="17" t="n">
        <f aca="false">IF(N224=0,100,100-100/(1+M224/N224))</f>
        <v>64.1085327080925</v>
      </c>
      <c r="P224" s="17" t="n">
        <f aca="false">AVERAGE(B205:B224)+2*STDEV(B205:B224)</f>
        <v>5746.27123896918</v>
      </c>
      <c r="Q224" s="17" t="n">
        <f aca="false">AVERAGE(B205:B224)-2*STDEV(B205:B224)</f>
        <v>5547.46376103082</v>
      </c>
      <c r="R224" s="19" t="n">
        <f aca="false">B224/B204-1</f>
        <v>0.0279658771599387</v>
      </c>
      <c r="S224" s="17" t="n">
        <f aca="false">STDEV(C205:C224)*SQRT(252)*100</f>
        <v>11.119284000775</v>
      </c>
      <c r="T224" s="18"/>
      <c r="U224" s="18"/>
      <c r="V224" s="17" t="n">
        <f aca="false">(B224-AVERAGE(B205:B224))/STDEV(B205:B224)</f>
        <v>1.13642606577431</v>
      </c>
    </row>
    <row r="225" customFormat="false" ht="15" hidden="false" customHeight="false" outlineLevel="0" collapsed="false">
      <c r="A225" s="17" t="s">
        <v>789</v>
      </c>
      <c r="B225" s="17" t="n">
        <v>5730.3</v>
      </c>
      <c r="C225" s="19" t="n">
        <f aca="false">B225/B224-1</f>
        <v>0.00472529302953517</v>
      </c>
      <c r="D225" s="17" t="n">
        <f aca="false">AVERAGE(B176:B225)</f>
        <v>5512.7674</v>
      </c>
      <c r="E225" s="17" t="n">
        <f aca="false">AVERAGE(B26:B225)</f>
        <v>5090.3836</v>
      </c>
      <c r="F225" s="17" t="n">
        <f aca="false">B225*2/13+F224*11/13</f>
        <v>5670.56831367033</v>
      </c>
      <c r="G225" s="17" t="n">
        <f aca="false">B225*2/27+G224*25/27</f>
        <v>5615.57920113512</v>
      </c>
      <c r="H225" s="17" t="n">
        <f aca="false">F225-G225</f>
        <v>54.9891125352096</v>
      </c>
      <c r="I225" s="17" t="n">
        <f aca="false">H225*2/10+I224*8/10</f>
        <v>58.2033880716012</v>
      </c>
      <c r="J225" s="17" t="n">
        <f aca="false">H225-I225</f>
        <v>-3.2142755363916</v>
      </c>
      <c r="K225" s="17" t="n">
        <f aca="false">MAX(B225-B224,0)</f>
        <v>26.9499999999998</v>
      </c>
      <c r="L225" s="17" t="n">
        <f aca="false">MAX(B224-B225,0)</f>
        <v>0</v>
      </c>
      <c r="M225" s="17" t="n">
        <f aca="false">(M224*13+K225)/14</f>
        <v>18.2812482096705</v>
      </c>
      <c r="N225" s="17" t="n">
        <f aca="false">(N224*13+L225)/14</f>
        <v>9.15712344109861</v>
      </c>
      <c r="O225" s="17" t="n">
        <f aca="false">IF(N225=0,100,100-100/(1+M225/N225))</f>
        <v>66.6265784367641</v>
      </c>
      <c r="P225" s="17" t="n">
        <f aca="false">AVERAGE(B206:B225)+2*STDEV(B206:B225)</f>
        <v>5749.14056961153</v>
      </c>
      <c r="Q225" s="17" t="n">
        <f aca="false">AVERAGE(B206:B225)-2*STDEV(B206:B225)</f>
        <v>5563.51543038847</v>
      </c>
      <c r="R225" s="19" t="n">
        <f aca="false">B225/B205-1</f>
        <v>0.0341467112066398</v>
      </c>
      <c r="S225" s="17" t="n">
        <f aca="false">STDEV(C206:C225)*SQRT(252)*100</f>
        <v>11.1313861514091</v>
      </c>
      <c r="T225" s="18"/>
      <c r="U225" s="18"/>
      <c r="V225" s="17" t="n">
        <f aca="false">(B225-AVERAGE(B206:B225))/STDEV(B206:B225)</f>
        <v>1.59400823206629</v>
      </c>
    </row>
    <row r="226" customFormat="false" ht="15" hidden="false" customHeight="false" outlineLevel="0" collapsed="false">
      <c r="A226" s="17" t="s">
        <v>790</v>
      </c>
      <c r="B226" s="17" t="n">
        <v>5778.37</v>
      </c>
      <c r="C226" s="19" t="n">
        <f aca="false">B226/B225-1</f>
        <v>0.00838874055459571</v>
      </c>
      <c r="D226" s="17" t="n">
        <f aca="false">AVERAGE(B177:B226)</f>
        <v>5520.0098</v>
      </c>
      <c r="E226" s="17" t="n">
        <f aca="false">AVERAGE(B27:B226)</f>
        <v>5095.2967</v>
      </c>
      <c r="F226" s="17" t="n">
        <f aca="false">B226*2/13+F225*11/13</f>
        <v>5687.15318849027</v>
      </c>
      <c r="G226" s="17" t="n">
        <f aca="false">B226*2/27+G225*25/27</f>
        <v>5627.63777882881</v>
      </c>
      <c r="H226" s="17" t="n">
        <f aca="false">F226-G226</f>
        <v>59.5154096614633</v>
      </c>
      <c r="I226" s="17" t="n">
        <f aca="false">H226*2/10+I225*8/10</f>
        <v>58.4657923895737</v>
      </c>
      <c r="J226" s="17" t="n">
        <f aca="false">H226-I226</f>
        <v>1.04961727188966</v>
      </c>
      <c r="K226" s="17" t="n">
        <f aca="false">MAX(B226-B225,0)</f>
        <v>48.0699999999997</v>
      </c>
      <c r="L226" s="17" t="n">
        <f aca="false">MAX(B225-B226,0)</f>
        <v>0</v>
      </c>
      <c r="M226" s="17" t="n">
        <f aca="false">(M225*13+K226)/14</f>
        <v>20.409016194694</v>
      </c>
      <c r="N226" s="17" t="n">
        <f aca="false">(N225*13+L226)/14</f>
        <v>8.50304319530585</v>
      </c>
      <c r="O226" s="17" t="n">
        <f aca="false">IF(N226=0,100,100-100/(1+M226/N226))</f>
        <v>70.5899774187414</v>
      </c>
      <c r="P226" s="17" t="n">
        <f aca="false">AVERAGE(B207:B226)+2*STDEV(B207:B226)</f>
        <v>5765.55412987802</v>
      </c>
      <c r="Q226" s="17" t="n">
        <f aca="false">AVERAGE(B207:B226)-2*STDEV(B207:B226)</f>
        <v>5567.81087012198</v>
      </c>
      <c r="R226" s="19" t="n">
        <f aca="false">B226/B206-1</f>
        <v>0.0371709912264326</v>
      </c>
      <c r="S226" s="17" t="n">
        <f aca="false">STDEV(C207:C226)*SQRT(252)*100</f>
        <v>11.3100713179025</v>
      </c>
      <c r="T226" s="18"/>
      <c r="U226" s="18"/>
      <c r="V226" s="17" t="n">
        <f aca="false">(B226-AVERAGE(B207:B226))/STDEV(B207:B226)</f>
        <v>2.25924261869229</v>
      </c>
    </row>
    <row r="227" customFormat="false" ht="15" hidden="false" customHeight="false" outlineLevel="0" collapsed="false">
      <c r="A227" s="17" t="s">
        <v>791</v>
      </c>
      <c r="B227" s="17" t="n">
        <v>5788.36</v>
      </c>
      <c r="C227" s="19" t="n">
        <f aca="false">B227/B226-1</f>
        <v>0.00172886125325999</v>
      </c>
      <c r="D227" s="17" t="n">
        <f aca="false">AVERAGE(B178:B227)</f>
        <v>5527.5354</v>
      </c>
      <c r="E227" s="17" t="n">
        <f aca="false">AVERAGE(B28:B227)</f>
        <v>5100.32155</v>
      </c>
      <c r="F227" s="17" t="n">
        <f aca="false">B227*2/13+F226*11/13</f>
        <v>5702.72346718408</v>
      </c>
      <c r="G227" s="17" t="n">
        <f aca="false">B227*2/27+G226*25/27</f>
        <v>5639.5431285452</v>
      </c>
      <c r="H227" s="17" t="n">
        <f aca="false">F227-G227</f>
        <v>63.1803386388829</v>
      </c>
      <c r="I227" s="17" t="n">
        <f aca="false">H227*2/10+I226*8/10</f>
        <v>59.4087016394355</v>
      </c>
      <c r="J227" s="17" t="n">
        <f aca="false">H227-I227</f>
        <v>3.77163699944737</v>
      </c>
      <c r="K227" s="17" t="n">
        <f aca="false">MAX(B227-B226,0)</f>
        <v>9.98999999999978</v>
      </c>
      <c r="L227" s="17" t="n">
        <f aca="false">MAX(B226-B227,0)</f>
        <v>0</v>
      </c>
      <c r="M227" s="17" t="n">
        <f aca="false">(M226*13+K227)/14</f>
        <v>19.6648007522159</v>
      </c>
      <c r="N227" s="17" t="n">
        <f aca="false">(N226*13+L227)/14</f>
        <v>7.89568296706972</v>
      </c>
      <c r="O227" s="17" t="n">
        <f aca="false">IF(N227=0,100,100-100/(1+M227/N227))</f>
        <v>71.3514354555952</v>
      </c>
      <c r="P227" s="17" t="n">
        <f aca="false">AVERAGE(B208:B227)+2*STDEV(B208:B227)</f>
        <v>5781.78220549174</v>
      </c>
      <c r="Q227" s="17" t="n">
        <f aca="false">AVERAGE(B208:B227)-2*STDEV(B208:B227)</f>
        <v>5572.06579450826</v>
      </c>
      <c r="R227" s="19" t="n">
        <f aca="false">B227/B207-1</f>
        <v>0.0366846779725372</v>
      </c>
      <c r="S227" s="17" t="n">
        <f aca="false">STDEV(C208:C227)*SQRT(252)*100</f>
        <v>11.309384250211</v>
      </c>
      <c r="T227" s="18"/>
      <c r="U227" s="18"/>
      <c r="V227" s="17" t="n">
        <f aca="false">(B227-AVERAGE(B208:B227))/STDEV(B208:B227)</f>
        <v>2.12546074915961</v>
      </c>
    </row>
    <row r="228" customFormat="false" ht="15" hidden="false" customHeight="false" outlineLevel="0" collapsed="false">
      <c r="A228" s="17" t="s">
        <v>792</v>
      </c>
      <c r="B228" s="17" t="n">
        <v>5794.63</v>
      </c>
      <c r="C228" s="19" t="n">
        <f aca="false">B228/B227-1</f>
        <v>0.00108320836990106</v>
      </c>
      <c r="D228" s="17" t="n">
        <f aca="false">AVERAGE(B179:B228)</f>
        <v>5535.2528</v>
      </c>
      <c r="E228" s="17" t="n">
        <f aca="false">AVERAGE(B29:B228)</f>
        <v>5105.27815</v>
      </c>
      <c r="F228" s="17" t="n">
        <f aca="false">B228*2/13+F227*11/13</f>
        <v>5716.86293377114</v>
      </c>
      <c r="G228" s="17" t="n">
        <f aca="false">B228*2/27+G227*25/27</f>
        <v>5651.03104494926</v>
      </c>
      <c r="H228" s="17" t="n">
        <f aca="false">F228-G228</f>
        <v>65.8318888218882</v>
      </c>
      <c r="I228" s="17" t="n">
        <f aca="false">H228*2/10+I227*8/10</f>
        <v>60.693339075926</v>
      </c>
      <c r="J228" s="17" t="n">
        <f aca="false">H228-I228</f>
        <v>5.1385497459622</v>
      </c>
      <c r="K228" s="17" t="n">
        <f aca="false">MAX(B228-B227,0)</f>
        <v>6.27000000000044</v>
      </c>
      <c r="L228" s="17" t="n">
        <f aca="false">MAX(B227-B228,0)</f>
        <v>0</v>
      </c>
      <c r="M228" s="17" t="n">
        <f aca="false">(M227*13+K228)/14</f>
        <v>18.7080292699148</v>
      </c>
      <c r="N228" s="17" t="n">
        <f aca="false">(N227*13+L228)/14</f>
        <v>7.33170561227903</v>
      </c>
      <c r="O228" s="17" t="n">
        <f aca="false">IF(N228=0,100,100-100/(1+M228/N228))</f>
        <v>71.8441618340265</v>
      </c>
      <c r="P228" s="17" t="n">
        <f aca="false">AVERAGE(B209:B228)+2*STDEV(B209:B228)</f>
        <v>5799.86730772933</v>
      </c>
      <c r="Q228" s="17" t="n">
        <f aca="false">AVERAGE(B209:B228)-2*STDEV(B209:B228)</f>
        <v>5570.48069227067</v>
      </c>
      <c r="R228" s="19" t="n">
        <f aca="false">B228/B208-1</f>
        <v>0.0293092085980784</v>
      </c>
      <c r="S228" s="17" t="n">
        <f aca="false">STDEV(C209:C228)*SQRT(252)*100</f>
        <v>11.0522581361599</v>
      </c>
      <c r="T228" s="18"/>
      <c r="U228" s="18"/>
      <c r="V228" s="17" t="n">
        <f aca="false">(B228-AVERAGE(B209:B228))/STDEV(B209:B228)</f>
        <v>1.90867282785689</v>
      </c>
    </row>
    <row r="229" customFormat="false" ht="15" hidden="false" customHeight="false" outlineLevel="0" collapsed="false">
      <c r="A229" s="17" t="s">
        <v>793</v>
      </c>
      <c r="B229" s="17" t="n">
        <v>5788.8</v>
      </c>
      <c r="C229" s="19" t="n">
        <f aca="false">B229/B228-1</f>
        <v>-0.00100610392725675</v>
      </c>
      <c r="D229" s="17" t="n">
        <f aca="false">AVERAGE(B180:B229)</f>
        <v>5542.7626</v>
      </c>
      <c r="E229" s="17" t="n">
        <f aca="false">AVERAGE(B30:B229)</f>
        <v>5110.18675</v>
      </c>
      <c r="F229" s="17" t="n">
        <f aca="false">B229*2/13+F228*11/13</f>
        <v>5727.93017472943</v>
      </c>
      <c r="G229" s="17" t="n">
        <f aca="false">B229*2/27+G228*25/27</f>
        <v>5661.23615273079</v>
      </c>
      <c r="H229" s="17" t="n">
        <f aca="false">F229-G229</f>
        <v>66.6940219986363</v>
      </c>
      <c r="I229" s="17" t="n">
        <f aca="false">H229*2/10+I228*8/10</f>
        <v>61.8934756604681</v>
      </c>
      <c r="J229" s="17" t="n">
        <f aca="false">H229-I229</f>
        <v>4.80054633816825</v>
      </c>
      <c r="K229" s="17" t="n">
        <f aca="false">MAX(B229-B228,0)</f>
        <v>0</v>
      </c>
      <c r="L229" s="17" t="n">
        <f aca="false">MAX(B228-B229,0)</f>
        <v>5.82999999999993</v>
      </c>
      <c r="M229" s="17" t="n">
        <f aca="false">(M228*13+K229)/14</f>
        <v>17.3717414649209</v>
      </c>
      <c r="N229" s="17" t="n">
        <f aca="false">(N228*13+L229)/14</f>
        <v>7.22444092568766</v>
      </c>
      <c r="O229" s="17" t="n">
        <f aca="false">IF(N229=0,100,100-100/(1+M229/N229))</f>
        <v>70.6277957653862</v>
      </c>
      <c r="P229" s="17" t="n">
        <f aca="false">AVERAGE(B210:B229)+2*STDEV(B210:B229)</f>
        <v>5814.2262416973</v>
      </c>
      <c r="Q229" s="17" t="n">
        <f aca="false">AVERAGE(B210:B229)-2*STDEV(B210:B229)</f>
        <v>5570.5947583027</v>
      </c>
      <c r="R229" s="19" t="n">
        <f aca="false">B229/B209-1</f>
        <v>0.0256428428421336</v>
      </c>
      <c r="S229" s="17" t="n">
        <f aca="false">STDEV(C210:C229)*SQRT(252)*100</f>
        <v>11.0779414523159</v>
      </c>
      <c r="T229" s="18"/>
      <c r="U229" s="18"/>
      <c r="V229" s="17" t="n">
        <f aca="false">(B229-AVERAGE(B210:B229))/STDEV(B210:B229)</f>
        <v>1.58254587883262</v>
      </c>
    </row>
    <row r="230" customFormat="false" ht="15" hidden="false" customHeight="false" outlineLevel="0" collapsed="false">
      <c r="A230" s="17" t="s">
        <v>794</v>
      </c>
      <c r="B230" s="17" t="n">
        <v>5816.51</v>
      </c>
      <c r="C230" s="19" t="n">
        <f aca="false">B230/B229-1</f>
        <v>0.00478682974018785</v>
      </c>
      <c r="D230" s="17" t="n">
        <f aca="false">AVERAGE(B181:B230)</f>
        <v>5552.4422</v>
      </c>
      <c r="E230" s="17" t="n">
        <f aca="false">AVERAGE(B31:B230)</f>
        <v>5115.1337</v>
      </c>
      <c r="F230" s="17" t="n">
        <f aca="false">B230*2/13+F229*11/13</f>
        <v>5741.55784015567</v>
      </c>
      <c r="G230" s="17" t="n">
        <f aca="false">B230*2/27+G229*25/27</f>
        <v>5672.73791919518</v>
      </c>
      <c r="H230" s="17" t="n">
        <f aca="false">F230-G230</f>
        <v>68.8199209604936</v>
      </c>
      <c r="I230" s="17" t="n">
        <f aca="false">H230*2/10+I229*8/10</f>
        <v>63.2787647204732</v>
      </c>
      <c r="J230" s="17" t="n">
        <f aca="false">H230-I230</f>
        <v>5.54115624002041</v>
      </c>
      <c r="K230" s="17" t="n">
        <f aca="false">MAX(B230-B229,0)</f>
        <v>27.71</v>
      </c>
      <c r="L230" s="17" t="n">
        <f aca="false">MAX(B229-B230,0)</f>
        <v>0</v>
      </c>
      <c r="M230" s="17" t="n">
        <f aca="false">(M229*13+K230)/14</f>
        <v>18.1101885031408</v>
      </c>
      <c r="N230" s="17" t="n">
        <f aca="false">(N229*13+L230)/14</f>
        <v>6.70840943099569</v>
      </c>
      <c r="O230" s="17" t="n">
        <f aca="false">IF(N230=0,100,100-100/(1+M230/N230))</f>
        <v>72.9702320461517</v>
      </c>
      <c r="P230" s="17" t="n">
        <f aca="false">AVERAGE(B211:B230)+2*STDEV(B211:B230)</f>
        <v>5831.37573114419</v>
      </c>
      <c r="Q230" s="17" t="n">
        <f aca="false">AVERAGE(B211:B230)-2*STDEV(B211:B230)</f>
        <v>5572.58026885581</v>
      </c>
      <c r="R230" s="19" t="n">
        <f aca="false">B230/B210-1</f>
        <v>0.0340168101885103</v>
      </c>
      <c r="S230" s="17" t="n">
        <f aca="false">STDEV(C211:C230)*SQRT(252)*100</f>
        <v>11.0021392103905</v>
      </c>
      <c r="T230" s="18"/>
      <c r="U230" s="18"/>
      <c r="V230" s="17" t="n">
        <f aca="false">(B230-AVERAGE(B211:B230))/STDEV(B211:B230)</f>
        <v>1.77023196600532</v>
      </c>
    </row>
    <row r="231" customFormat="false" ht="15" hidden="false" customHeight="false" outlineLevel="0" collapsed="false">
      <c r="A231" s="17" t="s">
        <v>795</v>
      </c>
      <c r="B231" s="17" t="n">
        <v>5881.46</v>
      </c>
      <c r="C231" s="19" t="n">
        <f aca="false">B231/B230-1</f>
        <v>0.0111664898710739</v>
      </c>
      <c r="D231" s="17" t="n">
        <f aca="false">AVERAGE(B182:B231)</f>
        <v>5562.7204</v>
      </c>
      <c r="E231" s="17" t="n">
        <f aca="false">AVERAGE(B32:B231)</f>
        <v>5120.55505</v>
      </c>
      <c r="F231" s="17" t="n">
        <f aca="false">B231*2/13+F230*11/13</f>
        <v>5763.08124936249</v>
      </c>
      <c r="G231" s="17" t="n">
        <f aca="false">B231*2/27+G230*25/27</f>
        <v>5688.19881406961</v>
      </c>
      <c r="H231" s="17" t="n">
        <f aca="false">F231-G231</f>
        <v>74.8824352928814</v>
      </c>
      <c r="I231" s="17" t="n">
        <f aca="false">H231*2/10+I230*8/10</f>
        <v>65.5994988349548</v>
      </c>
      <c r="J231" s="17" t="n">
        <f aca="false">H231-I231</f>
        <v>9.28293645792654</v>
      </c>
      <c r="K231" s="17" t="n">
        <f aca="false">MAX(B231-B230,0)</f>
        <v>64.9499999999998</v>
      </c>
      <c r="L231" s="17" t="n">
        <f aca="false">MAX(B230-B231,0)</f>
        <v>0</v>
      </c>
      <c r="M231" s="17" t="n">
        <f aca="false">(M230*13+K231)/14</f>
        <v>21.455889324345</v>
      </c>
      <c r="N231" s="17" t="n">
        <f aca="false">(N230*13+L231)/14</f>
        <v>6.22923732878171</v>
      </c>
      <c r="O231" s="17" t="n">
        <f aca="false">IF(N231=0,100,100-100/(1+M231/N231))</f>
        <v>77.4996971954319</v>
      </c>
      <c r="P231" s="17" t="n">
        <f aca="false">AVERAGE(B212:B231)+2*STDEV(B212:B231)</f>
        <v>5861.82448604595</v>
      </c>
      <c r="Q231" s="17" t="n">
        <f aca="false">AVERAGE(B212:B231)-2*STDEV(B212:B231)</f>
        <v>5567.64551395405</v>
      </c>
      <c r="R231" s="19" t="n">
        <f aca="false">B231/B211-1</f>
        <v>0.0453475806566281</v>
      </c>
      <c r="S231" s="17" t="n">
        <f aca="false">STDEV(C212:C231)*SQRT(252)*100</f>
        <v>11.4825426528624</v>
      </c>
      <c r="T231" s="18"/>
      <c r="U231" s="18"/>
      <c r="V231" s="17" t="n">
        <f aca="false">(B231-AVERAGE(B212:B231))/STDEV(B212:B231)</f>
        <v>2.26698732155351</v>
      </c>
    </row>
    <row r="232" customFormat="false" ht="15" hidden="false" customHeight="false" outlineLevel="0" collapsed="false">
      <c r="A232" s="17" t="s">
        <v>796</v>
      </c>
      <c r="B232" s="17" t="n">
        <v>5878.12</v>
      </c>
      <c r="C232" s="19" t="n">
        <f aca="false">B232/B231-1</f>
        <v>-0.000567886205125934</v>
      </c>
      <c r="D232" s="17" t="n">
        <f aca="false">AVERAGE(B183:B232)</f>
        <v>5573.18</v>
      </c>
      <c r="E232" s="17" t="n">
        <f aca="false">AVERAGE(B33:B232)</f>
        <v>5125.9184</v>
      </c>
      <c r="F232" s="17" t="n">
        <f aca="false">B232*2/13+F231*11/13</f>
        <v>5780.77951869134</v>
      </c>
      <c r="G232" s="17" t="n">
        <f aca="false">B232*2/27+G231*25/27</f>
        <v>5702.26705006445</v>
      </c>
      <c r="H232" s="17" t="n">
        <f aca="false">F232-G232</f>
        <v>78.5124686268855</v>
      </c>
      <c r="I232" s="17" t="n">
        <f aca="false">H232*2/10+I231*8/10</f>
        <v>68.182092793341</v>
      </c>
      <c r="J232" s="17" t="n">
        <f aca="false">H232-I232</f>
        <v>10.3303758335445</v>
      </c>
      <c r="K232" s="17" t="n">
        <f aca="false">MAX(B232-B231,0)</f>
        <v>0</v>
      </c>
      <c r="L232" s="17" t="n">
        <f aca="false">MAX(B231-B232,0)</f>
        <v>3.34000000000015</v>
      </c>
      <c r="M232" s="17" t="n">
        <f aca="false">(M231*13+K232)/14</f>
        <v>19.9233258011775</v>
      </c>
      <c r="N232" s="17" t="n">
        <f aca="false">(N231*13+L232)/14</f>
        <v>6.02286323386874</v>
      </c>
      <c r="O232" s="17" t="n">
        <f aca="false">IF(N232=0,100,100-100/(1+M232/N232))</f>
        <v>76.7870987691738</v>
      </c>
      <c r="P232" s="17" t="n">
        <f aca="false">AVERAGE(B213:B232)+2*STDEV(B213:B232)</f>
        <v>5886.63778308578</v>
      </c>
      <c r="Q232" s="17" t="n">
        <f aca="false">AVERAGE(B213:B232)-2*STDEV(B213:B232)</f>
        <v>5566.03521691422</v>
      </c>
      <c r="R232" s="19" t="n">
        <f aca="false">B232/B212-1</f>
        <v>0.0410956963137321</v>
      </c>
      <c r="S232" s="17" t="n">
        <f aca="false">STDEV(C213:C232)*SQRT(252)*100</f>
        <v>11.5140892982299</v>
      </c>
      <c r="T232" s="18"/>
      <c r="U232" s="18"/>
      <c r="V232" s="17" t="n">
        <f aca="false">(B232-AVERAGE(B213:B232))/STDEV(B213:B232)</f>
        <v>1.89372782398477</v>
      </c>
    </row>
    <row r="233" customFormat="false" ht="15" hidden="false" customHeight="false" outlineLevel="0" collapsed="false">
      <c r="A233" s="17" t="s">
        <v>797</v>
      </c>
      <c r="B233" s="17" t="n">
        <v>5856.77</v>
      </c>
      <c r="C233" s="19" t="n">
        <f aca="false">B233/B232-1</f>
        <v>-0.00363211366899607</v>
      </c>
      <c r="D233" s="17" t="n">
        <f aca="false">AVERAGE(B184:B233)</f>
        <v>5583.0354</v>
      </c>
      <c r="E233" s="17" t="n">
        <f aca="false">AVERAGE(B34:B233)</f>
        <v>5131.15885</v>
      </c>
      <c r="F233" s="17" t="n">
        <f aca="false">B233*2/13+F232*11/13</f>
        <v>5792.47036196959</v>
      </c>
      <c r="G233" s="17" t="n">
        <f aca="false">B233*2/27+G232*25/27</f>
        <v>5713.71171302264</v>
      </c>
      <c r="H233" s="17" t="n">
        <f aca="false">F233-G233</f>
        <v>78.7586489469522</v>
      </c>
      <c r="I233" s="17" t="n">
        <f aca="false">H233*2/10+I232*8/10</f>
        <v>70.2974040240632</v>
      </c>
      <c r="J233" s="17" t="n">
        <f aca="false">H233-I233</f>
        <v>8.46124492288901</v>
      </c>
      <c r="K233" s="17" t="n">
        <f aca="false">MAX(B233-B232,0)</f>
        <v>0</v>
      </c>
      <c r="L233" s="17" t="n">
        <f aca="false">MAX(B232-B233,0)</f>
        <v>21.3499999999995</v>
      </c>
      <c r="M233" s="17" t="n">
        <f aca="false">(M232*13+K233)/14</f>
        <v>18.5002311010934</v>
      </c>
      <c r="N233" s="17" t="n">
        <f aca="false">(N232*13+L233)/14</f>
        <v>7.11765871716379</v>
      </c>
      <c r="O233" s="17" t="n">
        <f aca="false">IF(N233=0,100,100-100/(1+M233/N233))</f>
        <v>72.2160616363834</v>
      </c>
      <c r="P233" s="17" t="n">
        <f aca="false">AVERAGE(B214:B233)+2*STDEV(B214:B233)</f>
        <v>5903.29679525715</v>
      </c>
      <c r="Q233" s="17" t="n">
        <f aca="false">AVERAGE(B214:B233)-2*STDEV(B214:B233)</f>
        <v>5569.14620474285</v>
      </c>
      <c r="R233" s="19" t="n">
        <f aca="false">B233/B213-1</f>
        <v>0.034935068836399</v>
      </c>
      <c r="S233" s="17" t="n">
        <f aca="false">STDEV(C214:C233)*SQRT(252)*100</f>
        <v>11.68763193859</v>
      </c>
      <c r="T233" s="18"/>
      <c r="U233" s="18"/>
      <c r="V233" s="17" t="n">
        <f aca="false">(B233-AVERAGE(B214:B233))/STDEV(B214:B233)</f>
        <v>1.44304398582043</v>
      </c>
    </row>
    <row r="234" customFormat="false" ht="15" hidden="false" customHeight="false" outlineLevel="0" collapsed="false">
      <c r="A234" s="17" t="s">
        <v>798</v>
      </c>
      <c r="B234" s="17" t="n">
        <v>5877.59</v>
      </c>
      <c r="C234" s="19" t="n">
        <f aca="false">B234/B233-1</f>
        <v>0.00355486044355491</v>
      </c>
      <c r="D234" s="17" t="n">
        <f aca="false">AVERAGE(B185:B234)</f>
        <v>5593.1018</v>
      </c>
      <c r="E234" s="17" t="n">
        <f aca="false">AVERAGE(B35:B234)</f>
        <v>5136.5161</v>
      </c>
      <c r="F234" s="17" t="n">
        <f aca="false">B234*2/13+F233*11/13</f>
        <v>5805.56569089735</v>
      </c>
      <c r="G234" s="17" t="n">
        <f aca="false">B234*2/27+G233*25/27</f>
        <v>5725.85084539134</v>
      </c>
      <c r="H234" s="17" t="n">
        <f aca="false">F234-G234</f>
        <v>79.7148455060142</v>
      </c>
      <c r="I234" s="17" t="n">
        <f aca="false">H234*2/10+I233*8/10</f>
        <v>72.1808923204534</v>
      </c>
      <c r="J234" s="17" t="n">
        <f aca="false">H234-I234</f>
        <v>7.53395318556076</v>
      </c>
      <c r="K234" s="17" t="n">
        <f aca="false">MAX(B234-B233,0)</f>
        <v>20.8199999999997</v>
      </c>
      <c r="L234" s="17" t="n">
        <f aca="false">MAX(B233-B234,0)</f>
        <v>0</v>
      </c>
      <c r="M234" s="17" t="n">
        <f aca="false">(M233*13+K234)/14</f>
        <v>18.6659288795867</v>
      </c>
      <c r="N234" s="17" t="n">
        <f aca="false">(N233*13+L234)/14</f>
        <v>6.60925452308066</v>
      </c>
      <c r="O234" s="17" t="n">
        <f aca="false">IF(N234=0,100,100-100/(1+M234/N234))</f>
        <v>73.8508147783285</v>
      </c>
      <c r="P234" s="17" t="n">
        <f aca="false">AVERAGE(B215:B234)+2*STDEV(B215:B234)</f>
        <v>5922.24644512682</v>
      </c>
      <c r="Q234" s="17" t="n">
        <f aca="false">AVERAGE(B215:B234)-2*STDEV(B215:B234)</f>
        <v>5570.12455487319</v>
      </c>
      <c r="R234" s="19" t="n">
        <f aca="false">B234/B214-1</f>
        <v>0.0350949490253261</v>
      </c>
      <c r="S234" s="17" t="n">
        <f aca="false">STDEV(C215:C234)*SQRT(252)*100</f>
        <v>11.6906730401374</v>
      </c>
      <c r="T234" s="18"/>
      <c r="U234" s="18"/>
      <c r="V234" s="17" t="n">
        <f aca="false">(B234-AVERAGE(B215:B234))/STDEV(B215:B234)</f>
        <v>1.49271605812806</v>
      </c>
    </row>
    <row r="235" customFormat="false" ht="15" hidden="false" customHeight="false" outlineLevel="0" collapsed="false">
      <c r="A235" s="17" t="s">
        <v>799</v>
      </c>
      <c r="B235" s="17" t="n">
        <v>5885.3</v>
      </c>
      <c r="C235" s="19" t="n">
        <f aca="false">B235/B234-1</f>
        <v>0.00131176213379969</v>
      </c>
      <c r="D235" s="17" t="n">
        <f aca="false">AVERAGE(B186:B235)</f>
        <v>5602.6636</v>
      </c>
      <c r="E235" s="17" t="n">
        <f aca="false">AVERAGE(B36:B235)</f>
        <v>5141.8998</v>
      </c>
      <c r="F235" s="17" t="n">
        <f aca="false">B235*2/13+F234*11/13</f>
        <v>5817.83250768237</v>
      </c>
      <c r="G235" s="17" t="n">
        <f aca="false">B235*2/27+G234*25/27</f>
        <v>5737.66189388087</v>
      </c>
      <c r="H235" s="17" t="n">
        <f aca="false">F235-G235</f>
        <v>80.170613801507</v>
      </c>
      <c r="I235" s="17" t="n">
        <f aca="false">H235*2/10+I234*8/10</f>
        <v>73.7788366166641</v>
      </c>
      <c r="J235" s="17" t="n">
        <f aca="false">H235-I235</f>
        <v>6.39177718484287</v>
      </c>
      <c r="K235" s="17" t="n">
        <f aca="false">MAX(B235-B234,0)</f>
        <v>7.71000000000004</v>
      </c>
      <c r="L235" s="17" t="n">
        <f aca="false">MAX(B234-B235,0)</f>
        <v>0</v>
      </c>
      <c r="M235" s="17" t="n">
        <f aca="false">(M234*13+K235)/14</f>
        <v>17.8833625310448</v>
      </c>
      <c r="N235" s="17" t="n">
        <f aca="false">(N234*13+L235)/14</f>
        <v>6.13716491428919</v>
      </c>
      <c r="O235" s="17" t="n">
        <f aca="false">IF(N235=0,100,100-100/(1+M235/N235))</f>
        <v>74.450332415655</v>
      </c>
      <c r="P235" s="17" t="n">
        <f aca="false">AVERAGE(B216:B235)+2*STDEV(B216:B235)</f>
        <v>5940.10358175428</v>
      </c>
      <c r="Q235" s="17" t="n">
        <f aca="false">AVERAGE(B216:B235)-2*STDEV(B216:B235)</f>
        <v>5572.62941824572</v>
      </c>
      <c r="R235" s="19" t="n">
        <f aca="false">B235/B215-1</f>
        <v>0.0358379915799552</v>
      </c>
      <c r="S235" s="17" t="n">
        <f aca="false">STDEV(C216:C235)*SQRT(252)*100</f>
        <v>11.6840094328807</v>
      </c>
      <c r="T235" s="18"/>
      <c r="U235" s="18"/>
      <c r="V235" s="17" t="n">
        <f aca="false">(B235-AVERAGE(B216:B235))/STDEV(B216:B235)</f>
        <v>1.40345649086153</v>
      </c>
    </row>
    <row r="236" customFormat="false" ht="15" hidden="false" customHeight="false" outlineLevel="0" collapsed="false">
      <c r="A236" s="17" t="s">
        <v>800</v>
      </c>
      <c r="B236" s="17" t="n">
        <v>5741.94</v>
      </c>
      <c r="C236" s="19" t="n">
        <f aca="false">B236/B235-1</f>
        <v>-0.0243589961429325</v>
      </c>
      <c r="D236" s="17" t="n">
        <f aca="false">AVERAGE(B187:B236)</f>
        <v>5608.897</v>
      </c>
      <c r="E236" s="17" t="n">
        <f aca="false">AVERAGE(B37:B236)</f>
        <v>5146.5171</v>
      </c>
      <c r="F236" s="17" t="n">
        <f aca="false">B236*2/13+F235*11/13</f>
        <v>5806.1567372697</v>
      </c>
      <c r="G236" s="17" t="n">
        <f aca="false">B236*2/27+G235*25/27</f>
        <v>5737.97879063043</v>
      </c>
      <c r="H236" s="17" t="n">
        <f aca="false">F236-G236</f>
        <v>68.1779466392682</v>
      </c>
      <c r="I236" s="17" t="n">
        <f aca="false">H236*2/10+I235*8/10</f>
        <v>72.6586586211849</v>
      </c>
      <c r="J236" s="17" t="n">
        <f aca="false">H236-I236</f>
        <v>-4.48071198191677</v>
      </c>
      <c r="K236" s="17" t="n">
        <f aca="false">MAX(B236-B235,0)</f>
        <v>0</v>
      </c>
      <c r="L236" s="17" t="n">
        <f aca="false">MAX(B235-B236,0)</f>
        <v>143.360000000001</v>
      </c>
      <c r="M236" s="17" t="n">
        <f aca="false">(M235*13+K236)/14</f>
        <v>16.605979493113</v>
      </c>
      <c r="N236" s="17" t="n">
        <f aca="false">(N235*13+L236)/14</f>
        <v>15.93879599184</v>
      </c>
      <c r="O236" s="17" t="n">
        <f aca="false">IF(N236=0,100,100-100/(1+M236/N236))</f>
        <v>51.025023972867</v>
      </c>
      <c r="P236" s="17" t="n">
        <f aca="false">AVERAGE(B217:B236)+2*STDEV(B217:B236)</f>
        <v>5939.56967251581</v>
      </c>
      <c r="Q236" s="17" t="n">
        <f aca="false">AVERAGE(B217:B236)-2*STDEV(B217:B236)</f>
        <v>5579.9353274842</v>
      </c>
      <c r="R236" s="19" t="n">
        <f aca="false">B236/B216-1</f>
        <v>0.0119346800088822</v>
      </c>
      <c r="S236" s="17" t="n">
        <f aca="false">STDEV(C217:C236)*SQRT(252)*100</f>
        <v>14.9129014007362</v>
      </c>
      <c r="T236" s="18"/>
      <c r="U236" s="18"/>
      <c r="V236" s="17" t="n">
        <f aca="false">(B236-AVERAGE(B217:B236))/STDEV(B217:B236)</f>
        <v>-0.198117896647888</v>
      </c>
    </row>
    <row r="237" customFormat="false" ht="15" hidden="false" customHeight="false" outlineLevel="0" collapsed="false">
      <c r="A237" s="17" t="s">
        <v>801</v>
      </c>
      <c r="B237" s="17" t="n">
        <v>5708.18</v>
      </c>
      <c r="C237" s="19" t="n">
        <f aca="false">B237/B236-1</f>
        <v>-0.00587954593743567</v>
      </c>
      <c r="D237" s="17" t="n">
        <f aca="false">AVERAGE(B188:B237)</f>
        <v>5614.2658</v>
      </c>
      <c r="E237" s="17" t="n">
        <f aca="false">AVERAGE(B38:B237)</f>
        <v>5151.14055</v>
      </c>
      <c r="F237" s="17" t="n">
        <f aca="false">B237*2/13+F236*11/13</f>
        <v>5791.08339307436</v>
      </c>
      <c r="G237" s="17" t="n">
        <f aca="false">B237*2/27+G236*25/27</f>
        <v>5735.77147280595</v>
      </c>
      <c r="H237" s="17" t="n">
        <f aca="false">F237-G237</f>
        <v>55.3119202684065</v>
      </c>
      <c r="I237" s="17" t="n">
        <f aca="false">H237*2/10+I236*8/10</f>
        <v>69.1893109506293</v>
      </c>
      <c r="J237" s="17" t="n">
        <f aca="false">H237-I237</f>
        <v>-13.8773906822227</v>
      </c>
      <c r="K237" s="17" t="n">
        <f aca="false">MAX(B237-B236,0)</f>
        <v>0</v>
      </c>
      <c r="L237" s="17" t="n">
        <f aca="false">MAX(B236-B237,0)</f>
        <v>33.7599999999993</v>
      </c>
      <c r="M237" s="17" t="n">
        <f aca="false">(M236*13+K237)/14</f>
        <v>15.4198381007478</v>
      </c>
      <c r="N237" s="17" t="n">
        <f aca="false">(N236*13+L237)/14</f>
        <v>17.21173913528</v>
      </c>
      <c r="O237" s="17" t="n">
        <f aca="false">IF(N237=0,100,100-100/(1+M237/N237))</f>
        <v>47.2543450450294</v>
      </c>
      <c r="P237" s="17" t="n">
        <f aca="false">AVERAGE(B218:B237)+2*STDEV(B218:B237)</f>
        <v>5939.06022681255</v>
      </c>
      <c r="Q237" s="17" t="n">
        <f aca="false">AVERAGE(B218:B237)-2*STDEV(B218:B237)</f>
        <v>5582.58177318745</v>
      </c>
      <c r="R237" s="19" t="n">
        <f aca="false">B237/B217-1</f>
        <v>0.00375781853095147</v>
      </c>
      <c r="S237" s="17" t="n">
        <f aca="false">STDEV(C218:C237)*SQRT(252)*100</f>
        <v>15.0750613705296</v>
      </c>
      <c r="T237" s="18"/>
      <c r="U237" s="18"/>
      <c r="V237" s="17" t="n">
        <f aca="false">(B237-AVERAGE(B218:B237))/STDEV(B218:B237)</f>
        <v>-0.590678056019172</v>
      </c>
    </row>
    <row r="238" customFormat="false" ht="15" hidden="false" customHeight="false" outlineLevel="0" collapsed="false">
      <c r="A238" s="17" t="s">
        <v>802</v>
      </c>
      <c r="B238" s="17" t="n">
        <v>5751.82</v>
      </c>
      <c r="C238" s="19" t="n">
        <f aca="false">B238/B237-1</f>
        <v>0.00764516886292999</v>
      </c>
      <c r="D238" s="17" t="n">
        <f aca="false">AVERAGE(B189:B238)</f>
        <v>5620.5776</v>
      </c>
      <c r="E238" s="17" t="n">
        <f aca="false">AVERAGE(B39:B238)</f>
        <v>5156.0225</v>
      </c>
      <c r="F238" s="17" t="n">
        <f aca="false">B238*2/13+F237*11/13</f>
        <v>5785.04287106292</v>
      </c>
      <c r="G238" s="17" t="n">
        <f aca="false">B238*2/27+G237*25/27</f>
        <v>5736.96025259811</v>
      </c>
      <c r="H238" s="17" t="n">
        <f aca="false">F238-G238</f>
        <v>48.0826184648149</v>
      </c>
      <c r="I238" s="17" t="n">
        <f aca="false">H238*2/10+I237*8/10</f>
        <v>64.9679724534664</v>
      </c>
      <c r="J238" s="17" t="n">
        <f aca="false">H238-I238</f>
        <v>-16.8853539886515</v>
      </c>
      <c r="K238" s="17" t="n">
        <f aca="false">MAX(B238-B237,0)</f>
        <v>43.6399999999994</v>
      </c>
      <c r="L238" s="17" t="n">
        <f aca="false">MAX(B237-B238,0)</f>
        <v>0</v>
      </c>
      <c r="M238" s="17" t="n">
        <f aca="false">(M237*13+K238)/14</f>
        <v>17.4355639506944</v>
      </c>
      <c r="N238" s="17" t="n">
        <f aca="false">(N237*13+L238)/14</f>
        <v>15.9823291970457</v>
      </c>
      <c r="O238" s="17" t="n">
        <f aca="false">IF(N238=0,100,100-100/(1+M238/N238))</f>
        <v>52.1743362862883</v>
      </c>
      <c r="P238" s="17" t="n">
        <f aca="false">AVERAGE(B219:B238)+2*STDEV(B219:B238)</f>
        <v>5939.52407883513</v>
      </c>
      <c r="Q238" s="17" t="n">
        <f aca="false">AVERAGE(B219:B238)-2*STDEV(B219:B238)</f>
        <v>5586.85192116488</v>
      </c>
      <c r="R238" s="19" t="n">
        <f aca="false">B238/B218-1</f>
        <v>0.00829874063893654</v>
      </c>
      <c r="S238" s="17" t="n">
        <f aca="false">STDEV(C219:C238)*SQRT(252)*100</f>
        <v>15.2746400839888</v>
      </c>
      <c r="T238" s="18"/>
      <c r="U238" s="18"/>
      <c r="V238" s="17" t="n">
        <f aca="false">(B238-AVERAGE(B219:B238))/STDEV(B219:B238)</f>
        <v>-0.128935610625997</v>
      </c>
    </row>
    <row r="239" customFormat="false" ht="15" hidden="false" customHeight="false" outlineLevel="0" collapsed="false">
      <c r="A239" s="17" t="s">
        <v>803</v>
      </c>
      <c r="B239" s="17" t="n">
        <v>5727.07</v>
      </c>
      <c r="C239" s="19" t="n">
        <f aca="false">B239/B238-1</f>
        <v>-0.0043029858375262</v>
      </c>
      <c r="D239" s="17" t="n">
        <f aca="false">AVERAGE(B190:B239)</f>
        <v>5626.475</v>
      </c>
      <c r="E239" s="17" t="n">
        <f aca="false">AVERAGE(B40:B239)</f>
        <v>5160.7394</v>
      </c>
      <c r="F239" s="17" t="n">
        <f aca="false">B239*2/13+F238*11/13</f>
        <v>5776.12396782247</v>
      </c>
      <c r="G239" s="17" t="n">
        <f aca="false">B239*2/27+G238*25/27</f>
        <v>5736.22764129454</v>
      </c>
      <c r="H239" s="17" t="n">
        <f aca="false">F239-G239</f>
        <v>39.896326527929</v>
      </c>
      <c r="I239" s="17" t="n">
        <f aca="false">H239*2/10+I238*8/10</f>
        <v>59.9536432683589</v>
      </c>
      <c r="J239" s="17" t="n">
        <f aca="false">H239-I239</f>
        <v>-20.0573167404299</v>
      </c>
      <c r="K239" s="17" t="n">
        <f aca="false">MAX(B239-B238,0)</f>
        <v>0</v>
      </c>
      <c r="L239" s="17" t="n">
        <f aca="false">MAX(B238-B239,0)</f>
        <v>24.75</v>
      </c>
      <c r="M239" s="17" t="n">
        <f aca="false">(M238*13+K239)/14</f>
        <v>16.1901665256448</v>
      </c>
      <c r="N239" s="17" t="n">
        <f aca="false">(N238*13+L239)/14</f>
        <v>16.6085913972567</v>
      </c>
      <c r="O239" s="17" t="n">
        <f aca="false">IF(N239=0,100,100-100/(1+M239/N239))</f>
        <v>49.3621330530328</v>
      </c>
      <c r="P239" s="17" t="n">
        <f aca="false">AVERAGE(B220:B239)+2*STDEV(B220:B239)</f>
        <v>5939.53779577932</v>
      </c>
      <c r="Q239" s="17" t="n">
        <f aca="false">AVERAGE(B220:B239)-2*STDEV(B220:B239)</f>
        <v>5587.10120422068</v>
      </c>
      <c r="R239" s="19" t="n">
        <f aca="false">B239/B219-1</f>
        <v>0.000459433586516678</v>
      </c>
      <c r="S239" s="17" t="n">
        <f aca="false">STDEV(C220:C239)*SQRT(252)*100</f>
        <v>15.3196045547362</v>
      </c>
      <c r="T239" s="18"/>
      <c r="U239" s="18"/>
      <c r="V239" s="17" t="n">
        <f aca="false">(B239-AVERAGE(B220:B239))/STDEV(B220:B239)</f>
        <v>-0.411415850320051</v>
      </c>
    </row>
    <row r="240" customFormat="false" ht="15" hidden="false" customHeight="false" outlineLevel="0" collapsed="false">
      <c r="A240" s="17" t="s">
        <v>804</v>
      </c>
      <c r="B240" s="17" t="n">
        <v>5700.89</v>
      </c>
      <c r="C240" s="19" t="n">
        <f aca="false">B240/B239-1</f>
        <v>-0.00457127291966042</v>
      </c>
      <c r="D240" s="17" t="n">
        <f aca="false">AVERAGE(B191:B240)</f>
        <v>5631.6846</v>
      </c>
      <c r="E240" s="17" t="n">
        <f aca="false">AVERAGE(B41:B240)</f>
        <v>5165.2884</v>
      </c>
      <c r="F240" s="17" t="n">
        <f aca="false">B240*2/13+F239*11/13</f>
        <v>5764.5495112344</v>
      </c>
      <c r="G240" s="17" t="n">
        <f aca="false">B240*2/27+G239*25/27</f>
        <v>5733.61003823569</v>
      </c>
      <c r="H240" s="17" t="n">
        <f aca="false">F240-G240</f>
        <v>30.9394729987125</v>
      </c>
      <c r="I240" s="17" t="n">
        <f aca="false">H240*2/10+I239*8/10</f>
        <v>54.1508092144296</v>
      </c>
      <c r="J240" s="17" t="n">
        <f aca="false">H240-I240</f>
        <v>-23.2113362157171</v>
      </c>
      <c r="K240" s="17" t="n">
        <f aca="false">MAX(B240-B239,0)</f>
        <v>0</v>
      </c>
      <c r="L240" s="17" t="n">
        <f aca="false">MAX(B239-B240,0)</f>
        <v>26.1799999999994</v>
      </c>
      <c r="M240" s="17" t="n">
        <f aca="false">(M239*13+K240)/14</f>
        <v>15.0337260595273</v>
      </c>
      <c r="N240" s="17" t="n">
        <f aca="false">(N239*13+L240)/14</f>
        <v>17.2922634403097</v>
      </c>
      <c r="O240" s="17" t="n">
        <f aca="false">IF(N240=0,100,100-100/(1+M240/N240))</f>
        <v>46.5066229746906</v>
      </c>
      <c r="P240" s="17" t="n">
        <f aca="false">AVERAGE(B221:B240)+2*STDEV(B221:B240)</f>
        <v>5926.46191652082</v>
      </c>
      <c r="Q240" s="17" t="n">
        <f aca="false">AVERAGE(B221:B240)-2*STDEV(B221:B240)</f>
        <v>5612.21108347918</v>
      </c>
      <c r="R240" s="19" t="n">
        <f aca="false">B240/B220-1</f>
        <v>0.0215641827418445</v>
      </c>
      <c r="S240" s="17" t="n">
        <f aca="false">STDEV(C221:C240)*SQRT(252)*100</f>
        <v>12.2673760877424</v>
      </c>
      <c r="T240" s="18"/>
      <c r="U240" s="18"/>
      <c r="V240" s="17" t="n">
        <f aca="false">(B240-AVERAGE(B221:B240))/STDEV(B221:B240)</f>
        <v>-0.871233967305707</v>
      </c>
    </row>
    <row r="241" customFormat="false" ht="15" hidden="false" customHeight="false" outlineLevel="0" collapsed="false">
      <c r="A241" s="17" t="s">
        <v>805</v>
      </c>
      <c r="B241" s="17" t="n">
        <v>5681.48</v>
      </c>
      <c r="C241" s="19" t="n">
        <f aca="false">B241/B240-1</f>
        <v>-0.00340473154191723</v>
      </c>
      <c r="D241" s="17" t="n">
        <f aca="false">AVERAGE(B192:B241)</f>
        <v>5636.9438</v>
      </c>
      <c r="E241" s="17" t="n">
        <f aca="false">AVERAGE(B42:B241)</f>
        <v>5169.81585</v>
      </c>
      <c r="F241" s="17" t="n">
        <f aca="false">B241*2/13+F240*11/13</f>
        <v>5751.76958642911</v>
      </c>
      <c r="G241" s="17" t="n">
        <f aca="false">B241*2/27+G240*25/27</f>
        <v>5729.74855392193</v>
      </c>
      <c r="H241" s="17" t="n">
        <f aca="false">F241-G241</f>
        <v>22.0210325071757</v>
      </c>
      <c r="I241" s="17" t="n">
        <f aca="false">H241*2/10+I240*8/10</f>
        <v>47.7248538729789</v>
      </c>
      <c r="J241" s="17" t="n">
        <f aca="false">H241-I241</f>
        <v>-25.7038213658031</v>
      </c>
      <c r="K241" s="17" t="n">
        <f aca="false">MAX(B241-B240,0)</f>
        <v>0</v>
      </c>
      <c r="L241" s="17" t="n">
        <f aca="false">MAX(B240-B241,0)</f>
        <v>19.4100000000008</v>
      </c>
      <c r="M241" s="17" t="n">
        <f aca="false">(M240*13+K241)/14</f>
        <v>13.9598884838468</v>
      </c>
      <c r="N241" s="17" t="n">
        <f aca="false">(N240*13+L241)/14</f>
        <v>17.4435303374305</v>
      </c>
      <c r="O241" s="17" t="n">
        <f aca="false">IF(N241=0,100,100-100/(1+M241/N241))</f>
        <v>44.4534035077362</v>
      </c>
      <c r="P241" s="17" t="n">
        <f aca="false">AVERAGE(B222:B241)+2*STDEV(B222:B241)</f>
        <v>5920.33369932965</v>
      </c>
      <c r="Q241" s="17" t="n">
        <f aca="false">AVERAGE(B222:B241)-2*STDEV(B222:B241)</f>
        <v>5623.85630067035</v>
      </c>
      <c r="R241" s="19" t="n">
        <f aca="false">B241/B221-1</f>
        <v>0.00980571635761263</v>
      </c>
      <c r="S241" s="17" t="n">
        <f aca="false">STDEV(C222:C241)*SQRT(252)*100</f>
        <v>12.0660058057355</v>
      </c>
      <c r="T241" s="18"/>
      <c r="U241" s="18"/>
      <c r="V241" s="17" t="n">
        <f aca="false">(B241-AVERAGE(B222:B241))/STDEV(B222:B241)</f>
        <v>-1.22255524919967</v>
      </c>
    </row>
    <row r="242" customFormat="false" ht="15" hidden="false" customHeight="false" outlineLevel="0" collapsed="false">
      <c r="A242" s="17" t="s">
        <v>806</v>
      </c>
      <c r="B242" s="17" t="n">
        <v>5772.22</v>
      </c>
      <c r="C242" s="19" t="n">
        <f aca="false">B242/B241-1</f>
        <v>0.0159711906052649</v>
      </c>
      <c r="D242" s="17" t="n">
        <f aca="false">AVERAGE(B193:B242)</f>
        <v>5643.9706</v>
      </c>
      <c r="E242" s="17" t="n">
        <f aca="false">AVERAGE(B43:B242)</f>
        <v>5174.8217</v>
      </c>
      <c r="F242" s="17" t="n">
        <f aca="false">B242*2/13+F241*11/13</f>
        <v>5754.91580390155</v>
      </c>
      <c r="G242" s="17" t="n">
        <f aca="false">B242*2/27+G241*25/27</f>
        <v>5732.89458696475</v>
      </c>
      <c r="H242" s="17" t="n">
        <f aca="false">F242-G242</f>
        <v>22.0212169368006</v>
      </c>
      <c r="I242" s="17" t="n">
        <f aca="false">H242*2/10+I241*8/10</f>
        <v>42.5841264857432</v>
      </c>
      <c r="J242" s="17" t="n">
        <f aca="false">H242-I242</f>
        <v>-20.5629095489426</v>
      </c>
      <c r="K242" s="17" t="n">
        <f aca="false">MAX(B242-B241,0)</f>
        <v>90.7400000000007</v>
      </c>
      <c r="L242" s="17" t="n">
        <f aca="false">MAX(B241-B242,0)</f>
        <v>0</v>
      </c>
      <c r="M242" s="17" t="n">
        <f aca="false">(M241*13+K242)/14</f>
        <v>19.444182163572</v>
      </c>
      <c r="N242" s="17" t="n">
        <f aca="false">(N241*13+L242)/14</f>
        <v>16.1975638847569</v>
      </c>
      <c r="O242" s="17" t="n">
        <f aca="false">IF(N242=0,100,100-100/(1+M242/N242))</f>
        <v>54.5545163169234</v>
      </c>
      <c r="P242" s="17" t="n">
        <f aca="false">AVERAGE(B223:B242)+2*STDEV(B223:B242)</f>
        <v>5915.1053469708</v>
      </c>
      <c r="Q242" s="17" t="n">
        <f aca="false">AVERAGE(B223:B242)-2*STDEV(B223:B242)</f>
        <v>5641.1506530292</v>
      </c>
      <c r="R242" s="19" t="n">
        <f aca="false">B242/B222-1</f>
        <v>0.0213498573845097</v>
      </c>
      <c r="S242" s="17" t="n">
        <f aca="false">STDEV(C223:C242)*SQRT(252)*100</f>
        <v>13.2024029778011</v>
      </c>
      <c r="T242" s="18"/>
      <c r="U242" s="18"/>
      <c r="V242" s="17" t="n">
        <f aca="false">(B242-AVERAGE(B223:B242))/STDEV(B223:B242)</f>
        <v>-0.0862624387265879</v>
      </c>
    </row>
    <row r="243" customFormat="false" ht="15" hidden="false" customHeight="false" outlineLevel="0" collapsed="false">
      <c r="A243" s="17" t="s">
        <v>807</v>
      </c>
      <c r="B243" s="17" t="n">
        <v>5726.31</v>
      </c>
      <c r="C243" s="19" t="n">
        <f aca="false">B243/B242-1</f>
        <v>-0.00795361230167935</v>
      </c>
      <c r="D243" s="17" t="n">
        <f aca="false">AVERAGE(B194:B243)</f>
        <v>5650.1294</v>
      </c>
      <c r="E243" s="17" t="n">
        <f aca="false">AVERAGE(B44:B243)</f>
        <v>5179.53355</v>
      </c>
      <c r="F243" s="17" t="n">
        <f aca="false">B243*2/13+F242*11/13</f>
        <v>5750.51491099362</v>
      </c>
      <c r="G243" s="17" t="n">
        <f aca="false">B243*2/27+G242*25/27</f>
        <v>5732.40683978218</v>
      </c>
      <c r="H243" s="17" t="n">
        <f aca="false">F243-G243</f>
        <v>18.1080712114444</v>
      </c>
      <c r="I243" s="17" t="n">
        <f aca="false">H243*2/10+I242*8/10</f>
        <v>37.6889154308834</v>
      </c>
      <c r="J243" s="17" t="n">
        <f aca="false">H243-I243</f>
        <v>-19.580844219439</v>
      </c>
      <c r="K243" s="17" t="n">
        <f aca="false">MAX(B243-B242,0)</f>
        <v>0</v>
      </c>
      <c r="L243" s="17" t="n">
        <f aca="false">MAX(B242-B243,0)</f>
        <v>45.9099999999999</v>
      </c>
      <c r="M243" s="17" t="n">
        <f aca="false">(M242*13+K243)/14</f>
        <v>18.0553120090312</v>
      </c>
      <c r="N243" s="17" t="n">
        <f aca="false">(N242*13+L243)/14</f>
        <v>18.3198807501314</v>
      </c>
      <c r="O243" s="17" t="n">
        <f aca="false">IF(N243=0,100,100-100/(1+M243/N243))</f>
        <v>49.6363335545025</v>
      </c>
      <c r="P243" s="17" t="n">
        <f aca="false">AVERAGE(B224:B243)+2*STDEV(B224:B243)</f>
        <v>5913.69567971471</v>
      </c>
      <c r="Q243" s="17" t="n">
        <f aca="false">AVERAGE(B224:B243)-2*STDEV(B224:B243)</f>
        <v>5645.25132028529</v>
      </c>
      <c r="R243" s="19" t="n">
        <f aca="false">B243/B223-1</f>
        <v>0.00472154963680405</v>
      </c>
      <c r="S243" s="17" t="n">
        <f aca="false">STDEV(C224:C243)*SQRT(252)*100</f>
        <v>13.2721077647001</v>
      </c>
      <c r="T243" s="18"/>
      <c r="U243" s="18"/>
      <c r="V243" s="17" t="n">
        <f aca="false">(B243-AVERAGE(B224:B243))/STDEV(B224:B243)</f>
        <v>-0.792171608492698</v>
      </c>
    </row>
    <row r="244" customFormat="false" ht="15" hidden="false" customHeight="false" outlineLevel="0" collapsed="false">
      <c r="A244" s="17" t="s">
        <v>808</v>
      </c>
      <c r="B244" s="17" t="n">
        <v>5782.39</v>
      </c>
      <c r="C244" s="19" t="n">
        <f aca="false">B244/B243-1</f>
        <v>0.00979339225434872</v>
      </c>
      <c r="D244" s="17" t="n">
        <f aca="false">AVERAGE(B195:B244)</f>
        <v>5657.3436</v>
      </c>
      <c r="E244" s="17" t="n">
        <f aca="false">AVERAGE(B45:B244)</f>
        <v>5184.4518</v>
      </c>
      <c r="F244" s="17" t="n">
        <f aca="false">B244*2/13+F243*11/13</f>
        <v>5755.41877084076</v>
      </c>
      <c r="G244" s="17" t="n">
        <f aca="false">B244*2/27+G243*25/27</f>
        <v>5736.10929609461</v>
      </c>
      <c r="H244" s="17" t="n">
        <f aca="false">F244-G244</f>
        <v>19.3094747461482</v>
      </c>
      <c r="I244" s="17" t="n">
        <f aca="false">H244*2/10+I243*8/10</f>
        <v>34.0130272939364</v>
      </c>
      <c r="J244" s="17" t="n">
        <f aca="false">H244-I244</f>
        <v>-14.7035525477882</v>
      </c>
      <c r="K244" s="17" t="n">
        <f aca="false">MAX(B244-B243,0)</f>
        <v>56.0799999999999</v>
      </c>
      <c r="L244" s="17" t="n">
        <f aca="false">MAX(B243-B244,0)</f>
        <v>0</v>
      </c>
      <c r="M244" s="17" t="n">
        <f aca="false">(M243*13+K244)/14</f>
        <v>20.7713611512432</v>
      </c>
      <c r="N244" s="17" t="n">
        <f aca="false">(N243*13+L244)/14</f>
        <v>17.0113178394078</v>
      </c>
      <c r="O244" s="17" t="n">
        <f aca="false">IF(N244=0,100,100-100/(1+M244/N244))</f>
        <v>54.9758823517595</v>
      </c>
      <c r="P244" s="17" t="n">
        <f aca="false">AVERAGE(B225:B244)+2*STDEV(B225:B244)</f>
        <v>5912.77644807294</v>
      </c>
      <c r="Q244" s="17" t="n">
        <f aca="false">AVERAGE(B225:B244)-2*STDEV(B225:B244)</f>
        <v>5654.07455192706</v>
      </c>
      <c r="R244" s="19" t="n">
        <f aca="false">B244/B224-1</f>
        <v>0.0138585217459914</v>
      </c>
      <c r="S244" s="17" t="n">
        <f aca="false">STDEV(C225:C244)*SQRT(252)*100</f>
        <v>13.6969907582532</v>
      </c>
      <c r="T244" s="18"/>
      <c r="U244" s="18"/>
      <c r="V244" s="17" t="n">
        <f aca="false">(B244-AVERAGE(B225:B244))/STDEV(B225:B244)</f>
        <v>-0.0160107059967606</v>
      </c>
    </row>
    <row r="245" customFormat="false" ht="15" hidden="false" customHeight="false" outlineLevel="0" collapsed="false">
      <c r="A245" s="17" t="s">
        <v>809</v>
      </c>
      <c r="B245" s="17" t="n">
        <v>5779.87</v>
      </c>
      <c r="C245" s="19" t="n">
        <f aca="false">B245/B244-1</f>
        <v>-0.000435805955668944</v>
      </c>
      <c r="D245" s="17" t="n">
        <f aca="false">AVERAGE(B196:B245)</f>
        <v>5664.973</v>
      </c>
      <c r="E245" s="17" t="n">
        <f aca="false">AVERAGE(B46:B245)</f>
        <v>5189.2036</v>
      </c>
      <c r="F245" s="17" t="n">
        <f aca="false">B245*2/13+F244*11/13</f>
        <v>5759.18049840372</v>
      </c>
      <c r="G245" s="17" t="n">
        <f aca="false">B245*2/27+G244*25/27</f>
        <v>5739.35082971723</v>
      </c>
      <c r="H245" s="17" t="n">
        <f aca="false">F245-G245</f>
        <v>19.8296686864878</v>
      </c>
      <c r="I245" s="17" t="n">
        <f aca="false">H245*2/10+I244*8/10</f>
        <v>31.1763555724467</v>
      </c>
      <c r="J245" s="17" t="n">
        <f aca="false">H245-I245</f>
        <v>-11.3466868859589</v>
      </c>
      <c r="K245" s="17" t="n">
        <f aca="false">MAX(B245-B244,0)</f>
        <v>0</v>
      </c>
      <c r="L245" s="17" t="n">
        <f aca="false">MAX(B244-B245,0)</f>
        <v>2.52000000000044</v>
      </c>
      <c r="M245" s="17" t="n">
        <f aca="false">(M244*13+K245)/14</f>
        <v>19.287692497583</v>
      </c>
      <c r="N245" s="17" t="n">
        <f aca="false">(N244*13+L245)/14</f>
        <v>15.9762237080215</v>
      </c>
      <c r="O245" s="17" t="n">
        <f aca="false">IF(N245=0,100,100-100/(1+M245/N245))</f>
        <v>54.6952652255838</v>
      </c>
      <c r="P245" s="17" t="n">
        <f aca="false">AVERAGE(B226:B245)+2*STDEV(B226:B245)</f>
        <v>5912.84608002077</v>
      </c>
      <c r="Q245" s="17" t="n">
        <f aca="false">AVERAGE(B226:B245)-2*STDEV(B226:B245)</f>
        <v>5658.96191997923</v>
      </c>
      <c r="R245" s="19" t="n">
        <f aca="false">B245/B225-1</f>
        <v>0.00865050695426062</v>
      </c>
      <c r="S245" s="17" t="n">
        <f aca="false">STDEV(C226:C245)*SQRT(252)*100</f>
        <v>13.6193150850333</v>
      </c>
      <c r="T245" s="18"/>
      <c r="U245" s="18"/>
      <c r="V245" s="17" t="n">
        <f aca="false">(B245-AVERAGE(B226:B245))/STDEV(B226:B245)</f>
        <v>-0.0950669785623995</v>
      </c>
    </row>
    <row r="246" customFormat="false" ht="15" hidden="false" customHeight="false" outlineLevel="0" collapsed="false">
      <c r="A246" s="17" t="s">
        <v>810</v>
      </c>
      <c r="B246" s="17" t="n">
        <v>5803.11</v>
      </c>
      <c r="C246" s="19" t="n">
        <f aca="false">B246/B245-1</f>
        <v>0.00402085168005506</v>
      </c>
      <c r="D246" s="17" t="n">
        <f aca="false">AVERAGE(B197:B246)</f>
        <v>5673.4946</v>
      </c>
      <c r="E246" s="17" t="n">
        <f aca="false">AVERAGE(B47:B246)</f>
        <v>5194.05985</v>
      </c>
      <c r="F246" s="17" t="n">
        <f aca="false">B246*2/13+F245*11/13</f>
        <v>5765.93888326468</v>
      </c>
      <c r="G246" s="17" t="n">
        <f aca="false">B246*2/27+G245*25/27</f>
        <v>5744.07373121966</v>
      </c>
      <c r="H246" s="17" t="n">
        <f aca="false">F246-G246</f>
        <v>21.8651520450276</v>
      </c>
      <c r="I246" s="17" t="n">
        <f aca="false">H246*2/10+I245*8/10</f>
        <v>29.3141148669629</v>
      </c>
      <c r="J246" s="17" t="n">
        <f aca="false">H246-I246</f>
        <v>-7.44896282193529</v>
      </c>
      <c r="K246" s="17" t="n">
        <f aca="false">MAX(B246-B245,0)</f>
        <v>23.2399999999998</v>
      </c>
      <c r="L246" s="17" t="n">
        <f aca="false">MAX(B245-B246,0)</f>
        <v>0</v>
      </c>
      <c r="M246" s="17" t="n">
        <f aca="false">(M245*13+K246)/14</f>
        <v>19.5700001763271</v>
      </c>
      <c r="N246" s="17" t="n">
        <f aca="false">(N245*13+L246)/14</f>
        <v>14.8350648717343</v>
      </c>
      <c r="O246" s="17" t="n">
        <f aca="false">IF(N246=0,100,100-100/(1+M246/N246))</f>
        <v>56.8811602273945</v>
      </c>
      <c r="P246" s="17" t="n">
        <f aca="false">AVERAGE(B227:B246)+2*STDEV(B227:B246)</f>
        <v>5914.25600584738</v>
      </c>
      <c r="Q246" s="17" t="n">
        <f aca="false">AVERAGE(B227:B246)-2*STDEV(B227:B246)</f>
        <v>5660.02599415262</v>
      </c>
      <c r="R246" s="19" t="n">
        <f aca="false">B246/B226-1</f>
        <v>0.00428148422479002</v>
      </c>
      <c r="S246" s="17" t="n">
        <f aca="false">STDEV(C227:C246)*SQRT(252)*100</f>
        <v>13.3682413450058</v>
      </c>
      <c r="T246" s="18"/>
      <c r="U246" s="18"/>
      <c r="V246" s="17" t="n">
        <f aca="false">(B246-AVERAGE(B227:B246))/STDEV(B227:B246)</f>
        <v>0.251252791022525</v>
      </c>
    </row>
    <row r="247" customFormat="false" ht="15" hidden="false" customHeight="false" outlineLevel="0" collapsed="false">
      <c r="A247" s="17" t="s">
        <v>811</v>
      </c>
      <c r="B247" s="17" t="n">
        <v>5777.59</v>
      </c>
      <c r="C247" s="19" t="n">
        <f aca="false">B247/B246-1</f>
        <v>-0.00439764195405556</v>
      </c>
      <c r="D247" s="17" t="n">
        <f aca="false">AVERAGE(B198:B247)</f>
        <v>5681.9746</v>
      </c>
      <c r="E247" s="17" t="n">
        <f aca="false">AVERAGE(B48:B247)</f>
        <v>5198.9278</v>
      </c>
      <c r="F247" s="17" t="n">
        <f aca="false">B247*2/13+F246*11/13</f>
        <v>5767.73136276242</v>
      </c>
      <c r="G247" s="17" t="n">
        <f aca="false">B247*2/27+G246*25/27</f>
        <v>5746.55641779598</v>
      </c>
      <c r="H247" s="17" t="n">
        <f aca="false">F247-G247</f>
        <v>21.1749449664458</v>
      </c>
      <c r="I247" s="17" t="n">
        <f aca="false">H247*2/10+I246*8/10</f>
        <v>27.6862808868594</v>
      </c>
      <c r="J247" s="17" t="n">
        <f aca="false">H247-I247</f>
        <v>-6.51133592041368</v>
      </c>
      <c r="K247" s="17" t="n">
        <f aca="false">MAX(B247-B246,0)</f>
        <v>0</v>
      </c>
      <c r="L247" s="17" t="n">
        <f aca="false">MAX(B246-B247,0)</f>
        <v>25.5199999999995</v>
      </c>
      <c r="M247" s="17" t="n">
        <f aca="false">(M246*13+K247)/14</f>
        <v>18.1721430208751</v>
      </c>
      <c r="N247" s="17" t="n">
        <f aca="false">(N246*13+L247)/14</f>
        <v>15.5982745237532</v>
      </c>
      <c r="O247" s="17" t="n">
        <f aca="false">IF(N247=0,100,100-100/(1+M247/N247))</f>
        <v>53.8108330963342</v>
      </c>
      <c r="P247" s="17" t="n">
        <f aca="false">AVERAGE(B228:B247)+2*STDEV(B228:B247)</f>
        <v>5913.78699373791</v>
      </c>
      <c r="Q247" s="17" t="n">
        <f aca="false">AVERAGE(B228:B247)-2*STDEV(B228:B247)</f>
        <v>5659.41800626209</v>
      </c>
      <c r="R247" s="19" t="n">
        <f aca="false">B247/B227-1</f>
        <v>-0.00186063064494946</v>
      </c>
      <c r="S247" s="17" t="n">
        <f aca="false">STDEV(C228:C247)*SQRT(252)*100</f>
        <v>13.4548027600858</v>
      </c>
      <c r="T247" s="18"/>
      <c r="U247" s="18"/>
      <c r="V247" s="17" t="n">
        <f aca="false">(B247-AVERAGE(B228:B247))/STDEV(B228:B247)</f>
        <v>-0.14172325155568</v>
      </c>
    </row>
    <row r="248" customFormat="false" ht="15" hidden="false" customHeight="false" outlineLevel="0" collapsed="false">
      <c r="A248" s="17" t="s">
        <v>812</v>
      </c>
      <c r="B248" s="17" t="n">
        <v>5671.6</v>
      </c>
      <c r="C248" s="19" t="n">
        <f aca="false">B248/B247-1</f>
        <v>-0.0183450192900499</v>
      </c>
      <c r="D248" s="17" t="n">
        <f aca="false">AVERAGE(B199:B248)</f>
        <v>5687.4226</v>
      </c>
      <c r="E248" s="17" t="n">
        <f aca="false">AVERAGE(B49:B248)</f>
        <v>5203.8781</v>
      </c>
      <c r="F248" s="17" t="n">
        <f aca="false">B248*2/13+F247*11/13</f>
        <v>5752.94192233744</v>
      </c>
      <c r="G248" s="17" t="n">
        <f aca="false">B248*2/27+G247*25/27</f>
        <v>5741.00409055183</v>
      </c>
      <c r="H248" s="17" t="n">
        <f aca="false">F248-G248</f>
        <v>11.9378317856044</v>
      </c>
      <c r="I248" s="17" t="n">
        <f aca="false">H248*2/10+I247*8/10</f>
        <v>24.5365910666084</v>
      </c>
      <c r="J248" s="17" t="n">
        <f aca="false">H248-I248</f>
        <v>-12.598759281004</v>
      </c>
      <c r="K248" s="17" t="n">
        <f aca="false">MAX(B248-B247,0)</f>
        <v>0</v>
      </c>
      <c r="L248" s="17" t="n">
        <f aca="false">MAX(B247-B248,0)</f>
        <v>105.99</v>
      </c>
      <c r="M248" s="17" t="n">
        <f aca="false">(M247*13+K248)/14</f>
        <v>16.8741328050983</v>
      </c>
      <c r="N248" s="17" t="n">
        <f aca="false">(N247*13+L248)/14</f>
        <v>22.0548263434851</v>
      </c>
      <c r="O248" s="17" t="n">
        <f aca="false">IF(N248=0,100,100-100/(1+M248/N248))</f>
        <v>43.3459644803073</v>
      </c>
      <c r="P248" s="17" t="n">
        <f aca="false">AVERAGE(B229:B248)+2*STDEV(B229:B248)</f>
        <v>5917.51788231432</v>
      </c>
      <c r="Q248" s="17" t="n">
        <f aca="false">AVERAGE(B229:B248)-2*STDEV(B229:B248)</f>
        <v>5643.38411768568</v>
      </c>
      <c r="R248" s="19" t="n">
        <f aca="false">B248/B228-1</f>
        <v>-0.0212317266158495</v>
      </c>
      <c r="S248" s="17" t="n">
        <f aca="false">STDEV(C229:C248)*SQRT(252)*100</f>
        <v>14.9233202700632</v>
      </c>
      <c r="T248" s="18"/>
      <c r="U248" s="18"/>
      <c r="V248" s="17" t="n">
        <f aca="false">(B248-AVERAGE(B229:B248))/STDEV(B229:B248)</f>
        <v>-1.58829030269152</v>
      </c>
    </row>
    <row r="249" customFormat="false" ht="15" hidden="false" customHeight="false" outlineLevel="0" collapsed="false">
      <c r="A249" s="17" t="s">
        <v>813</v>
      </c>
      <c r="B249" s="17" t="n">
        <v>5753.03</v>
      </c>
      <c r="C249" s="19" t="n">
        <f aca="false">B249/B248-1</f>
        <v>0.0143575005289511</v>
      </c>
      <c r="D249" s="17" t="n">
        <f aca="false">AVERAGE(B200:B249)</f>
        <v>5694.65</v>
      </c>
      <c r="E249" s="17" t="n">
        <f aca="false">AVERAGE(B50:B249)</f>
        <v>5208.82</v>
      </c>
      <c r="F249" s="17" t="n">
        <f aca="false">B249*2/13+F248*11/13</f>
        <v>5752.95547274706</v>
      </c>
      <c r="G249" s="17" t="n">
        <f aca="false">B249*2/27+G248*25/27</f>
        <v>5741.8948986591</v>
      </c>
      <c r="H249" s="17" t="n">
        <f aca="false">F249-G249</f>
        <v>11.0605740879582</v>
      </c>
      <c r="I249" s="17" t="n">
        <f aca="false">H249*2/10+I248*8/10</f>
        <v>21.8413876708784</v>
      </c>
      <c r="J249" s="17" t="n">
        <f aca="false">H249-I249</f>
        <v>-10.7808135829202</v>
      </c>
      <c r="K249" s="17" t="n">
        <f aca="false">MAX(B249-B248,0)</f>
        <v>81.4299999999994</v>
      </c>
      <c r="L249" s="17" t="n">
        <f aca="false">MAX(B248-B249,0)</f>
        <v>0</v>
      </c>
      <c r="M249" s="17" t="n">
        <f aca="false">(M248*13+K249)/14</f>
        <v>21.4852661761627</v>
      </c>
      <c r="N249" s="17" t="n">
        <f aca="false">(N248*13+L249)/14</f>
        <v>20.4794816046647</v>
      </c>
      <c r="O249" s="17" t="n">
        <f aca="false">IF(N249=0,100,100-100/(1+M249/N249))</f>
        <v>51.1983684219323</v>
      </c>
      <c r="P249" s="17" t="n">
        <f aca="false">AVERAGE(B230:B249)+2*STDEV(B230:B249)</f>
        <v>5916.20334512954</v>
      </c>
      <c r="Q249" s="17" t="n">
        <f aca="false">AVERAGE(B230:B249)-2*STDEV(B230:B249)</f>
        <v>5641.12165487046</v>
      </c>
      <c r="R249" s="19" t="n">
        <f aca="false">B249/B229-1</f>
        <v>-0.00617917357656173</v>
      </c>
      <c r="S249" s="17" t="n">
        <f aca="false">STDEV(C230:C249)*SQRT(252)*100</f>
        <v>15.8916648115386</v>
      </c>
      <c r="T249" s="18"/>
      <c r="U249" s="18"/>
      <c r="V249" s="17" t="n">
        <f aca="false">(B249-AVERAGE(B230:B249))/STDEV(B230:B249)</f>
        <v>-0.372725643438641</v>
      </c>
    </row>
    <row r="250" customFormat="false" ht="15" hidden="false" customHeight="false" outlineLevel="0" collapsed="false">
      <c r="A250" s="17" t="s">
        <v>814</v>
      </c>
      <c r="B250" s="17" t="n">
        <v>5653.02</v>
      </c>
      <c r="C250" s="19" t="n">
        <f aca="false">B250/B249-1</f>
        <v>-0.0173838829277788</v>
      </c>
      <c r="D250" s="17" t="n">
        <f aca="false">AVERAGE(B201:B250)</f>
        <v>5699.7176</v>
      </c>
      <c r="E250" s="17" t="n">
        <f aca="false">AVERAGE(B51:B250)</f>
        <v>5213.47085</v>
      </c>
      <c r="F250" s="17" t="n">
        <f aca="false">B250*2/13+F249*11/13</f>
        <v>5737.58078463213</v>
      </c>
      <c r="G250" s="17" t="n">
        <f aca="false">B250*2/27+G249*25/27</f>
        <v>5735.3115728325</v>
      </c>
      <c r="H250" s="17" t="n">
        <f aca="false">F250-G250</f>
        <v>2.26921179962574</v>
      </c>
      <c r="I250" s="17" t="n">
        <f aca="false">H250*2/10+I249*8/10</f>
        <v>17.9269524966279</v>
      </c>
      <c r="J250" s="17" t="n">
        <f aca="false">H250-I250</f>
        <v>-15.6577406970021</v>
      </c>
      <c r="K250" s="17" t="n">
        <f aca="false">MAX(B250-B249,0)</f>
        <v>0</v>
      </c>
      <c r="L250" s="17" t="n">
        <f aca="false">MAX(B249-B250,0)</f>
        <v>100.009999999999</v>
      </c>
      <c r="M250" s="17" t="n">
        <f aca="false">(M249*13+K250)/14</f>
        <v>19.9506043064368</v>
      </c>
      <c r="N250" s="17" t="n">
        <f aca="false">(N249*13+L250)/14</f>
        <v>26.1602329186172</v>
      </c>
      <c r="O250" s="17" t="n">
        <f aca="false">IF(N250=0,100,100-100/(1+M250/N250))</f>
        <v>43.2666277757298</v>
      </c>
      <c r="P250" s="17" t="n">
        <f aca="false">AVERAGE(B231:B250)+2*STDEV(B231:B250)</f>
        <v>5917.65436123073</v>
      </c>
      <c r="Q250" s="17" t="n">
        <f aca="false">AVERAGE(B231:B250)-2*STDEV(B231:B250)</f>
        <v>5623.32163876927</v>
      </c>
      <c r="R250" s="19" t="n">
        <f aca="false">B250/B230-1</f>
        <v>-0.0281079203852481</v>
      </c>
      <c r="S250" s="17" t="n">
        <f aca="false">STDEV(C231:C250)*SQRT(252)*100</f>
        <v>16.8756071171689</v>
      </c>
      <c r="T250" s="18"/>
      <c r="U250" s="18"/>
      <c r="V250" s="17" t="n">
        <f aca="false">(B250-AVERAGE(B231:B250))/STDEV(B231:B250)</f>
        <v>-1.59639742421609</v>
      </c>
    </row>
    <row r="251" customFormat="false" ht="15" hidden="false" customHeight="false" outlineLevel="0" collapsed="false">
      <c r="A251" s="17" t="s">
        <v>815</v>
      </c>
      <c r="B251" s="17" t="n">
        <v>5646.92</v>
      </c>
      <c r="C251" s="19" t="n">
        <f aca="false">B251/B250-1</f>
        <v>-0.00107906924086598</v>
      </c>
      <c r="D251" s="17" t="n">
        <f aca="false">AVERAGE(B202:B251)</f>
        <v>5703.7854</v>
      </c>
      <c r="E251" s="17" t="n">
        <f aca="false">AVERAGE(B52:B251)</f>
        <v>5217.97515</v>
      </c>
      <c r="F251" s="17" t="n">
        <f aca="false">B251*2/13+F250*11/13</f>
        <v>5723.6329716118</v>
      </c>
      <c r="G251" s="17" t="n">
        <f aca="false">B251*2/27+G250*25/27</f>
        <v>5728.76404891898</v>
      </c>
      <c r="H251" s="17" t="n">
        <f aca="false">F251-G251</f>
        <v>-5.13107730718275</v>
      </c>
      <c r="I251" s="17" t="n">
        <f aca="false">H251*2/10+I250*8/10</f>
        <v>13.3153465358657</v>
      </c>
      <c r="J251" s="17" t="n">
        <f aca="false">H251-I251</f>
        <v>-18.4464238430485</v>
      </c>
      <c r="K251" s="17" t="n">
        <f aca="false">MAX(B251-B250,0)</f>
        <v>0</v>
      </c>
      <c r="L251" s="17" t="n">
        <f aca="false">MAX(B250-B251,0)</f>
        <v>6.10000000000036</v>
      </c>
      <c r="M251" s="17" t="n">
        <f aca="false">(M250*13+K251)/14</f>
        <v>18.5255611416913</v>
      </c>
      <c r="N251" s="17" t="n">
        <f aca="false">(N250*13+L251)/14</f>
        <v>24.727359138716</v>
      </c>
      <c r="O251" s="17" t="n">
        <f aca="false">IF(N251=0,100,100-100/(1+M251/N251))</f>
        <v>42.830775405662</v>
      </c>
      <c r="P251" s="17" t="n">
        <f aca="false">AVERAGE(B232:B251)+2*STDEV(B232:B251)</f>
        <v>5906.07307131014</v>
      </c>
      <c r="Q251" s="17" t="n">
        <f aca="false">AVERAGE(B232:B251)-2*STDEV(B232:B251)</f>
        <v>5611.44892868986</v>
      </c>
      <c r="R251" s="19" t="n">
        <f aca="false">B251/B231-1</f>
        <v>-0.039877853458155</v>
      </c>
      <c r="S251" s="17" t="n">
        <f aca="false">STDEV(C232:C251)*SQRT(252)*100</f>
        <v>16.2159200776667</v>
      </c>
      <c r="T251" s="18"/>
      <c r="U251" s="18"/>
      <c r="V251" s="17" t="n">
        <f aca="false">(B251-AVERAGE(B232:B251))/STDEV(B232:B251)</f>
        <v>-1.5184227471018</v>
      </c>
    </row>
    <row r="252" customFormat="false" ht="15" hidden="false" customHeight="false" outlineLevel="0" collapsed="false">
      <c r="A252" s="17" t="s">
        <v>816</v>
      </c>
      <c r="B252" s="17" t="n">
        <v>5596.96</v>
      </c>
      <c r="C252" s="19" t="n">
        <f aca="false">B252/B251-1</f>
        <v>-0.00884730082947871</v>
      </c>
      <c r="D252" s="17" t="n">
        <f aca="false">AVERAGE(B203:B252)</f>
        <v>5706.8836</v>
      </c>
      <c r="E252" s="17" t="n">
        <f aca="false">AVERAGE(B53:B252)</f>
        <v>5221.86045</v>
      </c>
      <c r="F252" s="17" t="n">
        <f aca="false">B252*2/13+F251*11/13</f>
        <v>5704.14482213306</v>
      </c>
      <c r="G252" s="17" t="n">
        <f aca="false">B252*2/27+G251*25/27</f>
        <v>5719.0007860361</v>
      </c>
      <c r="H252" s="17" t="n">
        <f aca="false">F252-G252</f>
        <v>-14.8559639030336</v>
      </c>
      <c r="I252" s="17" t="n">
        <f aca="false">H252*2/10+I251*8/10</f>
        <v>7.68108444808587</v>
      </c>
      <c r="J252" s="17" t="n">
        <f aca="false">H252-I252</f>
        <v>-22.5370483511195</v>
      </c>
      <c r="K252" s="17" t="n">
        <f aca="false">MAX(B252-B251,0)</f>
        <v>0</v>
      </c>
      <c r="L252" s="17" t="n">
        <f aca="false">MAX(B251-B252,0)</f>
        <v>49.96</v>
      </c>
      <c r="M252" s="17" t="n">
        <f aca="false">(M251*13+K252)/14</f>
        <v>17.2023067744276</v>
      </c>
      <c r="N252" s="17" t="n">
        <f aca="false">(N251*13+L252)/14</f>
        <v>26.5296906288077</v>
      </c>
      <c r="O252" s="17" t="n">
        <f aca="false">IF(N252=0,100,100-100/(1+M252/N252))</f>
        <v>39.3357445254833</v>
      </c>
      <c r="P252" s="17" t="n">
        <f aca="false">AVERAGE(B233:B252)+2*STDEV(B233:B252)</f>
        <v>5897.61127358428</v>
      </c>
      <c r="Q252" s="17" t="n">
        <f aca="false">AVERAGE(B233:B252)-2*STDEV(B233:B252)</f>
        <v>5591.79472641572</v>
      </c>
      <c r="R252" s="19" t="n">
        <f aca="false">B252/B232-1</f>
        <v>-0.0478316196334883</v>
      </c>
      <c r="S252" s="17" t="n">
        <f aca="false">STDEV(C233:C252)*SQRT(252)*100</f>
        <v>16.3855281285885</v>
      </c>
      <c r="T252" s="18"/>
      <c r="U252" s="18"/>
      <c r="V252" s="17" t="n">
        <f aca="false">(B252-AVERAGE(B233:B252))/STDEV(B233:B252)</f>
        <v>-1.93243958010634</v>
      </c>
    </row>
    <row r="253" customFormat="false" ht="15" hidden="false" customHeight="false" outlineLevel="0" collapsed="false">
      <c r="A253" s="17" t="s">
        <v>817</v>
      </c>
      <c r="B253" s="17" t="n">
        <v>5648.82</v>
      </c>
      <c r="C253" s="19" t="n">
        <f aca="false">B253/B252-1</f>
        <v>0.00926574426117033</v>
      </c>
      <c r="D253" s="17" t="n">
        <f aca="false">AVERAGE(B204:B253)</f>
        <v>5709.6994</v>
      </c>
      <c r="E253" s="17" t="n">
        <f aca="false">AVERAGE(B54:B253)</f>
        <v>5226.0143</v>
      </c>
      <c r="F253" s="17" t="n">
        <f aca="false">B253*2/13+F252*11/13</f>
        <v>5695.63331103567</v>
      </c>
      <c r="G253" s="17" t="n">
        <f aca="false">B253*2/27+G252*25/27</f>
        <v>5713.80220929268</v>
      </c>
      <c r="H253" s="17" t="n">
        <f aca="false">F253-G253</f>
        <v>-18.168898257014</v>
      </c>
      <c r="I253" s="17" t="n">
        <f aca="false">H253*2/10+I252*8/10</f>
        <v>2.5110879070659</v>
      </c>
      <c r="J253" s="17" t="n">
        <f aca="false">H253-I253</f>
        <v>-20.6799861640799</v>
      </c>
      <c r="K253" s="17" t="n">
        <f aca="false">MAX(B253-B252,0)</f>
        <v>51.8599999999997</v>
      </c>
      <c r="L253" s="17" t="n">
        <f aca="false">MAX(B252-B253,0)</f>
        <v>0</v>
      </c>
      <c r="M253" s="17" t="n">
        <f aca="false">(M252*13+K253)/14</f>
        <v>19.6778562905399</v>
      </c>
      <c r="N253" s="17" t="n">
        <f aca="false">(N252*13+L253)/14</f>
        <v>24.63471272675</v>
      </c>
      <c r="O253" s="17" t="n">
        <f aca="false">IF(N253=0,100,100-100/(1+M253/N253))</f>
        <v>44.4069408001644</v>
      </c>
      <c r="P253" s="17" t="n">
        <f aca="false">AVERAGE(B234:B253)+2*STDEV(B234:B253)</f>
        <v>5883.35995327481</v>
      </c>
      <c r="Q253" s="17" t="n">
        <f aca="false">AVERAGE(B234:B253)-2*STDEV(B234:B253)</f>
        <v>5585.25104672519</v>
      </c>
      <c r="R253" s="19" t="n">
        <f aca="false">B253/B233-1</f>
        <v>-0.0355059187914159</v>
      </c>
      <c r="S253" s="17" t="n">
        <f aca="false">STDEV(C234:C253)*SQRT(252)*100</f>
        <v>16.8884585427461</v>
      </c>
      <c r="T253" s="18"/>
      <c r="U253" s="18"/>
      <c r="V253" s="17" t="n">
        <f aca="false">(B253-AVERAGE(B234:B253))/STDEV(B234:B253)</f>
        <v>-1.14703718167201</v>
      </c>
    </row>
    <row r="254" customFormat="false" ht="15" hidden="false" customHeight="false" outlineLevel="0" collapsed="false">
      <c r="A254" s="17" t="s">
        <v>818</v>
      </c>
      <c r="B254" s="17" t="n">
        <v>5597.9</v>
      </c>
      <c r="C254" s="19" t="n">
        <f aca="false">B254/B253-1</f>
        <v>-0.00901427200725113</v>
      </c>
      <c r="D254" s="17" t="n">
        <f aca="false">AVERAGE(B205:B254)</f>
        <v>5710.6936</v>
      </c>
      <c r="E254" s="17" t="n">
        <f aca="false">AVERAGE(B55:B254)</f>
        <v>5230.02345</v>
      </c>
      <c r="F254" s="17" t="n">
        <f aca="false">B254*2/13+F253*11/13</f>
        <v>5680.59741703018</v>
      </c>
      <c r="G254" s="17" t="n">
        <f aca="false">B254*2/27+G253*25/27</f>
        <v>5705.21686045619</v>
      </c>
      <c r="H254" s="17" t="n">
        <f aca="false">F254-G254</f>
        <v>-24.619443426006</v>
      </c>
      <c r="I254" s="17" t="n">
        <f aca="false">H254*2/10+I253*8/10</f>
        <v>-2.91501835954848</v>
      </c>
      <c r="J254" s="17" t="n">
        <f aca="false">H254-I254</f>
        <v>-21.7044250664575</v>
      </c>
      <c r="K254" s="17" t="n">
        <f aca="false">MAX(B254-B253,0)</f>
        <v>0</v>
      </c>
      <c r="L254" s="17" t="n">
        <f aca="false">MAX(B253-B254,0)</f>
        <v>50.9200000000001</v>
      </c>
      <c r="M254" s="17" t="n">
        <f aca="false">(M253*13+K254)/14</f>
        <v>18.2722951269299</v>
      </c>
      <c r="N254" s="17" t="n">
        <f aca="false">(N253*13+L254)/14</f>
        <v>26.5122332462679</v>
      </c>
      <c r="O254" s="17" t="n">
        <f aca="false">IF(N254=0,100,100-100/(1+M254/N254))</f>
        <v>40.8004634427843</v>
      </c>
      <c r="P254" s="17" t="n">
        <f aca="false">AVERAGE(B235:B254)+2*STDEV(B235:B254)</f>
        <v>5865.19592273646</v>
      </c>
      <c r="Q254" s="17" t="n">
        <f aca="false">AVERAGE(B235:B254)-2*STDEV(B235:B254)</f>
        <v>5575.44607726354</v>
      </c>
      <c r="R254" s="19" t="n">
        <f aca="false">B254/B234-1</f>
        <v>-0.0475858302467509</v>
      </c>
      <c r="S254" s="17" t="n">
        <f aca="false">STDEV(C235:C254)*SQRT(252)*100</f>
        <v>16.953827049155</v>
      </c>
      <c r="T254" s="18"/>
      <c r="U254" s="18"/>
      <c r="V254" s="17" t="n">
        <f aca="false">(B254-AVERAGE(B235:B254))/STDEV(B235:B254)</f>
        <v>-1.69002333444134</v>
      </c>
    </row>
    <row r="255" customFormat="false" ht="15" hidden="false" customHeight="false" outlineLevel="0" collapsed="false">
      <c r="A255" s="17" t="s">
        <v>819</v>
      </c>
      <c r="B255" s="17" t="n">
        <v>5656.47</v>
      </c>
      <c r="C255" s="19" t="n">
        <f aca="false">B255/B254-1</f>
        <v>0.0104628521409815</v>
      </c>
      <c r="D255" s="17" t="n">
        <f aca="false">AVERAGE(B206:B255)</f>
        <v>5713.0012</v>
      </c>
      <c r="E255" s="17" t="n">
        <f aca="false">AVERAGE(B56:B255)</f>
        <v>5234.2797</v>
      </c>
      <c r="F255" s="17" t="n">
        <f aca="false">B255*2/13+F254*11/13</f>
        <v>5676.88550671785</v>
      </c>
      <c r="G255" s="17" t="n">
        <f aca="false">B255*2/27+G254*25/27</f>
        <v>5701.60598190388</v>
      </c>
      <c r="H255" s="17" t="n">
        <f aca="false">F255-G255</f>
        <v>-24.7204751860309</v>
      </c>
      <c r="I255" s="17" t="n">
        <f aca="false">H255*2/10+I254*8/10</f>
        <v>-7.27610972484496</v>
      </c>
      <c r="J255" s="17" t="n">
        <f aca="false">H255-I255</f>
        <v>-17.4443654611859</v>
      </c>
      <c r="K255" s="17" t="n">
        <f aca="false">MAX(B255-B254,0)</f>
        <v>58.5700000000006</v>
      </c>
      <c r="L255" s="17" t="n">
        <f aca="false">MAX(B254-B255,0)</f>
        <v>0</v>
      </c>
      <c r="M255" s="17" t="n">
        <f aca="false">(M254*13+K255)/14</f>
        <v>21.1507026178636</v>
      </c>
      <c r="N255" s="17" t="n">
        <f aca="false">(N254*13+L255)/14</f>
        <v>24.6185023001059</v>
      </c>
      <c r="O255" s="17" t="n">
        <f aca="false">IF(N255=0,100,100-100/(1+M255/N255))</f>
        <v>46.2116452662248</v>
      </c>
      <c r="P255" s="17" t="n">
        <f aca="false">AVERAGE(B236:B255)+2*STDEV(B236:B255)</f>
        <v>5833.64222359542</v>
      </c>
      <c r="Q255" s="17" t="n">
        <f aca="false">AVERAGE(B236:B255)-2*STDEV(B236:B255)</f>
        <v>5584.11677640458</v>
      </c>
      <c r="R255" s="19" t="n">
        <f aca="false">B255/B235-1</f>
        <v>-0.0388816203082256</v>
      </c>
      <c r="S255" s="17" t="n">
        <f aca="false">STDEV(C236:C255)*SQRT(252)*100</f>
        <v>17.5198856169085</v>
      </c>
      <c r="T255" s="19" t="n">
        <f aca="false">B234/B4-1</f>
        <v>0.297951134627106</v>
      </c>
      <c r="U255" s="19" t="n">
        <f aca="false">B255/MAX(B4:B255)-1</f>
        <v>-0.0388816203082256</v>
      </c>
      <c r="V255" s="17" t="n">
        <f aca="false">(B255-AVERAGE(B236:B255))/STDEV(B236:B255)</f>
        <v>-0.840146776050717</v>
      </c>
    </row>
    <row r="256" customFormat="false" ht="15" hidden="false" customHeight="false" outlineLevel="0" collapsed="false">
      <c r="A256" s="17" t="s">
        <v>820</v>
      </c>
      <c r="B256" s="17" t="n">
        <v>5694.15</v>
      </c>
      <c r="C256" s="19" t="n">
        <f aca="false">B256/B255-1</f>
        <v>0.00666139836329016</v>
      </c>
      <c r="D256" s="17" t="n">
        <f aca="false">AVERAGE(B207:B256)</f>
        <v>5715.4586</v>
      </c>
      <c r="E256" s="17" t="n">
        <f aca="false">AVERAGE(B57:B256)</f>
        <v>5238.4817</v>
      </c>
      <c r="F256" s="17" t="n">
        <f aca="false">B256*2/13+F255*11/13</f>
        <v>5679.54158260741</v>
      </c>
      <c r="G256" s="17" t="n">
        <f aca="false">B256*2/27+G255*25/27</f>
        <v>5701.05368694803</v>
      </c>
      <c r="H256" s="17" t="n">
        <f aca="false">F256-G256</f>
        <v>-21.512104340627</v>
      </c>
      <c r="I256" s="17" t="n">
        <f aca="false">H256*2/10+I255*8/10</f>
        <v>-10.1233086480014</v>
      </c>
      <c r="J256" s="17" t="n">
        <f aca="false">H256-I256</f>
        <v>-11.3887956926257</v>
      </c>
      <c r="K256" s="17" t="n">
        <f aca="false">MAX(B256-B255,0)</f>
        <v>37.6799999999994</v>
      </c>
      <c r="L256" s="17" t="n">
        <f aca="false">MAX(B255-B256,0)</f>
        <v>0</v>
      </c>
      <c r="M256" s="17" t="n">
        <f aca="false">(M255*13+K256)/14</f>
        <v>22.3313667165875</v>
      </c>
      <c r="N256" s="17" t="n">
        <f aca="false">(N255*13+L256)/14</f>
        <v>22.8600378500983</v>
      </c>
      <c r="O256" s="17" t="n">
        <f aca="false">IF(N256=0,100,100-100/(1+M256/N256))</f>
        <v>49.4150755673785</v>
      </c>
      <c r="P256" s="17" t="n">
        <f aca="false">AVERAGE(B237:B256)+2*STDEV(B237:B256)</f>
        <v>5830.41444132573</v>
      </c>
      <c r="Q256" s="17" t="n">
        <f aca="false">AVERAGE(B237:B256)-2*STDEV(B237:B256)</f>
        <v>5582.56555867427</v>
      </c>
      <c r="R256" s="19" t="n">
        <f aca="false">B256/B236-1</f>
        <v>-0.00832297098193291</v>
      </c>
      <c r="S256" s="17" t="n">
        <f aca="false">STDEV(C237:C256)*SQRT(252)*100</f>
        <v>15.606876564223</v>
      </c>
      <c r="T256" s="19" t="n">
        <f aca="false">B235/B5-1</f>
        <v>0.292134954805026</v>
      </c>
      <c r="U256" s="19" t="n">
        <f aca="false">B256/MAX(B5:B256)-1</f>
        <v>-0.0324792279068188</v>
      </c>
      <c r="V256" s="17" t="n">
        <f aca="false">(B256-AVERAGE(B237:B256))/STDEV(B237:B256)</f>
        <v>-0.199153611151892</v>
      </c>
    </row>
    <row r="257" customFormat="false" ht="15" hidden="false" customHeight="false" outlineLevel="0" collapsed="false">
      <c r="A257" s="17" t="s">
        <v>821</v>
      </c>
      <c r="B257" s="17" t="n">
        <v>5709.8</v>
      </c>
      <c r="C257" s="19" t="n">
        <f aca="false">B257/B256-1</f>
        <v>0.00274843479711651</v>
      </c>
      <c r="D257" s="17" t="n">
        <f aca="false">AVERAGE(B208:B257)</f>
        <v>5717.984</v>
      </c>
      <c r="E257" s="17" t="n">
        <f aca="false">AVERAGE(B58:B257)</f>
        <v>5242.5739</v>
      </c>
      <c r="F257" s="17" t="n">
        <f aca="false">B257*2/13+F256*11/13</f>
        <v>5684.19672374473</v>
      </c>
      <c r="G257" s="17" t="n">
        <f aca="false">B257*2/27+G256*25/27</f>
        <v>5701.70156198892</v>
      </c>
      <c r="H257" s="17" t="n">
        <f aca="false">F257-G257</f>
        <v>-17.504838244191</v>
      </c>
      <c r="I257" s="17" t="n">
        <f aca="false">H257*2/10+I256*8/10</f>
        <v>-11.5996145672393</v>
      </c>
      <c r="J257" s="17" t="n">
        <f aca="false">H257-I257</f>
        <v>-5.90522367695168</v>
      </c>
      <c r="K257" s="17" t="n">
        <f aca="false">MAX(B257-B256,0)</f>
        <v>15.6500000000005</v>
      </c>
      <c r="L257" s="17" t="n">
        <f aca="false">MAX(B256-B257,0)</f>
        <v>0</v>
      </c>
      <c r="M257" s="17" t="n">
        <f aca="false">(M256*13+K257)/14</f>
        <v>21.8541262368313</v>
      </c>
      <c r="N257" s="17" t="n">
        <f aca="false">(N256*13+L257)/14</f>
        <v>21.2271780036627</v>
      </c>
      <c r="O257" s="17" t="n">
        <f aca="false">IF(N257=0,100,100-100/(1+M257/N257))</f>
        <v>50.7276337662258</v>
      </c>
      <c r="P257" s="17" t="n">
        <f aca="false">AVERAGE(B238:B257)+2*STDEV(B238:B257)</f>
        <v>5830.50220993434</v>
      </c>
      <c r="Q257" s="17" t="n">
        <f aca="false">AVERAGE(B238:B257)-2*STDEV(B238:B257)</f>
        <v>5582.63979006566</v>
      </c>
      <c r="R257" s="19" t="n">
        <f aca="false">B257/B237-1</f>
        <v>0.000283803243765979</v>
      </c>
      <c r="S257" s="17" t="n">
        <f aca="false">STDEV(C238:C257)*SQRT(252)*100</f>
        <v>15.5031905113508</v>
      </c>
      <c r="T257" s="19" t="n">
        <f aca="false">B236/B6-1</f>
        <v>0.254353254209074</v>
      </c>
      <c r="U257" s="19" t="n">
        <f aca="false">B257/MAX(B6:B257)-1</f>
        <v>-0.0298200601498649</v>
      </c>
      <c r="V257" s="17" t="n">
        <f aca="false">(B257-AVERAGE(B238:B257))/STDEV(B238:B257)</f>
        <v>0.0521095533838655</v>
      </c>
    </row>
    <row r="258" customFormat="false" ht="15" hidden="false" customHeight="false" outlineLevel="0" collapsed="false">
      <c r="A258" s="17" t="s">
        <v>822</v>
      </c>
      <c r="B258" s="17" t="n">
        <v>5778.95</v>
      </c>
      <c r="C258" s="19" t="n">
        <f aca="false">B258/B257-1</f>
        <v>0.0121107569442012</v>
      </c>
      <c r="D258" s="17" t="n">
        <f aca="false">AVERAGE(B209:B258)</f>
        <v>5720.9704</v>
      </c>
      <c r="E258" s="17" t="n">
        <f aca="false">AVERAGE(B59:B258)</f>
        <v>5247.1741</v>
      </c>
      <c r="F258" s="17" t="n">
        <f aca="false">B258*2/13+F257*11/13</f>
        <v>5698.77415086092</v>
      </c>
      <c r="G258" s="17" t="n">
        <f aca="false">B258*2/27+G257*25/27</f>
        <v>5707.42366850826</v>
      </c>
      <c r="H258" s="17" t="n">
        <f aca="false">F258-G258</f>
        <v>-8.64951764733451</v>
      </c>
      <c r="I258" s="17" t="n">
        <f aca="false">H258*2/10+I257*8/10</f>
        <v>-11.0095951832583</v>
      </c>
      <c r="J258" s="17" t="n">
        <f aca="false">H258-I258</f>
        <v>2.36007753592383</v>
      </c>
      <c r="K258" s="17" t="n">
        <f aca="false">MAX(B258-B257,0)</f>
        <v>69.1499999999996</v>
      </c>
      <c r="L258" s="17" t="n">
        <f aca="false">MAX(B257-B258,0)</f>
        <v>0</v>
      </c>
      <c r="M258" s="17" t="n">
        <f aca="false">(M257*13+K258)/14</f>
        <v>25.2324029342005</v>
      </c>
      <c r="N258" s="17" t="n">
        <f aca="false">(N257*13+L258)/14</f>
        <v>19.7109510034011</v>
      </c>
      <c r="O258" s="17" t="n">
        <f aca="false">IF(N258=0,100,100-100/(1+M258/N258))</f>
        <v>56.1426790026232</v>
      </c>
      <c r="P258" s="17" t="n">
        <f aca="false">AVERAGE(B239:B258)+2*STDEV(B239:B258)</f>
        <v>5834.50964189754</v>
      </c>
      <c r="Q258" s="17" t="n">
        <f aca="false">AVERAGE(B239:B258)-2*STDEV(B239:B258)</f>
        <v>5581.34535810246</v>
      </c>
      <c r="R258" s="19" t="n">
        <f aca="false">B258/B238-1</f>
        <v>0.00471676790998332</v>
      </c>
      <c r="S258" s="17" t="n">
        <f aca="false">STDEV(C239:C258)*SQRT(252)*100</f>
        <v>15.8696923745596</v>
      </c>
      <c r="T258" s="19" t="n">
        <f aca="false">B237/B7-1</f>
        <v>0.250211902921085</v>
      </c>
      <c r="U258" s="19" t="n">
        <f aca="false">B258/MAX(B7:B258)-1</f>
        <v>-0.0180704467062003</v>
      </c>
      <c r="V258" s="17" t="n">
        <f aca="false">(B258-AVERAGE(B239:B258))/STDEV(B239:B258)</f>
        <v>1.1221567108177</v>
      </c>
    </row>
    <row r="259" customFormat="false" ht="15" hidden="false" customHeight="false" outlineLevel="0" collapsed="false">
      <c r="A259" s="17" t="s">
        <v>823</v>
      </c>
      <c r="B259" s="17" t="n">
        <v>5793.36</v>
      </c>
      <c r="C259" s="19" t="n">
        <f aca="false">B259/B258-1</f>
        <v>0.00249353256214357</v>
      </c>
      <c r="D259" s="17" t="n">
        <f aca="false">AVERAGE(B210:B259)</f>
        <v>5723.9562</v>
      </c>
      <c r="E259" s="17" t="n">
        <f aca="false">AVERAGE(B60:B259)</f>
        <v>5252.05505</v>
      </c>
      <c r="F259" s="17" t="n">
        <f aca="false">B259*2/13+F258*11/13</f>
        <v>5713.32581995924</v>
      </c>
      <c r="G259" s="17" t="n">
        <f aca="false">B259*2/27+G258*25/27</f>
        <v>5713.78932269283</v>
      </c>
      <c r="H259" s="17" t="n">
        <f aca="false">F259-G259</f>
        <v>-0.46350273358803</v>
      </c>
      <c r="I259" s="17" t="n">
        <f aca="false">H259*2/10+I258*8/10</f>
        <v>-8.90037669332428</v>
      </c>
      <c r="J259" s="17" t="n">
        <f aca="false">H259-I259</f>
        <v>8.43687395973625</v>
      </c>
      <c r="K259" s="17" t="n">
        <f aca="false">MAX(B259-B258,0)</f>
        <v>14.4099999999999</v>
      </c>
      <c r="L259" s="17" t="n">
        <f aca="false">MAX(B258-B259,0)</f>
        <v>0</v>
      </c>
      <c r="M259" s="17" t="n">
        <f aca="false">(M258*13+K259)/14</f>
        <v>24.4593741531862</v>
      </c>
      <c r="N259" s="17" t="n">
        <f aca="false">(N258*13+L259)/14</f>
        <v>18.3030259317296</v>
      </c>
      <c r="O259" s="17" t="n">
        <f aca="false">IF(N259=0,100,100-100/(1+M259/N259))</f>
        <v>57.1983193286994</v>
      </c>
      <c r="P259" s="17" t="n">
        <f aca="false">AVERAGE(B240:B259)+2*STDEV(B240:B259)</f>
        <v>5843.28823761156</v>
      </c>
      <c r="Q259" s="17" t="n">
        <f aca="false">AVERAGE(B240:B259)-2*STDEV(B240:B259)</f>
        <v>5579.19576238844</v>
      </c>
      <c r="R259" s="19" t="n">
        <f aca="false">B259/B239-1</f>
        <v>0.011574854157536</v>
      </c>
      <c r="S259" s="17" t="n">
        <f aca="false">STDEV(C240:C259)*SQRT(252)*100</f>
        <v>15.7923971255515</v>
      </c>
      <c r="T259" s="19" t="n">
        <f aca="false">B238/B8-1</f>
        <v>0.251350487002038</v>
      </c>
      <c r="U259" s="19" t="n">
        <f aca="false">B259/MAX(B8:B259)-1</f>
        <v>-0.015621973391331</v>
      </c>
      <c r="V259" s="17" t="n">
        <f aca="false">(B259-AVERAGE(B240:B259))/STDEV(B240:B259)</f>
        <v>1.24377644505959</v>
      </c>
    </row>
    <row r="260" customFormat="false" ht="15" hidden="false" customHeight="false" outlineLevel="0" collapsed="false">
      <c r="A260" s="17" t="s">
        <v>824</v>
      </c>
      <c r="B260" s="17" t="n">
        <v>5838.08</v>
      </c>
      <c r="C260" s="19" t="n">
        <f aca="false">B260/B259-1</f>
        <v>0.00771918196003707</v>
      </c>
      <c r="D260" s="17" t="n">
        <f aca="false">AVERAGE(B211:B260)</f>
        <v>5728.2146</v>
      </c>
      <c r="E260" s="17" t="n">
        <f aca="false">AVERAGE(B61:B260)</f>
        <v>5256.9119</v>
      </c>
      <c r="F260" s="17" t="n">
        <f aca="false">B260*2/13+F259*11/13</f>
        <v>5732.51877073475</v>
      </c>
      <c r="G260" s="17" t="n">
        <f aca="false">B260*2/27+G259*25/27</f>
        <v>5722.9960395304</v>
      </c>
      <c r="H260" s="17" t="n">
        <f aca="false">F260-G260</f>
        <v>9.52273120434438</v>
      </c>
      <c r="I260" s="17" t="n">
        <f aca="false">H260*2/10+I259*8/10</f>
        <v>-5.21575511379055</v>
      </c>
      <c r="J260" s="17" t="n">
        <f aca="false">H260-I260</f>
        <v>14.7384863181349</v>
      </c>
      <c r="K260" s="17" t="n">
        <f aca="false">MAX(B260-B259,0)</f>
        <v>44.7200000000003</v>
      </c>
      <c r="L260" s="17" t="n">
        <f aca="false">MAX(B259-B260,0)</f>
        <v>0</v>
      </c>
      <c r="M260" s="17" t="n">
        <f aca="false">(M259*13+K260)/14</f>
        <v>25.9065617136729</v>
      </c>
      <c r="N260" s="17" t="n">
        <f aca="false">(N259*13+L260)/14</f>
        <v>16.9956669366061</v>
      </c>
      <c r="O260" s="17" t="n">
        <f aca="false">IF(N260=0,100,100-100/(1+M260/N260))</f>
        <v>60.3851187425538</v>
      </c>
      <c r="P260" s="17" t="n">
        <f aca="false">AVERAGE(B241:B260)+2*STDEV(B241:B260)</f>
        <v>5861.63704605045</v>
      </c>
      <c r="Q260" s="17" t="n">
        <f aca="false">AVERAGE(B241:B260)-2*STDEV(B241:B260)</f>
        <v>5574.56595394955</v>
      </c>
      <c r="R260" s="19" t="n">
        <f aca="false">B260/B240-1</f>
        <v>0.0240646635876152</v>
      </c>
      <c r="S260" s="17" t="n">
        <f aca="false">STDEV(C241:C260)*SQRT(252)*100</f>
        <v>15.8587361482085</v>
      </c>
      <c r="T260" s="19" t="n">
        <f aca="false">B239/B9-1</f>
        <v>0.247773882692823</v>
      </c>
      <c r="U260" s="19" t="n">
        <f aca="false">B260/MAX(B9:B260)-1</f>
        <v>-0.00802338028647653</v>
      </c>
      <c r="V260" s="17" t="n">
        <f aca="false">(B260-AVERAGE(B241:B260))/STDEV(B241:B260)</f>
        <v>1.67176010822898</v>
      </c>
    </row>
    <row r="261" customFormat="false" ht="15" hidden="false" customHeight="false" outlineLevel="0" collapsed="false">
      <c r="A261" s="17" t="s">
        <v>825</v>
      </c>
      <c r="B261" s="17" t="n">
        <v>5839.74</v>
      </c>
      <c r="C261" s="19" t="n">
        <f aca="false">B261/B260-1</f>
        <v>0.00028434005700495</v>
      </c>
      <c r="D261" s="17" t="n">
        <f aca="false">AVERAGE(B212:B261)</f>
        <v>5732.483</v>
      </c>
      <c r="E261" s="17" t="n">
        <f aca="false">AVERAGE(B62:B261)</f>
        <v>5261.73425</v>
      </c>
      <c r="F261" s="17" t="n">
        <f aca="false">B261*2/13+F260*11/13</f>
        <v>5749.01434446786</v>
      </c>
      <c r="G261" s="17" t="n">
        <f aca="false">B261*2/27+G260*25/27</f>
        <v>5731.64374030593</v>
      </c>
      <c r="H261" s="17" t="n">
        <f aca="false">F261-G261</f>
        <v>17.3706041619334</v>
      </c>
      <c r="I261" s="17" t="n">
        <f aca="false">H261*2/10+I260*8/10</f>
        <v>-0.698483258645747</v>
      </c>
      <c r="J261" s="17" t="n">
        <f aca="false">H261-I261</f>
        <v>18.0690874205792</v>
      </c>
      <c r="K261" s="17" t="n">
        <f aca="false">MAX(B261-B260,0)</f>
        <v>1.65999999999985</v>
      </c>
      <c r="L261" s="17" t="n">
        <f aca="false">MAX(B260-B261,0)</f>
        <v>0</v>
      </c>
      <c r="M261" s="17" t="n">
        <f aca="false">(M260*13+K261)/14</f>
        <v>24.1746644484105</v>
      </c>
      <c r="N261" s="17" t="n">
        <f aca="false">(N260*13+L261)/14</f>
        <v>15.7816907268485</v>
      </c>
      <c r="O261" s="17" t="n">
        <f aca="false">IF(N261=0,100,100-100/(1+M261/N261))</f>
        <v>60.5026768392015</v>
      </c>
      <c r="P261" s="17" t="n">
        <f aca="false">AVERAGE(B242:B261)+2*STDEV(B242:B261)</f>
        <v>5878.23603571617</v>
      </c>
      <c r="Q261" s="17" t="n">
        <f aca="false">AVERAGE(B242:B261)-2*STDEV(B242:B261)</f>
        <v>5573.79296428383</v>
      </c>
      <c r="R261" s="19" t="n">
        <f aca="false">B261/B241-1</f>
        <v>0.0278554179544768</v>
      </c>
      <c r="S261" s="17" t="n">
        <f aca="false">STDEV(C242:C261)*SQRT(252)*100</f>
        <v>15.7693317848492</v>
      </c>
      <c r="T261" s="19" t="n">
        <f aca="false">B240/B10-1</f>
        <v>0.234044349392166</v>
      </c>
      <c r="U261" s="19" t="n">
        <f aca="false">B261/MAX(B10:B261)-1</f>
        <v>-0.00774132159787955</v>
      </c>
      <c r="V261" s="17" t="n">
        <f aca="false">(B261-AVERAGE(B242:B261))/STDEV(B242:B261)</f>
        <v>1.49421038836516</v>
      </c>
    </row>
    <row r="262" customFormat="false" ht="15" hidden="false" customHeight="false" outlineLevel="0" collapsed="false">
      <c r="A262" s="17" t="s">
        <v>826</v>
      </c>
      <c r="B262" s="17" t="n">
        <v>5880.1</v>
      </c>
      <c r="C262" s="19" t="n">
        <f aca="false">B262/B261-1</f>
        <v>0.00691126659748553</v>
      </c>
      <c r="D262" s="17" t="n">
        <f aca="false">AVERAGE(B213:B262)</f>
        <v>5737.1632</v>
      </c>
      <c r="E262" s="17" t="n">
        <f aca="false">AVERAGE(B63:B262)</f>
        <v>5266.94325</v>
      </c>
      <c r="F262" s="17" t="n">
        <f aca="false">B262*2/13+F261*11/13</f>
        <v>5769.18136839588</v>
      </c>
      <c r="G262" s="17" t="n">
        <f aca="false">B262*2/27+G261*25/27</f>
        <v>5742.64050028327</v>
      </c>
      <c r="H262" s="17" t="n">
        <f aca="false">F262-G262</f>
        <v>26.5408681126164</v>
      </c>
      <c r="I262" s="17" t="n">
        <f aca="false">H262*2/10+I261*8/10</f>
        <v>4.74938701560668</v>
      </c>
      <c r="J262" s="17" t="n">
        <f aca="false">H262-I262</f>
        <v>21.7914810970097</v>
      </c>
      <c r="K262" s="17" t="n">
        <f aca="false">MAX(B262-B261,0)</f>
        <v>40.3600000000006</v>
      </c>
      <c r="L262" s="17" t="n">
        <f aca="false">MAX(B261-B262,0)</f>
        <v>0</v>
      </c>
      <c r="M262" s="17" t="n">
        <f aca="false">(M261*13+K262)/14</f>
        <v>25.3307598449527</v>
      </c>
      <c r="N262" s="17" t="n">
        <f aca="false">(N261*13+L262)/14</f>
        <v>14.6544271035022</v>
      </c>
      <c r="O262" s="17" t="n">
        <f aca="false">IF(N262=0,100,100-100/(1+M262/N262))</f>
        <v>63.3503599160527</v>
      </c>
      <c r="P262" s="17" t="n">
        <f aca="false">AVERAGE(B243:B262)+2*STDEV(B243:B262)</f>
        <v>5897.53439966015</v>
      </c>
      <c r="Q262" s="17" t="n">
        <f aca="false">AVERAGE(B243:B262)-2*STDEV(B243:B262)</f>
        <v>5565.28260033985</v>
      </c>
      <c r="R262" s="19" t="n">
        <f aca="false">B262/B242-1</f>
        <v>0.0186895163386012</v>
      </c>
      <c r="S262" s="17" t="n">
        <f aca="false">STDEV(C243:C262)*SQRT(252)*100</f>
        <v>14.9682245323724</v>
      </c>
      <c r="T262" s="19" t="n">
        <f aca="false">B241/B11-1</f>
        <v>0.234224292243791</v>
      </c>
      <c r="U262" s="19" t="n">
        <f aca="false">B262/MAX(B11:B262)-1</f>
        <v>-0.000883557337773788</v>
      </c>
      <c r="V262" s="17" t="n">
        <f aca="false">(B262-AVERAGE(B243:B262))/STDEV(B243:B262)</f>
        <v>1.79010618216886</v>
      </c>
    </row>
    <row r="263" customFormat="false" ht="15" hidden="false" customHeight="false" outlineLevel="0" collapsed="false">
      <c r="A263" s="17" t="s">
        <v>827</v>
      </c>
      <c r="B263" s="17" t="n">
        <v>5916.16</v>
      </c>
      <c r="C263" s="19" t="n">
        <f aca="false">B263/B262-1</f>
        <v>0.00613254876617742</v>
      </c>
      <c r="D263" s="17" t="n">
        <f aca="false">AVERAGE(B214:B263)</f>
        <v>5742.305</v>
      </c>
      <c r="E263" s="17" t="n">
        <f aca="false">AVERAGE(B64:B263)</f>
        <v>5272.14555</v>
      </c>
      <c r="F263" s="17" t="n">
        <f aca="false">B263*2/13+F262*11/13</f>
        <v>5791.79346556575</v>
      </c>
      <c r="G263" s="17" t="n">
        <f aca="false">B263*2/27+G262*25/27</f>
        <v>5755.49379655858</v>
      </c>
      <c r="H263" s="17" t="n">
        <f aca="false">F263-G263</f>
        <v>36.2996690071677</v>
      </c>
      <c r="I263" s="17" t="n">
        <f aca="false">H263*2/10+I262*8/10</f>
        <v>11.0594434139189</v>
      </c>
      <c r="J263" s="17" t="n">
        <f aca="false">H263-I263</f>
        <v>25.2402255932488</v>
      </c>
      <c r="K263" s="17" t="n">
        <f aca="false">MAX(B263-B262,0)</f>
        <v>36.0599999999995</v>
      </c>
      <c r="L263" s="17" t="n">
        <f aca="false">MAX(B262-B263,0)</f>
        <v>0</v>
      </c>
      <c r="M263" s="17" t="n">
        <f aca="false">(M262*13+K263)/14</f>
        <v>26.0971341417417</v>
      </c>
      <c r="N263" s="17" t="n">
        <f aca="false">(N262*13+L263)/14</f>
        <v>13.6076823103949</v>
      </c>
      <c r="O263" s="17" t="n">
        <f aca="false">IF(N263=0,100,100-100/(1+M263/N263))</f>
        <v>65.7278800752078</v>
      </c>
      <c r="P263" s="17" t="n">
        <f aca="false">AVERAGE(B244:B263)+2*STDEV(B244:B263)</f>
        <v>5926.37029947682</v>
      </c>
      <c r="Q263" s="17" t="n">
        <f aca="false">AVERAGE(B244:B263)-2*STDEV(B244:B263)</f>
        <v>5555.43170052318</v>
      </c>
      <c r="R263" s="19" t="n">
        <f aca="false">B263/B243-1</f>
        <v>0.033153985725537</v>
      </c>
      <c r="S263" s="17" t="n">
        <f aca="false">STDEV(C244:C263)*SQRT(252)*100</f>
        <v>14.6870806152075</v>
      </c>
      <c r="T263" s="19" t="n">
        <f aca="false">B242/B12-1</f>
        <v>0.239418534741905</v>
      </c>
      <c r="U263" s="19" t="n">
        <f aca="false">B263/MAX(B12:B263)-1</f>
        <v>0</v>
      </c>
      <c r="V263" s="17" t="n">
        <f aca="false">(B263-AVERAGE(B244:B263))/STDEV(B244:B263)</f>
        <v>1.88989768651072</v>
      </c>
    </row>
    <row r="264" customFormat="false" ht="15" hidden="false" customHeight="false" outlineLevel="0" collapsed="false">
      <c r="A264" s="17" t="s">
        <v>828</v>
      </c>
      <c r="B264" s="17" t="n">
        <v>5921.22</v>
      </c>
      <c r="C264" s="19" t="n">
        <f aca="false">B264/B263-1</f>
        <v>0.000855284508870735</v>
      </c>
      <c r="D264" s="17" t="n">
        <f aca="false">AVERAGE(B215:B264)</f>
        <v>5747.1632</v>
      </c>
      <c r="E264" s="17" t="n">
        <f aca="false">AVERAGE(B65:B264)</f>
        <v>5277.4185</v>
      </c>
      <c r="F264" s="17" t="n">
        <f aca="false">B264*2/13+F263*11/13</f>
        <v>5811.70524009409</v>
      </c>
      <c r="G264" s="17" t="n">
        <f aca="false">B264*2/27+G263*25/27</f>
        <v>5767.76981162831</v>
      </c>
      <c r="H264" s="17" t="n">
        <f aca="false">F264-G264</f>
        <v>43.9354284657784</v>
      </c>
      <c r="I264" s="17" t="n">
        <f aca="false">H264*2/10+I263*8/10</f>
        <v>17.6346404242908</v>
      </c>
      <c r="J264" s="17" t="n">
        <f aca="false">H264-I264</f>
        <v>26.3007880414876</v>
      </c>
      <c r="K264" s="17" t="n">
        <f aca="false">MAX(B264-B263,0)</f>
        <v>5.0600000000004</v>
      </c>
      <c r="L264" s="17" t="n">
        <f aca="false">MAX(B263-B264,0)</f>
        <v>0</v>
      </c>
      <c r="M264" s="17" t="n">
        <f aca="false">(M263*13+K264)/14</f>
        <v>24.5944817030459</v>
      </c>
      <c r="N264" s="17" t="n">
        <f aca="false">(N263*13+L264)/14</f>
        <v>12.6357050025095</v>
      </c>
      <c r="O264" s="17" t="n">
        <f aca="false">IF(N264=0,100,100-100/(1+M264/N264))</f>
        <v>66.0605918996801</v>
      </c>
      <c r="P264" s="17" t="n">
        <f aca="false">AVERAGE(B245:B264)+2*STDEV(B245:B264)</f>
        <v>5949.53246852909</v>
      </c>
      <c r="Q264" s="17" t="n">
        <f aca="false">AVERAGE(B245:B264)-2*STDEV(B245:B264)</f>
        <v>5546.15253147092</v>
      </c>
      <c r="R264" s="19" t="n">
        <f aca="false">B264/B244-1</f>
        <v>0.024009103502185</v>
      </c>
      <c r="S264" s="17" t="n">
        <f aca="false">STDEV(C245:C264)*SQRT(252)*100</f>
        <v>14.370917062395</v>
      </c>
      <c r="T264" s="19" t="n">
        <f aca="false">B243/B13-1</f>
        <v>0.232254218832714</v>
      </c>
      <c r="U264" s="19" t="n">
        <f aca="false">B264/MAX(B13:B264)-1</f>
        <v>0</v>
      </c>
      <c r="V264" s="17" t="n">
        <f aca="false">(B264-AVERAGE(B245:B264))/STDEV(B245:B264)</f>
        <v>1.71924762807425</v>
      </c>
    </row>
    <row r="265" customFormat="false" ht="15" hidden="false" customHeight="false" outlineLevel="0" collapsed="false">
      <c r="A265" s="17" t="s">
        <v>829</v>
      </c>
      <c r="B265" s="17" t="n">
        <v>5921.53</v>
      </c>
      <c r="C265" s="19" t="n">
        <f aca="false">B265/B264-1</f>
        <v>5.23540756802721E-005</v>
      </c>
      <c r="D265" s="17" t="n">
        <f aca="false">AVERAGE(B216:B265)</f>
        <v>5751.9602</v>
      </c>
      <c r="E265" s="17" t="n">
        <f aca="false">AVERAGE(B66:B265)</f>
        <v>5282.7288</v>
      </c>
      <c r="F265" s="17" t="n">
        <f aca="false">B265*2/13+F264*11/13</f>
        <v>5828.60135700269</v>
      </c>
      <c r="G265" s="17" t="n">
        <f aca="false">B265*2/27+G264*25/27</f>
        <v>5779.1594552114</v>
      </c>
      <c r="H265" s="17" t="n">
        <f aca="false">F265-G265</f>
        <v>49.4419017912915</v>
      </c>
      <c r="I265" s="17" t="n">
        <f aca="false">H265*2/10+I264*8/10</f>
        <v>23.9960926976909</v>
      </c>
      <c r="J265" s="17" t="n">
        <f aca="false">H265-I265</f>
        <v>25.4458090936005</v>
      </c>
      <c r="K265" s="17" t="n">
        <f aca="false">MAX(B265-B264,0)</f>
        <v>0.309999999999491</v>
      </c>
      <c r="L265" s="17" t="n">
        <f aca="false">MAX(B264-B265,0)</f>
        <v>0</v>
      </c>
      <c r="M265" s="17" t="n">
        <f aca="false">(M264*13+K265)/14</f>
        <v>22.859875867114</v>
      </c>
      <c r="N265" s="17" t="n">
        <f aca="false">(N264*13+L265)/14</f>
        <v>11.7331546451874</v>
      </c>
      <c r="O265" s="17" t="n">
        <f aca="false">IF(N265=0,100,100-100/(1+M265/N265))</f>
        <v>66.0823163757941</v>
      </c>
      <c r="P265" s="17" t="n">
        <f aca="false">AVERAGE(B246:B265)+2*STDEV(B246:B265)</f>
        <v>5970.80203161984</v>
      </c>
      <c r="Q265" s="17" t="n">
        <f aca="false">AVERAGE(B246:B265)-2*STDEV(B246:B265)</f>
        <v>5539.04896838016</v>
      </c>
      <c r="R265" s="19" t="n">
        <f aca="false">B265/B245-1</f>
        <v>0.0245092017640536</v>
      </c>
      <c r="S265" s="17" t="n">
        <f aca="false">STDEV(C246:C265)*SQRT(252)*100</f>
        <v>14.3644731821827</v>
      </c>
      <c r="T265" s="19" t="n">
        <f aca="false">B244/B14-1</f>
        <v>0.239242017372221</v>
      </c>
      <c r="U265" s="19" t="n">
        <f aca="false">B265/MAX(B14:B265)-1</f>
        <v>0</v>
      </c>
      <c r="V265" s="17" t="n">
        <f aca="false">(B265-AVERAGE(B246:B265))/STDEV(B246:B265)</f>
        <v>1.54351655318786</v>
      </c>
    </row>
    <row r="266" customFormat="false" ht="15" hidden="false" customHeight="false" outlineLevel="0" collapsed="false">
      <c r="A266" s="17" t="s">
        <v>830</v>
      </c>
      <c r="B266" s="17" t="n">
        <v>5941.37</v>
      </c>
      <c r="C266" s="19" t="n">
        <f aca="false">B266/B265-1</f>
        <v>0.00335048543197458</v>
      </c>
      <c r="D266" s="17" t="n">
        <f aca="false">AVERAGE(B217:B266)</f>
        <v>5757.3032</v>
      </c>
      <c r="E266" s="17" t="n">
        <f aca="false">AVERAGE(B67:B266)</f>
        <v>5288.0469</v>
      </c>
      <c r="F266" s="17" t="n">
        <f aca="false">B266*2/13+F265*11/13</f>
        <v>5845.95037900228</v>
      </c>
      <c r="G266" s="17" t="n">
        <f aca="false">B266*2/27+G265*25/27</f>
        <v>5791.17505112167</v>
      </c>
      <c r="H266" s="17" t="n">
        <f aca="false">F266-G266</f>
        <v>54.7753278806104</v>
      </c>
      <c r="I266" s="17" t="n">
        <f aca="false">H266*2/10+I265*8/10</f>
        <v>30.1519397342748</v>
      </c>
      <c r="J266" s="17" t="n">
        <f aca="false">H266-I266</f>
        <v>24.6233881463355</v>
      </c>
      <c r="K266" s="17" t="n">
        <f aca="false">MAX(B266-B265,0)</f>
        <v>19.8400000000001</v>
      </c>
      <c r="L266" s="17" t="n">
        <f aca="false">MAX(B265-B266,0)</f>
        <v>0</v>
      </c>
      <c r="M266" s="17" t="n">
        <f aca="false">(M265*13+K266)/14</f>
        <v>22.6441704480345</v>
      </c>
      <c r="N266" s="17" t="n">
        <f aca="false">(N265*13+L266)/14</f>
        <v>10.8950721705312</v>
      </c>
      <c r="O266" s="17" t="n">
        <f aca="false">IF(N266=0,100,100-100/(1+M266/N266))</f>
        <v>67.5154496049943</v>
      </c>
      <c r="P266" s="17" t="n">
        <f aca="false">AVERAGE(B247:B266)+2*STDEV(B247:B266)</f>
        <v>5992.55670563531</v>
      </c>
      <c r="Q266" s="17" t="n">
        <f aca="false">AVERAGE(B247:B266)-2*STDEV(B247:B266)</f>
        <v>5531.12029436469</v>
      </c>
      <c r="R266" s="19" t="n">
        <f aca="false">B266/B246-1</f>
        <v>0.0238251558216198</v>
      </c>
      <c r="S266" s="17" t="n">
        <f aca="false">STDEV(C247:C266)*SQRT(252)*100</f>
        <v>14.3492881142476</v>
      </c>
      <c r="T266" s="19" t="n">
        <f aca="false">B245/B15-1</f>
        <v>0.238739115246049</v>
      </c>
      <c r="U266" s="19" t="n">
        <f aca="false">B266/MAX(B15:B266)-1</f>
        <v>0</v>
      </c>
      <c r="V266" s="17" t="n">
        <f aca="false">(B266-AVERAGE(B247:B266))/STDEV(B247:B266)</f>
        <v>1.55628377488145</v>
      </c>
    </row>
    <row r="267" customFormat="false" ht="15" hidden="false" customHeight="false" outlineLevel="0" collapsed="false">
      <c r="A267" s="17" t="s">
        <v>831</v>
      </c>
      <c r="B267" s="17" t="n">
        <v>5930.65</v>
      </c>
      <c r="C267" s="19" t="n">
        <f aca="false">B267/B266-1</f>
        <v>-0.00180429766198709</v>
      </c>
      <c r="D267" s="17" t="n">
        <f aca="false">AVERAGE(B218:B267)</f>
        <v>5762.18</v>
      </c>
      <c r="E267" s="17" t="n">
        <f aca="false">AVERAGE(B68:B267)</f>
        <v>5293.33055</v>
      </c>
      <c r="F267" s="17" t="n">
        <f aca="false">B267*2/13+F266*11/13</f>
        <v>5858.98108992501</v>
      </c>
      <c r="G267" s="17" t="n">
        <f aca="false">B267*2/27+G266*25/27</f>
        <v>5801.50652881636</v>
      </c>
      <c r="H267" s="17" t="n">
        <f aca="false">F267-G267</f>
        <v>57.4745611086464</v>
      </c>
      <c r="I267" s="17" t="n">
        <f aca="false">H267*2/10+I266*8/10</f>
        <v>35.6164640091491</v>
      </c>
      <c r="J267" s="17" t="n">
        <f aca="false">H267-I267</f>
        <v>21.8580970994973</v>
      </c>
      <c r="K267" s="17" t="n">
        <f aca="false">MAX(B267-B266,0)</f>
        <v>0</v>
      </c>
      <c r="L267" s="17" t="n">
        <f aca="false">MAX(B266-B267,0)</f>
        <v>10.7200000000003</v>
      </c>
      <c r="M267" s="17" t="n">
        <f aca="false">(M266*13+K267)/14</f>
        <v>21.0267297017463</v>
      </c>
      <c r="N267" s="17" t="n">
        <f aca="false">(N266*13+L267)/14</f>
        <v>10.8825670154932</v>
      </c>
      <c r="O267" s="17" t="n">
        <f aca="false">IF(N267=0,100,100-100/(1+M267/N267))</f>
        <v>65.8953090946258</v>
      </c>
      <c r="P267" s="17" t="n">
        <f aca="false">AVERAGE(B248:B267)+2*STDEV(B248:B267)</f>
        <v>6012.24958796977</v>
      </c>
      <c r="Q267" s="17" t="n">
        <f aca="false">AVERAGE(B248:B267)-2*STDEV(B248:B267)</f>
        <v>5526.73341203023</v>
      </c>
      <c r="R267" s="19" t="n">
        <f aca="false">B267/B247-1</f>
        <v>0.0264920148366359</v>
      </c>
      <c r="S267" s="17" t="n">
        <f aca="false">STDEV(C248:C267)*SQRT(252)*100</f>
        <v>14.2438445915482</v>
      </c>
      <c r="T267" s="19" t="n">
        <f aca="false">B246/B16-1</f>
        <v>0.242074779917425</v>
      </c>
      <c r="U267" s="19" t="n">
        <f aca="false">B267/MAX(B16:B267)-1</f>
        <v>-0.00180429766198709</v>
      </c>
      <c r="V267" s="17" t="n">
        <f aca="false">(B267-AVERAGE(B248:B267))/STDEV(B248:B267)</f>
        <v>1.32772919203475</v>
      </c>
    </row>
    <row r="268" customFormat="false" ht="15" hidden="false" customHeight="false" outlineLevel="0" collapsed="false">
      <c r="A268" s="17" t="s">
        <v>832</v>
      </c>
      <c r="B268" s="17" t="n">
        <v>5950.73</v>
      </c>
      <c r="C268" s="19" t="n">
        <f aca="false">B268/B267-1</f>
        <v>0.00338580088185947</v>
      </c>
      <c r="D268" s="17" t="n">
        <f aca="false">AVERAGE(B219:B268)</f>
        <v>5767.105</v>
      </c>
      <c r="E268" s="17" t="n">
        <f aca="false">AVERAGE(B69:B268)</f>
        <v>5298.7616</v>
      </c>
      <c r="F268" s="17" t="n">
        <f aca="false">B268*2/13+F267*11/13</f>
        <v>5873.09630685962</v>
      </c>
      <c r="G268" s="17" t="n">
        <f aca="false">B268*2/27+G267*25/27</f>
        <v>5812.56011927441</v>
      </c>
      <c r="H268" s="17" t="n">
        <f aca="false">F268-G268</f>
        <v>60.5361875852132</v>
      </c>
      <c r="I268" s="17" t="n">
        <f aca="false">H268*2/10+I267*8/10</f>
        <v>40.6004087243619</v>
      </c>
      <c r="J268" s="17" t="n">
        <f aca="false">H268-I268</f>
        <v>19.9357788608512</v>
      </c>
      <c r="K268" s="17" t="n">
        <f aca="false">MAX(B268-B267,0)</f>
        <v>20.0799999999999</v>
      </c>
      <c r="L268" s="17" t="n">
        <f aca="false">MAX(B267-B268,0)</f>
        <v>0</v>
      </c>
      <c r="M268" s="17" t="n">
        <f aca="false">(M267*13+K268)/14</f>
        <v>20.9591061516215</v>
      </c>
      <c r="N268" s="17" t="n">
        <f aca="false">(N267*13+L268)/14</f>
        <v>10.1052408001009</v>
      </c>
      <c r="O268" s="17" t="n">
        <f aca="false">IF(N268=0,100,100-100/(1+M268/N268))</f>
        <v>67.4699718754572</v>
      </c>
      <c r="P268" s="17" t="n">
        <f aca="false">AVERAGE(B249:B268)+2*STDEV(B249:B268)</f>
        <v>6034.46426884579</v>
      </c>
      <c r="Q268" s="17" t="n">
        <f aca="false">AVERAGE(B249:B268)-2*STDEV(B249:B268)</f>
        <v>5532.43173115421</v>
      </c>
      <c r="R268" s="19" t="n">
        <f aca="false">B268/B248-1</f>
        <v>0.0492153889554974</v>
      </c>
      <c r="S268" s="17" t="n">
        <f aca="false">STDEV(C249:C268)*SQRT(252)*100</f>
        <v>12.201551444254</v>
      </c>
      <c r="T268" s="19" t="n">
        <f aca="false">B247/B17-1</f>
        <v>0.228521671826625</v>
      </c>
      <c r="U268" s="19" t="n">
        <f aca="false">B268/MAX(B17:B268)-1</f>
        <v>0</v>
      </c>
      <c r="V268" s="17" t="n">
        <f aca="false">(B268-AVERAGE(B249:B268))/STDEV(B249:B268)</f>
        <v>1.33283791340845</v>
      </c>
    </row>
    <row r="269" customFormat="false" ht="15" hidden="false" customHeight="false" outlineLevel="0" collapsed="false">
      <c r="A269" s="17" t="s">
        <v>833</v>
      </c>
      <c r="B269" s="17" t="n">
        <v>5917.03</v>
      </c>
      <c r="C269" s="19" t="n">
        <f aca="false">B269/B268-1</f>
        <v>-0.00566317073703559</v>
      </c>
      <c r="D269" s="17" t="n">
        <f aca="false">AVERAGE(B220:B269)</f>
        <v>5770.9568</v>
      </c>
      <c r="E269" s="17" t="n">
        <f aca="false">AVERAGE(B70:B269)</f>
        <v>5303.8779</v>
      </c>
      <c r="F269" s="17" t="n">
        <f aca="false">B269*2/13+F268*11/13</f>
        <v>5879.85533657352</v>
      </c>
      <c r="G269" s="17" t="n">
        <f aca="false">B269*2/27+G268*25/27</f>
        <v>5820.29862895779</v>
      </c>
      <c r="H269" s="17" t="n">
        <f aca="false">F269-G269</f>
        <v>59.5567076157395</v>
      </c>
      <c r="I269" s="17" t="n">
        <f aca="false">H269*2/10+I268*8/10</f>
        <v>44.3916685026374</v>
      </c>
      <c r="J269" s="17" t="n">
        <f aca="false">H269-I269</f>
        <v>15.165039113102</v>
      </c>
      <c r="K269" s="17" t="n">
        <f aca="false">MAX(B269-B268,0)</f>
        <v>0</v>
      </c>
      <c r="L269" s="17" t="n">
        <f aca="false">MAX(B268-B269,0)</f>
        <v>33.6999999999998</v>
      </c>
      <c r="M269" s="17" t="n">
        <f aca="false">(M268*13+K269)/14</f>
        <v>19.4620271407914</v>
      </c>
      <c r="N269" s="17" t="n">
        <f aca="false">(N268*13+L269)/14</f>
        <v>11.7905807429508</v>
      </c>
      <c r="O269" s="17" t="n">
        <f aca="false">IF(N269=0,100,100-100/(1+M269/N269))</f>
        <v>62.2732900025143</v>
      </c>
      <c r="P269" s="17" t="n">
        <f aca="false">AVERAGE(B250:B269)+2*STDEV(B250:B269)</f>
        <v>6049.11241361457</v>
      </c>
      <c r="Q269" s="17" t="n">
        <f aca="false">AVERAGE(B250:B269)-2*STDEV(B250:B269)</f>
        <v>5534.18358638543</v>
      </c>
      <c r="R269" s="19" t="n">
        <f aca="false">B269/B249-1</f>
        <v>0.0285067173298244</v>
      </c>
      <c r="S269" s="17" t="n">
        <f aca="false">STDEV(C250:C269)*SQRT(252)*100</f>
        <v>11.6642531496364</v>
      </c>
      <c r="T269" s="19" t="n">
        <f aca="false">B248/B18-1</f>
        <v>0.201251321109584</v>
      </c>
      <c r="U269" s="19" t="n">
        <f aca="false">B269/MAX(B18:B269)-1</f>
        <v>-0.00566317073703559</v>
      </c>
      <c r="V269" s="17" t="n">
        <f aca="false">(B269-AVERAGE(B250:B269))/STDEV(B250:B269)</f>
        <v>0.973975379663148</v>
      </c>
    </row>
    <row r="270" customFormat="false" ht="15" hidden="false" customHeight="false" outlineLevel="0" collapsed="false">
      <c r="A270" s="17" t="s">
        <v>834</v>
      </c>
      <c r="B270" s="17" t="n">
        <v>5908.92</v>
      </c>
      <c r="C270" s="19" t="n">
        <f aca="false">B270/B269-1</f>
        <v>-0.00137062005769784</v>
      </c>
      <c r="D270" s="17" t="n">
        <f aca="false">AVERAGE(B221:B270)</f>
        <v>5777.5242</v>
      </c>
      <c r="E270" s="17" t="n">
        <f aca="false">AVERAGE(B71:B270)</f>
        <v>5309.31295</v>
      </c>
      <c r="F270" s="17" t="n">
        <f aca="false">B270*2/13+F269*11/13</f>
        <v>5884.32682325452</v>
      </c>
      <c r="G270" s="17" t="n">
        <f aca="false">B270*2/27+G269*25/27</f>
        <v>5826.86317496091</v>
      </c>
      <c r="H270" s="17" t="n">
        <f aca="false">F270-G270</f>
        <v>57.4636482936094</v>
      </c>
      <c r="I270" s="17" t="n">
        <f aca="false">H270*2/10+I269*8/10</f>
        <v>47.0060644608318</v>
      </c>
      <c r="J270" s="17" t="n">
        <f aca="false">H270-I270</f>
        <v>10.4575838327775</v>
      </c>
      <c r="K270" s="17" t="n">
        <f aca="false">MAX(B270-B269,0)</f>
        <v>0</v>
      </c>
      <c r="L270" s="17" t="n">
        <f aca="false">MAX(B269-B270,0)</f>
        <v>8.10999999999967</v>
      </c>
      <c r="M270" s="17" t="n">
        <f aca="false">(M269*13+K270)/14</f>
        <v>18.0718823450206</v>
      </c>
      <c r="N270" s="17" t="n">
        <f aca="false">(N269*13+L270)/14</f>
        <v>11.5276821184543</v>
      </c>
      <c r="O270" s="17" t="n">
        <f aca="false">IF(N270=0,100,100-100/(1+M270/N270))</f>
        <v>61.0545549321202</v>
      </c>
      <c r="P270" s="17" t="n">
        <f aca="false">AVERAGE(B251:B270)+2*STDEV(B251:B270)</f>
        <v>6058.3092720576</v>
      </c>
      <c r="Q270" s="17" t="n">
        <f aca="false">AVERAGE(B251:B270)-2*STDEV(B251:B270)</f>
        <v>5550.5767279424</v>
      </c>
      <c r="R270" s="19" t="n">
        <f aca="false">B270/B250-1</f>
        <v>0.0452678391373107</v>
      </c>
      <c r="S270" s="17" t="n">
        <f aca="false">STDEV(C251:C270)*SQRT(252)*100</f>
        <v>9.40420713749964</v>
      </c>
      <c r="T270" s="19" t="n">
        <f aca="false">B249/B19-1</f>
        <v>0.216226272295428</v>
      </c>
      <c r="U270" s="19" t="n">
        <f aca="false">B270/MAX(B19:B270)-1</f>
        <v>-0.007026028739331</v>
      </c>
      <c r="V270" s="17" t="n">
        <f aca="false">(B270-AVERAGE(B251:B270))/STDEV(B251:B270)</f>
        <v>0.823086888645821</v>
      </c>
    </row>
    <row r="271" customFormat="false" ht="15" hidden="false" customHeight="false" outlineLevel="0" collapsed="false">
      <c r="A271" s="17" t="s">
        <v>835</v>
      </c>
      <c r="B271" s="17" t="n">
        <v>5880.33</v>
      </c>
      <c r="C271" s="19" t="n">
        <f aca="false">B271/B270-1</f>
        <v>-0.00483844763510088</v>
      </c>
      <c r="D271" s="17" t="n">
        <f aca="false">AVERAGE(B222:B271)</f>
        <v>5782.6046</v>
      </c>
      <c r="E271" s="17" t="n">
        <f aca="false">AVERAGE(B72:B271)</f>
        <v>5314.6164</v>
      </c>
      <c r="F271" s="17" t="n">
        <f aca="false">B271*2/13+F270*11/13</f>
        <v>5883.71192736921</v>
      </c>
      <c r="G271" s="17" t="n">
        <f aca="false">B271*2/27+G270*25/27</f>
        <v>5830.82368051936</v>
      </c>
      <c r="H271" s="17" t="n">
        <f aca="false">F271-G271</f>
        <v>52.8882468498478</v>
      </c>
      <c r="I271" s="17" t="n">
        <f aca="false">H271*2/10+I270*8/10</f>
        <v>48.182500938635</v>
      </c>
      <c r="J271" s="17" t="n">
        <f aca="false">H271-I271</f>
        <v>4.70574591121274</v>
      </c>
      <c r="K271" s="17" t="n">
        <f aca="false">MAX(B271-B270,0)</f>
        <v>0</v>
      </c>
      <c r="L271" s="17" t="n">
        <f aca="false">MAX(B270-B271,0)</f>
        <v>28.5900000000001</v>
      </c>
      <c r="M271" s="17" t="n">
        <f aca="false">(M270*13+K271)/14</f>
        <v>16.7810336060906</v>
      </c>
      <c r="N271" s="17" t="n">
        <f aca="false">(N270*13+L271)/14</f>
        <v>12.7464191099933</v>
      </c>
      <c r="O271" s="17" t="n">
        <f aca="false">IF(N271=0,100,100-100/(1+M271/N271))</f>
        <v>56.8319718177037</v>
      </c>
      <c r="P271" s="17" t="n">
        <f aca="false">AVERAGE(B252:B271)+2*STDEV(B252:B271)</f>
        <v>6060.78287057137</v>
      </c>
      <c r="Q271" s="17" t="n">
        <f aca="false">AVERAGE(B252:B271)-2*STDEV(B252:B271)</f>
        <v>5571.44412942863</v>
      </c>
      <c r="R271" s="19" t="n">
        <f aca="false">B271/B251-1</f>
        <v>0.0413340369617419</v>
      </c>
      <c r="S271" s="17" t="n">
        <f aca="false">STDEV(C252:C271)*SQRT(252)*100</f>
        <v>9.67070321240042</v>
      </c>
      <c r="T271" s="19" t="n">
        <f aca="false">B250/B20-1</f>
        <v>0.188598077392116</v>
      </c>
      <c r="U271" s="19" t="n">
        <f aca="false">B271/MAX(B20:B271)-1</f>
        <v>-0.0118304813022939</v>
      </c>
      <c r="V271" s="17" t="n">
        <f aca="false">(B271-AVERAGE(B252:B271))/STDEV(B252:B271)</f>
        <v>0.524924716567807</v>
      </c>
    </row>
    <row r="272" customFormat="false" ht="15" hidden="false" customHeight="false" outlineLevel="0" collapsed="false">
      <c r="A272" s="17" t="s">
        <v>836</v>
      </c>
      <c r="B272" s="17" t="n">
        <v>5895.17</v>
      </c>
      <c r="C272" s="19" t="n">
        <f aca="false">B272/B271-1</f>
        <v>0.00252366788938718</v>
      </c>
      <c r="D272" s="17" t="n">
        <f aca="false">AVERAGE(B223:B272)</f>
        <v>5787.4768</v>
      </c>
      <c r="E272" s="17" t="n">
        <f aca="false">AVERAGE(B73:B272)</f>
        <v>5320.07675</v>
      </c>
      <c r="F272" s="17" t="n">
        <f aca="false">B272*2/13+F271*11/13</f>
        <v>5885.47470777395</v>
      </c>
      <c r="G272" s="17" t="n">
        <f aca="false">B272*2/27+G271*25/27</f>
        <v>5835.59007455496</v>
      </c>
      <c r="H272" s="17" t="n">
        <f aca="false">F272-G272</f>
        <v>49.8846332189823</v>
      </c>
      <c r="I272" s="17" t="n">
        <f aca="false">H272*2/10+I271*8/10</f>
        <v>48.5229273947045</v>
      </c>
      <c r="J272" s="17" t="n">
        <f aca="false">H272-I272</f>
        <v>1.36170582427787</v>
      </c>
      <c r="K272" s="17" t="n">
        <f aca="false">MAX(B272-B271,0)</f>
        <v>14.8400000000001</v>
      </c>
      <c r="L272" s="17" t="n">
        <f aca="false">MAX(B271-B272,0)</f>
        <v>0</v>
      </c>
      <c r="M272" s="17" t="n">
        <f aca="false">(M271*13+K272)/14</f>
        <v>16.6423883485127</v>
      </c>
      <c r="N272" s="17" t="n">
        <f aca="false">(N271*13+L272)/14</f>
        <v>11.8359606021366</v>
      </c>
      <c r="O272" s="17" t="n">
        <f aca="false">IF(N272=0,100,100-100/(1+M272/N272))</f>
        <v>58.438740171885</v>
      </c>
      <c r="P272" s="17" t="n">
        <f aca="false">AVERAGE(B253:B272)+2*STDEV(B253:B272)</f>
        <v>6054.92479696151</v>
      </c>
      <c r="Q272" s="17" t="n">
        <f aca="false">AVERAGE(B253:B272)-2*STDEV(B253:B272)</f>
        <v>5607.12320303849</v>
      </c>
      <c r="R272" s="19" t="n">
        <f aca="false">B272/B252-1</f>
        <v>0.0532807095280294</v>
      </c>
      <c r="S272" s="17" t="n">
        <f aca="false">STDEV(C253:C272)*SQRT(252)*100</f>
        <v>8.77270490691827</v>
      </c>
      <c r="T272" s="19" t="n">
        <f aca="false">B251/B21-1</f>
        <v>0.196581631247603</v>
      </c>
      <c r="U272" s="19" t="n">
        <f aca="false">B272/MAX(B21:B272)-1</f>
        <v>-0.0093366696186854</v>
      </c>
      <c r="V272" s="17" t="n">
        <f aca="false">(B272-AVERAGE(B253:B272))/STDEV(B253:B272)</f>
        <v>0.572985901528768</v>
      </c>
    </row>
    <row r="273" customFormat="false" ht="15" hidden="false" customHeight="false" outlineLevel="0" collapsed="false">
      <c r="A273" s="17" t="s">
        <v>837</v>
      </c>
      <c r="B273" s="17" t="n">
        <v>5914.23</v>
      </c>
      <c r="C273" s="19" t="n">
        <f aca="false">B273/B272-1</f>
        <v>0.00323315527796475</v>
      </c>
      <c r="D273" s="17" t="n">
        <f aca="false">AVERAGE(B224:B273)</f>
        <v>5791.7734</v>
      </c>
      <c r="E273" s="17" t="n">
        <f aca="false">AVERAGE(B74:B273)</f>
        <v>5325.6055</v>
      </c>
      <c r="F273" s="17" t="n">
        <f aca="false">B273*2/13+F272*11/13</f>
        <v>5889.89859888565</v>
      </c>
      <c r="G273" s="17" t="n">
        <f aca="false">B273*2/27+G272*25/27</f>
        <v>5841.41525421756</v>
      </c>
      <c r="H273" s="17" t="n">
        <f aca="false">F273-G273</f>
        <v>48.4833446680868</v>
      </c>
      <c r="I273" s="17" t="n">
        <f aca="false">H273*2/10+I272*8/10</f>
        <v>48.515010849381</v>
      </c>
      <c r="J273" s="17" t="n">
        <f aca="false">H273-I273</f>
        <v>-0.0316661812941206</v>
      </c>
      <c r="K273" s="17" t="n">
        <f aca="false">MAX(B273-B272,0)</f>
        <v>19.0599999999995</v>
      </c>
      <c r="L273" s="17" t="n">
        <f aca="false">MAX(B272-B273,0)</f>
        <v>0</v>
      </c>
      <c r="M273" s="17" t="n">
        <f aca="false">(M272*13+K273)/14</f>
        <v>16.8150748950475</v>
      </c>
      <c r="N273" s="17" t="n">
        <f aca="false">(N272*13+L273)/14</f>
        <v>10.9905348448411</v>
      </c>
      <c r="O273" s="17" t="n">
        <f aca="false">IF(N273=0,100,100-100/(1+M273/N273))</f>
        <v>60.4736779820561</v>
      </c>
      <c r="P273" s="17" t="n">
        <f aca="false">AVERAGE(B254:B273)+2*STDEV(B254:B273)</f>
        <v>6053.71865287992</v>
      </c>
      <c r="Q273" s="17" t="n">
        <f aca="false">AVERAGE(B254:B273)-2*STDEV(B254:B273)</f>
        <v>5634.87034712008</v>
      </c>
      <c r="R273" s="19" t="n">
        <f aca="false">B273/B253-1</f>
        <v>0.046985034042508</v>
      </c>
      <c r="S273" s="17" t="n">
        <f aca="false">STDEV(C254:C273)*SQRT(252)*100</f>
        <v>8.4202392313651</v>
      </c>
      <c r="T273" s="19" t="n">
        <f aca="false">B252/B22-1</f>
        <v>0.182207408440054</v>
      </c>
      <c r="U273" s="19" t="n">
        <f aca="false">B273/MAX(B22:B273)-1</f>
        <v>-0.00613370124337687</v>
      </c>
      <c r="V273" s="17" t="n">
        <f aca="false">(B273-AVERAGE(B254:B273))/STDEV(B254:B273)</f>
        <v>0.667883804597248</v>
      </c>
    </row>
    <row r="274" customFormat="false" ht="15" hidden="false" customHeight="false" outlineLevel="0" collapsed="false">
      <c r="A274" s="17" t="s">
        <v>838</v>
      </c>
      <c r="B274" s="17" t="n">
        <v>5891.2</v>
      </c>
      <c r="C274" s="19" t="n">
        <f aca="false">B274/B273-1</f>
        <v>-0.00389399803524715</v>
      </c>
      <c r="D274" s="17" t="n">
        <f aca="false">AVERAGE(B225:B274)</f>
        <v>5795.5304</v>
      </c>
      <c r="E274" s="17" t="n">
        <f aca="false">AVERAGE(B75:B274)</f>
        <v>5331.08065</v>
      </c>
      <c r="F274" s="17" t="n">
        <f aca="false">B274*2/13+F273*11/13</f>
        <v>5890.0988144417</v>
      </c>
      <c r="G274" s="17" t="n">
        <f aca="false">B274*2/27+G273*25/27</f>
        <v>5845.10301316441</v>
      </c>
      <c r="H274" s="17" t="n">
        <f aca="false">F274-G274</f>
        <v>44.9958012772941</v>
      </c>
      <c r="I274" s="17" t="n">
        <f aca="false">H274*2/10+I273*8/10</f>
        <v>47.8111689349636</v>
      </c>
      <c r="J274" s="17" t="n">
        <f aca="false">H274-I274</f>
        <v>-2.81536765766952</v>
      </c>
      <c r="K274" s="17" t="n">
        <f aca="false">MAX(B274-B273,0)</f>
        <v>0</v>
      </c>
      <c r="L274" s="17" t="n">
        <f aca="false">MAX(B273-B274,0)</f>
        <v>23.0299999999997</v>
      </c>
      <c r="M274" s="17" t="n">
        <f aca="false">(M273*13+K274)/14</f>
        <v>15.6139981168298</v>
      </c>
      <c r="N274" s="17" t="n">
        <f aca="false">(N273*13+L274)/14</f>
        <v>11.8504966416382</v>
      </c>
      <c r="O274" s="17" t="n">
        <f aca="false">IF(N274=0,100,100-100/(1+M274/N274))</f>
        <v>56.8515760225868</v>
      </c>
      <c r="P274" s="17" t="n">
        <f aca="false">AVERAGE(B255:B274)+2*STDEV(B255:B274)</f>
        <v>6033.98815443302</v>
      </c>
      <c r="Q274" s="17" t="n">
        <f aca="false">AVERAGE(B255:B274)-2*STDEV(B255:B274)</f>
        <v>5683.93084556699</v>
      </c>
      <c r="R274" s="19" t="n">
        <f aca="false">B274/B254-1</f>
        <v>0.0523946479929973</v>
      </c>
      <c r="S274" s="17" t="n">
        <f aca="false">STDEV(C255:C274)*SQRT(252)*100</f>
        <v>7.66946003970111</v>
      </c>
      <c r="T274" s="19" t="n">
        <f aca="false">B253/B23-1</f>
        <v>0.190777033650167</v>
      </c>
      <c r="U274" s="19" t="n">
        <f aca="false">B274/MAX(B23:B274)-1</f>
        <v>-0.0100038146580335</v>
      </c>
      <c r="V274" s="17" t="n">
        <f aca="false">(B274-AVERAGE(B255:B274))/STDEV(B255:B274)</f>
        <v>0.368402535052782</v>
      </c>
    </row>
    <row r="275" customFormat="false" ht="15" hidden="false" customHeight="false" outlineLevel="0" collapsed="false">
      <c r="A275" s="17" t="s">
        <v>839</v>
      </c>
      <c r="B275" s="17" t="n">
        <v>5899.91</v>
      </c>
      <c r="C275" s="19" t="n">
        <f aca="false">B275/B274-1</f>
        <v>0.0014784763715372</v>
      </c>
      <c r="D275" s="17" t="n">
        <f aca="false">AVERAGE(B226:B275)</f>
        <v>5798.9226</v>
      </c>
      <c r="E275" s="17" t="n">
        <f aca="false">AVERAGE(B76:B275)</f>
        <v>5336.3816</v>
      </c>
      <c r="F275" s="17" t="n">
        <f aca="false">B275*2/13+F274*11/13</f>
        <v>5891.60822760452</v>
      </c>
      <c r="G275" s="17" t="n">
        <f aca="false">B275*2/27+G274*25/27</f>
        <v>5849.16278996704</v>
      </c>
      <c r="H275" s="17" t="n">
        <f aca="false">F275-G275</f>
        <v>42.4454376374724</v>
      </c>
      <c r="I275" s="17" t="n">
        <f aca="false">H275*2/10+I274*8/10</f>
        <v>46.7380226754653</v>
      </c>
      <c r="J275" s="17" t="n">
        <f aca="false">H275-I275</f>
        <v>-4.29258503799291</v>
      </c>
      <c r="K275" s="17" t="n">
        <f aca="false">MAX(B275-B274,0)</f>
        <v>8.71000000000004</v>
      </c>
      <c r="L275" s="17" t="n">
        <f aca="false">MAX(B274-B275,0)</f>
        <v>0</v>
      </c>
      <c r="M275" s="17" t="n">
        <f aca="false">(M274*13+K275)/14</f>
        <v>15.1208553941991</v>
      </c>
      <c r="N275" s="17" t="n">
        <f aca="false">(N274*13+L275)/14</f>
        <v>11.0040325958069</v>
      </c>
      <c r="O275" s="17" t="n">
        <f aca="false">IF(N275=0,100,100-100/(1+M275/N275))</f>
        <v>57.879120476932</v>
      </c>
      <c r="P275" s="17" t="n">
        <f aca="false">AVERAGE(B256:B275)+2*STDEV(B256:B275)</f>
        <v>6018.55012058705</v>
      </c>
      <c r="Q275" s="17" t="n">
        <f aca="false">AVERAGE(B256:B275)-2*STDEV(B256:B275)</f>
        <v>5723.71287941295</v>
      </c>
      <c r="R275" s="19" t="n">
        <f aca="false">B275/B255-1</f>
        <v>0.0430374420796009</v>
      </c>
      <c r="S275" s="17" t="n">
        <f aca="false">STDEV(C256:C275)*SQRT(252)*100</f>
        <v>7.08345677011027</v>
      </c>
      <c r="T275" s="19" t="n">
        <f aca="false">B254/B24-1</f>
        <v>0.168368741925317</v>
      </c>
      <c r="U275" s="19" t="n">
        <f aca="false">B275/MAX(B24:B275)-1</f>
        <v>-0.00854012869009346</v>
      </c>
      <c r="V275" s="17" t="n">
        <f aca="false">(B275-AVERAGE(B256:B275))/STDEV(B256:B275)</f>
        <v>0.390432360381575</v>
      </c>
    </row>
    <row r="276" customFormat="false" ht="15" hidden="false" customHeight="false" outlineLevel="0" collapsed="false">
      <c r="A276" s="17" t="s">
        <v>840</v>
      </c>
      <c r="B276" s="17" t="n">
        <v>5934.73</v>
      </c>
      <c r="C276" s="19" t="n">
        <f aca="false">B276/B275-1</f>
        <v>0.00590178494248206</v>
      </c>
      <c r="D276" s="17" t="n">
        <f aca="false">AVERAGE(B227:B276)</f>
        <v>5802.0498</v>
      </c>
      <c r="E276" s="17" t="n">
        <f aca="false">AVERAGE(B77:B276)</f>
        <v>5341.8722</v>
      </c>
      <c r="F276" s="17" t="n">
        <f aca="false">B276*2/13+F275*11/13</f>
        <v>5898.24234643459</v>
      </c>
      <c r="G276" s="17" t="n">
        <f aca="false">B276*2/27+G275*25/27</f>
        <v>5855.50110182134</v>
      </c>
      <c r="H276" s="17" t="n">
        <f aca="false">F276-G276</f>
        <v>42.7412446132548</v>
      </c>
      <c r="I276" s="17" t="n">
        <f aca="false">H276*2/10+I275*8/10</f>
        <v>45.9386670630232</v>
      </c>
      <c r="J276" s="17" t="n">
        <f aca="false">H276-I276</f>
        <v>-3.19742244976841</v>
      </c>
      <c r="K276" s="17" t="n">
        <f aca="false">MAX(B276-B275,0)</f>
        <v>34.8199999999997</v>
      </c>
      <c r="L276" s="17" t="n">
        <f aca="false">MAX(B275-B276,0)</f>
        <v>0</v>
      </c>
      <c r="M276" s="17" t="n">
        <f aca="false">(M275*13+K276)/14</f>
        <v>16.5279371517563</v>
      </c>
      <c r="N276" s="17" t="n">
        <f aca="false">(N275*13+L276)/14</f>
        <v>10.218030267535</v>
      </c>
      <c r="O276" s="17" t="n">
        <f aca="false">IF(N276=0,100,100-100/(1+M276/N276))</f>
        <v>61.7959967297166</v>
      </c>
      <c r="P276" s="17" t="n">
        <f aca="false">AVERAGE(B257:B276)+2*STDEV(B257:B276)</f>
        <v>6007.17795810464</v>
      </c>
      <c r="Q276" s="17" t="n">
        <f aca="false">AVERAGE(B257:B276)-2*STDEV(B257:B276)</f>
        <v>5759.14304189536</v>
      </c>
      <c r="R276" s="19" t="n">
        <f aca="false">B276/B256-1</f>
        <v>0.0422503797757348</v>
      </c>
      <c r="S276" s="17" t="n">
        <f aca="false">STDEV(C257:C276)*SQRT(252)*100</f>
        <v>7.02372283425951</v>
      </c>
      <c r="T276" s="19" t="n">
        <f aca="false">B255/B25-1</f>
        <v>0.182189627858567</v>
      </c>
      <c r="U276" s="19" t="n">
        <f aca="false">B276/MAX(B25:B276)-1</f>
        <v>-0.00268874575052136</v>
      </c>
      <c r="V276" s="17" t="n">
        <f aca="false">(B276-AVERAGE(B257:B276))/STDEV(B257:B276)</f>
        <v>0.831649040193786</v>
      </c>
    </row>
    <row r="277" customFormat="false" ht="15" hidden="false" customHeight="false" outlineLevel="0" collapsed="false">
      <c r="A277" s="17" t="s">
        <v>841</v>
      </c>
      <c r="B277" s="17" t="n">
        <v>5926.35</v>
      </c>
      <c r="C277" s="19" t="n">
        <f aca="false">B277/B276-1</f>
        <v>-0.00141202716888544</v>
      </c>
      <c r="D277" s="17" t="n">
        <f aca="false">AVERAGE(B228:B277)</f>
        <v>5804.8096</v>
      </c>
      <c r="E277" s="17" t="n">
        <f aca="false">AVERAGE(B78:B277)</f>
        <v>5347.3404</v>
      </c>
      <c r="F277" s="17" t="n">
        <f aca="false">B277*2/13+F276*11/13</f>
        <v>5902.56660082927</v>
      </c>
      <c r="G277" s="17" t="n">
        <f aca="false">B277*2/27+G276*25/27</f>
        <v>5860.74916835309</v>
      </c>
      <c r="H277" s="17" t="n">
        <f aca="false">F277-G277</f>
        <v>41.8174324761803</v>
      </c>
      <c r="I277" s="17" t="n">
        <f aca="false">H277*2/10+I276*8/10</f>
        <v>45.1144201456547</v>
      </c>
      <c r="J277" s="17" t="n">
        <f aca="false">H277-I277</f>
        <v>-3.29698766947433</v>
      </c>
      <c r="K277" s="17" t="n">
        <f aca="false">MAX(B277-B276,0)</f>
        <v>0</v>
      </c>
      <c r="L277" s="17" t="n">
        <f aca="false">MAX(B276-B277,0)</f>
        <v>8.3799999999992</v>
      </c>
      <c r="M277" s="17" t="n">
        <f aca="false">(M276*13+K277)/14</f>
        <v>15.3473702123451</v>
      </c>
      <c r="N277" s="17" t="n">
        <f aca="false">(N276*13+L277)/14</f>
        <v>10.0867423912824</v>
      </c>
      <c r="O277" s="17" t="n">
        <f aca="false">IF(N277=0,100,100-100/(1+M277/N277))</f>
        <v>60.3416775396213</v>
      </c>
      <c r="P277" s="17" t="n">
        <f aca="false">AVERAGE(B258:B277)+2*STDEV(B258:B277)</f>
        <v>5988.6045023105</v>
      </c>
      <c r="Q277" s="17" t="n">
        <f aca="false">AVERAGE(B258:B277)-2*STDEV(B258:B277)</f>
        <v>5799.3714976895</v>
      </c>
      <c r="R277" s="19" t="n">
        <f aca="false">B277/B257-1</f>
        <v>0.0379260219272128</v>
      </c>
      <c r="S277" s="17" t="n">
        <f aca="false">STDEV(C258:C277)*SQRT(252)*100</f>
        <v>7.12576715958465</v>
      </c>
      <c r="T277" s="19" t="n">
        <f aca="false">B256/B26-1</f>
        <v>0.187332534014492</v>
      </c>
      <c r="U277" s="19" t="n">
        <f aca="false">B277/MAX(B26:B277)-1</f>
        <v>-0.00409697633735684</v>
      </c>
      <c r="V277" s="17" t="n">
        <f aca="false">(B277-AVERAGE(B258:B277))/STDEV(B258:B277)</f>
        <v>0.684066715841981</v>
      </c>
    </row>
    <row r="278" customFormat="false" ht="15" hidden="false" customHeight="false" outlineLevel="0" collapsed="false">
      <c r="A278" s="17" t="s">
        <v>842</v>
      </c>
      <c r="B278" s="17" t="n">
        <v>5919.39</v>
      </c>
      <c r="C278" s="19" t="n">
        <f aca="false">B278/B277-1</f>
        <v>-0.00117441595585821</v>
      </c>
      <c r="D278" s="17" t="n">
        <f aca="false">AVERAGE(B229:B278)</f>
        <v>5807.3048</v>
      </c>
      <c r="E278" s="17" t="n">
        <f aca="false">AVERAGE(B79:B278)</f>
        <v>5352.67805</v>
      </c>
      <c r="F278" s="17" t="n">
        <f aca="false">B278*2/13+F277*11/13</f>
        <v>5905.1548160863</v>
      </c>
      <c r="G278" s="17" t="n">
        <f aca="false">B278*2/27+G277*25/27</f>
        <v>5865.09293366027</v>
      </c>
      <c r="H278" s="17" t="n">
        <f aca="false">F278-G278</f>
        <v>40.0618824260373</v>
      </c>
      <c r="I278" s="17" t="n">
        <f aca="false">H278*2/10+I277*8/10</f>
        <v>44.1039126017312</v>
      </c>
      <c r="J278" s="17" t="n">
        <f aca="false">H278-I278</f>
        <v>-4.04203017569389</v>
      </c>
      <c r="K278" s="17" t="n">
        <f aca="false">MAX(B278-B277,0)</f>
        <v>0</v>
      </c>
      <c r="L278" s="17" t="n">
        <f aca="false">MAX(B277-B278,0)</f>
        <v>6.96000000000004</v>
      </c>
      <c r="M278" s="17" t="n">
        <f aca="false">(M277*13+K278)/14</f>
        <v>14.2511294828919</v>
      </c>
      <c r="N278" s="17" t="n">
        <f aca="false">(N277*13+L278)/14</f>
        <v>9.86340364904796</v>
      </c>
      <c r="O278" s="17" t="n">
        <f aca="false">IF(N278=0,100,100-100/(1+M278/N278))</f>
        <v>59.0976794156391</v>
      </c>
      <c r="P278" s="17" t="n">
        <f aca="false">AVERAGE(B259:B278)+2*STDEV(B259:B278)</f>
        <v>5979.07703246502</v>
      </c>
      <c r="Q278" s="17" t="n">
        <f aca="false">AVERAGE(B259:B278)-2*STDEV(B259:B278)</f>
        <v>5822.94296753498</v>
      </c>
      <c r="R278" s="19" t="n">
        <f aca="false">B278/B258-1</f>
        <v>0.0243019925765062</v>
      </c>
      <c r="S278" s="17" t="n">
        <f aca="false">STDEV(C259:C278)*SQRT(252)*100</f>
        <v>6.07739594181418</v>
      </c>
      <c r="T278" s="19" t="n">
        <f aca="false">B257/B27-1</f>
        <v>0.193672270084605</v>
      </c>
      <c r="U278" s="19" t="n">
        <f aca="false">B278/MAX(B27:B278)-1</f>
        <v>-0.00526658073883357</v>
      </c>
      <c r="V278" s="17" t="n">
        <f aca="false">(B278-AVERAGE(B259:B278))/STDEV(B259:B278)</f>
        <v>0.47087738369549</v>
      </c>
    </row>
    <row r="279" customFormat="false" ht="15" hidden="false" customHeight="false" outlineLevel="0" collapsed="false">
      <c r="A279" s="17" t="s">
        <v>843</v>
      </c>
      <c r="B279" s="17" t="n">
        <v>5788.19</v>
      </c>
      <c r="C279" s="19" t="n">
        <f aca="false">B279/B278-1</f>
        <v>-0.0221644459986587</v>
      </c>
      <c r="D279" s="17" t="n">
        <f aca="false">AVERAGE(B230:B279)</f>
        <v>5807.2926</v>
      </c>
      <c r="E279" s="17" t="n">
        <f aca="false">AVERAGE(B80:B279)</f>
        <v>5357.06915</v>
      </c>
      <c r="F279" s="17" t="n">
        <f aca="false">B279*2/13+F278*11/13</f>
        <v>5887.1602289961</v>
      </c>
      <c r="G279" s="17" t="n">
        <f aca="false">B279*2/27+G278*25/27</f>
        <v>5859.3964200558</v>
      </c>
      <c r="H279" s="17" t="n">
        <f aca="false">F279-G279</f>
        <v>27.7638089403008</v>
      </c>
      <c r="I279" s="17" t="n">
        <f aca="false">H279*2/10+I278*8/10</f>
        <v>40.8358918694451</v>
      </c>
      <c r="J279" s="17" t="n">
        <f aca="false">H279-I279</f>
        <v>-13.0720829291443</v>
      </c>
      <c r="K279" s="17" t="n">
        <f aca="false">MAX(B279-B278,0)</f>
        <v>0</v>
      </c>
      <c r="L279" s="17" t="n">
        <f aca="false">MAX(B278-B279,0)</f>
        <v>131.200000000001</v>
      </c>
      <c r="M279" s="17" t="n">
        <f aca="false">(M278*13+K279)/14</f>
        <v>13.2331916626853</v>
      </c>
      <c r="N279" s="17" t="n">
        <f aca="false">(N278*13+L279)/14</f>
        <v>18.5303033884017</v>
      </c>
      <c r="O279" s="17" t="n">
        <f aca="false">IF(N279=0,100,100-100/(1+M279/N279))</f>
        <v>41.6616359169595</v>
      </c>
      <c r="P279" s="17" t="n">
        <f aca="false">AVERAGE(B260:B279)+2*STDEV(B260:B279)</f>
        <v>5980.33883812942</v>
      </c>
      <c r="Q279" s="17" t="n">
        <f aca="false">AVERAGE(B260:B279)-2*STDEV(B260:B279)</f>
        <v>5821.16416187058</v>
      </c>
      <c r="R279" s="19" t="n">
        <f aca="false">B279/B259-1</f>
        <v>-0.000892400955576744</v>
      </c>
      <c r="S279" s="17" t="n">
        <f aca="false">STDEV(C260:C279)*SQRT(252)*100</f>
        <v>10.2536758781583</v>
      </c>
      <c r="T279" s="19" t="n">
        <f aca="false">B258/B28-1</f>
        <v>0.203118266362154</v>
      </c>
      <c r="U279" s="19" t="n">
        <f aca="false">B279/MAX(B28:B279)-1</f>
        <v>-0.0273142958931089</v>
      </c>
      <c r="V279" s="17" t="n">
        <f aca="false">(B279-AVERAGE(B260:B279))/STDEV(B260:B279)</f>
        <v>-2.82862833826564</v>
      </c>
    </row>
    <row r="280" customFormat="false" ht="15" hidden="false" customHeight="false" outlineLevel="0" collapsed="false">
      <c r="A280" s="17" t="s">
        <v>844</v>
      </c>
      <c r="B280" s="17" t="n">
        <v>5831.53</v>
      </c>
      <c r="C280" s="19" t="n">
        <f aca="false">B280/B279-1</f>
        <v>0.00748766021847946</v>
      </c>
      <c r="D280" s="17" t="n">
        <f aca="false">AVERAGE(B231:B280)</f>
        <v>5807.593</v>
      </c>
      <c r="E280" s="17" t="n">
        <f aca="false">AVERAGE(B81:B280)</f>
        <v>5361.76955</v>
      </c>
      <c r="F280" s="17" t="n">
        <f aca="false">B280*2/13+F279*11/13</f>
        <v>5878.60173222747</v>
      </c>
      <c r="G280" s="17" t="n">
        <f aca="false">B280*2/27+G279*25/27</f>
        <v>5857.33224079241</v>
      </c>
      <c r="H280" s="17" t="n">
        <f aca="false">F280-G280</f>
        <v>21.2694914350623</v>
      </c>
      <c r="I280" s="17" t="n">
        <f aca="false">H280*2/10+I279*8/10</f>
        <v>36.9226117825685</v>
      </c>
      <c r="J280" s="17" t="n">
        <f aca="false">H280-I280</f>
        <v>-15.6531203475063</v>
      </c>
      <c r="K280" s="17" t="n">
        <f aca="false">MAX(B280-B279,0)</f>
        <v>43.3400000000001</v>
      </c>
      <c r="L280" s="17" t="n">
        <f aca="false">MAX(B279-B280,0)</f>
        <v>0</v>
      </c>
      <c r="M280" s="17" t="n">
        <f aca="false">(M279*13+K280)/14</f>
        <v>15.3836779724935</v>
      </c>
      <c r="N280" s="17" t="n">
        <f aca="false">(N279*13+L280)/14</f>
        <v>17.2067102892302</v>
      </c>
      <c r="O280" s="17" t="n">
        <f aca="false">IF(N280=0,100,100-100/(1+M280/N280))</f>
        <v>47.2031135344317</v>
      </c>
      <c r="P280" s="17" t="n">
        <f aca="false">AVERAGE(B261:B280)+2*STDEV(B261:B280)</f>
        <v>5981.14305779013</v>
      </c>
      <c r="Q280" s="17" t="n">
        <f aca="false">AVERAGE(B261:B280)-2*STDEV(B261:B280)</f>
        <v>5819.70494220987</v>
      </c>
      <c r="R280" s="19" t="n">
        <f aca="false">B280/B260-1</f>
        <v>-0.00112194420083322</v>
      </c>
      <c r="S280" s="17" t="n">
        <f aca="false">STDEV(C261:C280)*SQRT(252)*100</f>
        <v>10.2307889000463</v>
      </c>
      <c r="T280" s="19" t="n">
        <f aca="false">B259/B29-1</f>
        <v>0.205172370753139</v>
      </c>
      <c r="U280" s="19" t="n">
        <f aca="false">B280/MAX(B29:B280)-1</f>
        <v>-0.0200311558413842</v>
      </c>
      <c r="V280" s="17" t="n">
        <f aca="false">(B280-AVERAGE(B261:B280))/STDEV(B261:B280)</f>
        <v>-1.70700704111599</v>
      </c>
    </row>
    <row r="281" customFormat="false" ht="15" hidden="false" customHeight="false" outlineLevel="0" collapsed="false">
      <c r="A281" s="17" t="s">
        <v>845</v>
      </c>
      <c r="B281" s="17" t="n">
        <v>5908.17</v>
      </c>
      <c r="C281" s="19" t="n">
        <f aca="false">B281/B280-1</f>
        <v>0.0131423485774747</v>
      </c>
      <c r="D281" s="17" t="n">
        <f aca="false">AVERAGE(B232:B281)</f>
        <v>5808.1272</v>
      </c>
      <c r="E281" s="17" t="n">
        <f aca="false">AVERAGE(B82:B281)</f>
        <v>5367.00745</v>
      </c>
      <c r="F281" s="17" t="n">
        <f aca="false">B281*2/13+F280*11/13</f>
        <v>5883.15069650017</v>
      </c>
      <c r="G281" s="17" t="n">
        <f aca="false">B281*2/27+G280*25/27</f>
        <v>5861.09800073371</v>
      </c>
      <c r="H281" s="17" t="n">
        <f aca="false">F281-G281</f>
        <v>22.0526957664551</v>
      </c>
      <c r="I281" s="17" t="n">
        <f aca="false">H281*2/10+I280*8/10</f>
        <v>33.9486285793459</v>
      </c>
      <c r="J281" s="17" t="n">
        <f aca="false">H281-I281</f>
        <v>-11.8959328128907</v>
      </c>
      <c r="K281" s="17" t="n">
        <f aca="false">MAX(B281-B280,0)</f>
        <v>76.6400000000003</v>
      </c>
      <c r="L281" s="17" t="n">
        <f aca="false">MAX(B280-B281,0)</f>
        <v>0</v>
      </c>
      <c r="M281" s="17" t="n">
        <f aca="false">(M280*13+K281)/14</f>
        <v>19.7591295458869</v>
      </c>
      <c r="N281" s="17" t="n">
        <f aca="false">(N280*13+L281)/14</f>
        <v>15.9776595542852</v>
      </c>
      <c r="O281" s="17" t="n">
        <f aca="false">IF(N281=0,100,100-100/(1+M281/N281))</f>
        <v>55.2907243303281</v>
      </c>
      <c r="P281" s="17" t="n">
        <f aca="false">AVERAGE(B262:B281)+2*STDEV(B262:B281)</f>
        <v>5979.36790419763</v>
      </c>
      <c r="Q281" s="17" t="n">
        <f aca="false">AVERAGE(B262:B281)-2*STDEV(B262:B281)</f>
        <v>5828.32309580238</v>
      </c>
      <c r="R281" s="19" t="n">
        <f aca="false">B281/B261-1</f>
        <v>0.0117179874446465</v>
      </c>
      <c r="S281" s="17" t="n">
        <f aca="false">STDEV(C262:C281)*SQRT(252)*100</f>
        <v>11.2513911902225</v>
      </c>
      <c r="T281" s="19" t="n">
        <f aca="false">B260/B30-1</f>
        <v>0.209433368136694</v>
      </c>
      <c r="U281" s="19" t="n">
        <f aca="false">B281/MAX(B30:B281)-1</f>
        <v>-0.00715206369638677</v>
      </c>
      <c r="V281" s="17" t="n">
        <f aca="false">(B281-AVERAGE(B262:B281))/STDEV(B262:B281)</f>
        <v>0.114522307544221</v>
      </c>
    </row>
    <row r="282" customFormat="false" ht="15" hidden="false" customHeight="false" outlineLevel="0" collapsed="false">
      <c r="A282" s="17" t="s">
        <v>846</v>
      </c>
      <c r="B282" s="17" t="n">
        <v>5907.73</v>
      </c>
      <c r="C282" s="19" t="n">
        <f aca="false">B282/B281-1</f>
        <v>-7.44731448147906E-005</v>
      </c>
      <c r="D282" s="17" t="n">
        <f aca="false">AVERAGE(B233:B282)</f>
        <v>5808.7194</v>
      </c>
      <c r="E282" s="17" t="n">
        <f aca="false">AVERAGE(B83:B282)</f>
        <v>5372.36385</v>
      </c>
      <c r="F282" s="17" t="n">
        <f aca="false">B282*2/13+F281*11/13</f>
        <v>5886.93212780783</v>
      </c>
      <c r="G282" s="17" t="n">
        <f aca="false">B282*2/27+G281*25/27</f>
        <v>5864.55222290159</v>
      </c>
      <c r="H282" s="17" t="n">
        <f aca="false">F282-G282</f>
        <v>22.3799049062482</v>
      </c>
      <c r="I282" s="17" t="n">
        <f aca="false">H282*2/10+I281*8/10</f>
        <v>31.6348838447263</v>
      </c>
      <c r="J282" s="17" t="n">
        <f aca="false">H282-I282</f>
        <v>-9.25497893847816</v>
      </c>
      <c r="K282" s="17" t="n">
        <f aca="false">MAX(B282-B281,0)</f>
        <v>0</v>
      </c>
      <c r="L282" s="17" t="n">
        <f aca="false">MAX(B281-B282,0)</f>
        <v>0.440000000000509</v>
      </c>
      <c r="M282" s="17" t="n">
        <f aca="false">(M281*13+K282)/14</f>
        <v>18.3477631497521</v>
      </c>
      <c r="N282" s="17" t="n">
        <f aca="false">(N281*13+L282)/14</f>
        <v>14.8678267289791</v>
      </c>
      <c r="O282" s="17" t="n">
        <f aca="false">IF(N282=0,100,100-100/(1+M282/N282))</f>
        <v>55.2384082797838</v>
      </c>
      <c r="P282" s="17" t="n">
        <f aca="false">AVERAGE(B263:B282)+2*STDEV(B263:B282)</f>
        <v>5979.92686122724</v>
      </c>
      <c r="Q282" s="17" t="n">
        <f aca="false">AVERAGE(B263:B282)-2*STDEV(B263:B282)</f>
        <v>5830.52713877276</v>
      </c>
      <c r="R282" s="19" t="n">
        <f aca="false">B282/B262-1</f>
        <v>0.00469889967857684</v>
      </c>
      <c r="S282" s="17" t="n">
        <f aca="false">STDEV(C263:C282)*SQRT(252)*100</f>
        <v>11.002721631843</v>
      </c>
      <c r="T282" s="19" t="n">
        <f aca="false">B261/B31-1</f>
        <v>0.217325142427129</v>
      </c>
      <c r="U282" s="19" t="n">
        <f aca="false">B282/MAX(B31:B282)-1</f>
        <v>-0.00722600420452613</v>
      </c>
      <c r="V282" s="17" t="n">
        <f aca="false">(B282-AVERAGE(B263:B282))/STDEV(B263:B282)</f>
        <v>0.0670148500647299</v>
      </c>
    </row>
    <row r="283" customFormat="false" ht="15" hidden="false" customHeight="false" outlineLevel="0" collapsed="false">
      <c r="A283" s="17" t="s">
        <v>847</v>
      </c>
      <c r="B283" s="17" t="n">
        <v>5917.42</v>
      </c>
      <c r="C283" s="19" t="n">
        <f aca="false">B283/B282-1</f>
        <v>0.00164022391002994</v>
      </c>
      <c r="D283" s="17" t="n">
        <f aca="false">AVERAGE(B234:B283)</f>
        <v>5809.9324</v>
      </c>
      <c r="E283" s="17" t="n">
        <f aca="false">AVERAGE(B84:B283)</f>
        <v>5377.923</v>
      </c>
      <c r="F283" s="17" t="n">
        <f aca="false">B283*2/13+F282*11/13</f>
        <v>5891.62256968355</v>
      </c>
      <c r="G283" s="17" t="n">
        <f aca="false">B283*2/27+G282*25/27</f>
        <v>5868.46835453851</v>
      </c>
      <c r="H283" s="17" t="n">
        <f aca="false">F283-G283</f>
        <v>23.1542151450476</v>
      </c>
      <c r="I283" s="17" t="n">
        <f aca="false">H283*2/10+I282*8/10</f>
        <v>29.9387501047906</v>
      </c>
      <c r="J283" s="17" t="n">
        <f aca="false">H283-I283</f>
        <v>-6.78453495974298</v>
      </c>
      <c r="K283" s="17" t="n">
        <f aca="false">MAX(B283-B282,0)</f>
        <v>9.69000000000051</v>
      </c>
      <c r="L283" s="17" t="n">
        <f aca="false">MAX(B282-B283,0)</f>
        <v>0</v>
      </c>
      <c r="M283" s="17" t="n">
        <f aca="false">(M282*13+K283)/14</f>
        <v>17.7293514961984</v>
      </c>
      <c r="N283" s="17" t="n">
        <f aca="false">(N282*13+L283)/14</f>
        <v>13.8058391054806</v>
      </c>
      <c r="O283" s="17" t="n">
        <f aca="false">IF(N283=0,100,100-100/(1+M283/N283))</f>
        <v>56.2208477511294</v>
      </c>
      <c r="P283" s="17" t="n">
        <f aca="false">AVERAGE(B264:B283)+2*STDEV(B264:B283)</f>
        <v>5980.03079897605</v>
      </c>
      <c r="Q283" s="17" t="n">
        <f aca="false">AVERAGE(B264:B283)-2*STDEV(B264:B283)</f>
        <v>5830.54920102395</v>
      </c>
      <c r="R283" s="19" t="n">
        <f aca="false">B283/B263-1</f>
        <v>0.00021297598442227</v>
      </c>
      <c r="S283" s="17" t="n">
        <f aca="false">STDEV(C264:C283)*SQRT(252)*100</f>
        <v>10.7982200653356</v>
      </c>
      <c r="T283" s="19" t="n">
        <f aca="false">B262/B32-1</f>
        <v>0.223631501732408</v>
      </c>
      <c r="U283" s="19" t="n">
        <f aca="false">B283/MAX(B32:B283)-1</f>
        <v>-0.00559763255936663</v>
      </c>
      <c r="V283" s="17" t="n">
        <f aca="false">(B283-AVERAGE(B264:B283))/STDEV(B264:B283)</f>
        <v>0.324588448777123</v>
      </c>
    </row>
    <row r="284" customFormat="false" ht="15" hidden="false" customHeight="false" outlineLevel="0" collapsed="false">
      <c r="A284" s="17" t="s">
        <v>848</v>
      </c>
      <c r="B284" s="17" t="n">
        <v>5796.32</v>
      </c>
      <c r="C284" s="19" t="n">
        <f aca="false">B284/B283-1</f>
        <v>-0.0204649999493023</v>
      </c>
      <c r="D284" s="17" t="n">
        <f aca="false">AVERAGE(B235:B284)</f>
        <v>5808.307</v>
      </c>
      <c r="E284" s="17" t="n">
        <f aca="false">AVERAGE(B85:B284)</f>
        <v>5382.89825</v>
      </c>
      <c r="F284" s="17" t="n">
        <f aca="false">B284*2/13+F283*11/13</f>
        <v>5876.96063588608</v>
      </c>
      <c r="G284" s="17" t="n">
        <f aca="false">B284*2/27+G283*25/27</f>
        <v>5863.1240319801</v>
      </c>
      <c r="H284" s="17" t="n">
        <f aca="false">F284-G284</f>
        <v>13.8366039059865</v>
      </c>
      <c r="I284" s="17" t="n">
        <f aca="false">H284*2/10+I283*8/10</f>
        <v>26.7183208650298</v>
      </c>
      <c r="J284" s="17" t="n">
        <f aca="false">H284-I284</f>
        <v>-12.8817169590432</v>
      </c>
      <c r="K284" s="17" t="n">
        <f aca="false">MAX(B284-B283,0)</f>
        <v>0</v>
      </c>
      <c r="L284" s="17" t="n">
        <f aca="false">MAX(B283-B284,0)</f>
        <v>121.1</v>
      </c>
      <c r="M284" s="17" t="n">
        <f aca="false">(M283*13+K284)/14</f>
        <v>16.46296924647</v>
      </c>
      <c r="N284" s="17" t="n">
        <f aca="false">(N283*13+L284)/14</f>
        <v>21.4697077408034</v>
      </c>
      <c r="O284" s="17" t="n">
        <f aca="false">IF(N284=0,100,100-100/(1+M284/N284))</f>
        <v>43.4004941227675</v>
      </c>
      <c r="P284" s="17" t="n">
        <f aca="false">AVERAGE(B265:B284)+2*STDEV(B265:B284)</f>
        <v>5987.74922039446</v>
      </c>
      <c r="Q284" s="17" t="n">
        <f aca="false">AVERAGE(B265:B284)-2*STDEV(B265:B284)</f>
        <v>5810.34077960554</v>
      </c>
      <c r="R284" s="19" t="n">
        <f aca="false">B284/B264-1</f>
        <v>-0.0210936259757281</v>
      </c>
      <c r="S284" s="17" t="n">
        <f aca="false">STDEV(C265:C284)*SQRT(252)*100</f>
        <v>13.0086007183029</v>
      </c>
      <c r="T284" s="19" t="n">
        <f aca="false">B263/B33-1</f>
        <v>0.230308525416538</v>
      </c>
      <c r="U284" s="19" t="n">
        <f aca="false">B284/MAX(B33:B284)-1</f>
        <v>-0.0259480769586252</v>
      </c>
      <c r="V284" s="17" t="n">
        <f aca="false">(B284-AVERAGE(B265:B284))/STDEV(B265:B284)</f>
        <v>-2.31612429584945</v>
      </c>
    </row>
    <row r="285" customFormat="false" ht="15" hidden="false" customHeight="false" outlineLevel="0" collapsed="false">
      <c r="A285" s="17" t="s">
        <v>849</v>
      </c>
      <c r="B285" s="17" t="n">
        <v>5790.91</v>
      </c>
      <c r="C285" s="19" t="n">
        <f aca="false">B285/B284-1</f>
        <v>-0.000933350815689904</v>
      </c>
      <c r="D285" s="17" t="n">
        <f aca="false">AVERAGE(B236:B285)</f>
        <v>5806.4192</v>
      </c>
      <c r="E285" s="17" t="n">
        <f aca="false">AVERAGE(B86:B285)</f>
        <v>5388.0181</v>
      </c>
      <c r="F285" s="17" t="n">
        <f aca="false">B285*2/13+F284*11/13</f>
        <v>5863.72207651899</v>
      </c>
      <c r="G285" s="17" t="n">
        <f aca="false">B285*2/27+G284*25/27</f>
        <v>5857.77484442602</v>
      </c>
      <c r="H285" s="17" t="n">
        <f aca="false">F285-G285</f>
        <v>5.94723209297808</v>
      </c>
      <c r="I285" s="17" t="n">
        <f aca="false">H285*2/10+I284*8/10</f>
        <v>22.5641031106194</v>
      </c>
      <c r="J285" s="17" t="n">
        <f aca="false">H285-I285</f>
        <v>-16.6168710176413</v>
      </c>
      <c r="K285" s="17" t="n">
        <f aca="false">MAX(B285-B284,0)</f>
        <v>0</v>
      </c>
      <c r="L285" s="17" t="n">
        <f aca="false">MAX(B284-B285,0)</f>
        <v>5.40999999999985</v>
      </c>
      <c r="M285" s="17" t="n">
        <f aca="false">(M284*13+K285)/14</f>
        <v>15.2870428717221</v>
      </c>
      <c r="N285" s="17" t="n">
        <f aca="false">(N284*13+L285)/14</f>
        <v>20.3225857593175</v>
      </c>
      <c r="O285" s="17" t="n">
        <f aca="false">IF(N285=0,100,100-100/(1+M285/N285))</f>
        <v>42.9295206364409</v>
      </c>
      <c r="P285" s="17" t="n">
        <f aca="false">AVERAGE(B266:B285)+2*STDEV(B266:B285)</f>
        <v>5992.73439678943</v>
      </c>
      <c r="Q285" s="17" t="n">
        <f aca="false">AVERAGE(B266:B285)-2*STDEV(B266:B285)</f>
        <v>5792.29360321057</v>
      </c>
      <c r="R285" s="19" t="n">
        <f aca="false">B285/B265-1</f>
        <v>-0.022058488262324</v>
      </c>
      <c r="S285" s="17" t="n">
        <f aca="false">STDEV(C266:C285)*SQRT(252)*100</f>
        <v>13.0023944963046</v>
      </c>
      <c r="T285" s="19" t="n">
        <f aca="false">B264/B34-1</f>
        <v>0.232011551889874</v>
      </c>
      <c r="U285" s="19" t="n">
        <f aca="false">B285/MAX(B34:B285)-1</f>
        <v>-0.0268572091155203</v>
      </c>
      <c r="V285" s="17" t="n">
        <f aca="false">(B285-AVERAGE(B266:B285))/STDEV(B266:B285)</f>
        <v>-2.02761120999098</v>
      </c>
    </row>
    <row r="286" customFormat="false" ht="15" hidden="false" customHeight="false" outlineLevel="0" collapsed="false">
      <c r="A286" s="17" t="s">
        <v>850</v>
      </c>
      <c r="B286" s="17" t="n">
        <v>5786.54</v>
      </c>
      <c r="C286" s="19" t="n">
        <f aca="false">B286/B285-1</f>
        <v>-0.000754630964736047</v>
      </c>
      <c r="D286" s="17" t="n">
        <f aca="false">AVERAGE(B237:B286)</f>
        <v>5807.3112</v>
      </c>
      <c r="E286" s="17" t="n">
        <f aca="false">AVERAGE(B87:B286)</f>
        <v>5393.31625</v>
      </c>
      <c r="F286" s="17" t="n">
        <f aca="false">B286*2/13+F285*11/13</f>
        <v>5851.84791090069</v>
      </c>
      <c r="G286" s="17" t="n">
        <f aca="false">B286*2/27+G285*25/27</f>
        <v>5852.49818928335</v>
      </c>
      <c r="H286" s="17" t="n">
        <f aca="false">F286-G286</f>
        <v>-0.650278382660872</v>
      </c>
      <c r="I286" s="17" t="n">
        <f aca="false">H286*2/10+I285*8/10</f>
        <v>17.9212268119634</v>
      </c>
      <c r="J286" s="17" t="n">
        <f aca="false">H286-I286</f>
        <v>-18.5715051946242</v>
      </c>
      <c r="K286" s="17" t="n">
        <f aca="false">MAX(B286-B285,0)</f>
        <v>0</v>
      </c>
      <c r="L286" s="17" t="n">
        <f aca="false">MAX(B285-B286,0)</f>
        <v>4.36999999999989</v>
      </c>
      <c r="M286" s="17" t="n">
        <f aca="false">(M285*13+K286)/14</f>
        <v>14.1951112380277</v>
      </c>
      <c r="N286" s="17" t="n">
        <f aca="false">(N285*13+L286)/14</f>
        <v>19.1831153479376</v>
      </c>
      <c r="O286" s="17" t="n">
        <f aca="false">IF(N286=0,100,100-100/(1+M286/N286))</f>
        <v>42.5280570298374</v>
      </c>
      <c r="P286" s="17" t="n">
        <f aca="false">AVERAGE(B267:B286)+2*STDEV(B267:B286)</f>
        <v>5992.72431300737</v>
      </c>
      <c r="Q286" s="17" t="n">
        <f aca="false">AVERAGE(B267:B286)-2*STDEV(B267:B286)</f>
        <v>5776.82068699263</v>
      </c>
      <c r="R286" s="19" t="n">
        <f aca="false">B286/B266-1</f>
        <v>-0.026059646175882</v>
      </c>
      <c r="S286" s="17" t="n">
        <f aca="false">STDEV(C267:C286)*SQRT(252)*100</f>
        <v>12.8979974845566</v>
      </c>
      <c r="T286" s="19" t="n">
        <f aca="false">B265/B35-1</f>
        <v>0.231455986823498</v>
      </c>
      <c r="U286" s="19" t="n">
        <f aca="false">B286/MAX(B35:B286)-1</f>
        <v>-0.0275915727986313</v>
      </c>
      <c r="V286" s="17" t="n">
        <f aca="false">(B286-AVERAGE(B267:B286))/STDEV(B267:B286)</f>
        <v>-1.819932380261</v>
      </c>
    </row>
    <row r="287" customFormat="false" ht="15" hidden="false" customHeight="false" outlineLevel="0" collapsed="false">
      <c r="A287" s="17" t="s">
        <v>851</v>
      </c>
      <c r="B287" s="17" t="n">
        <v>5873.33</v>
      </c>
      <c r="C287" s="19" t="n">
        <f aca="false">B287/B286-1</f>
        <v>0.0149986001997739</v>
      </c>
      <c r="D287" s="17" t="n">
        <f aca="false">AVERAGE(B238:B287)</f>
        <v>5810.6142</v>
      </c>
      <c r="E287" s="17" t="n">
        <f aca="false">AVERAGE(B88:B287)</f>
        <v>5399.2874</v>
      </c>
      <c r="F287" s="17" t="n">
        <f aca="false">B287*2/13+F286*11/13</f>
        <v>5855.1528476852</v>
      </c>
      <c r="G287" s="17" t="n">
        <f aca="false">B287*2/27+G286*25/27</f>
        <v>5854.04128637347</v>
      </c>
      <c r="H287" s="17" t="n">
        <f aca="false">F287-G287</f>
        <v>1.1115613117272</v>
      </c>
      <c r="I287" s="17" t="n">
        <f aca="false">H287*2/10+I286*8/10</f>
        <v>14.5592937119161</v>
      </c>
      <c r="J287" s="17" t="n">
        <f aca="false">H287-I287</f>
        <v>-13.4477324001889</v>
      </c>
      <c r="K287" s="17" t="n">
        <f aca="false">MAX(B287-B286,0)</f>
        <v>86.79</v>
      </c>
      <c r="L287" s="17" t="n">
        <f aca="false">MAX(B286-B287,0)</f>
        <v>0</v>
      </c>
      <c r="M287" s="17" t="n">
        <f aca="false">(M286*13+K287)/14</f>
        <v>19.3804604353114</v>
      </c>
      <c r="N287" s="17" t="n">
        <f aca="false">(N286*13+L287)/14</f>
        <v>17.812892823085</v>
      </c>
      <c r="O287" s="17" t="n">
        <f aca="false">IF(N287=0,100,100-100/(1+M287/N287))</f>
        <v>52.1073222429502</v>
      </c>
      <c r="P287" s="17" t="n">
        <f aca="false">AVERAGE(B268:B287)+2*STDEV(B268:B287)</f>
        <v>5987.75294076258</v>
      </c>
      <c r="Q287" s="17" t="n">
        <f aca="false">AVERAGE(B268:B287)-2*STDEV(B268:B287)</f>
        <v>5776.06005923743</v>
      </c>
      <c r="R287" s="19" t="n">
        <f aca="false">B287/B267-1</f>
        <v>-0.00966504514682198</v>
      </c>
      <c r="S287" s="17" t="n">
        <f aca="false">STDEV(C268:C287)*SQRT(252)*100</f>
        <v>14.1290716963025</v>
      </c>
      <c r="T287" s="19" t="n">
        <f aca="false">B266/B36-1</f>
        <v>0.233038219521509</v>
      </c>
      <c r="U287" s="19" t="n">
        <f aca="false">B287/MAX(B36:B287)-1</f>
        <v>-0.0130068075681471</v>
      </c>
      <c r="V287" s="17" t="n">
        <f aca="false">(B287-AVERAGE(B268:B287))/STDEV(B268:B287)</f>
        <v>-0.162055520019575</v>
      </c>
    </row>
    <row r="288" customFormat="false" ht="15" hidden="false" customHeight="false" outlineLevel="0" collapsed="false">
      <c r="A288" s="17" t="s">
        <v>852</v>
      </c>
      <c r="B288" s="17" t="n">
        <v>5851.78</v>
      </c>
      <c r="C288" s="19" t="n">
        <f aca="false">B288/B287-1</f>
        <v>-0.00366912807555508</v>
      </c>
      <c r="D288" s="17" t="n">
        <f aca="false">AVERAGE(B239:B288)</f>
        <v>5812.6134</v>
      </c>
      <c r="E288" s="17" t="n">
        <f aca="false">AVERAGE(B89:B288)</f>
        <v>5405.244</v>
      </c>
      <c r="F288" s="17" t="n">
        <f aca="false">B288*2/13+F287*11/13</f>
        <v>5854.63394804132</v>
      </c>
      <c r="G288" s="17" t="n">
        <f aca="false">B288*2/27+G287*25/27</f>
        <v>5853.87378367914</v>
      </c>
      <c r="H288" s="17" t="n">
        <f aca="false">F288-G288</f>
        <v>0.760164362181968</v>
      </c>
      <c r="I288" s="17" t="n">
        <f aca="false">H288*2/10+I287*8/10</f>
        <v>11.7994678419693</v>
      </c>
      <c r="J288" s="17" t="n">
        <f aca="false">H288-I288</f>
        <v>-11.0393034797873</v>
      </c>
      <c r="K288" s="17" t="n">
        <f aca="false">MAX(B288-B287,0)</f>
        <v>0</v>
      </c>
      <c r="L288" s="17" t="n">
        <f aca="false">MAX(B287-B288,0)</f>
        <v>21.5500000000002</v>
      </c>
      <c r="M288" s="17" t="n">
        <f aca="false">(M287*13+K288)/14</f>
        <v>17.9961418327892</v>
      </c>
      <c r="N288" s="17" t="n">
        <f aca="false">(N287*13+L288)/14</f>
        <v>18.0798290500075</v>
      </c>
      <c r="O288" s="17" t="n">
        <f aca="false">IF(N288=0,100,100-100/(1+M288/N288))</f>
        <v>49.884012522504</v>
      </c>
      <c r="P288" s="17" t="n">
        <f aca="false">AVERAGE(B269:B288)+2*STDEV(B269:B288)</f>
        <v>5978.41975682123</v>
      </c>
      <c r="Q288" s="17" t="n">
        <f aca="false">AVERAGE(B269:B288)-2*STDEV(B269:B288)</f>
        <v>5775.49824317877</v>
      </c>
      <c r="R288" s="19" t="n">
        <f aca="false">B288/B268-1</f>
        <v>-0.0166282120008805</v>
      </c>
      <c r="S288" s="17" t="n">
        <f aca="false">STDEV(C269:C288)*SQRT(252)*100</f>
        <v>14.0970914001919</v>
      </c>
      <c r="T288" s="19" t="n">
        <f aca="false">B267/B37-1</f>
        <v>0.239816535625663</v>
      </c>
      <c r="U288" s="19" t="n">
        <f aca="false">B288/MAX(B37:B288)-1</f>
        <v>-0.0166282120008805</v>
      </c>
      <c r="V288" s="17" t="n">
        <f aca="false">(B288-AVERAGE(B269:B288))/STDEV(B269:B288)</f>
        <v>-0.496329828179074</v>
      </c>
    </row>
    <row r="289" customFormat="false" ht="15" hidden="false" customHeight="false" outlineLevel="0" collapsed="false">
      <c r="A289" s="17" t="s">
        <v>853</v>
      </c>
      <c r="B289" s="17" t="n">
        <v>5834.44</v>
      </c>
      <c r="C289" s="19" t="n">
        <f aca="false">B289/B288-1</f>
        <v>-0.00296320094056857</v>
      </c>
      <c r="D289" s="17" t="n">
        <f aca="false">AVERAGE(B240:B289)</f>
        <v>5814.7608</v>
      </c>
      <c r="E289" s="17" t="n">
        <f aca="false">AVERAGE(B90:B289)</f>
        <v>5410.54755</v>
      </c>
      <c r="F289" s="17" t="n">
        <f aca="false">B289*2/13+F288*11/13</f>
        <v>5851.52718680419</v>
      </c>
      <c r="G289" s="17" t="n">
        <f aca="false">B289*2/27+G288*25/27</f>
        <v>5852.43424414735</v>
      </c>
      <c r="H289" s="17" t="n">
        <f aca="false">F289-G289</f>
        <v>-0.907057343157248</v>
      </c>
      <c r="I289" s="17" t="n">
        <f aca="false">H289*2/10+I288*8/10</f>
        <v>9.25816280494399</v>
      </c>
      <c r="J289" s="17" t="n">
        <f aca="false">H289-I289</f>
        <v>-10.1652201481012</v>
      </c>
      <c r="K289" s="17" t="n">
        <f aca="false">MAX(B289-B288,0)</f>
        <v>0</v>
      </c>
      <c r="L289" s="17" t="n">
        <f aca="false">MAX(B288-B289,0)</f>
        <v>17.3400000000001</v>
      </c>
      <c r="M289" s="17" t="n">
        <f aca="false">(M288*13+K289)/14</f>
        <v>16.7107031304471</v>
      </c>
      <c r="N289" s="17" t="n">
        <f aca="false">(N288*13+L289)/14</f>
        <v>18.0269841178641</v>
      </c>
      <c r="O289" s="17" t="n">
        <f aca="false">IF(N289=0,100,100-100/(1+M289/N289))</f>
        <v>48.1053992195738</v>
      </c>
      <c r="P289" s="17" t="n">
        <f aca="false">AVERAGE(B270:B289)+2*STDEV(B270:B289)</f>
        <v>5974.14607472861</v>
      </c>
      <c r="Q289" s="17" t="n">
        <f aca="false">AVERAGE(B270:B289)-2*STDEV(B270:B289)</f>
        <v>5771.5129252714</v>
      </c>
      <c r="R289" s="19" t="n">
        <f aca="false">B289/B269-1</f>
        <v>-0.013958016099293</v>
      </c>
      <c r="S289" s="17" t="n">
        <f aca="false">STDEV(C270:C289)*SQRT(252)*100</f>
        <v>14.0058476818483</v>
      </c>
      <c r="T289" s="19" t="n">
        <f aca="false">B268/B38-1</f>
        <v>0.246113962512276</v>
      </c>
      <c r="U289" s="19" t="n">
        <f aca="false">B289/MAX(B38:B289)-1</f>
        <v>-0.019542140208008</v>
      </c>
      <c r="V289" s="17" t="n">
        <f aca="false">(B289-AVERAGE(B270:B289))/STDEV(B270:B289)</f>
        <v>-0.75781282781882</v>
      </c>
    </row>
    <row r="290" customFormat="false" ht="15" hidden="false" customHeight="false" outlineLevel="0" collapsed="false">
      <c r="A290" s="17" t="s">
        <v>854</v>
      </c>
      <c r="B290" s="17" t="n">
        <v>5822.53</v>
      </c>
      <c r="C290" s="19" t="n">
        <f aca="false">B290/B289-1</f>
        <v>-0.00204132701681736</v>
      </c>
      <c r="D290" s="17" t="n">
        <f aca="false">AVERAGE(B241:B290)</f>
        <v>5817.1936</v>
      </c>
      <c r="E290" s="17" t="n">
        <f aca="false">AVERAGE(B91:B290)</f>
        <v>5415.6356</v>
      </c>
      <c r="F290" s="17" t="n">
        <f aca="false">B290*2/13+F289*11/13</f>
        <v>5847.06608114201</v>
      </c>
      <c r="G290" s="17" t="n">
        <f aca="false">B290*2/27+G289*25/27</f>
        <v>5850.21911495125</v>
      </c>
      <c r="H290" s="17" t="n">
        <f aca="false">F290-G290</f>
        <v>-3.15303380924161</v>
      </c>
      <c r="I290" s="17" t="n">
        <f aca="false">H290*2/10+I289*8/10</f>
        <v>6.77592348210687</v>
      </c>
      <c r="J290" s="17" t="n">
        <f aca="false">H290-I290</f>
        <v>-9.92895729134848</v>
      </c>
      <c r="K290" s="17" t="n">
        <f aca="false">MAX(B290-B289,0)</f>
        <v>0</v>
      </c>
      <c r="L290" s="17" t="n">
        <f aca="false">MAX(B289-B290,0)</f>
        <v>11.9099999999999</v>
      </c>
      <c r="M290" s="17" t="n">
        <f aca="false">(M289*13+K290)/14</f>
        <v>15.5170814782723</v>
      </c>
      <c r="N290" s="17" t="n">
        <f aca="false">(N289*13+L290)/14</f>
        <v>17.5900566808738</v>
      </c>
      <c r="O290" s="17" t="n">
        <f aca="false">IF(N290=0,100,100-100/(1+M290/N290))</f>
        <v>46.8692926693985</v>
      </c>
      <c r="P290" s="17" t="n">
        <f aca="false">AVERAGE(B271:B290)+2*STDEV(B271:B290)</f>
        <v>5970.71035369184</v>
      </c>
      <c r="Q290" s="17" t="n">
        <f aca="false">AVERAGE(B271:B290)-2*STDEV(B271:B290)</f>
        <v>5766.30964630816</v>
      </c>
      <c r="R290" s="19" t="n">
        <f aca="false">B290/B270-1</f>
        <v>-0.0146202690170116</v>
      </c>
      <c r="S290" s="17" t="n">
        <f aca="false">STDEV(C271:C290)*SQRT(252)*100</f>
        <v>14.0123488436092</v>
      </c>
      <c r="T290" s="19" t="n">
        <f aca="false">B269/B39-1</f>
        <v>0.236917526010256</v>
      </c>
      <c r="U290" s="19" t="n">
        <f aca="false">B290/MAX(B39:B290)-1</f>
        <v>-0.0215435753260524</v>
      </c>
      <c r="V290" s="17" t="n">
        <f aca="false">(B290-AVERAGE(B271:B290))/STDEV(B271:B290)</f>
        <v>-0.899801191268722</v>
      </c>
    </row>
    <row r="291" customFormat="false" ht="15" hidden="false" customHeight="false" outlineLevel="0" collapsed="false">
      <c r="A291" s="17" t="s">
        <v>855</v>
      </c>
      <c r="B291" s="17" t="n">
        <v>5838.08</v>
      </c>
      <c r="C291" s="19" t="n">
        <f aca="false">B291/B290-1</f>
        <v>0.00267066034868013</v>
      </c>
      <c r="D291" s="17" t="n">
        <f aca="false">AVERAGE(B242:B291)</f>
        <v>5820.3256</v>
      </c>
      <c r="E291" s="17" t="n">
        <f aca="false">AVERAGE(B92:B291)</f>
        <v>5420.7001</v>
      </c>
      <c r="F291" s="17" t="n">
        <f aca="false">B291*2/13+F290*11/13</f>
        <v>5845.68360712016</v>
      </c>
      <c r="G291" s="17" t="n">
        <f aca="false">B291*2/27+G290*25/27</f>
        <v>5849.31992125116</v>
      </c>
      <c r="H291" s="17" t="n">
        <f aca="false">F291-G291</f>
        <v>-3.63631413099756</v>
      </c>
      <c r="I291" s="17" t="n">
        <f aca="false">H291*2/10+I290*8/10</f>
        <v>4.69347595948599</v>
      </c>
      <c r="J291" s="17" t="n">
        <f aca="false">H291-I291</f>
        <v>-8.32979009048355</v>
      </c>
      <c r="K291" s="17" t="n">
        <f aca="false">MAX(B291-B290,0)</f>
        <v>15.5500000000002</v>
      </c>
      <c r="L291" s="17" t="n">
        <f aca="false">MAX(B290-B291,0)</f>
        <v>0</v>
      </c>
      <c r="M291" s="17" t="n">
        <f aca="false">(M290*13+K291)/14</f>
        <v>15.5194328012528</v>
      </c>
      <c r="N291" s="17" t="n">
        <f aca="false">(N290*13+L291)/14</f>
        <v>16.3336240608114</v>
      </c>
      <c r="O291" s="17" t="n">
        <f aca="false">IF(N291=0,100,100-100/(1+M291/N291))</f>
        <v>48.7219574198415</v>
      </c>
      <c r="P291" s="17" t="n">
        <f aca="false">AVERAGE(B272:B291)+2*STDEV(B272:B291)</f>
        <v>5969.31325785947</v>
      </c>
      <c r="Q291" s="17" t="n">
        <f aca="false">AVERAGE(B272:B291)-2*STDEV(B272:B291)</f>
        <v>5763.48174214053</v>
      </c>
      <c r="R291" s="19" t="n">
        <f aca="false">B291/B271-1</f>
        <v>-0.0071849709114965</v>
      </c>
      <c r="S291" s="17" t="n">
        <f aca="false">STDEV(C272:C291)*SQRT(252)*100</f>
        <v>13.9715845554585</v>
      </c>
      <c r="T291" s="19" t="n">
        <f aca="false">B270/B40-1</f>
        <v>0.233314339743148</v>
      </c>
      <c r="U291" s="19" t="n">
        <f aca="false">B291/MAX(B40:B291)-1</f>
        <v>-0.0189304505497644</v>
      </c>
      <c r="V291" s="17" t="n">
        <f aca="false">(B291-AVERAGE(B272:B291))/STDEV(B272:B291)</f>
        <v>-0.550304454613581</v>
      </c>
    </row>
    <row r="292" customFormat="false" ht="15" hidden="false" customHeight="false" outlineLevel="0" collapsed="false">
      <c r="A292" s="17" t="s">
        <v>856</v>
      </c>
      <c r="B292" s="17" t="n">
        <v>5862.14</v>
      </c>
      <c r="C292" s="19" t="n">
        <f aca="false">B292/B291-1</f>
        <v>0.00412121793466347</v>
      </c>
      <c r="D292" s="17" t="n">
        <f aca="false">AVERAGE(B243:B292)</f>
        <v>5822.124</v>
      </c>
      <c r="E292" s="17" t="n">
        <f aca="false">AVERAGE(B93:B292)</f>
        <v>5426.27565</v>
      </c>
      <c r="F292" s="17" t="n">
        <f aca="false">B292*2/13+F291*11/13</f>
        <v>5848.21535987091</v>
      </c>
      <c r="G292" s="17" t="n">
        <f aca="false">B292*2/27+G291*25/27</f>
        <v>5850.26955671404</v>
      </c>
      <c r="H292" s="17" t="n">
        <f aca="false">F292-G292</f>
        <v>-2.05419684312983</v>
      </c>
      <c r="I292" s="17" t="n">
        <f aca="false">H292*2/10+I291*8/10</f>
        <v>3.34394139896282</v>
      </c>
      <c r="J292" s="17" t="n">
        <f aca="false">H292-I292</f>
        <v>-5.39813824209265</v>
      </c>
      <c r="K292" s="17" t="n">
        <f aca="false">MAX(B292-B291,0)</f>
        <v>24.0600000000004</v>
      </c>
      <c r="L292" s="17" t="n">
        <f aca="false">MAX(B291-B292,0)</f>
        <v>0</v>
      </c>
      <c r="M292" s="17" t="n">
        <f aca="false">(M291*13+K292)/14</f>
        <v>16.1294733154491</v>
      </c>
      <c r="N292" s="17" t="n">
        <f aca="false">(N291*13+L292)/14</f>
        <v>15.1669366278963</v>
      </c>
      <c r="O292" s="17" t="n">
        <f aca="false">IF(N292=0,100,100-100/(1+M292/N292))</f>
        <v>51.5377749225794</v>
      </c>
      <c r="P292" s="17" t="n">
        <f aca="false">AVERAGE(B273:B292)+2*STDEV(B273:B292)</f>
        <v>5966.77393557597</v>
      </c>
      <c r="Q292" s="17" t="n">
        <f aca="false">AVERAGE(B273:B292)-2*STDEV(B273:B292)</f>
        <v>5762.71806442403</v>
      </c>
      <c r="R292" s="19" t="n">
        <f aca="false">B292/B272-1</f>
        <v>-0.00560289185892848</v>
      </c>
      <c r="S292" s="17" t="n">
        <f aca="false">STDEV(C273:C292)*SQRT(252)*100</f>
        <v>14.0261642408003</v>
      </c>
      <c r="T292" s="19" t="n">
        <f aca="false">B271/B41-1</f>
        <v>0.231227452318786</v>
      </c>
      <c r="U292" s="19" t="n">
        <f aca="false">B292/MAX(B41:B292)-1</f>
        <v>-0.0148872491274179</v>
      </c>
      <c r="V292" s="17" t="n">
        <f aca="false">(B292-AVERAGE(B273:B292))/STDEV(B273:B292)</f>
        <v>-0.051084048408669</v>
      </c>
    </row>
    <row r="293" customFormat="false" ht="15" hidden="false" customHeight="false" outlineLevel="0" collapsed="false">
      <c r="A293" s="17" t="s">
        <v>857</v>
      </c>
      <c r="B293" s="17" t="n">
        <v>5932.9</v>
      </c>
      <c r="C293" s="19" t="n">
        <f aca="false">B293/B292-1</f>
        <v>0.0120706772612049</v>
      </c>
      <c r="D293" s="17" t="n">
        <f aca="false">AVERAGE(B244:B293)</f>
        <v>5826.2558</v>
      </c>
      <c r="E293" s="17" t="n">
        <f aca="false">AVERAGE(B94:B293)</f>
        <v>5432.1804</v>
      </c>
      <c r="F293" s="17" t="n">
        <f aca="false">B293*2/13+F292*11/13</f>
        <v>5861.24376604461</v>
      </c>
      <c r="G293" s="17" t="n">
        <f aca="false">B293*2/27+G292*25/27</f>
        <v>5856.39033029078</v>
      </c>
      <c r="H293" s="17" t="n">
        <f aca="false">F293-G293</f>
        <v>4.85343575383831</v>
      </c>
      <c r="I293" s="17" t="n">
        <f aca="false">H293*2/10+I292*8/10</f>
        <v>3.64584026993792</v>
      </c>
      <c r="J293" s="17" t="n">
        <f aca="false">H293-I293</f>
        <v>1.20759548390039</v>
      </c>
      <c r="K293" s="17" t="n">
        <f aca="false">MAX(B293-B292,0)</f>
        <v>70.7599999999993</v>
      </c>
      <c r="L293" s="17" t="n">
        <f aca="false">MAX(B292-B293,0)</f>
        <v>0</v>
      </c>
      <c r="M293" s="17" t="n">
        <f aca="false">(M292*13+K293)/14</f>
        <v>20.031653792917</v>
      </c>
      <c r="N293" s="17" t="n">
        <f aca="false">(N292*13+L293)/14</f>
        <v>14.083584011618</v>
      </c>
      <c r="O293" s="17" t="n">
        <f aca="false">IF(N293=0,100,100-100/(1+M293/N293))</f>
        <v>58.7176144211258</v>
      </c>
      <c r="P293" s="17" t="n">
        <f aca="false">AVERAGE(B274:B293)+2*STDEV(B274:B293)</f>
        <v>5969.93116543665</v>
      </c>
      <c r="Q293" s="17" t="n">
        <f aca="false">AVERAGE(B274:B293)-2*STDEV(B274:B293)</f>
        <v>5761.42783456335</v>
      </c>
      <c r="R293" s="19" t="n">
        <f aca="false">B293/B273-1</f>
        <v>0.00315679302292948</v>
      </c>
      <c r="S293" s="17" t="n">
        <f aca="false">STDEV(C274:C293)*SQRT(252)*100</f>
        <v>14.6534823107754</v>
      </c>
      <c r="T293" s="19" t="n">
        <f aca="false">B272/B42-1</f>
        <v>0.235612705798514</v>
      </c>
      <c r="U293" s="19" t="n">
        <f aca="false">B293/MAX(B42:B293)-1</f>
        <v>-0.00299627104573719</v>
      </c>
      <c r="V293" s="17" t="n">
        <f aca="false">(B293-AVERAGE(B274:B293))/STDEV(B274:B293)</f>
        <v>1.28958131687297</v>
      </c>
    </row>
    <row r="294" customFormat="false" ht="15" hidden="false" customHeight="false" outlineLevel="0" collapsed="false">
      <c r="A294" s="17" t="s">
        <v>858</v>
      </c>
      <c r="B294" s="17" t="n">
        <v>5988.6</v>
      </c>
      <c r="C294" s="19" t="n">
        <f aca="false">B294/B293-1</f>
        <v>0.0093883261137051</v>
      </c>
      <c r="D294" s="17" t="n">
        <f aca="false">AVERAGE(B245:B294)</f>
        <v>5830.38</v>
      </c>
      <c r="E294" s="17" t="n">
        <f aca="false">AVERAGE(B95:B294)</f>
        <v>5438.6132</v>
      </c>
      <c r="F294" s="17" t="n">
        <f aca="false">B294*2/13+F293*11/13</f>
        <v>5880.83703280698</v>
      </c>
      <c r="G294" s="17" t="n">
        <f aca="false">B294*2/27+G293*25/27</f>
        <v>5866.18363915813</v>
      </c>
      <c r="H294" s="17" t="n">
        <f aca="false">F294-G294</f>
        <v>14.6533936488559</v>
      </c>
      <c r="I294" s="17" t="n">
        <f aca="false">H294*2/10+I293*8/10</f>
        <v>5.84735094572151</v>
      </c>
      <c r="J294" s="17" t="n">
        <f aca="false">H294-I294</f>
        <v>8.80604270313435</v>
      </c>
      <c r="K294" s="17" t="n">
        <f aca="false">MAX(B294-B293,0)</f>
        <v>55.7000000000007</v>
      </c>
      <c r="L294" s="17" t="n">
        <f aca="false">MAX(B293-B294,0)</f>
        <v>0</v>
      </c>
      <c r="M294" s="17" t="n">
        <f aca="false">(M293*13+K294)/14</f>
        <v>22.5793928077087</v>
      </c>
      <c r="N294" s="17" t="n">
        <f aca="false">(N293*13+L294)/14</f>
        <v>13.0776137250738</v>
      </c>
      <c r="O294" s="17" t="n">
        <f aca="false">IF(N294=0,100,100-100/(1+M294/N294))</f>
        <v>63.3238597495545</v>
      </c>
      <c r="P294" s="17" t="n">
        <f aca="false">AVERAGE(B275:B294)+2*STDEV(B275:B294)</f>
        <v>5988.0755434251</v>
      </c>
      <c r="Q294" s="17" t="n">
        <f aca="false">AVERAGE(B275:B294)-2*STDEV(B275:B294)</f>
        <v>5753.0234565749</v>
      </c>
      <c r="R294" s="19" t="n">
        <f aca="false">B294/B274-1</f>
        <v>0.016533134166214</v>
      </c>
      <c r="S294" s="17" t="n">
        <f aca="false">STDEV(C275:C294)*SQRT(252)*100</f>
        <v>14.9176104815094</v>
      </c>
      <c r="T294" s="19" t="n">
        <f aca="false">B273/B43-1</f>
        <v>0.236267595329373</v>
      </c>
      <c r="U294" s="19" t="n">
        <f aca="false">B294/MAX(B43:B294)-1</f>
        <v>0</v>
      </c>
      <c r="V294" s="17" t="n">
        <f aca="false">(B294-AVERAGE(B275:B294))/STDEV(B275:B294)</f>
        <v>2.00892494224461</v>
      </c>
    </row>
    <row r="295" customFormat="false" ht="15" hidden="false" customHeight="false" outlineLevel="0" collapsed="false">
      <c r="A295" s="17" t="s">
        <v>859</v>
      </c>
      <c r="B295" s="17" t="n">
        <v>5987.9</v>
      </c>
      <c r="C295" s="19" t="n">
        <f aca="false">B295/B294-1</f>
        <v>-0.000116888755301914</v>
      </c>
      <c r="D295" s="17" t="n">
        <f aca="false">AVERAGE(B246:B295)</f>
        <v>5834.5406</v>
      </c>
      <c r="E295" s="17" t="n">
        <f aca="false">AVERAGE(B96:B295)</f>
        <v>5444.73035</v>
      </c>
      <c r="F295" s="17" t="n">
        <f aca="false">B295*2/13+F294*11/13</f>
        <v>5897.30825852898</v>
      </c>
      <c r="G295" s="17" t="n">
        <f aca="false">B295*2/27+G294*25/27</f>
        <v>5875.19966588715</v>
      </c>
      <c r="H295" s="17" t="n">
        <f aca="false">F295-G295</f>
        <v>22.1085926418309</v>
      </c>
      <c r="I295" s="17" t="n">
        <f aca="false">H295*2/10+I294*8/10</f>
        <v>9.09959928494339</v>
      </c>
      <c r="J295" s="17" t="n">
        <f aca="false">H295-I295</f>
        <v>13.0089933568875</v>
      </c>
      <c r="K295" s="17" t="n">
        <f aca="false">MAX(B295-B294,0)</f>
        <v>0</v>
      </c>
      <c r="L295" s="17" t="n">
        <f aca="false">MAX(B294-B295,0)</f>
        <v>0.700000000000728</v>
      </c>
      <c r="M295" s="17" t="n">
        <f aca="false">(M294*13+K295)/14</f>
        <v>20.9665790357295</v>
      </c>
      <c r="N295" s="17" t="n">
        <f aca="false">(N294*13+L295)/14</f>
        <v>12.1934984589972</v>
      </c>
      <c r="O295" s="17" t="n">
        <f aca="false">IF(N295=0,100,100-100/(1+M295/N295))</f>
        <v>63.2283776751237</v>
      </c>
      <c r="P295" s="17" t="n">
        <f aca="false">AVERAGE(B276:B295)+2*STDEV(B276:B295)</f>
        <v>6003.20101390026</v>
      </c>
      <c r="Q295" s="17" t="n">
        <f aca="false">AVERAGE(B276:B295)-2*STDEV(B276:B295)</f>
        <v>5746.69698609974</v>
      </c>
      <c r="R295" s="19" t="n">
        <f aca="false">B295/B275-1</f>
        <v>0.0149137868204769</v>
      </c>
      <c r="S295" s="17" t="n">
        <f aca="false">STDEV(C276:C295)*SQRT(252)*100</f>
        <v>14.9196205565917</v>
      </c>
      <c r="T295" s="19" t="n">
        <f aca="false">B274/B44-1</f>
        <v>0.227655592926477</v>
      </c>
      <c r="U295" s="19" t="n">
        <f aca="false">B295/MAX(B44:B295)-1</f>
        <v>-0.000116888755301914</v>
      </c>
      <c r="V295" s="17" t="n">
        <f aca="false">(B295-AVERAGE(B276:B295))/STDEV(B276:B295)</f>
        <v>1.76139144431426</v>
      </c>
    </row>
    <row r="296" customFormat="false" ht="15" hidden="false" customHeight="false" outlineLevel="0" collapsed="false">
      <c r="A296" s="17" t="s">
        <v>860</v>
      </c>
      <c r="B296" s="17" t="n">
        <v>5932.73</v>
      </c>
      <c r="C296" s="19" t="n">
        <f aca="false">B296/B295-1</f>
        <v>-0.009213580721121</v>
      </c>
      <c r="D296" s="17" t="n">
        <f aca="false">AVERAGE(B247:B296)</f>
        <v>5837.133</v>
      </c>
      <c r="E296" s="17" t="n">
        <f aca="false">AVERAGE(B97:B296)</f>
        <v>5450.43265</v>
      </c>
      <c r="F296" s="17" t="n">
        <f aca="false">B296*2/13+F295*11/13</f>
        <v>5902.75775721683</v>
      </c>
      <c r="G296" s="17" t="n">
        <f aca="false">B296*2/27+G295*25/27</f>
        <v>5879.46117211773</v>
      </c>
      <c r="H296" s="17" t="n">
        <f aca="false">F296-G296</f>
        <v>23.2965850990986</v>
      </c>
      <c r="I296" s="17" t="n">
        <f aca="false">H296*2/10+I295*8/10</f>
        <v>11.9389964477744</v>
      </c>
      <c r="J296" s="17" t="n">
        <f aca="false">H296-I296</f>
        <v>11.3575886513242</v>
      </c>
      <c r="K296" s="17" t="n">
        <f aca="false">MAX(B296-B295,0)</f>
        <v>0</v>
      </c>
      <c r="L296" s="17" t="n">
        <f aca="false">MAX(B295-B296,0)</f>
        <v>55.1700000000001</v>
      </c>
      <c r="M296" s="17" t="n">
        <f aca="false">(M295*13+K296)/14</f>
        <v>19.4689662474631</v>
      </c>
      <c r="N296" s="17" t="n">
        <f aca="false">(N295*13+L296)/14</f>
        <v>15.2632485690688</v>
      </c>
      <c r="O296" s="17" t="n">
        <f aca="false">IF(N296=0,100,100-100/(1+M296/N296))</f>
        <v>56.0544910547893</v>
      </c>
      <c r="P296" s="17" t="n">
        <f aca="false">AVERAGE(B277:B296)+2*STDEV(B277:B296)</f>
        <v>6002.9077254924</v>
      </c>
      <c r="Q296" s="17" t="n">
        <f aca="false">AVERAGE(B277:B296)-2*STDEV(B277:B296)</f>
        <v>5746.7902745076</v>
      </c>
      <c r="R296" s="19" t="n">
        <f aca="false">B296/B276-1</f>
        <v>-0.000336999324316301</v>
      </c>
      <c r="S296" s="17" t="n">
        <f aca="false">STDEV(C277:C296)*SQRT(252)*100</f>
        <v>15.1939900314356</v>
      </c>
      <c r="T296" s="19" t="n">
        <f aca="false">B275/B45-1</f>
        <v>0.221637391785088</v>
      </c>
      <c r="U296" s="19" t="n">
        <f aca="false">B296/MAX(B45:B296)-1</f>
        <v>-0.00932939251244047</v>
      </c>
      <c r="V296" s="17" t="n">
        <f aca="false">(B296-AVERAGE(B277:B296))/STDEV(B277:B296)</f>
        <v>0.903975887272691</v>
      </c>
    </row>
    <row r="297" customFormat="false" ht="15" hidden="false" customHeight="false" outlineLevel="0" collapsed="false">
      <c r="A297" s="17" t="s">
        <v>861</v>
      </c>
      <c r="B297" s="17" t="n">
        <v>5951.13</v>
      </c>
      <c r="C297" s="19" t="n">
        <f aca="false">B297/B296-1</f>
        <v>0.00310143896654669</v>
      </c>
      <c r="D297" s="17" t="n">
        <f aca="false">AVERAGE(B248:B297)</f>
        <v>5840.6038</v>
      </c>
      <c r="E297" s="17" t="n">
        <f aca="false">AVERAGE(B98:B297)</f>
        <v>5456.05535</v>
      </c>
      <c r="F297" s="17" t="n">
        <f aca="false">B297*2/13+F296*11/13</f>
        <v>5910.19964072194</v>
      </c>
      <c r="G297" s="17" t="n">
        <f aca="false">B297*2/27+G296*25/27</f>
        <v>5884.76997418309</v>
      </c>
      <c r="H297" s="17" t="n">
        <f aca="false">F297-G297</f>
        <v>25.4296665388492</v>
      </c>
      <c r="I297" s="17" t="n">
        <f aca="false">H297*2/10+I296*8/10</f>
        <v>14.6371304659894</v>
      </c>
      <c r="J297" s="17" t="n">
        <f aca="false">H297-I297</f>
        <v>10.7925360728598</v>
      </c>
      <c r="K297" s="17" t="n">
        <f aca="false">MAX(B297-B296,0)</f>
        <v>18.4000000000005</v>
      </c>
      <c r="L297" s="17" t="n">
        <f aca="false">MAX(B296-B297,0)</f>
        <v>0</v>
      </c>
      <c r="M297" s="17" t="n">
        <f aca="false">(M296*13+K297)/14</f>
        <v>19.3926115155015</v>
      </c>
      <c r="N297" s="17" t="n">
        <f aca="false">(N296*13+L297)/14</f>
        <v>14.173016528421</v>
      </c>
      <c r="O297" s="17" t="n">
        <f aca="false">IF(N297=0,100,100-100/(1+M297/N297))</f>
        <v>57.7752082878507</v>
      </c>
      <c r="P297" s="17" t="n">
        <f aca="false">AVERAGE(B278:B297)+2*STDEV(B278:B297)</f>
        <v>6006.69884191316</v>
      </c>
      <c r="Q297" s="17" t="n">
        <f aca="false">AVERAGE(B278:B297)-2*STDEV(B278:B297)</f>
        <v>5745.47715808685</v>
      </c>
      <c r="R297" s="19" t="n">
        <f aca="false">B297/B277-1</f>
        <v>0.00418132577387431</v>
      </c>
      <c r="S297" s="17" t="n">
        <f aca="false">STDEV(C278:C297)*SQRT(252)*100</f>
        <v>15.2217412645468</v>
      </c>
      <c r="T297" s="19" t="n">
        <f aca="false">B276/B46-1</f>
        <v>0.228249576767539</v>
      </c>
      <c r="U297" s="19" t="n">
        <f aca="false">B297/MAX(B46:B297)-1</f>
        <v>-0.00625688808736602</v>
      </c>
      <c r="V297" s="17" t="n">
        <f aca="false">(B297-AVERAGE(B278:B297))/STDEV(B278:B297)</f>
        <v>1.1490929680998</v>
      </c>
    </row>
    <row r="298" customFormat="false" ht="15" hidden="false" customHeight="false" outlineLevel="0" collapsed="false">
      <c r="A298" s="17" t="s">
        <v>862</v>
      </c>
      <c r="B298" s="17" t="n">
        <v>5964.31</v>
      </c>
      <c r="C298" s="19" t="n">
        <f aca="false">B298/B297-1</f>
        <v>0.00221470544249591</v>
      </c>
      <c r="D298" s="17" t="n">
        <f aca="false">AVERAGE(B249:B298)</f>
        <v>5846.458</v>
      </c>
      <c r="E298" s="17" t="n">
        <f aca="false">AVERAGE(B99:B298)</f>
        <v>5461.8367</v>
      </c>
      <c r="F298" s="17" t="n">
        <f aca="false">B298*2/13+F297*11/13</f>
        <v>5918.5243113801</v>
      </c>
      <c r="G298" s="17" t="n">
        <f aca="false">B298*2/27+G297*25/27</f>
        <v>5890.6618279473</v>
      </c>
      <c r="H298" s="17" t="n">
        <f aca="false">F298-G298</f>
        <v>27.8624834327984</v>
      </c>
      <c r="I298" s="17" t="n">
        <f aca="false">H298*2/10+I297*8/10</f>
        <v>17.2822010593512</v>
      </c>
      <c r="J298" s="17" t="n">
        <f aca="false">H298-I298</f>
        <v>10.5802823734472</v>
      </c>
      <c r="K298" s="17" t="n">
        <f aca="false">MAX(B298-B297,0)</f>
        <v>13.1800000000003</v>
      </c>
      <c r="L298" s="17" t="n">
        <f aca="false">MAX(B297-B298,0)</f>
        <v>0</v>
      </c>
      <c r="M298" s="17" t="n">
        <f aca="false">(M297*13+K298)/14</f>
        <v>18.9488535501085</v>
      </c>
      <c r="N298" s="17" t="n">
        <f aca="false">(N297*13+L298)/14</f>
        <v>13.1606582049624</v>
      </c>
      <c r="O298" s="17" t="n">
        <f aca="false">IF(N298=0,100,100-100/(1+M298/N298))</f>
        <v>59.0132098384088</v>
      </c>
      <c r="P298" s="17" t="n">
        <f aca="false">AVERAGE(B279:B298)+2*STDEV(B279:B298)</f>
        <v>6013.54403534852</v>
      </c>
      <c r="Q298" s="17" t="n">
        <f aca="false">AVERAGE(B279:B298)-2*STDEV(B279:B298)</f>
        <v>5743.12396465148</v>
      </c>
      <c r="R298" s="19" t="n">
        <f aca="false">B298/B278-1</f>
        <v>0.00758861977332126</v>
      </c>
      <c r="S298" s="17" t="n">
        <f aca="false">STDEV(C279:C298)*SQRT(252)*100</f>
        <v>15.2271408652979</v>
      </c>
      <c r="T298" s="19" t="n">
        <f aca="false">B277/B47-1</f>
        <v>0.233628226477935</v>
      </c>
      <c r="U298" s="19" t="n">
        <f aca="false">B298/MAX(B47:B298)-1</f>
        <v>-0.0040560398089704</v>
      </c>
      <c r="V298" s="17" t="n">
        <f aca="false">(B298-AVERAGE(B279:B298))/STDEV(B279:B298)</f>
        <v>1.27173992342194</v>
      </c>
    </row>
    <row r="299" customFormat="false" ht="15" hidden="false" customHeight="false" outlineLevel="0" collapsed="false">
      <c r="A299" s="17" t="s">
        <v>863</v>
      </c>
      <c r="B299" s="17" t="n">
        <v>5913.37</v>
      </c>
      <c r="C299" s="19" t="n">
        <f aca="false">B299/B298-1</f>
        <v>-0.00854080354642872</v>
      </c>
      <c r="D299" s="17" t="n">
        <f aca="false">AVERAGE(B250:B299)</f>
        <v>5849.6648</v>
      </c>
      <c r="E299" s="17" t="n">
        <f aca="false">AVERAGE(B100:B299)</f>
        <v>5467.10855</v>
      </c>
      <c r="F299" s="17" t="n">
        <f aca="false">B299*2/13+F298*11/13</f>
        <v>5917.73134039855</v>
      </c>
      <c r="G299" s="17" t="n">
        <f aca="false">B299*2/27+G298*25/27</f>
        <v>5892.34391476602</v>
      </c>
      <c r="H299" s="17" t="n">
        <f aca="false">F299-G299</f>
        <v>25.3874256325262</v>
      </c>
      <c r="I299" s="17" t="n">
        <f aca="false">H299*2/10+I298*8/10</f>
        <v>18.9032459739862</v>
      </c>
      <c r="J299" s="17" t="n">
        <f aca="false">H299-I299</f>
        <v>6.48417965853999</v>
      </c>
      <c r="K299" s="17" t="n">
        <f aca="false">MAX(B299-B298,0)</f>
        <v>0</v>
      </c>
      <c r="L299" s="17" t="n">
        <f aca="false">MAX(B298-B299,0)</f>
        <v>50.9400000000005</v>
      </c>
      <c r="M299" s="17" t="n">
        <f aca="false">(M298*13+K299)/14</f>
        <v>17.5953640108151</v>
      </c>
      <c r="N299" s="17" t="n">
        <f aca="false">(N298*13+L299)/14</f>
        <v>15.8591826188937</v>
      </c>
      <c r="O299" s="17" t="n">
        <f aca="false">IF(N299=0,100,100-100/(1+M299/N299))</f>
        <v>52.5948362282985</v>
      </c>
      <c r="P299" s="17" t="n">
        <f aca="false">AVERAGE(B280:B299)+2*STDEV(B280:B299)</f>
        <v>6013.68408071435</v>
      </c>
      <c r="Q299" s="17" t="n">
        <f aca="false">AVERAGE(B280:B299)-2*STDEV(B280:B299)</f>
        <v>5755.50191928565</v>
      </c>
      <c r="R299" s="19" t="n">
        <f aca="false">B299/B279-1</f>
        <v>0.0216267952503288</v>
      </c>
      <c r="S299" s="17" t="n">
        <f aca="false">STDEV(C280:C299)*SQRT(252)*100</f>
        <v>13.1767928453525</v>
      </c>
      <c r="T299" s="19" t="n">
        <f aca="false">B278/B48-1</f>
        <v>0.264410856256702</v>
      </c>
      <c r="U299" s="19" t="n">
        <f aca="false">B299/MAX(B48:B299)-1</f>
        <v>-0.0125622015162142</v>
      </c>
      <c r="V299" s="17" t="n">
        <f aca="false">(B299-AVERAGE(B280:B299))/STDEV(B280:B299)</f>
        <v>0.445840252335886</v>
      </c>
    </row>
    <row r="300" customFormat="false" ht="15" hidden="false" customHeight="false" outlineLevel="0" collapsed="false">
      <c r="A300" s="17" t="s">
        <v>864</v>
      </c>
      <c r="B300" s="17" t="n">
        <v>5980.53</v>
      </c>
      <c r="C300" s="19" t="n">
        <f aca="false">B300/B299-1</f>
        <v>0.0113573140189096</v>
      </c>
      <c r="D300" s="17" t="n">
        <f aca="false">AVERAGE(B251:B300)</f>
        <v>5856.215</v>
      </c>
      <c r="E300" s="17" t="n">
        <f aca="false">AVERAGE(B101:B300)</f>
        <v>5472.642</v>
      </c>
      <c r="F300" s="17" t="n">
        <f aca="false">B300*2/13+F299*11/13</f>
        <v>5927.39267264492</v>
      </c>
      <c r="G300" s="17" t="n">
        <f aca="false">B300*2/27+G299*25/27</f>
        <v>5898.87621737594</v>
      </c>
      <c r="H300" s="17" t="n">
        <f aca="false">F300-G300</f>
        <v>28.5164552689785</v>
      </c>
      <c r="I300" s="17" t="n">
        <f aca="false">H300*2/10+I299*8/10</f>
        <v>20.8258878329846</v>
      </c>
      <c r="J300" s="17" t="n">
        <f aca="false">H300-I300</f>
        <v>7.69056743599382</v>
      </c>
      <c r="K300" s="17" t="n">
        <f aca="false">MAX(B300-B299,0)</f>
        <v>67.1599999999999</v>
      </c>
      <c r="L300" s="17" t="n">
        <f aca="false">MAX(B299-B300,0)</f>
        <v>0</v>
      </c>
      <c r="M300" s="17" t="n">
        <f aca="false">(M299*13+K300)/14</f>
        <v>21.1356951528997</v>
      </c>
      <c r="N300" s="17" t="n">
        <f aca="false">(N299*13+L300)/14</f>
        <v>14.7263838604013</v>
      </c>
      <c r="O300" s="17" t="n">
        <f aca="false">IF(N300=0,100,100-100/(1+M300/N300))</f>
        <v>58.9360565098878</v>
      </c>
      <c r="P300" s="17" t="n">
        <f aca="false">AVERAGE(B281:B300)+2*STDEV(B281:B300)</f>
        <v>6025.36854919208</v>
      </c>
      <c r="Q300" s="17" t="n">
        <f aca="false">AVERAGE(B281:B300)-2*STDEV(B281:B300)</f>
        <v>5758.71745080792</v>
      </c>
      <c r="R300" s="19" t="n">
        <f aca="false">B300/B280-1</f>
        <v>0.025550755976562</v>
      </c>
      <c r="S300" s="17" t="n">
        <f aca="false">STDEV(C281:C300)*SQRT(252)*100</f>
        <v>13.493263035859</v>
      </c>
      <c r="T300" s="19" t="n">
        <f aca="false">B279/B49-1</f>
        <v>0.214819556525663</v>
      </c>
      <c r="U300" s="19" t="n">
        <f aca="false">B300/MAX(B49:B300)-1</f>
        <v>-0.00134756036469297</v>
      </c>
      <c r="V300" s="17" t="n">
        <f aca="false">(B300-AVERAGE(B281:B300))/STDEV(B281:B300)</f>
        <v>1.32738249399628</v>
      </c>
    </row>
    <row r="301" customFormat="false" ht="15" hidden="false" customHeight="false" outlineLevel="0" collapsed="false">
      <c r="A301" s="17" t="s">
        <v>865</v>
      </c>
      <c r="B301" s="17" t="n">
        <v>5995.64</v>
      </c>
      <c r="C301" s="19" t="n">
        <f aca="false">B301/B300-1</f>
        <v>0.00252653192944452</v>
      </c>
      <c r="D301" s="17" t="n">
        <f aca="false">AVERAGE(B252:B301)</f>
        <v>5863.1894</v>
      </c>
      <c r="E301" s="17" t="n">
        <f aca="false">AVERAGE(B102:B301)</f>
        <v>5478.3509</v>
      </c>
      <c r="F301" s="17" t="n">
        <f aca="false">B301*2/13+F300*11/13</f>
        <v>5937.89226146878</v>
      </c>
      <c r="G301" s="17" t="n">
        <f aca="false">B301*2/27+G300*25/27</f>
        <v>5906.04390497773</v>
      </c>
      <c r="H301" s="17" t="n">
        <f aca="false">F301-G301</f>
        <v>31.8483564910557</v>
      </c>
      <c r="I301" s="17" t="n">
        <f aca="false">H301*2/10+I300*8/10</f>
        <v>23.0303815645989</v>
      </c>
      <c r="J301" s="17" t="n">
        <f aca="false">H301-I301</f>
        <v>8.81797492645686</v>
      </c>
      <c r="K301" s="17" t="n">
        <f aca="false">MAX(B301-B300,0)</f>
        <v>15.1100000000006</v>
      </c>
      <c r="L301" s="17" t="n">
        <f aca="false">MAX(B300-B301,0)</f>
        <v>0</v>
      </c>
      <c r="M301" s="17" t="n">
        <f aca="false">(M300*13+K301)/14</f>
        <v>20.705288356264</v>
      </c>
      <c r="N301" s="17" t="n">
        <f aca="false">(N300*13+L301)/14</f>
        <v>13.6744992989441</v>
      </c>
      <c r="O301" s="17" t="n">
        <f aca="false">IF(N301=0,100,100-100/(1+M301/N301))</f>
        <v>60.2251781305795</v>
      </c>
      <c r="P301" s="17" t="n">
        <f aca="false">AVERAGE(B282:B301)+2*STDEV(B282:B301)</f>
        <v>6037.48333227986</v>
      </c>
      <c r="Q301" s="17" t="n">
        <f aca="false">AVERAGE(B282:B301)-2*STDEV(B282:B301)</f>
        <v>5755.34966772014</v>
      </c>
      <c r="R301" s="19" t="n">
        <f aca="false">B301/B281-1</f>
        <v>0.0148049226748723</v>
      </c>
      <c r="S301" s="17" t="n">
        <f aca="false">STDEV(C282:C301)*SQRT(252)*100</f>
        <v>12.7636396209502</v>
      </c>
      <c r="T301" s="19" t="n">
        <f aca="false">B280/B50-1</f>
        <v>0.234748086430863</v>
      </c>
      <c r="U301" s="19" t="n">
        <f aca="false">B301/MAX(B50:B301)-1</f>
        <v>0</v>
      </c>
      <c r="V301" s="17" t="n">
        <f aca="false">(B301-AVERAGE(B282:B301))/STDEV(B282:B301)</f>
        <v>1.40675874543143</v>
      </c>
    </row>
    <row r="302" customFormat="false" ht="15" hidden="false" customHeight="false" outlineLevel="0" collapsed="false">
      <c r="A302" s="17" t="s">
        <v>866</v>
      </c>
      <c r="B302" s="17" t="n">
        <v>6004.38</v>
      </c>
      <c r="C302" s="19" t="n">
        <f aca="false">B302/B301-1</f>
        <v>0.00145772594752192</v>
      </c>
      <c r="D302" s="17" t="n">
        <f aca="false">AVERAGE(B253:B302)</f>
        <v>5871.3378</v>
      </c>
      <c r="E302" s="17" t="n">
        <f aca="false">AVERAGE(B103:B302)</f>
        <v>5484.0227</v>
      </c>
      <c r="F302" s="17" t="n">
        <f aca="false">B302*2/13+F301*11/13</f>
        <v>5948.12114431974</v>
      </c>
      <c r="G302" s="17" t="n">
        <f aca="false">B302*2/27+G301*25/27</f>
        <v>5913.32806016456</v>
      </c>
      <c r="H302" s="17" t="n">
        <f aca="false">F302-G302</f>
        <v>34.793084155177</v>
      </c>
      <c r="I302" s="17" t="n">
        <f aca="false">H302*2/10+I301*8/10</f>
        <v>25.3829220827145</v>
      </c>
      <c r="J302" s="17" t="n">
        <f aca="false">H302-I302</f>
        <v>9.41016207246251</v>
      </c>
      <c r="K302" s="17" t="n">
        <f aca="false">MAX(B302-B301,0)</f>
        <v>8.73999999999978</v>
      </c>
      <c r="L302" s="17" t="n">
        <f aca="false">MAX(B301-B302,0)</f>
        <v>0</v>
      </c>
      <c r="M302" s="17" t="n">
        <f aca="false">(M301*13+K302)/14</f>
        <v>19.8506249022452</v>
      </c>
      <c r="N302" s="17" t="n">
        <f aca="false">(N301*13+L302)/14</f>
        <v>12.6977493490195</v>
      </c>
      <c r="O302" s="17" t="n">
        <f aca="false">IF(N302=0,100,100-100/(1+M302/N302))</f>
        <v>60.9880688632978</v>
      </c>
      <c r="P302" s="17" t="n">
        <f aca="false">AVERAGE(B283:B302)+2*STDEV(B283:B302)</f>
        <v>6050.34123847919</v>
      </c>
      <c r="Q302" s="17" t="n">
        <f aca="false">AVERAGE(B283:B302)-2*STDEV(B283:B302)</f>
        <v>5752.15676152081</v>
      </c>
      <c r="R302" s="19" t="n">
        <f aca="false">B302/B282-1</f>
        <v>0.0163599216619583</v>
      </c>
      <c r="S302" s="17" t="n">
        <f aca="false">STDEV(C283:C302)*SQRT(252)*100</f>
        <v>12.7618476079379</v>
      </c>
      <c r="T302" s="19" t="n">
        <f aca="false">B281/B51-1</f>
        <v>0.244857839976739</v>
      </c>
      <c r="U302" s="19" t="n">
        <f aca="false">B302/MAX(B51:B302)-1</f>
        <v>0</v>
      </c>
      <c r="V302" s="17" t="n">
        <f aca="false">(B302-AVERAGE(B283:B302))/STDEV(B283:B302)</f>
        <v>1.38345229841582</v>
      </c>
    </row>
    <row r="303" customFormat="false" ht="15" hidden="false" customHeight="false" outlineLevel="0" collapsed="false">
      <c r="A303" s="17" t="s">
        <v>867</v>
      </c>
      <c r="B303" s="17" t="n">
        <v>5968.82</v>
      </c>
      <c r="C303" s="19" t="n">
        <f aca="false">B303/B302-1</f>
        <v>-0.00592234335601682</v>
      </c>
      <c r="D303" s="17" t="n">
        <f aca="false">AVERAGE(B254:B303)</f>
        <v>5877.7378</v>
      </c>
      <c r="E303" s="17" t="n">
        <f aca="false">AVERAGE(B104:B303)</f>
        <v>5489.5817</v>
      </c>
      <c r="F303" s="17" t="n">
        <f aca="false">B303*2/13+F302*11/13</f>
        <v>5951.30558365516</v>
      </c>
      <c r="G303" s="17" t="n">
        <f aca="false">B303*2/27+G302*25/27</f>
        <v>5917.43857422644</v>
      </c>
      <c r="H303" s="17" t="n">
        <f aca="false">F303-G303</f>
        <v>33.8670094287181</v>
      </c>
      <c r="I303" s="17" t="n">
        <f aca="false">H303*2/10+I302*8/10</f>
        <v>27.0797395519152</v>
      </c>
      <c r="J303" s="17" t="n">
        <f aca="false">H303-I303</f>
        <v>6.78726987680291</v>
      </c>
      <c r="K303" s="17" t="n">
        <f aca="false">MAX(B303-B302,0)</f>
        <v>0</v>
      </c>
      <c r="L303" s="17" t="n">
        <f aca="false">MAX(B302-B303,0)</f>
        <v>35.5600000000004</v>
      </c>
      <c r="M303" s="17" t="n">
        <f aca="false">(M302*13+K303)/14</f>
        <v>18.4327231235134</v>
      </c>
      <c r="N303" s="17" t="n">
        <f aca="false">(N302*13+L303)/14</f>
        <v>14.330767252661</v>
      </c>
      <c r="O303" s="17" t="n">
        <f aca="false">IF(N303=0,100,100-100/(1+M303/N303))</f>
        <v>56.2599494494569</v>
      </c>
      <c r="P303" s="17" t="n">
        <f aca="false">AVERAGE(B284:B303)+2*STDEV(B284:B303)</f>
        <v>6055.82841437604</v>
      </c>
      <c r="Q303" s="17" t="n">
        <f aca="false">AVERAGE(B284:B303)-2*STDEV(B284:B303)</f>
        <v>5751.80958562396</v>
      </c>
      <c r="R303" s="19" t="n">
        <f aca="false">B303/B283-1</f>
        <v>0.00868621798013325</v>
      </c>
      <c r="S303" s="17" t="n">
        <f aca="false">STDEV(C284:C303)*SQRT(252)*100</f>
        <v>12.9796248153034</v>
      </c>
      <c r="T303" s="19" t="n">
        <f aca="false">B282/B52-1</f>
        <v>0.225695553849665</v>
      </c>
      <c r="U303" s="19" t="n">
        <f aca="false">B303/MAX(B52:B303)-1</f>
        <v>-0.00592234335601682</v>
      </c>
      <c r="V303" s="17" t="n">
        <f aca="false">(B303-AVERAGE(B284:B303))/STDEV(B284:B303)</f>
        <v>0.855223346090909</v>
      </c>
    </row>
    <row r="304" customFormat="false" ht="15" hidden="false" customHeight="false" outlineLevel="0" collapsed="false">
      <c r="A304" s="17" t="s">
        <v>868</v>
      </c>
      <c r="B304" s="17" t="n">
        <v>5988</v>
      </c>
      <c r="C304" s="19" t="n">
        <f aca="false">B304/B303-1</f>
        <v>0.00321336545581885</v>
      </c>
      <c r="D304" s="17" t="n">
        <f aca="false">AVERAGE(B255:B304)</f>
        <v>5885.5398</v>
      </c>
      <c r="E304" s="17" t="n">
        <f aca="false">AVERAGE(B105:B304)</f>
        <v>5495.15565</v>
      </c>
      <c r="F304" s="17" t="n">
        <f aca="false">B304*2/13+F303*11/13</f>
        <v>5956.95087847745</v>
      </c>
      <c r="G304" s="17" t="n">
        <f aca="false">B304*2/27+G303*25/27</f>
        <v>5922.66534650597</v>
      </c>
      <c r="H304" s="17" t="n">
        <f aca="false">F304-G304</f>
        <v>34.285531971479</v>
      </c>
      <c r="I304" s="17" t="n">
        <f aca="false">H304*2/10+I303*8/10</f>
        <v>28.520898035828</v>
      </c>
      <c r="J304" s="17" t="n">
        <f aca="false">H304-I304</f>
        <v>5.76463393565106</v>
      </c>
      <c r="K304" s="17" t="n">
        <f aca="false">MAX(B304-B303,0)</f>
        <v>19.1800000000003</v>
      </c>
      <c r="L304" s="17" t="n">
        <f aca="false">MAX(B303-B304,0)</f>
        <v>0</v>
      </c>
      <c r="M304" s="17" t="n">
        <f aca="false">(M303*13+K304)/14</f>
        <v>18.4861000432624</v>
      </c>
      <c r="N304" s="17" t="n">
        <f aca="false">(N303*13+L304)/14</f>
        <v>13.307141020328</v>
      </c>
      <c r="O304" s="17" t="n">
        <f aca="false">IF(N304=0,100,100-100/(1+M304/N304))</f>
        <v>58.1447484586045</v>
      </c>
      <c r="P304" s="17" t="n">
        <f aca="false">AVERAGE(B285:B304)+2*STDEV(B285:B304)</f>
        <v>6060.98059024003</v>
      </c>
      <c r="Q304" s="17" t="n">
        <f aca="false">AVERAGE(B285:B304)-2*STDEV(B285:B304)</f>
        <v>5765.82540975998</v>
      </c>
      <c r="R304" s="19" t="n">
        <f aca="false">B304/B284-1</f>
        <v>0.0330692577359428</v>
      </c>
      <c r="S304" s="17" t="n">
        <f aca="false">STDEV(C285:C304)*SQRT(252)*100</f>
        <v>10.3758017361728</v>
      </c>
      <c r="T304" s="19" t="n">
        <f aca="false">B283/B53-1</f>
        <v>0.228177374664024</v>
      </c>
      <c r="U304" s="19" t="n">
        <f aca="false">B304/MAX(B53:B304)-1</f>
        <v>-0.00272800855375577</v>
      </c>
      <c r="V304" s="17" t="n">
        <f aca="false">(B304-AVERAGE(B285:B304))/STDEV(B285:B304)</f>
        <v>1.01095294859704</v>
      </c>
    </row>
    <row r="305" customFormat="false" ht="15" hidden="false" customHeight="false" outlineLevel="0" collapsed="false">
      <c r="A305" s="17" t="s">
        <v>869</v>
      </c>
      <c r="B305" s="17" t="n">
        <v>5981.12</v>
      </c>
      <c r="C305" s="19" t="n">
        <f aca="false">B305/B304-1</f>
        <v>-0.00114896459585845</v>
      </c>
      <c r="D305" s="17" t="n">
        <f aca="false">AVERAGE(B256:B305)</f>
        <v>5892.0328</v>
      </c>
      <c r="E305" s="17" t="n">
        <f aca="false">AVERAGE(B106:B305)</f>
        <v>5501.0072</v>
      </c>
      <c r="F305" s="17" t="n">
        <f aca="false">B305*2/13+F304*11/13</f>
        <v>5960.66920486553</v>
      </c>
      <c r="G305" s="17" t="n">
        <f aca="false">B305*2/27+G304*25/27</f>
        <v>5926.99532083886</v>
      </c>
      <c r="H305" s="17" t="n">
        <f aca="false">F305-G305</f>
        <v>33.6738840266717</v>
      </c>
      <c r="I305" s="17" t="n">
        <f aca="false">H305*2/10+I304*8/10</f>
        <v>29.5514952339967</v>
      </c>
      <c r="J305" s="17" t="n">
        <f aca="false">H305-I305</f>
        <v>4.12238879267495</v>
      </c>
      <c r="K305" s="17" t="n">
        <f aca="false">MAX(B305-B304,0)</f>
        <v>0</v>
      </c>
      <c r="L305" s="17" t="n">
        <f aca="false">MAX(B304-B305,0)</f>
        <v>6.88000000000011</v>
      </c>
      <c r="M305" s="17" t="n">
        <f aca="false">(M304*13+K305)/14</f>
        <v>17.1656643258865</v>
      </c>
      <c r="N305" s="17" t="n">
        <f aca="false">(N304*13+L305)/14</f>
        <v>12.8480595188761</v>
      </c>
      <c r="O305" s="17" t="n">
        <f aca="false">IF(N305=0,100,100-100/(1+M305/N305))</f>
        <v>57.1927176203494</v>
      </c>
      <c r="P305" s="17" t="n">
        <f aca="false">AVERAGE(B286:B305)+2*STDEV(B286:B305)</f>
        <v>6061.49503917839</v>
      </c>
      <c r="Q305" s="17" t="n">
        <f aca="false">AVERAGE(B286:B305)-2*STDEV(B286:B305)</f>
        <v>5784.33196082161</v>
      </c>
      <c r="R305" s="19" t="n">
        <f aca="false">B305/B285-1</f>
        <v>0.0328463056756192</v>
      </c>
      <c r="S305" s="17" t="n">
        <f aca="false">STDEV(C286:C305)*SQRT(252)*100</f>
        <v>10.3831966799684</v>
      </c>
      <c r="T305" s="19" t="n">
        <f aca="false">B284/B54-1</f>
        <v>0.208556172032518</v>
      </c>
      <c r="U305" s="19" t="n">
        <f aca="false">B305/MAX(B54:B305)-1</f>
        <v>-0.00387383876436875</v>
      </c>
      <c r="V305" s="17" t="n">
        <f aca="false">(B305-AVERAGE(B286:B305))/STDEV(B286:B305)</f>
        <v>0.840032523019838</v>
      </c>
    </row>
    <row r="306" customFormat="false" ht="15" hidden="false" customHeight="false" outlineLevel="0" collapsed="false">
      <c r="A306" s="17" t="s">
        <v>870</v>
      </c>
      <c r="B306" s="17" t="n">
        <v>5991.08</v>
      </c>
      <c r="C306" s="19" t="n">
        <f aca="false">B306/B305-1</f>
        <v>0.00166523995505852</v>
      </c>
      <c r="D306" s="17" t="n">
        <f aca="false">AVERAGE(B257:B306)</f>
        <v>5897.9714</v>
      </c>
      <c r="E306" s="17" t="n">
        <f aca="false">AVERAGE(B107:B306)</f>
        <v>5507.2921</v>
      </c>
      <c r="F306" s="17" t="n">
        <f aca="false">B306*2/13+F305*11/13</f>
        <v>5965.34778873237</v>
      </c>
      <c r="G306" s="17" t="n">
        <f aca="false">B306*2/27+G305*25/27</f>
        <v>5931.74233411005</v>
      </c>
      <c r="H306" s="17" t="n">
        <f aca="false">F306-G306</f>
        <v>33.6054546223186</v>
      </c>
      <c r="I306" s="17" t="n">
        <f aca="false">H306*2/10+I305*8/10</f>
        <v>30.3622871116611</v>
      </c>
      <c r="J306" s="17" t="n">
        <f aca="false">H306-I306</f>
        <v>3.24316751065749</v>
      </c>
      <c r="K306" s="17" t="n">
        <f aca="false">MAX(B306-B305,0)</f>
        <v>9.96000000000004</v>
      </c>
      <c r="L306" s="17" t="n">
        <f aca="false">MAX(B305-B306,0)</f>
        <v>0</v>
      </c>
      <c r="M306" s="17" t="n">
        <f aca="false">(M305*13+K306)/14</f>
        <v>16.6509740168947</v>
      </c>
      <c r="N306" s="17" t="n">
        <f aca="false">(N305*13+L306)/14</f>
        <v>11.9303409818135</v>
      </c>
      <c r="O306" s="17" t="n">
        <f aca="false">IF(N306=0,100,100-100/(1+M306/N306))</f>
        <v>58.2582502507225</v>
      </c>
      <c r="P306" s="17" t="n">
        <f aca="false">AVERAGE(B287:B306)+2*STDEV(B287:B306)</f>
        <v>6058.94746482686</v>
      </c>
      <c r="Q306" s="17" t="n">
        <f aca="false">AVERAGE(B287:B306)-2*STDEV(B287:B306)</f>
        <v>5807.33353517314</v>
      </c>
      <c r="R306" s="19" t="n">
        <f aca="false">B306/B286-1</f>
        <v>0.0353475479301966</v>
      </c>
      <c r="S306" s="17" t="n">
        <f aca="false">STDEV(C287:C306)*SQRT(252)*100</f>
        <v>10.3447134158804</v>
      </c>
      <c r="T306" s="19" t="n">
        <f aca="false">B285/B55-1</f>
        <v>0.205129005539809</v>
      </c>
      <c r="U306" s="19" t="n">
        <f aca="false">B306/MAX(B55:B306)-1</f>
        <v>-0.00221504968039998</v>
      </c>
      <c r="V306" s="17" t="n">
        <f aca="false">(B306-AVERAGE(B287:B306))/STDEV(B287:B306)</f>
        <v>0.921085729708807</v>
      </c>
    </row>
    <row r="307" customFormat="false" ht="15" hidden="false" customHeight="false" outlineLevel="0" collapsed="false">
      <c r="A307" s="17" t="s">
        <v>871</v>
      </c>
      <c r="B307" s="17" t="n">
        <v>5973.61</v>
      </c>
      <c r="C307" s="19" t="n">
        <f aca="false">B307/B306-1</f>
        <v>-0.00291600178932683</v>
      </c>
      <c r="D307" s="17" t="n">
        <f aca="false">AVERAGE(B258:B307)</f>
        <v>5903.2476</v>
      </c>
      <c r="E307" s="17" t="n">
        <f aca="false">AVERAGE(B108:B307)</f>
        <v>5513.4633</v>
      </c>
      <c r="F307" s="17" t="n">
        <f aca="false">B307*2/13+F306*11/13</f>
        <v>5966.61889815816</v>
      </c>
      <c r="G307" s="17" t="n">
        <f aca="false">B307*2/27+G306*25/27</f>
        <v>5934.84364269449</v>
      </c>
      <c r="H307" s="17" t="n">
        <f aca="false">F307-G307</f>
        <v>31.7752554636672</v>
      </c>
      <c r="I307" s="17" t="n">
        <f aca="false">H307*2/10+I306*8/10</f>
        <v>30.6448807820623</v>
      </c>
      <c r="J307" s="17" t="n">
        <f aca="false">H307-I307</f>
        <v>1.13037468160492</v>
      </c>
      <c r="K307" s="17" t="n">
        <f aca="false">MAX(B307-B306,0)</f>
        <v>0</v>
      </c>
      <c r="L307" s="17" t="n">
        <f aca="false">MAX(B306-B307,0)</f>
        <v>17.4700000000003</v>
      </c>
      <c r="M307" s="17" t="n">
        <f aca="false">(M306*13+K307)/14</f>
        <v>15.4616187299736</v>
      </c>
      <c r="N307" s="17" t="n">
        <f aca="false">(N306*13+L307)/14</f>
        <v>12.326030911684</v>
      </c>
      <c r="O307" s="17" t="n">
        <f aca="false">IF(N307=0,100,100-100/(1+M307/N307))</f>
        <v>55.6420529600837</v>
      </c>
      <c r="P307" s="17" t="n">
        <f aca="false">AVERAGE(B288:B307)+2*STDEV(B288:B307)</f>
        <v>6061.90109548321</v>
      </c>
      <c r="Q307" s="17" t="n">
        <f aca="false">AVERAGE(B288:B307)-2*STDEV(B288:B307)</f>
        <v>5814.40790451679</v>
      </c>
      <c r="R307" s="19" t="n">
        <f aca="false">B307/B287-1</f>
        <v>0.017073789485692</v>
      </c>
      <c r="S307" s="17" t="n">
        <f aca="false">STDEV(C288:C307)*SQRT(252)*100</f>
        <v>9.19415462385721</v>
      </c>
      <c r="T307" s="19" t="n">
        <f aca="false">B286/B56-1</f>
        <v>0.192179242853464</v>
      </c>
      <c r="U307" s="19" t="n">
        <f aca="false">B307/MAX(B56:B307)-1</f>
        <v>-0.00512459238089535</v>
      </c>
      <c r="V307" s="17" t="n">
        <f aca="false">(B307-AVERAGE(B288:B307))/STDEV(B288:B307)</f>
        <v>0.573033946696526</v>
      </c>
    </row>
    <row r="308" customFormat="false" ht="15" hidden="false" customHeight="false" outlineLevel="0" collapsed="false">
      <c r="A308" s="17" t="s">
        <v>872</v>
      </c>
      <c r="B308" s="17" t="n">
        <v>5934.91</v>
      </c>
      <c r="C308" s="19" t="n">
        <f aca="false">B308/B307-1</f>
        <v>-0.00647849457865513</v>
      </c>
      <c r="D308" s="17" t="n">
        <f aca="false">AVERAGE(B259:B308)</f>
        <v>5906.3668</v>
      </c>
      <c r="E308" s="17" t="n">
        <f aca="false">AVERAGE(B109:B308)</f>
        <v>5519.24715</v>
      </c>
      <c r="F308" s="17" t="n">
        <f aca="false">B308*2/13+F307*11/13</f>
        <v>5961.74060613383</v>
      </c>
      <c r="G308" s="17" t="n">
        <f aca="false">B308*2/27+G307*25/27</f>
        <v>5934.84855805046</v>
      </c>
      <c r="H308" s="17" t="n">
        <f aca="false">F308-G308</f>
        <v>26.8920480833713</v>
      </c>
      <c r="I308" s="17" t="n">
        <f aca="false">H308*2/10+I307*8/10</f>
        <v>29.8943142423241</v>
      </c>
      <c r="J308" s="17" t="n">
        <f aca="false">H308-I308</f>
        <v>-3.00226615895284</v>
      </c>
      <c r="K308" s="17" t="n">
        <f aca="false">MAX(B308-B307,0)</f>
        <v>0</v>
      </c>
      <c r="L308" s="17" t="n">
        <f aca="false">MAX(B307-B308,0)</f>
        <v>38.6999999999998</v>
      </c>
      <c r="M308" s="17" t="n">
        <f aca="false">(M307*13+K308)/14</f>
        <v>14.3572173921184</v>
      </c>
      <c r="N308" s="17" t="n">
        <f aca="false">(N307*13+L308)/14</f>
        <v>14.2098858465637</v>
      </c>
      <c r="O308" s="17" t="n">
        <f aca="false">IF(N308=0,100,100-100/(1+M308/N308))</f>
        <v>50.2578692426805</v>
      </c>
      <c r="P308" s="17" t="n">
        <f aca="false">AVERAGE(B289:B308)+2*STDEV(B289:B308)</f>
        <v>6059.23854137769</v>
      </c>
      <c r="Q308" s="17" t="n">
        <f aca="false">AVERAGE(B289:B308)-2*STDEV(B289:B308)</f>
        <v>5825.38345862231</v>
      </c>
      <c r="R308" s="19" t="n">
        <f aca="false">B308/B288-1</f>
        <v>0.0142059339209608</v>
      </c>
      <c r="S308" s="17" t="n">
        <f aca="false">STDEV(C289:C308)*SQRT(252)*100</f>
        <v>9.42890187920267</v>
      </c>
      <c r="T308" s="19" t="n">
        <f aca="false">B287/B57-1</f>
        <v>0.200756026953649</v>
      </c>
      <c r="U308" s="19" t="n">
        <f aca="false">B308/MAX(B57:B308)-1</f>
        <v>-0.0115698873155929</v>
      </c>
      <c r="V308" s="17" t="n">
        <f aca="false">(B308-AVERAGE(B289:B308))/STDEV(B289:B308)</f>
        <v>-0.126591219019883</v>
      </c>
    </row>
    <row r="309" customFormat="false" ht="15" hidden="false" customHeight="false" outlineLevel="0" collapsed="false">
      <c r="A309" s="17" t="s">
        <v>873</v>
      </c>
      <c r="B309" s="17" t="n">
        <v>5932.32</v>
      </c>
      <c r="C309" s="19" t="n">
        <f aca="false">B309/B308-1</f>
        <v>-0.000436400888977229</v>
      </c>
      <c r="D309" s="17" t="n">
        <f aca="false">AVERAGE(B260:B309)</f>
        <v>5909.146</v>
      </c>
      <c r="E309" s="17" t="n">
        <f aca="false">AVERAGE(B110:B309)</f>
        <v>5524.9654</v>
      </c>
      <c r="F309" s="17" t="n">
        <f aca="false">B309*2/13+F308*11/13</f>
        <v>5957.21435903632</v>
      </c>
      <c r="G309" s="17" t="n">
        <f aca="false">B309*2/27+G308*25/27</f>
        <v>5934.66125745413</v>
      </c>
      <c r="H309" s="17" t="n">
        <f aca="false">F309-G309</f>
        <v>22.5531015821889</v>
      </c>
      <c r="I309" s="17" t="n">
        <f aca="false">H309*2/10+I308*8/10</f>
        <v>28.4260717102971</v>
      </c>
      <c r="J309" s="17" t="n">
        <f aca="false">H309-I309</f>
        <v>-5.87297012810816</v>
      </c>
      <c r="K309" s="17" t="n">
        <f aca="false">MAX(B309-B308,0)</f>
        <v>0</v>
      </c>
      <c r="L309" s="17" t="n">
        <f aca="false">MAX(B308-B309,0)</f>
        <v>2.59000000000015</v>
      </c>
      <c r="M309" s="17" t="n">
        <f aca="false">(M308*13+K309)/14</f>
        <v>13.3317018641099</v>
      </c>
      <c r="N309" s="17" t="n">
        <f aca="false">(N308*13+L309)/14</f>
        <v>13.3798940003806</v>
      </c>
      <c r="O309" s="17" t="n">
        <f aca="false">IF(N309=0,100,100-100/(1+M309/N309))</f>
        <v>49.9097917314354</v>
      </c>
      <c r="P309" s="17" t="n">
        <f aca="false">AVERAGE(B290:B309)+2*STDEV(B290:B309)</f>
        <v>6052.76304579272</v>
      </c>
      <c r="Q309" s="17" t="n">
        <f aca="false">AVERAGE(B290:B309)-2*STDEV(B290:B309)</f>
        <v>5841.64695420728</v>
      </c>
      <c r="R309" s="19" t="n">
        <f aca="false">B309/B289-1</f>
        <v>0.0167762458779248</v>
      </c>
      <c r="S309" s="17" t="n">
        <f aca="false">STDEV(C290:C309)*SQRT(252)*100</f>
        <v>9.34015038065311</v>
      </c>
      <c r="T309" s="19" t="n">
        <f aca="false">B288/B58-1</f>
        <v>0.204340068039951</v>
      </c>
      <c r="U309" s="19" t="n">
        <f aca="false">B309/MAX(B58:B309)-1</f>
        <v>-0.0120012390954604</v>
      </c>
      <c r="V309" s="17" t="n">
        <f aca="false">(B309-AVERAGE(B290:B309))/STDEV(B290:B309)</f>
        <v>-0.282024925494142</v>
      </c>
    </row>
    <row r="310" customFormat="false" ht="15" hidden="false" customHeight="false" outlineLevel="0" collapsed="false">
      <c r="A310" s="17" t="s">
        <v>874</v>
      </c>
      <c r="B310" s="17" t="n">
        <v>5867.35</v>
      </c>
      <c r="C310" s="19" t="n">
        <f aca="false">B310/B309-1</f>
        <v>-0.010951870431804</v>
      </c>
      <c r="D310" s="17" t="n">
        <f aca="false">AVERAGE(B261:B310)</f>
        <v>5909.7314</v>
      </c>
      <c r="E310" s="17" t="n">
        <f aca="false">AVERAGE(B111:B310)</f>
        <v>5530.04245</v>
      </c>
      <c r="F310" s="17" t="n">
        <f aca="false">B310*2/13+F309*11/13</f>
        <v>5943.38907303073</v>
      </c>
      <c r="G310" s="17" t="n">
        <f aca="false">B310*2/27+G309*25/27</f>
        <v>5929.67523838345</v>
      </c>
      <c r="H310" s="17" t="n">
        <f aca="false">F310-G310</f>
        <v>13.7138346472775</v>
      </c>
      <c r="I310" s="17" t="n">
        <f aca="false">H310*2/10+I309*8/10</f>
        <v>25.4836242976932</v>
      </c>
      <c r="J310" s="17" t="n">
        <f aca="false">H310-I310</f>
        <v>-11.7697896504156</v>
      </c>
      <c r="K310" s="17" t="n">
        <f aca="false">MAX(B310-B309,0)</f>
        <v>0</v>
      </c>
      <c r="L310" s="17" t="n">
        <f aca="false">MAX(B309-B310,0)</f>
        <v>64.9699999999994</v>
      </c>
      <c r="M310" s="17" t="n">
        <f aca="false">(M309*13+K310)/14</f>
        <v>12.3794374452449</v>
      </c>
      <c r="N310" s="17" t="n">
        <f aca="false">(N309*13+L310)/14</f>
        <v>17.0649015717819</v>
      </c>
      <c r="O310" s="17" t="n">
        <f aca="false">IF(N310=0,100,100-100/(1+M310/N310))</f>
        <v>42.043522994645</v>
      </c>
      <c r="P310" s="17" t="n">
        <f aca="false">AVERAGE(B291:B310)+2*STDEV(B291:B310)</f>
        <v>6045.31806791509</v>
      </c>
      <c r="Q310" s="17" t="n">
        <f aca="false">AVERAGE(B291:B310)-2*STDEV(B291:B310)</f>
        <v>5853.57393208491</v>
      </c>
      <c r="R310" s="19" t="n">
        <f aca="false">B310/B290-1</f>
        <v>0.00769768468346244</v>
      </c>
      <c r="S310" s="17" t="n">
        <f aca="false">STDEV(C291:C310)*SQRT(252)*100</f>
        <v>10.2016332434295</v>
      </c>
      <c r="T310" s="19" t="n">
        <f aca="false">B289/B59-1</f>
        <v>0.211175856363799</v>
      </c>
      <c r="U310" s="19" t="n">
        <f aca="false">B310/MAX(B59:B310)-1</f>
        <v>-0.0228216735116698</v>
      </c>
      <c r="V310" s="17" t="n">
        <f aca="false">(B310-AVERAGE(B291:B310))/STDEV(B291:B310)</f>
        <v>-1.71261560922433</v>
      </c>
    </row>
    <row r="311" customFormat="false" ht="15" hidden="false" customHeight="false" outlineLevel="0" collapsed="false">
      <c r="A311" s="17" t="s">
        <v>875</v>
      </c>
      <c r="B311" s="17" t="n">
        <v>5881.34</v>
      </c>
      <c r="C311" s="19" t="n">
        <f aca="false">B311/B310-1</f>
        <v>0.00238438136467045</v>
      </c>
      <c r="D311" s="17" t="n">
        <f aca="false">AVERAGE(B262:B311)</f>
        <v>5910.5634</v>
      </c>
      <c r="E311" s="17" t="n">
        <f aca="false">AVERAGE(B112:B311)</f>
        <v>5535.1532</v>
      </c>
      <c r="F311" s="17" t="n">
        <f aca="false">B311*2/13+F310*11/13</f>
        <v>5933.84306179523</v>
      </c>
      <c r="G311" s="17" t="n">
        <f aca="false">B311*2/27+G310*25/27</f>
        <v>5926.09485035505</v>
      </c>
      <c r="H311" s="17" t="n">
        <f aca="false">F311-G311</f>
        <v>7.74821144018461</v>
      </c>
      <c r="I311" s="17" t="n">
        <f aca="false">H311*2/10+I310*8/10</f>
        <v>21.9365417261914</v>
      </c>
      <c r="J311" s="17" t="n">
        <f aca="false">H311-I311</f>
        <v>-14.1883302860068</v>
      </c>
      <c r="K311" s="17" t="n">
        <f aca="false">MAX(B311-B310,0)</f>
        <v>13.9899999999998</v>
      </c>
      <c r="L311" s="17" t="n">
        <f aca="false">MAX(B310-B311,0)</f>
        <v>0</v>
      </c>
      <c r="M311" s="17" t="n">
        <f aca="false">(M310*13+K311)/14</f>
        <v>12.4944776277274</v>
      </c>
      <c r="N311" s="17" t="n">
        <f aca="false">(N310*13+L311)/14</f>
        <v>15.8459800309403</v>
      </c>
      <c r="O311" s="17" t="n">
        <f aca="false">IF(N311=0,100,100-100/(1+M311/N311))</f>
        <v>44.0870707813219</v>
      </c>
      <c r="P311" s="17" t="n">
        <f aca="false">AVERAGE(B292:B311)+2*STDEV(B292:B311)</f>
        <v>6038.42625947735</v>
      </c>
      <c r="Q311" s="17" t="n">
        <f aca="false">AVERAGE(B292:B311)-2*STDEV(B292:B311)</f>
        <v>5864.79174052265</v>
      </c>
      <c r="R311" s="19" t="n">
        <f aca="false">B311/B291-1</f>
        <v>0.00740997040122782</v>
      </c>
      <c r="S311" s="17" t="n">
        <f aca="false">STDEV(C292:C311)*SQRT(252)*100</f>
        <v>10.1936965730302</v>
      </c>
      <c r="T311" s="19" t="n">
        <f aca="false">B290/B60-1</f>
        <v>0.196399621099264</v>
      </c>
      <c r="U311" s="19" t="n">
        <f aca="false">B311/MAX(B60:B311)-1</f>
        <v>-0.0204917077200311</v>
      </c>
      <c r="V311" s="17" t="n">
        <f aca="false">(B311-AVERAGE(B292:B311))/STDEV(B292:B311)</f>
        <v>-1.61877950128869</v>
      </c>
    </row>
    <row r="312" customFormat="false" ht="15" hidden="false" customHeight="false" outlineLevel="0" collapsed="false">
      <c r="A312" s="17" t="s">
        <v>876</v>
      </c>
      <c r="B312" s="17" t="n">
        <v>5937.79</v>
      </c>
      <c r="C312" s="19" t="n">
        <f aca="false">B312/B311-1</f>
        <v>0.00959815280191245</v>
      </c>
      <c r="D312" s="17" t="n">
        <f aca="false">AVERAGE(B263:B312)</f>
        <v>5911.7172</v>
      </c>
      <c r="E312" s="17" t="n">
        <f aca="false">AVERAGE(B113:B312)</f>
        <v>5540.36265</v>
      </c>
      <c r="F312" s="17" t="n">
        <f aca="false">B312*2/13+F311*11/13</f>
        <v>5934.45028305751</v>
      </c>
      <c r="G312" s="17" t="n">
        <f aca="false">B312*2/27+G311*25/27</f>
        <v>5926.96115773616</v>
      </c>
      <c r="H312" s="17" t="n">
        <f aca="false">F312-G312</f>
        <v>7.48912532134909</v>
      </c>
      <c r="I312" s="17" t="n">
        <f aca="false">H312*2/10+I311*8/10</f>
        <v>19.047058445223</v>
      </c>
      <c r="J312" s="17" t="n">
        <f aca="false">H312-I312</f>
        <v>-11.5579331238739</v>
      </c>
      <c r="K312" s="17" t="n">
        <f aca="false">MAX(B312-B311,0)</f>
        <v>56.4499999999998</v>
      </c>
      <c r="L312" s="17" t="n">
        <f aca="false">MAX(B311-B312,0)</f>
        <v>0</v>
      </c>
      <c r="M312" s="17" t="n">
        <f aca="false">(M311*13+K312)/14</f>
        <v>15.6341577971754</v>
      </c>
      <c r="N312" s="17" t="n">
        <f aca="false">(N311*13+L312)/14</f>
        <v>14.7141243144446</v>
      </c>
      <c r="O312" s="17" t="n">
        <f aca="false">IF(N312=0,100,100-100/(1+M312/N312))</f>
        <v>51.515791700082</v>
      </c>
      <c r="P312" s="17" t="n">
        <f aca="false">AVERAGE(B293:B312)+2*STDEV(B293:B312)</f>
        <v>6031.75901893587</v>
      </c>
      <c r="Q312" s="17" t="n">
        <f aca="false">AVERAGE(B293:B312)-2*STDEV(B293:B312)</f>
        <v>5879.02398106413</v>
      </c>
      <c r="R312" s="19" t="n">
        <f aca="false">B312/B292-1</f>
        <v>0.0129048436236596</v>
      </c>
      <c r="S312" s="17" t="n">
        <f aca="false">STDEV(C293:C312)*SQRT(252)*100</f>
        <v>10.6354898599023</v>
      </c>
      <c r="T312" s="19" t="n">
        <f aca="false">B291/B61-1</f>
        <v>0.197488549352138</v>
      </c>
      <c r="U312" s="19" t="n">
        <f aca="false">B312/MAX(B61:B312)-1</f>
        <v>-0.0110902374599876</v>
      </c>
      <c r="V312" s="17" t="n">
        <f aca="false">(B312-AVERAGE(B293:B312))/STDEV(B293:B312)</f>
        <v>-0.460968229563143</v>
      </c>
    </row>
    <row r="313" customFormat="false" ht="15" hidden="false" customHeight="false" outlineLevel="0" collapsed="false">
      <c r="A313" s="17" t="s">
        <v>877</v>
      </c>
      <c r="B313" s="17" t="n">
        <v>5933.07</v>
      </c>
      <c r="C313" s="19" t="n">
        <f aca="false">B313/B312-1</f>
        <v>-0.000794908543414352</v>
      </c>
      <c r="D313" s="17" t="n">
        <f aca="false">AVERAGE(B264:B313)</f>
        <v>5912.0554</v>
      </c>
      <c r="E313" s="17" t="n">
        <f aca="false">AVERAGE(B114:B313)</f>
        <v>5545.6565</v>
      </c>
      <c r="F313" s="17" t="n">
        <f aca="false">B313*2/13+F312*11/13</f>
        <v>5934.23793181789</v>
      </c>
      <c r="G313" s="17" t="n">
        <f aca="false">B313*2/27+G312*25/27</f>
        <v>5927.41366457051</v>
      </c>
      <c r="H313" s="17" t="n">
        <f aca="false">F313-G313</f>
        <v>6.82426724737434</v>
      </c>
      <c r="I313" s="17" t="n">
        <f aca="false">H313*2/10+I312*8/10</f>
        <v>16.6025002056532</v>
      </c>
      <c r="J313" s="17" t="n">
        <f aca="false">H313-I313</f>
        <v>-9.77823295827891</v>
      </c>
      <c r="K313" s="17" t="n">
        <f aca="false">MAX(B313-B312,0)</f>
        <v>0</v>
      </c>
      <c r="L313" s="17" t="n">
        <f aca="false">MAX(B312-B313,0)</f>
        <v>4.72000000000026</v>
      </c>
      <c r="M313" s="17" t="n">
        <f aca="false">(M312*13+K313)/14</f>
        <v>14.5174322402343</v>
      </c>
      <c r="N313" s="17" t="n">
        <f aca="false">(N312*13+L313)/14</f>
        <v>14.0002582919843</v>
      </c>
      <c r="O313" s="17" t="n">
        <f aca="false">IF(N313=0,100,100-100/(1+M313/N313))</f>
        <v>50.9067598718517</v>
      </c>
      <c r="P313" s="17" t="n">
        <f aca="false">AVERAGE(B294:B313)+2*STDEV(B294:B313)</f>
        <v>6031.75701546372</v>
      </c>
      <c r="Q313" s="17" t="n">
        <f aca="false">AVERAGE(B294:B313)-2*STDEV(B294:B313)</f>
        <v>5879.04298453628</v>
      </c>
      <c r="R313" s="19" t="n">
        <f aca="false">B313/B293-1</f>
        <v>2.86537780849194E-005</v>
      </c>
      <c r="S313" s="17" t="n">
        <f aca="false">STDEV(C294:C313)*SQRT(252)*100</f>
        <v>9.74867016428975</v>
      </c>
      <c r="T313" s="19" t="n">
        <f aca="false">B292/B62-1</f>
        <v>0.211611516441725</v>
      </c>
      <c r="U313" s="19" t="n">
        <f aca="false">B313/MAX(B62:B313)-1</f>
        <v>-0.0118763302788965</v>
      </c>
      <c r="V313" s="17" t="n">
        <f aca="false">(B313-AVERAGE(B294:B313))/STDEV(B294:B313)</f>
        <v>-0.58488404410229</v>
      </c>
    </row>
    <row r="314" customFormat="false" ht="15" hidden="false" customHeight="false" outlineLevel="0" collapsed="false">
      <c r="A314" s="17" t="s">
        <v>878</v>
      </c>
      <c r="B314" s="17" t="n">
        <v>5979.3</v>
      </c>
      <c r="C314" s="19" t="n">
        <f aca="false">B314/B313-1</f>
        <v>0.00779191885482566</v>
      </c>
      <c r="D314" s="17" t="n">
        <f aca="false">AVERAGE(B265:B314)</f>
        <v>5913.217</v>
      </c>
      <c r="E314" s="17" t="n">
        <f aca="false">AVERAGE(B115:B314)</f>
        <v>5550.8738</v>
      </c>
      <c r="F314" s="17" t="n">
        <f aca="false">B314*2/13+F313*11/13</f>
        <v>5941.17055769206</v>
      </c>
      <c r="G314" s="17" t="n">
        <f aca="false">B314*2/27+G313*25/27</f>
        <v>5931.25709682455</v>
      </c>
      <c r="H314" s="17" t="n">
        <f aca="false">F314-G314</f>
        <v>9.91346086750946</v>
      </c>
      <c r="I314" s="17" t="n">
        <f aca="false">H314*2/10+I313*8/10</f>
        <v>15.2646923380245</v>
      </c>
      <c r="J314" s="17" t="n">
        <f aca="false">H314-I314</f>
        <v>-5.35123147051503</v>
      </c>
      <c r="K314" s="17" t="n">
        <f aca="false">MAX(B314-B313,0)</f>
        <v>46.2300000000005</v>
      </c>
      <c r="L314" s="17" t="n">
        <f aca="false">MAX(B313-B314,0)</f>
        <v>0</v>
      </c>
      <c r="M314" s="17" t="n">
        <f aca="false">(M313*13+K314)/14</f>
        <v>16.7826156516462</v>
      </c>
      <c r="N314" s="17" t="n">
        <f aca="false">(N313*13+L314)/14</f>
        <v>13.0002398425568</v>
      </c>
      <c r="O314" s="17" t="n">
        <f aca="false">IF(N314=0,100,100-100/(1+M314/N314))</f>
        <v>56.3499213663807</v>
      </c>
      <c r="P314" s="17" t="n">
        <f aca="false">AVERAGE(B295:B314)+2*STDEV(B295:B314)</f>
        <v>6030.55039261288</v>
      </c>
      <c r="Q314" s="17" t="n">
        <f aca="false">AVERAGE(B295:B314)-2*STDEV(B295:B314)</f>
        <v>5879.31960738712</v>
      </c>
      <c r="R314" s="19" t="n">
        <f aca="false">B314/B294-1</f>
        <v>-0.00155295060615168</v>
      </c>
      <c r="S314" s="17" t="n">
        <f aca="false">STDEV(C295:C314)*SQRT(252)*100</f>
        <v>9.55982319645837</v>
      </c>
      <c r="T314" s="19" t="n">
        <f aca="false">B293/B63-1</f>
        <v>0.216830403839449</v>
      </c>
      <c r="U314" s="19" t="n">
        <f aca="false">B314/MAX(B63:B314)-1</f>
        <v>-0.00417695082589709</v>
      </c>
      <c r="V314" s="17" t="n">
        <f aca="false">(B314-AVERAGE(B295:B314))/STDEV(B295:B314)</f>
        <v>0.644445506611056</v>
      </c>
    </row>
    <row r="315" customFormat="false" ht="15" hidden="false" customHeight="false" outlineLevel="0" collapsed="false">
      <c r="A315" s="17" t="s">
        <v>879</v>
      </c>
      <c r="B315" s="17" t="n">
        <v>5981.92</v>
      </c>
      <c r="C315" s="19" t="n">
        <f aca="false">B315/B314-1</f>
        <v>0.00043817838208482</v>
      </c>
      <c r="D315" s="17" t="n">
        <f aca="false">AVERAGE(B266:B315)</f>
        <v>5914.4248</v>
      </c>
      <c r="E315" s="17" t="n">
        <f aca="false">AVERAGE(B116:B315)</f>
        <v>5556.1773</v>
      </c>
      <c r="F315" s="17" t="n">
        <f aca="false">B315*2/13+F314*11/13</f>
        <v>5947.43970266251</v>
      </c>
      <c r="G315" s="17" t="n">
        <f aca="false">B315*2/27+G314*25/27</f>
        <v>5935.00990446718</v>
      </c>
      <c r="H315" s="17" t="n">
        <f aca="false">F315-G315</f>
        <v>12.429798195335</v>
      </c>
      <c r="I315" s="17" t="n">
        <f aca="false">H315*2/10+I314*8/10</f>
        <v>14.6977135094866</v>
      </c>
      <c r="J315" s="17" t="n">
        <f aca="false">H315-I315</f>
        <v>-2.26791531415157</v>
      </c>
      <c r="K315" s="17" t="n">
        <f aca="false">MAX(B315-B314,0)</f>
        <v>2.61999999999989</v>
      </c>
      <c r="L315" s="17" t="n">
        <f aca="false">MAX(B314-B315,0)</f>
        <v>0</v>
      </c>
      <c r="M315" s="17" t="n">
        <f aca="false">(M314*13+K315)/14</f>
        <v>15.7710002479572</v>
      </c>
      <c r="N315" s="17" t="n">
        <f aca="false">(N314*13+L315)/14</f>
        <v>12.0716512823742</v>
      </c>
      <c r="O315" s="17" t="n">
        <f aca="false">IF(N315=0,100,100-100/(1+M315/N315))</f>
        <v>56.6433129789254</v>
      </c>
      <c r="P315" s="17" t="n">
        <f aca="false">AVERAGE(B296:B315)+2*STDEV(B296:B315)</f>
        <v>6029.74816466059</v>
      </c>
      <c r="Q315" s="17" t="n">
        <f aca="false">AVERAGE(B296:B315)-2*STDEV(B296:B315)</f>
        <v>5879.52383533941</v>
      </c>
      <c r="R315" s="19" t="n">
        <f aca="false">B315/B295-1</f>
        <v>-0.000998680672689822</v>
      </c>
      <c r="S315" s="17" t="n">
        <f aca="false">STDEV(C296:C315)*SQRT(252)*100</f>
        <v>9.56141901925515</v>
      </c>
      <c r="T315" s="19" t="n">
        <f aca="false">B294/B64-1</f>
        <v>0.230543517793627</v>
      </c>
      <c r="U315" s="19" t="n">
        <f aca="false">B315/MAX(B64:B315)-1</f>
        <v>-0.00374060269336718</v>
      </c>
      <c r="V315" s="17" t="n">
        <f aca="false">(B315-AVERAGE(B296:B315))/STDEV(B296:B315)</f>
        <v>0.726486851318614</v>
      </c>
    </row>
    <row r="316" customFormat="false" ht="15" hidden="false" customHeight="false" outlineLevel="0" collapsed="false">
      <c r="A316" s="17" t="s">
        <v>880</v>
      </c>
      <c r="B316" s="17" t="n">
        <v>5995.06</v>
      </c>
      <c r="C316" s="19" t="n">
        <f aca="false">B316/B315-1</f>
        <v>0.00219661914569236</v>
      </c>
      <c r="D316" s="17" t="n">
        <f aca="false">AVERAGE(B267:B316)</f>
        <v>5915.4986</v>
      </c>
      <c r="E316" s="17" t="n">
        <f aca="false">AVERAGE(B117:B316)</f>
        <v>5561.48555</v>
      </c>
      <c r="F316" s="17" t="n">
        <f aca="false">B316*2/13+F315*11/13</f>
        <v>5954.7659022529</v>
      </c>
      <c r="G316" s="17" t="n">
        <f aca="false">B316*2/27+G315*25/27</f>
        <v>5939.45805969183</v>
      </c>
      <c r="H316" s="17" t="n">
        <f aca="false">F316-G316</f>
        <v>15.3078425610647</v>
      </c>
      <c r="I316" s="17" t="n">
        <f aca="false">H316*2/10+I315*8/10</f>
        <v>14.8197393198022</v>
      </c>
      <c r="J316" s="17" t="n">
        <f aca="false">H316-I316</f>
        <v>0.488103241262497</v>
      </c>
      <c r="K316" s="17" t="n">
        <f aca="false">MAX(B316-B315,0)</f>
        <v>13.1400000000003</v>
      </c>
      <c r="L316" s="17" t="n">
        <f aca="false">MAX(B315-B316,0)</f>
        <v>0</v>
      </c>
      <c r="M316" s="17" t="n">
        <f aca="false">(M315*13+K316)/14</f>
        <v>15.5830716588174</v>
      </c>
      <c r="N316" s="17" t="n">
        <f aca="false">(N315*13+L316)/14</f>
        <v>11.2093904764903</v>
      </c>
      <c r="O316" s="17" t="n">
        <f aca="false">IF(N316=0,100,100-100/(1+M316/N316))</f>
        <v>58.1621486674853</v>
      </c>
      <c r="P316" s="17" t="n">
        <f aca="false">AVERAGE(B297:B316)+2*STDEV(B297:B316)</f>
        <v>6034.19814987107</v>
      </c>
      <c r="Q316" s="17" t="n">
        <f aca="false">AVERAGE(B297:B316)-2*STDEV(B297:B316)</f>
        <v>5881.30685012893</v>
      </c>
      <c r="R316" s="19" t="n">
        <f aca="false">B316/B296-1</f>
        <v>0.0105061244991767</v>
      </c>
      <c r="S316" s="17" t="n">
        <f aca="false">STDEV(C297:C316)*SQRT(252)*100</f>
        <v>8.946353908826</v>
      </c>
      <c r="T316" s="19" t="n">
        <f aca="false">B295/B65-1</f>
        <v>0.232212566390985</v>
      </c>
      <c r="U316" s="19" t="n">
        <f aca="false">B316/MAX(B65:B316)-1</f>
        <v>-0.0015522002271674</v>
      </c>
      <c r="V316" s="17" t="n">
        <f aca="false">(B316-AVERAGE(B297:B316))/STDEV(B297:B316)</f>
        <v>0.976052922904578</v>
      </c>
    </row>
    <row r="317" customFormat="false" ht="15" hidden="false" customHeight="false" outlineLevel="0" collapsed="false">
      <c r="A317" s="17" t="s">
        <v>881</v>
      </c>
      <c r="B317" s="17" t="n">
        <v>5998.84</v>
      </c>
      <c r="C317" s="19" t="n">
        <f aca="false">B317/B316-1</f>
        <v>0.000630519127414964</v>
      </c>
      <c r="D317" s="17" t="n">
        <f aca="false">AVERAGE(B268:B317)</f>
        <v>5916.8624</v>
      </c>
      <c r="E317" s="17" t="n">
        <f aca="false">AVERAGE(B118:B317)</f>
        <v>5566.90545</v>
      </c>
      <c r="F317" s="17" t="n">
        <f aca="false">B317*2/13+F316*11/13</f>
        <v>5961.54653267553</v>
      </c>
      <c r="G317" s="17" t="n">
        <f aca="false">B317*2/27+G316*25/27</f>
        <v>5943.85672193688</v>
      </c>
      <c r="H317" s="17" t="n">
        <f aca="false">F317-G317</f>
        <v>17.6898107386469</v>
      </c>
      <c r="I317" s="17" t="n">
        <f aca="false">H317*2/10+I316*8/10</f>
        <v>15.3937536035712</v>
      </c>
      <c r="J317" s="17" t="n">
        <f aca="false">H317-I317</f>
        <v>2.29605713507573</v>
      </c>
      <c r="K317" s="17" t="n">
        <f aca="false">MAX(B317-B316,0)</f>
        <v>3.77999999999975</v>
      </c>
      <c r="L317" s="17" t="n">
        <f aca="false">MAX(B316-B317,0)</f>
        <v>0</v>
      </c>
      <c r="M317" s="17" t="n">
        <f aca="false">(M316*13+K317)/14</f>
        <v>14.739995111759</v>
      </c>
      <c r="N317" s="17" t="n">
        <f aca="false">(N316*13+L317)/14</f>
        <v>10.4087197281696</v>
      </c>
      <c r="O317" s="17" t="n">
        <f aca="false">IF(N317=0,100,100-100/(1+M317/N317))</f>
        <v>58.6113254914971</v>
      </c>
      <c r="P317" s="17" t="n">
        <f aca="false">AVERAGE(B298:B317)+2*STDEV(B298:B317)</f>
        <v>6038.66284088357</v>
      </c>
      <c r="Q317" s="17" t="n">
        <f aca="false">AVERAGE(B298:B317)-2*STDEV(B298:B317)</f>
        <v>5881.61315911643</v>
      </c>
      <c r="R317" s="19" t="n">
        <f aca="false">B317/B297-1</f>
        <v>0.00801696484533188</v>
      </c>
      <c r="S317" s="17" t="n">
        <f aca="false">STDEV(C298:C317)*SQRT(252)*100</f>
        <v>8.89529119673049</v>
      </c>
      <c r="T317" s="19" t="n">
        <f aca="false">B296/B66-1</f>
        <v>0.216284147404028</v>
      </c>
      <c r="U317" s="19" t="n">
        <f aca="false">B317/MAX(B66:B317)-1</f>
        <v>-0.000922659791685376</v>
      </c>
      <c r="V317" s="17" t="n">
        <f aca="false">(B317-AVERAGE(B298:B317))/STDEV(B298:B317)</f>
        <v>0.985726289019443</v>
      </c>
    </row>
    <row r="318" customFormat="false" ht="15" hidden="false" customHeight="false" outlineLevel="0" collapsed="false">
      <c r="A318" s="17" t="s">
        <v>882</v>
      </c>
      <c r="B318" s="17" t="n">
        <v>6057.14</v>
      </c>
      <c r="C318" s="19" t="n">
        <f aca="false">B318/B317-1</f>
        <v>0.0097185455854798</v>
      </c>
      <c r="D318" s="17" t="n">
        <f aca="false">AVERAGE(B269:B318)</f>
        <v>5918.9906</v>
      </c>
      <c r="E318" s="17" t="n">
        <f aca="false">AVERAGE(B119:B318)</f>
        <v>5572.5169</v>
      </c>
      <c r="F318" s="17" t="n">
        <f aca="false">B318*2/13+F317*11/13</f>
        <v>5976.25321995621</v>
      </c>
      <c r="G318" s="17" t="n">
        <f aca="false">B318*2/27+G317*25/27</f>
        <v>5952.24807586748</v>
      </c>
      <c r="H318" s="17" t="n">
        <f aca="false">F318-G318</f>
        <v>24.0051440887328</v>
      </c>
      <c r="I318" s="17" t="n">
        <f aca="false">H318*2/10+I317*8/10</f>
        <v>17.1160317006035</v>
      </c>
      <c r="J318" s="17" t="n">
        <f aca="false">H318-I318</f>
        <v>6.8891123881293</v>
      </c>
      <c r="K318" s="17" t="n">
        <f aca="false">MAX(B318-B317,0)</f>
        <v>58.3000000000002</v>
      </c>
      <c r="L318" s="17" t="n">
        <f aca="false">MAX(B317-B318,0)</f>
        <v>0</v>
      </c>
      <c r="M318" s="17" t="n">
        <f aca="false">(M317*13+K318)/14</f>
        <v>17.8514240323476</v>
      </c>
      <c r="N318" s="17" t="n">
        <f aca="false">(N317*13+L318)/14</f>
        <v>9.66523974758606</v>
      </c>
      <c r="O318" s="17" t="n">
        <f aca="false">IF(N318=0,100,100-100/(1+M318/N318))</f>
        <v>64.8749578623178</v>
      </c>
      <c r="P318" s="17" t="n">
        <f aca="false">AVERAGE(B299:B318)+2*STDEV(B299:B318)</f>
        <v>6054.51634040161</v>
      </c>
      <c r="Q318" s="17" t="n">
        <f aca="false">AVERAGE(B299:B318)-2*STDEV(B299:B318)</f>
        <v>5875.04265959839</v>
      </c>
      <c r="R318" s="19" t="n">
        <f aca="false">B318/B298-1</f>
        <v>0.0155642480018645</v>
      </c>
      <c r="S318" s="17" t="n">
        <f aca="false">STDEV(C299:C318)*SQRT(252)*100</f>
        <v>9.4765379449823</v>
      </c>
      <c r="T318" s="19" t="n">
        <f aca="false">B297/B67-1</f>
        <v>0.221015117195194</v>
      </c>
      <c r="U318" s="19" t="n">
        <f aca="false">B318/MAX(B67:B318)-1</f>
        <v>0</v>
      </c>
      <c r="V318" s="17" t="n">
        <f aca="false">(B318-AVERAGE(B299:B318))/STDEV(B299:B318)</f>
        <v>2.05847452588376</v>
      </c>
    </row>
    <row r="319" customFormat="false" ht="15" hidden="false" customHeight="false" outlineLevel="0" collapsed="false">
      <c r="A319" s="17" t="s">
        <v>883</v>
      </c>
      <c r="B319" s="17" t="n">
        <v>6064.57</v>
      </c>
      <c r="C319" s="19" t="n">
        <f aca="false">B319/B318-1</f>
        <v>0.00122665152200541</v>
      </c>
      <c r="D319" s="17" t="n">
        <f aca="false">AVERAGE(B270:B319)</f>
        <v>5921.9414</v>
      </c>
      <c r="E319" s="17" t="n">
        <f aca="false">AVERAGE(B120:B319)</f>
        <v>5578.07075</v>
      </c>
      <c r="F319" s="17" t="n">
        <f aca="false">B319*2/13+F318*11/13</f>
        <v>5989.84041688603</v>
      </c>
      <c r="G319" s="17" t="n">
        <f aca="false">B319*2/27+G318*25/27</f>
        <v>5960.56821839582</v>
      </c>
      <c r="H319" s="17" t="n">
        <f aca="false">F319-G319</f>
        <v>29.2721984902109</v>
      </c>
      <c r="I319" s="17" t="n">
        <f aca="false">H319*2/10+I318*8/10</f>
        <v>19.547265058525</v>
      </c>
      <c r="J319" s="17" t="n">
        <f aca="false">H319-I319</f>
        <v>9.72493343168597</v>
      </c>
      <c r="K319" s="17" t="n">
        <f aca="false">MAX(B319-B318,0)</f>
        <v>7.42999999999938</v>
      </c>
      <c r="L319" s="17" t="n">
        <f aca="false">MAX(B318-B319,0)</f>
        <v>0</v>
      </c>
      <c r="M319" s="17" t="n">
        <f aca="false">(M318*13+K319)/14</f>
        <v>17.1070366014656</v>
      </c>
      <c r="N319" s="17" t="n">
        <f aca="false">(N318*13+L319)/14</f>
        <v>8.97486547990134</v>
      </c>
      <c r="O319" s="17" t="n">
        <f aca="false">IF(N319=0,100,100-100/(1+M319/N319))</f>
        <v>65.5896818725003</v>
      </c>
      <c r="P319" s="17" t="n">
        <f aca="false">AVERAGE(B300:B319)+2*STDEV(B300:B319)</f>
        <v>6069.04574286712</v>
      </c>
      <c r="Q319" s="17" t="n">
        <f aca="false">AVERAGE(B300:B319)-2*STDEV(B300:B319)</f>
        <v>5875.63325713288</v>
      </c>
      <c r="R319" s="19" t="n">
        <f aca="false">B319/B299-1</f>
        <v>0.0255691762903387</v>
      </c>
      <c r="S319" s="17" t="n">
        <f aca="false">STDEV(C300:C319)*SQRT(252)*100</f>
        <v>8.81200472487432</v>
      </c>
      <c r="T319" s="19" t="n">
        <f aca="false">B298/B68-1</f>
        <v>0.226083971285964</v>
      </c>
      <c r="U319" s="19" t="n">
        <f aca="false">B319/MAX(B68:B319)-1</f>
        <v>0</v>
      </c>
      <c r="V319" s="17" t="n">
        <f aca="false">(B319-AVERAGE(B300:B319))/STDEV(B300:B319)</f>
        <v>1.90743631983994</v>
      </c>
    </row>
    <row r="320" customFormat="false" ht="15" hidden="false" customHeight="false" outlineLevel="0" collapsed="false">
      <c r="A320" s="17" t="s">
        <v>884</v>
      </c>
      <c r="B320" s="17" t="n">
        <v>6058.53</v>
      </c>
      <c r="C320" s="19" t="n">
        <f aca="false">B320/B319-1</f>
        <v>-0.00099594859981833</v>
      </c>
      <c r="D320" s="17" t="n">
        <f aca="false">AVERAGE(B271:B320)</f>
        <v>5924.9336</v>
      </c>
      <c r="E320" s="17" t="n">
        <f aca="false">AVERAGE(B121:B320)</f>
        <v>5583.61885</v>
      </c>
      <c r="F320" s="17" t="n">
        <f aca="false">B320*2/13+F319*11/13</f>
        <v>6000.40804505741</v>
      </c>
      <c r="G320" s="17" t="n">
        <f aca="false">B320*2/27+G319*25/27</f>
        <v>5967.82464666279</v>
      </c>
      <c r="H320" s="17" t="n">
        <f aca="false">F320-G320</f>
        <v>32.583398394615</v>
      </c>
      <c r="I320" s="17" t="n">
        <f aca="false">H320*2/10+I319*8/10</f>
        <v>22.154491725743</v>
      </c>
      <c r="J320" s="17" t="n">
        <f aca="false">H320-I320</f>
        <v>10.428906668872</v>
      </c>
      <c r="K320" s="17" t="n">
        <f aca="false">MAX(B320-B319,0)</f>
        <v>0</v>
      </c>
      <c r="L320" s="17" t="n">
        <f aca="false">MAX(B319-B320,0)</f>
        <v>6.03999999999996</v>
      </c>
      <c r="M320" s="17" t="n">
        <f aca="false">(M319*13+K320)/14</f>
        <v>15.8851054156467</v>
      </c>
      <c r="N320" s="17" t="n">
        <f aca="false">(N319*13+L320)/14</f>
        <v>8.76523223133695</v>
      </c>
      <c r="O320" s="17" t="n">
        <f aca="false">IF(N320=0,100,100-100/(1+M320/N320))</f>
        <v>64.4417356189458</v>
      </c>
      <c r="P320" s="17" t="n">
        <f aca="false">AVERAGE(B301:B320)+2*STDEV(B301:B320)</f>
        <v>6080.34469042119</v>
      </c>
      <c r="Q320" s="17" t="n">
        <f aca="false">AVERAGE(B301:B320)-2*STDEV(B301:B320)</f>
        <v>5872.13430957881</v>
      </c>
      <c r="R320" s="19" t="n">
        <f aca="false">B320/B300-1</f>
        <v>0.0130423223359804</v>
      </c>
      <c r="S320" s="17" t="n">
        <f aca="false">STDEV(C301:C320)*SQRT(252)*100</f>
        <v>7.99063404662406</v>
      </c>
      <c r="T320" s="19" t="n">
        <f aca="false">B299/B69-1</f>
        <v>0.20834653038455</v>
      </c>
      <c r="U320" s="19" t="n">
        <f aca="false">B320/MAX(B69:B320)-1</f>
        <v>-0.00099594859981833</v>
      </c>
      <c r="V320" s="17" t="n">
        <f aca="false">(B320-AVERAGE(B301:B320))/STDEV(B301:B320)</f>
        <v>1.5809106091074</v>
      </c>
    </row>
    <row r="321" customFormat="false" ht="15" hidden="false" customHeight="false" outlineLevel="0" collapsed="false">
      <c r="A321" s="17" t="s">
        <v>885</v>
      </c>
      <c r="B321" s="17" t="n">
        <v>6063.52</v>
      </c>
      <c r="C321" s="19" t="n">
        <f aca="false">B321/B320-1</f>
        <v>0.000823632135187991</v>
      </c>
      <c r="D321" s="17" t="n">
        <f aca="false">AVERAGE(B272:B321)</f>
        <v>5928.5974</v>
      </c>
      <c r="E321" s="17" t="n">
        <f aca="false">AVERAGE(B122:B321)</f>
        <v>5589.2645</v>
      </c>
      <c r="F321" s="17" t="n">
        <f aca="false">B321*2/13+F320*11/13</f>
        <v>6010.11757658704</v>
      </c>
      <c r="G321" s="17" t="n">
        <f aca="false">B321*2/27+G320*25/27</f>
        <v>5974.91319135444</v>
      </c>
      <c r="H321" s="17" t="n">
        <f aca="false">F321-G321</f>
        <v>35.2043852325996</v>
      </c>
      <c r="I321" s="17" t="n">
        <f aca="false">H321*2/10+I320*8/10</f>
        <v>24.7644704271143</v>
      </c>
      <c r="J321" s="17" t="n">
        <f aca="false">H321-I321</f>
        <v>10.4399148054853</v>
      </c>
      <c r="K321" s="17" t="n">
        <f aca="false">MAX(B321-B320,0)</f>
        <v>4.99000000000069</v>
      </c>
      <c r="L321" s="17" t="n">
        <f aca="false">MAX(B320-B321,0)</f>
        <v>0</v>
      </c>
      <c r="M321" s="17" t="n">
        <f aca="false">(M320*13+K321)/14</f>
        <v>15.1068836002434</v>
      </c>
      <c r="N321" s="17" t="n">
        <f aca="false">(N320*13+L321)/14</f>
        <v>8.13914421481289</v>
      </c>
      <c r="O321" s="17" t="n">
        <f aca="false">IF(N321=0,100,100-100/(1+M321/N321))</f>
        <v>64.9869462448925</v>
      </c>
      <c r="P321" s="17" t="n">
        <f aca="false">AVERAGE(B302:B321)+2*STDEV(B302:B321)</f>
        <v>6090.60158669257</v>
      </c>
      <c r="Q321" s="17" t="n">
        <f aca="false">AVERAGE(B302:B321)-2*STDEV(B302:B321)</f>
        <v>5868.66541330743</v>
      </c>
      <c r="R321" s="19" t="n">
        <f aca="false">B321/B301-1</f>
        <v>0.0113215603338426</v>
      </c>
      <c r="S321" s="17" t="n">
        <f aca="false">STDEV(C302:C321)*SQRT(252)*100</f>
        <v>7.96068701947601</v>
      </c>
      <c r="T321" s="19" t="n">
        <f aca="false">B300/B70-1</f>
        <v>0.240282377729987</v>
      </c>
      <c r="U321" s="19" t="n">
        <f aca="false">B321/MAX(B70:B321)-1</f>
        <v>-0.000173136759902048</v>
      </c>
      <c r="V321" s="17" t="n">
        <f aca="false">(B321-AVERAGE(B302:B321))/STDEV(B302:B321)</f>
        <v>1.51190315162232</v>
      </c>
    </row>
    <row r="322" customFormat="false" ht="15" hidden="false" customHeight="false" outlineLevel="0" collapsed="false">
      <c r="A322" s="17" t="s">
        <v>886</v>
      </c>
      <c r="B322" s="17" t="n">
        <v>6081.25</v>
      </c>
      <c r="C322" s="19" t="n">
        <f aca="false">B322/B321-1</f>
        <v>0.00292404411958724</v>
      </c>
      <c r="D322" s="17" t="n">
        <f aca="false">AVERAGE(B273:B322)</f>
        <v>5932.319</v>
      </c>
      <c r="E322" s="17" t="n">
        <f aca="false">AVERAGE(B123:B322)</f>
        <v>5594.97065</v>
      </c>
      <c r="F322" s="17" t="n">
        <f aca="false">B322*2/13+F321*11/13</f>
        <v>6021.06102634288</v>
      </c>
      <c r="G322" s="17" t="n">
        <f aca="false">B322*2/27+G321*25/27</f>
        <v>5982.78999199485</v>
      </c>
      <c r="H322" s="17" t="n">
        <f aca="false">F322-G322</f>
        <v>38.2710343480285</v>
      </c>
      <c r="I322" s="17" t="n">
        <f aca="false">H322*2/10+I321*8/10</f>
        <v>27.4657832112971</v>
      </c>
      <c r="J322" s="17" t="n">
        <f aca="false">H322-I322</f>
        <v>10.8052511367313</v>
      </c>
      <c r="K322" s="17" t="n">
        <f aca="false">MAX(B322-B321,0)</f>
        <v>17.7299999999996</v>
      </c>
      <c r="L322" s="17" t="n">
        <f aca="false">MAX(B321-B322,0)</f>
        <v>0</v>
      </c>
      <c r="M322" s="17" t="n">
        <f aca="false">(M321*13+K322)/14</f>
        <v>15.2942490573688</v>
      </c>
      <c r="N322" s="17" t="n">
        <f aca="false">(N321*13+L322)/14</f>
        <v>7.55777677089768</v>
      </c>
      <c r="O322" s="17" t="n">
        <f aca="false">IF(N322=0,100,100-100/(1+M322/N322))</f>
        <v>66.9273226466023</v>
      </c>
      <c r="P322" s="17" t="n">
        <f aca="false">AVERAGE(B303:B322)+2*STDEV(B303:B322)</f>
        <v>6103.04567766223</v>
      </c>
      <c r="Q322" s="17" t="n">
        <f aca="false">AVERAGE(B303:B322)-2*STDEV(B303:B322)</f>
        <v>5863.90832233777</v>
      </c>
      <c r="R322" s="19" t="n">
        <f aca="false">B322/B302-1</f>
        <v>0.0128023209723569</v>
      </c>
      <c r="S322" s="17" t="n">
        <f aca="false">STDEV(C303:C322)*SQRT(252)*100</f>
        <v>7.99917460327624</v>
      </c>
      <c r="T322" s="19" t="n">
        <f aca="false">B301/B71-1</f>
        <v>0.244001626677511</v>
      </c>
      <c r="U322" s="19" t="n">
        <f aca="false">B322/MAX(B71:B322)-1</f>
        <v>0</v>
      </c>
      <c r="V322" s="17" t="n">
        <f aca="false">(B322-AVERAGE(B303:B322))/STDEV(B303:B322)</f>
        <v>1.63542830633618</v>
      </c>
    </row>
    <row r="323" customFormat="false" ht="15" hidden="false" customHeight="false" outlineLevel="0" collapsed="false">
      <c r="A323" s="17" t="s">
        <v>887</v>
      </c>
      <c r="B323" s="17" t="n">
        <v>6069.99</v>
      </c>
      <c r="C323" s="19" t="n">
        <f aca="false">B323/B322-1</f>
        <v>-0.00185159301130533</v>
      </c>
      <c r="D323" s="17" t="n">
        <f aca="false">AVERAGE(B274:B323)</f>
        <v>5935.4342</v>
      </c>
      <c r="E323" s="17" t="n">
        <f aca="false">AVERAGE(B124:B323)</f>
        <v>5600.49155</v>
      </c>
      <c r="F323" s="17" t="n">
        <f aca="false">B323*2/13+F322*11/13</f>
        <v>6028.58856075167</v>
      </c>
      <c r="G323" s="17" t="n">
        <f aca="false">B323*2/27+G322*25/27</f>
        <v>5989.24925184708</v>
      </c>
      <c r="H323" s="17" t="n">
        <f aca="false">F323-G323</f>
        <v>39.339308904584</v>
      </c>
      <c r="I323" s="17" t="n">
        <f aca="false">H323*2/10+I322*8/10</f>
        <v>29.8404883499545</v>
      </c>
      <c r="J323" s="17" t="n">
        <f aca="false">H323-I323</f>
        <v>9.49882055462946</v>
      </c>
      <c r="K323" s="17" t="n">
        <f aca="false">MAX(B323-B322,0)</f>
        <v>0</v>
      </c>
      <c r="L323" s="17" t="n">
        <f aca="false">MAX(B322-B323,0)</f>
        <v>11.2600000000002</v>
      </c>
      <c r="M323" s="17" t="n">
        <f aca="false">(M322*13+K323)/14</f>
        <v>14.2018026961282</v>
      </c>
      <c r="N323" s="17" t="n">
        <f aca="false">(N322*13+L323)/14</f>
        <v>7.82222128726215</v>
      </c>
      <c r="O323" s="17" t="n">
        <f aca="false">IF(N323=0,100,100-100/(1+M323/N323))</f>
        <v>64.4832329770374</v>
      </c>
      <c r="P323" s="17" t="n">
        <f aca="false">AVERAGE(B304:B323)+2*STDEV(B304:B323)</f>
        <v>6113.91247202731</v>
      </c>
      <c r="Q323" s="17" t="n">
        <f aca="false">AVERAGE(B304:B323)-2*STDEV(B304:B323)</f>
        <v>5863.15852797269</v>
      </c>
      <c r="R323" s="19" t="n">
        <f aca="false">B323/B303-1</f>
        <v>0.016949748861584</v>
      </c>
      <c r="S323" s="17" t="n">
        <f aca="false">STDEV(C304:C323)*SQRT(252)*100</f>
        <v>7.67981846371146</v>
      </c>
      <c r="T323" s="19" t="n">
        <f aca="false">B302/B72-1</f>
        <v>0.250105140430139</v>
      </c>
      <c r="U323" s="19" t="n">
        <f aca="false">B323/MAX(B72:B323)-1</f>
        <v>-0.00185159301130533</v>
      </c>
      <c r="V323" s="17" t="n">
        <f aca="false">(B323-AVERAGE(B304:B323))/STDEV(B304:B323)</f>
        <v>1.29935344079385</v>
      </c>
    </row>
    <row r="324" customFormat="false" ht="15" hidden="false" customHeight="false" outlineLevel="0" collapsed="false">
      <c r="A324" s="17" t="s">
        <v>888</v>
      </c>
      <c r="B324" s="17" t="n">
        <v>6092.45</v>
      </c>
      <c r="C324" s="19" t="n">
        <f aca="false">B324/B323-1</f>
        <v>0.00370017084047913</v>
      </c>
      <c r="D324" s="17" t="n">
        <f aca="false">AVERAGE(B275:B324)</f>
        <v>5939.4592</v>
      </c>
      <c r="E324" s="17" t="n">
        <f aca="false">AVERAGE(B125:B324)</f>
        <v>5606.32235</v>
      </c>
      <c r="F324" s="17" t="n">
        <f aca="false">B324*2/13+F323*11/13</f>
        <v>6038.4133975591</v>
      </c>
      <c r="G324" s="17" t="n">
        <f aca="false">B324*2/27+G323*25/27</f>
        <v>5996.89375171026</v>
      </c>
      <c r="H324" s="17" t="n">
        <f aca="false">F324-G324</f>
        <v>41.5196458488408</v>
      </c>
      <c r="I324" s="17" t="n">
        <f aca="false">H324*2/10+I323*8/10</f>
        <v>32.1763198497318</v>
      </c>
      <c r="J324" s="17" t="n">
        <f aca="false">H324-I324</f>
        <v>9.34332599910905</v>
      </c>
      <c r="K324" s="17" t="n">
        <f aca="false">MAX(B324-B323,0)</f>
        <v>22.46</v>
      </c>
      <c r="L324" s="17" t="n">
        <f aca="false">MAX(B323-B324,0)</f>
        <v>0</v>
      </c>
      <c r="M324" s="17" t="n">
        <f aca="false">(M323*13+K324)/14</f>
        <v>14.791673932119</v>
      </c>
      <c r="N324" s="17" t="n">
        <f aca="false">(N323*13+L324)/14</f>
        <v>7.26349119531485</v>
      </c>
      <c r="O324" s="17" t="n">
        <f aca="false">IF(N324=0,100,100-100/(1+M324/N324))</f>
        <v>67.0667113424602</v>
      </c>
      <c r="P324" s="17" t="n">
        <f aca="false">AVERAGE(B305:B324)+2*STDEV(B305:B324)</f>
        <v>6127.46587145274</v>
      </c>
      <c r="Q324" s="17" t="n">
        <f aca="false">AVERAGE(B305:B324)-2*STDEV(B305:B324)</f>
        <v>5860.05012854727</v>
      </c>
      <c r="R324" s="19" t="n">
        <f aca="false">B324/B304-1</f>
        <v>0.0174432197728791</v>
      </c>
      <c r="S324" s="17" t="n">
        <f aca="false">STDEV(C305:C324)*SQRT(252)*100</f>
        <v>7.701585339177</v>
      </c>
      <c r="T324" s="19" t="n">
        <f aca="false">B303/B73-1</f>
        <v>0.241311183575683</v>
      </c>
      <c r="U324" s="19" t="n">
        <f aca="false">B324/MAX(B73:B324)-1</f>
        <v>0</v>
      </c>
      <c r="V324" s="17" t="n">
        <f aca="false">(B324-AVERAGE(B305:B324))/STDEV(B305:B324)</f>
        <v>1.47623320792878</v>
      </c>
    </row>
    <row r="325" customFormat="false" ht="15" hidden="false" customHeight="false" outlineLevel="0" collapsed="false">
      <c r="A325" s="17" t="s">
        <v>889</v>
      </c>
      <c r="B325" s="17" t="n">
        <v>6114.53</v>
      </c>
      <c r="C325" s="19" t="n">
        <f aca="false">B325/B324-1</f>
        <v>0.0036241577690419</v>
      </c>
      <c r="D325" s="17" t="n">
        <f aca="false">AVERAGE(B276:B325)</f>
        <v>5943.7516</v>
      </c>
      <c r="E325" s="17" t="n">
        <f aca="false">AVERAGE(B126:B325)</f>
        <v>5612.3036</v>
      </c>
      <c r="F325" s="17" t="n">
        <f aca="false">B325*2/13+F324*11/13</f>
        <v>6050.12364408847</v>
      </c>
      <c r="G325" s="17" t="n">
        <f aca="false">B325*2/27+G324*25/27</f>
        <v>6005.60754787987</v>
      </c>
      <c r="H325" s="17" t="n">
        <f aca="false">F325-G325</f>
        <v>44.5160962085984</v>
      </c>
      <c r="I325" s="17" t="n">
        <f aca="false">H325*2/10+I324*8/10</f>
        <v>34.6442751215051</v>
      </c>
      <c r="J325" s="17" t="n">
        <f aca="false">H325-I325</f>
        <v>9.87182108709327</v>
      </c>
      <c r="K325" s="17" t="n">
        <f aca="false">MAX(B325-B324,0)</f>
        <v>22.0799999999999</v>
      </c>
      <c r="L325" s="17" t="n">
        <f aca="false">MAX(B324-B325,0)</f>
        <v>0</v>
      </c>
      <c r="M325" s="17" t="n">
        <f aca="false">(M324*13+K325)/14</f>
        <v>15.3122686512534</v>
      </c>
      <c r="N325" s="17" t="n">
        <f aca="false">(N324*13+L325)/14</f>
        <v>6.7446703956495</v>
      </c>
      <c r="O325" s="17" t="n">
        <f aca="false">IF(N325=0,100,100-100/(1+M325/N325))</f>
        <v>69.42154855981</v>
      </c>
      <c r="P325" s="17" t="n">
        <f aca="false">AVERAGE(B306:B325)+2*STDEV(B306:B325)</f>
        <v>6144.39909001937</v>
      </c>
      <c r="Q325" s="17" t="n">
        <f aca="false">AVERAGE(B306:B325)-2*STDEV(B306:B325)</f>
        <v>5856.45790998063</v>
      </c>
      <c r="R325" s="19" t="n">
        <f aca="false">B325/B305-1</f>
        <v>0.0223051869883901</v>
      </c>
      <c r="S325" s="17" t="n">
        <f aca="false">STDEV(C306:C325)*SQRT(252)*100</f>
        <v>7.72145814939652</v>
      </c>
      <c r="T325" s="19" t="n">
        <f aca="false">B304/B74-1</f>
        <v>0.248496195922997</v>
      </c>
      <c r="U325" s="19" t="n">
        <f aca="false">B325/MAX(B74:B325)-1</f>
        <v>0</v>
      </c>
      <c r="V325" s="17" t="n">
        <f aca="false">(B325-AVERAGE(B306:B325))/STDEV(B306:B325)</f>
        <v>1.58506678321797</v>
      </c>
    </row>
    <row r="326" customFormat="false" ht="15" hidden="false" customHeight="false" outlineLevel="0" collapsed="false">
      <c r="A326" s="17" t="s">
        <v>890</v>
      </c>
      <c r="B326" s="17" t="n">
        <v>6122.61</v>
      </c>
      <c r="C326" s="19" t="n">
        <f aca="false">B326/B325-1</f>
        <v>0.00132144253115118</v>
      </c>
      <c r="D326" s="17" t="n">
        <f aca="false">AVERAGE(B277:B326)</f>
        <v>5947.5092</v>
      </c>
      <c r="E326" s="17" t="n">
        <f aca="false">AVERAGE(B127:B326)</f>
        <v>5618.59855</v>
      </c>
      <c r="F326" s="17" t="n">
        <f aca="false">B326*2/13+F325*11/13</f>
        <v>6061.27539115178</v>
      </c>
      <c r="G326" s="17" t="n">
        <f aca="false">B326*2/27+G325*25/27</f>
        <v>6014.27439618507</v>
      </c>
      <c r="H326" s="17" t="n">
        <f aca="false">F326-G326</f>
        <v>47.0009949667156</v>
      </c>
      <c r="I326" s="17" t="n">
        <f aca="false">H326*2/10+I325*8/10</f>
        <v>37.1156190905472</v>
      </c>
      <c r="J326" s="17" t="n">
        <f aca="false">H326-I326</f>
        <v>9.88537587616838</v>
      </c>
      <c r="K326" s="17" t="n">
        <f aca="false">MAX(B326-B325,0)</f>
        <v>8.07999999999993</v>
      </c>
      <c r="L326" s="17" t="n">
        <f aca="false">MAX(B325-B326,0)</f>
        <v>0</v>
      </c>
      <c r="M326" s="17" t="n">
        <f aca="false">(M325*13+K326)/14</f>
        <v>14.7956780333067</v>
      </c>
      <c r="N326" s="17" t="n">
        <f aca="false">(N325*13+L326)/14</f>
        <v>6.26290822453168</v>
      </c>
      <c r="O326" s="17" t="n">
        <f aca="false">IF(N326=0,100,100-100/(1+M326/N326))</f>
        <v>70.2595979243359</v>
      </c>
      <c r="P326" s="17" t="n">
        <f aca="false">AVERAGE(B307:B326)+2*STDEV(B307:B326)</f>
        <v>6160.85502177445</v>
      </c>
      <c r="Q326" s="17" t="n">
        <f aca="false">AVERAGE(B307:B326)-2*STDEV(B307:B326)</f>
        <v>5853.15497822555</v>
      </c>
      <c r="R326" s="19" t="n">
        <f aca="false">B326/B306-1</f>
        <v>0.0219543054006957</v>
      </c>
      <c r="S326" s="17" t="n">
        <f aca="false">STDEV(C307:C326)*SQRT(252)*100</f>
        <v>7.71917190554439</v>
      </c>
      <c r="T326" s="19" t="n">
        <f aca="false">B305/B75-1</f>
        <v>0.235840089922557</v>
      </c>
      <c r="U326" s="19" t="n">
        <f aca="false">B326/MAX(B75:B326)-1</f>
        <v>0</v>
      </c>
      <c r="V326" s="17" t="n">
        <f aca="false">(B326-AVERAGE(B307:B326))/STDEV(B307:B326)</f>
        <v>1.50282721661851</v>
      </c>
    </row>
    <row r="327" customFormat="false" ht="15" hidden="false" customHeight="false" outlineLevel="0" collapsed="false">
      <c r="A327" s="17" t="s">
        <v>891</v>
      </c>
      <c r="B327" s="17" t="n">
        <v>6114.35</v>
      </c>
      <c r="C327" s="19" t="n">
        <f aca="false">B327/B326-1</f>
        <v>-0.00134909785205972</v>
      </c>
      <c r="D327" s="17" t="n">
        <f aca="false">AVERAGE(B278:B327)</f>
        <v>5951.2692</v>
      </c>
      <c r="E327" s="17" t="n">
        <f aca="false">AVERAGE(B128:B327)</f>
        <v>5624.61365</v>
      </c>
      <c r="F327" s="17" t="n">
        <f aca="false">B327*2/13+F326*11/13</f>
        <v>6069.44071558997</v>
      </c>
      <c r="G327" s="17" t="n">
        <f aca="false">B327*2/27+G326*25/27</f>
        <v>6021.68740387506</v>
      </c>
      <c r="H327" s="17" t="n">
        <f aca="false">F327-G327</f>
        <v>47.7533117149087</v>
      </c>
      <c r="I327" s="17" t="n">
        <f aca="false">H327*2/10+I326*8/10</f>
        <v>39.2431576154195</v>
      </c>
      <c r="J327" s="17" t="n">
        <f aca="false">H327-I327</f>
        <v>8.51015409948922</v>
      </c>
      <c r="K327" s="17" t="n">
        <f aca="false">MAX(B327-B326,0)</f>
        <v>0</v>
      </c>
      <c r="L327" s="17" t="n">
        <f aca="false">MAX(B326-B327,0)</f>
        <v>8.25999999999931</v>
      </c>
      <c r="M327" s="17" t="n">
        <f aca="false">(M326*13+K327)/14</f>
        <v>13.7388438880705</v>
      </c>
      <c r="N327" s="17" t="n">
        <f aca="false">(N326*13+L327)/14</f>
        <v>6.40555763706508</v>
      </c>
      <c r="O327" s="17" t="n">
        <f aca="false">IF(N327=0,100,100-100/(1+M327/N327))</f>
        <v>68.2017972632624</v>
      </c>
      <c r="P327" s="17" t="n">
        <f aca="false">AVERAGE(B308:B327)+2*STDEV(B308:B327)</f>
        <v>6174.20574799758</v>
      </c>
      <c r="Q327" s="17" t="n">
        <f aca="false">AVERAGE(B308:B327)-2*STDEV(B308:B327)</f>
        <v>5853.87825200242</v>
      </c>
      <c r="R327" s="19" t="n">
        <f aca="false">B327/B307-1</f>
        <v>0.0235602926873366</v>
      </c>
      <c r="S327" s="17" t="n">
        <f aca="false">STDEV(C308:C327)*SQRT(252)*100</f>
        <v>7.63064366269684</v>
      </c>
      <c r="T327" s="19" t="n">
        <f aca="false">B306/B76-1</f>
        <v>0.238694043968813</v>
      </c>
      <c r="U327" s="19" t="n">
        <f aca="false">B327/MAX(B76:B327)-1</f>
        <v>-0.00134909785205972</v>
      </c>
      <c r="V327" s="17" t="n">
        <f aca="false">(B327-AVERAGE(B308:B327))/STDEV(B308:B327)</f>
        <v>1.25256809052093</v>
      </c>
    </row>
    <row r="328" customFormat="false" ht="15" hidden="false" customHeight="false" outlineLevel="0" collapsed="false">
      <c r="A328" s="17" t="s">
        <v>892</v>
      </c>
      <c r="B328" s="17" t="n">
        <v>6092.62</v>
      </c>
      <c r="C328" s="19" t="n">
        <f aca="false">B328/B327-1</f>
        <v>-0.00355393459648212</v>
      </c>
      <c r="D328" s="17" t="n">
        <f aca="false">AVERAGE(B279:B328)</f>
        <v>5954.7338</v>
      </c>
      <c r="E328" s="17" t="n">
        <f aca="false">AVERAGE(B129:B328)</f>
        <v>5630.3907</v>
      </c>
      <c r="F328" s="17" t="n">
        <f aca="false">B328*2/13+F327*11/13</f>
        <v>6073.00675934536</v>
      </c>
      <c r="G328" s="17" t="n">
        <f aca="false">B328*2/27+G327*25/27</f>
        <v>6026.94167025469</v>
      </c>
      <c r="H328" s="17" t="n">
        <f aca="false">F328-G328</f>
        <v>46.0650890906727</v>
      </c>
      <c r="I328" s="17" t="n">
        <f aca="false">H328*2/10+I327*8/10</f>
        <v>40.6075439104701</v>
      </c>
      <c r="J328" s="17" t="n">
        <f aca="false">H328-I328</f>
        <v>5.45754518020257</v>
      </c>
      <c r="K328" s="17" t="n">
        <f aca="false">MAX(B328-B327,0)</f>
        <v>0</v>
      </c>
      <c r="L328" s="17" t="n">
        <f aca="false">MAX(B327-B328,0)</f>
        <v>21.7300000000005</v>
      </c>
      <c r="M328" s="17" t="n">
        <f aca="false">(M327*13+K328)/14</f>
        <v>12.7574978960655</v>
      </c>
      <c r="N328" s="17" t="n">
        <f aca="false">(N327*13+L328)/14</f>
        <v>7.50016066298904</v>
      </c>
      <c r="O328" s="17" t="n">
        <f aca="false">IF(N328=0,100,100-100/(1+M328/N328))</f>
        <v>62.9761719937929</v>
      </c>
      <c r="P328" s="17" t="n">
        <f aca="false">AVERAGE(B309:B328)+2*STDEV(B309:B328)</f>
        <v>6181.21408765026</v>
      </c>
      <c r="Q328" s="17" t="n">
        <f aca="false">AVERAGE(B309:B328)-2*STDEV(B309:B328)</f>
        <v>5862.64091234974</v>
      </c>
      <c r="R328" s="19" t="n">
        <f aca="false">B328/B308-1</f>
        <v>0.0265732757531285</v>
      </c>
      <c r="S328" s="17" t="n">
        <f aca="false">STDEV(C309:C328)*SQRT(252)*100</f>
        <v>7.30521831532923</v>
      </c>
      <c r="T328" s="19" t="n">
        <f aca="false">B307/B77-1</f>
        <v>0.236078721876545</v>
      </c>
      <c r="U328" s="19" t="n">
        <f aca="false">B328/MAX(B77:B328)-1</f>
        <v>-0.00489823784301136</v>
      </c>
      <c r="V328" s="17" t="n">
        <f aca="false">(B328-AVERAGE(B309:B328))/STDEV(B309:B328)</f>
        <v>0.887613967287922</v>
      </c>
    </row>
    <row r="329" customFormat="false" ht="15" hidden="false" customHeight="false" outlineLevel="0" collapsed="false">
      <c r="A329" s="17" t="s">
        <v>893</v>
      </c>
      <c r="B329" s="17" t="n">
        <v>6108.82</v>
      </c>
      <c r="C329" s="19" t="n">
        <f aca="false">B329/B328-1</f>
        <v>0.00265895460409471</v>
      </c>
      <c r="D329" s="17" t="n">
        <f aca="false">AVERAGE(B280:B329)</f>
        <v>5961.1464</v>
      </c>
      <c r="E329" s="17" t="n">
        <f aca="false">AVERAGE(B130:B329)</f>
        <v>5636.11005</v>
      </c>
      <c r="F329" s="17" t="n">
        <f aca="false">B329*2/13+F328*11/13</f>
        <v>6078.51648867684</v>
      </c>
      <c r="G329" s="17" t="n">
        <f aca="false">B329*2/27+G328*25/27</f>
        <v>6033.0067317173</v>
      </c>
      <c r="H329" s="17" t="n">
        <f aca="false">F329-G329</f>
        <v>45.50975695954</v>
      </c>
      <c r="I329" s="17" t="n">
        <f aca="false">H329*2/10+I328*8/10</f>
        <v>41.5879865202841</v>
      </c>
      <c r="J329" s="17" t="n">
        <f aca="false">H329-I329</f>
        <v>3.92177043925592</v>
      </c>
      <c r="K329" s="17" t="n">
        <f aca="false">MAX(B329-B328,0)</f>
        <v>16.1999999999998</v>
      </c>
      <c r="L329" s="17" t="n">
        <f aca="false">MAX(B328-B329,0)</f>
        <v>0</v>
      </c>
      <c r="M329" s="17" t="n">
        <f aca="false">(M328*13+K329)/14</f>
        <v>13.0033909034894</v>
      </c>
      <c r="N329" s="17" t="n">
        <f aca="false">(N328*13+L329)/14</f>
        <v>6.96443490134696</v>
      </c>
      <c r="O329" s="17" t="n">
        <f aca="false">IF(N329=0,100,100-100/(1+M329/N329))</f>
        <v>65.1217164581828</v>
      </c>
      <c r="P329" s="17" t="n">
        <f aca="false">AVERAGE(B310:B329)+2*STDEV(B310:B329)</f>
        <v>6188.68734384391</v>
      </c>
      <c r="Q329" s="17" t="n">
        <f aca="false">AVERAGE(B310:B329)-2*STDEV(B310:B329)</f>
        <v>5872.81765615609</v>
      </c>
      <c r="R329" s="19" t="n">
        <f aca="false">B329/B309-1</f>
        <v>0.0297522722981902</v>
      </c>
      <c r="S329" s="17" t="n">
        <f aca="false">STDEV(C310:C329)*SQRT(252)*100</f>
        <v>7.28899604229591</v>
      </c>
      <c r="T329" s="19" t="n">
        <f aca="false">B308/B78-1</f>
        <v>0.223223670922079</v>
      </c>
      <c r="U329" s="19" t="n">
        <f aca="false">B329/MAX(B78:B329)-1</f>
        <v>-0.00225230743098126</v>
      </c>
      <c r="V329" s="17" t="n">
        <f aca="false">(B329-AVERAGE(B310:B329))/STDEV(B310:B329)</f>
        <v>0.988603883727586</v>
      </c>
    </row>
    <row r="330" customFormat="false" ht="15" hidden="false" customHeight="false" outlineLevel="0" collapsed="false">
      <c r="A330" s="17" t="s">
        <v>894</v>
      </c>
      <c r="B330" s="17" t="n">
        <v>6067.83</v>
      </c>
      <c r="C330" s="19" t="n">
        <f aca="false">B330/B329-1</f>
        <v>-0.00670997017427255</v>
      </c>
      <c r="D330" s="17" t="n">
        <f aca="false">AVERAGE(B281:B330)</f>
        <v>5965.8724</v>
      </c>
      <c r="E330" s="17" t="n">
        <f aca="false">AVERAGE(B131:B330)</f>
        <v>5641.4138</v>
      </c>
      <c r="F330" s="17" t="n">
        <f aca="false">B330*2/13+F329*11/13</f>
        <v>6076.87241349579</v>
      </c>
      <c r="G330" s="17" t="n">
        <f aca="false">B330*2/27+G329*25/27</f>
        <v>6035.58623307158</v>
      </c>
      <c r="H330" s="17" t="n">
        <f aca="false">F330-G330</f>
        <v>41.2861804242139</v>
      </c>
      <c r="I330" s="17" t="n">
        <f aca="false">H330*2/10+I329*8/10</f>
        <v>41.5276253010701</v>
      </c>
      <c r="J330" s="17" t="n">
        <f aca="false">H330-I330</f>
        <v>-0.241444876856207</v>
      </c>
      <c r="K330" s="17" t="n">
        <f aca="false">MAX(B330-B329,0)</f>
        <v>0</v>
      </c>
      <c r="L330" s="17" t="n">
        <f aca="false">MAX(B329-B330,0)</f>
        <v>40.9899999999998</v>
      </c>
      <c r="M330" s="17" t="n">
        <f aca="false">(M329*13+K330)/14</f>
        <v>12.0745772675258</v>
      </c>
      <c r="N330" s="17" t="n">
        <f aca="false">(N329*13+L330)/14</f>
        <v>9.39483240839359</v>
      </c>
      <c r="O330" s="17" t="n">
        <f aca="false">IF(N330=0,100,100-100/(1+M330/N330))</f>
        <v>56.2408442979639</v>
      </c>
      <c r="P330" s="17" t="n">
        <f aca="false">AVERAGE(B311:B330)+2*STDEV(B311:B330)</f>
        <v>6179.29951595194</v>
      </c>
      <c r="Q330" s="17" t="n">
        <f aca="false">AVERAGE(B311:B330)-2*STDEV(B311:B330)</f>
        <v>5902.25348404806</v>
      </c>
      <c r="R330" s="19" t="n">
        <f aca="false">B330/B310-1</f>
        <v>0.0341687473902186</v>
      </c>
      <c r="S330" s="17" t="n">
        <f aca="false">STDEV(C311:C330)*SQRT(252)*100</f>
        <v>6.43517358281692</v>
      </c>
      <c r="T330" s="19" t="n">
        <f aca="false">B309/B79-1</f>
        <v>0.208219194821964</v>
      </c>
      <c r="U330" s="19" t="n">
        <f aca="false">B330/MAX(B79:B330)-1</f>
        <v>-0.00894716468956858</v>
      </c>
      <c r="V330" s="17" t="n">
        <f aca="false">(B330-AVERAGE(B311:B330))/STDEV(B311:B330)</f>
        <v>0.390599350065932</v>
      </c>
    </row>
    <row r="331" customFormat="false" ht="15" hidden="false" customHeight="false" outlineLevel="0" collapsed="false">
      <c r="A331" s="17" t="s">
        <v>895</v>
      </c>
      <c r="B331" s="17" t="n">
        <v>6080.22</v>
      </c>
      <c r="C331" s="19" t="n">
        <f aca="false">B331/B330-1</f>
        <v>0.00204191613805937</v>
      </c>
      <c r="D331" s="17" t="n">
        <f aca="false">AVERAGE(B282:B331)</f>
        <v>5969.3134</v>
      </c>
      <c r="E331" s="17" t="n">
        <f aca="false">AVERAGE(B132:B331)</f>
        <v>5646.6904</v>
      </c>
      <c r="F331" s="17" t="n">
        <f aca="false">B331*2/13+F330*11/13</f>
        <v>6077.38742680413</v>
      </c>
      <c r="G331" s="17" t="n">
        <f aca="false">B331*2/27+G330*25/27</f>
        <v>6038.89243802924</v>
      </c>
      <c r="H331" s="17" t="n">
        <f aca="false">F331-G331</f>
        <v>38.4949887748917</v>
      </c>
      <c r="I331" s="17" t="n">
        <f aca="false">H331*2/10+I330*8/10</f>
        <v>40.9210979958344</v>
      </c>
      <c r="J331" s="17" t="n">
        <f aca="false">H331-I331</f>
        <v>-2.42610922094271</v>
      </c>
      <c r="K331" s="17" t="n">
        <f aca="false">MAX(B331-B330,0)</f>
        <v>12.3900000000003</v>
      </c>
      <c r="L331" s="17" t="n">
        <f aca="false">MAX(B330-B331,0)</f>
        <v>0</v>
      </c>
      <c r="M331" s="17" t="n">
        <f aca="false">(M330*13+K331)/14</f>
        <v>12.0971074627026</v>
      </c>
      <c r="N331" s="17" t="n">
        <f aca="false">(N330*13+L331)/14</f>
        <v>8.72377295065119</v>
      </c>
      <c r="O331" s="17" t="n">
        <f aca="false">IF(N331=0,100,100-100/(1+M331/N331))</f>
        <v>58.1008450293193</v>
      </c>
      <c r="P331" s="17" t="n">
        <f aca="false">AVERAGE(B312:B331)+2*STDEV(B312:B331)</f>
        <v>6167.97335559984</v>
      </c>
      <c r="Q331" s="17" t="n">
        <f aca="false">AVERAGE(B312:B331)-2*STDEV(B312:B331)</f>
        <v>5933.46764440017</v>
      </c>
      <c r="R331" s="19" t="n">
        <f aca="false">B331/B311-1</f>
        <v>0.0338154230158434</v>
      </c>
      <c r="S331" s="17" t="n">
        <f aca="false">STDEV(C312:C331)*SQRT(252)*100</f>
        <v>6.43141310424918</v>
      </c>
      <c r="T331" s="19" t="n">
        <f aca="false">B310/B80-1</f>
        <v>0.199511392327429</v>
      </c>
      <c r="U331" s="19" t="n">
        <f aca="false">B331/MAX(B80:B331)-1</f>
        <v>-0.00692351791147883</v>
      </c>
      <c r="V331" s="17" t="n">
        <f aca="false">(B331-AVERAGE(B312:B331))/STDEV(B312:B331)</f>
        <v>0.503177510672779</v>
      </c>
    </row>
    <row r="332" customFormat="false" ht="15" hidden="false" customHeight="false" outlineLevel="0" collapsed="false">
      <c r="A332" s="17" t="s">
        <v>896</v>
      </c>
      <c r="B332" s="17" t="n">
        <v>6055.04</v>
      </c>
      <c r="C332" s="19" t="n">
        <f aca="false">B332/B331-1</f>
        <v>-0.00414129751883985</v>
      </c>
      <c r="D332" s="17" t="n">
        <f aca="false">AVERAGE(B283:B332)</f>
        <v>5972.2596</v>
      </c>
      <c r="E332" s="17" t="n">
        <f aca="false">AVERAGE(B133:B332)</f>
        <v>5651.78975</v>
      </c>
      <c r="F332" s="17" t="n">
        <f aca="false">B332*2/13+F331*11/13</f>
        <v>6073.94936114196</v>
      </c>
      <c r="G332" s="17" t="n">
        <f aca="false">B332*2/27+G331*25/27</f>
        <v>6040.08855373078</v>
      </c>
      <c r="H332" s="17" t="n">
        <f aca="false">F332-G332</f>
        <v>33.8608074111808</v>
      </c>
      <c r="I332" s="17" t="n">
        <f aca="false">H332*2/10+I331*8/10</f>
        <v>39.5090398789037</v>
      </c>
      <c r="J332" s="17" t="n">
        <f aca="false">H332-I332</f>
        <v>-5.6482324677229</v>
      </c>
      <c r="K332" s="17" t="n">
        <f aca="false">MAX(B332-B331,0)</f>
        <v>0</v>
      </c>
      <c r="L332" s="17" t="n">
        <f aca="false">MAX(B331-B332,0)</f>
        <v>25.1800000000003</v>
      </c>
      <c r="M332" s="17" t="n">
        <f aca="false">(M331*13+K332)/14</f>
        <v>11.2330283582238</v>
      </c>
      <c r="N332" s="17" t="n">
        <f aca="false">(N331*13+L332)/14</f>
        <v>9.89921773989041</v>
      </c>
      <c r="O332" s="17" t="n">
        <f aca="false">IF(N332=0,100,100-100/(1+M332/N332))</f>
        <v>53.1558657138023</v>
      </c>
      <c r="P332" s="17" t="n">
        <f aca="false">AVERAGE(B313:B332)+2*STDEV(B313:B332)</f>
        <v>6161.09397632609</v>
      </c>
      <c r="Q332" s="17" t="n">
        <f aca="false">AVERAGE(B313:B332)-2*STDEV(B313:B332)</f>
        <v>5952.07202367392</v>
      </c>
      <c r="R332" s="19" t="n">
        <f aca="false">B332/B312-1</f>
        <v>0.0197464039651116</v>
      </c>
      <c r="S332" s="17" t="n">
        <f aca="false">STDEV(C313:C332)*SQRT(252)*100</f>
        <v>6.02170160845409</v>
      </c>
      <c r="T332" s="19" t="n">
        <f aca="false">B311/B81-1</f>
        <v>0.210005369718491</v>
      </c>
      <c r="U332" s="19" t="n">
        <f aca="false">B332/MAX(B81:B332)-1</f>
        <v>-0.0110361430827702</v>
      </c>
      <c r="V332" s="17" t="n">
        <f aca="false">(B332-AVERAGE(B313:B332))/STDEV(B313:B332)</f>
        <v>-0.0295279989574732</v>
      </c>
    </row>
    <row r="333" customFormat="false" ht="15" hidden="false" customHeight="false" outlineLevel="0" collapsed="false">
      <c r="A333" s="17" t="s">
        <v>897</v>
      </c>
      <c r="B333" s="17" t="n">
        <v>6037.87</v>
      </c>
      <c r="C333" s="19" t="n">
        <f aca="false">B333/B332-1</f>
        <v>-0.00283565426487686</v>
      </c>
      <c r="D333" s="17" t="n">
        <f aca="false">AVERAGE(B284:B333)</f>
        <v>5974.6686</v>
      </c>
      <c r="E333" s="17" t="n">
        <f aca="false">AVERAGE(B134:B333)</f>
        <v>5656.72805</v>
      </c>
      <c r="F333" s="17" t="n">
        <f aca="false">B333*2/13+F332*11/13</f>
        <v>6068.39869019704</v>
      </c>
      <c r="G333" s="17" t="n">
        <f aca="false">B333*2/27+G332*25/27</f>
        <v>6039.92421641738</v>
      </c>
      <c r="H333" s="17" t="n">
        <f aca="false">F333-G333</f>
        <v>28.4744737796555</v>
      </c>
      <c r="I333" s="17" t="n">
        <f aca="false">H333*2/10+I332*8/10</f>
        <v>37.302126659054</v>
      </c>
      <c r="J333" s="17" t="n">
        <f aca="false">H333-I333</f>
        <v>-8.82765287939856</v>
      </c>
      <c r="K333" s="17" t="n">
        <f aca="false">MAX(B333-B332,0)</f>
        <v>0</v>
      </c>
      <c r="L333" s="17" t="n">
        <f aca="false">MAX(B332-B333,0)</f>
        <v>17.1700000000001</v>
      </c>
      <c r="M333" s="17" t="n">
        <f aca="false">(M332*13+K333)/14</f>
        <v>10.4306691897793</v>
      </c>
      <c r="N333" s="17" t="n">
        <f aca="false">(N332*13+L333)/14</f>
        <v>10.4185593298982</v>
      </c>
      <c r="O333" s="17" t="n">
        <f aca="false">IF(N333=0,100,100-100/(1+M333/N333))</f>
        <v>50.0290415059473</v>
      </c>
      <c r="P333" s="17" t="n">
        <f aca="false">AVERAGE(B314:B333)+2*STDEV(B314:B333)</f>
        <v>6149.39570425496</v>
      </c>
      <c r="Q333" s="17" t="n">
        <f aca="false">AVERAGE(B314:B333)-2*STDEV(B314:B333)</f>
        <v>5974.25029574504</v>
      </c>
      <c r="R333" s="19" t="n">
        <f aca="false">B333/B313-1</f>
        <v>0.0176637052992801</v>
      </c>
      <c r="S333" s="17" t="n">
        <f aca="false">STDEV(C314:C333)*SQRT(252)*100</f>
        <v>6.14403462560976</v>
      </c>
      <c r="T333" s="19" t="n">
        <f aca="false">B312/B82-1</f>
        <v>0.227716610323688</v>
      </c>
      <c r="U333" s="19" t="n">
        <f aca="false">B333/MAX(B82:B333)-1</f>
        <v>-0.0138405026614467</v>
      </c>
      <c r="V333" s="17" t="n">
        <f aca="false">(B333-AVERAGE(B314:B333))/STDEV(B314:B333)</f>
        <v>-0.547042602002196</v>
      </c>
    </row>
    <row r="334" customFormat="false" ht="15" hidden="false" customHeight="false" outlineLevel="0" collapsed="false">
      <c r="A334" s="17" t="s">
        <v>898</v>
      </c>
      <c r="B334" s="17" t="n">
        <v>6213.47</v>
      </c>
      <c r="C334" s="19" t="n">
        <f aca="false">B334/B333-1</f>
        <v>0.0290831038097872</v>
      </c>
      <c r="D334" s="17" t="n">
        <f aca="false">AVERAGE(B285:B334)</f>
        <v>5983.0116</v>
      </c>
      <c r="E334" s="17" t="n">
        <f aca="false">AVERAGE(B135:B334)</f>
        <v>5662.58825</v>
      </c>
      <c r="F334" s="17" t="n">
        <f aca="false">B334*2/13+F333*11/13</f>
        <v>6090.71735324365</v>
      </c>
      <c r="G334" s="17" t="n">
        <f aca="false">B334*2/27+G333*25/27</f>
        <v>6052.77945964573</v>
      </c>
      <c r="H334" s="17" t="n">
        <f aca="false">F334-G334</f>
        <v>37.937893597923</v>
      </c>
      <c r="I334" s="17" t="n">
        <f aca="false">H334*2/10+I333*8/10</f>
        <v>37.4292800468278</v>
      </c>
      <c r="J334" s="17" t="n">
        <f aca="false">H334-I334</f>
        <v>0.508613551095181</v>
      </c>
      <c r="K334" s="17" t="n">
        <f aca="false">MAX(B334-B333,0)</f>
        <v>175.6</v>
      </c>
      <c r="L334" s="17" t="n">
        <f aca="false">MAX(B333-B334,0)</f>
        <v>0</v>
      </c>
      <c r="M334" s="17" t="n">
        <f aca="false">(M333*13+K334)/14</f>
        <v>22.2284785333665</v>
      </c>
      <c r="N334" s="17" t="n">
        <f aca="false">(N333*13+L334)/14</f>
        <v>9.6743765206198</v>
      </c>
      <c r="O334" s="17" t="n">
        <f aca="false">IF(N334=0,100,100-100/(1+M334/N334))</f>
        <v>69.675514921004</v>
      </c>
      <c r="P334" s="17" t="n">
        <f aca="false">AVERAGE(B315:B334)+2*STDEV(B315:B334)</f>
        <v>6175.99857882612</v>
      </c>
      <c r="Q334" s="17" t="n">
        <f aca="false">AVERAGE(B315:B334)-2*STDEV(B315:B334)</f>
        <v>5971.06442117388</v>
      </c>
      <c r="R334" s="19" t="n">
        <f aca="false">B334/B314-1</f>
        <v>0.0391634472262639</v>
      </c>
      <c r="S334" s="17" t="n">
        <f aca="false">STDEV(C315:C334)*SQRT(252)*100</f>
        <v>11.5709537075593</v>
      </c>
      <c r="T334" s="19" t="n">
        <f aca="false">B313/B83-1</f>
        <v>0.234618433948797</v>
      </c>
      <c r="U334" s="19" t="n">
        <f aca="false">B334/MAX(B83:B334)-1</f>
        <v>0</v>
      </c>
      <c r="V334" s="17" t="n">
        <f aca="false">(B334-AVERAGE(B315:B334))/STDEV(B315:B334)</f>
        <v>2.73138458914145</v>
      </c>
    </row>
    <row r="335" customFormat="false" ht="15" hidden="false" customHeight="false" outlineLevel="0" collapsed="false">
      <c r="A335" s="17" t="s">
        <v>899</v>
      </c>
      <c r="B335" s="17" t="n">
        <v>6227.59</v>
      </c>
      <c r="C335" s="19" t="n">
        <f aca="false">B335/B334-1</f>
        <v>0.0022724822039859</v>
      </c>
      <c r="D335" s="17" t="n">
        <f aca="false">AVERAGE(B286:B335)</f>
        <v>5991.7452</v>
      </c>
      <c r="E335" s="17" t="n">
        <f aca="false">AVERAGE(B136:B335)</f>
        <v>5668.42865</v>
      </c>
      <c r="F335" s="17" t="n">
        <f aca="false">B335*2/13+F334*11/13</f>
        <v>6111.77468351386</v>
      </c>
      <c r="G335" s="17" t="n">
        <f aca="false">B335*2/27+G334*25/27</f>
        <v>6065.72838856086</v>
      </c>
      <c r="H335" s="17" t="n">
        <f aca="false">F335-G335</f>
        <v>46.0462949530001</v>
      </c>
      <c r="I335" s="17" t="n">
        <f aca="false">H335*2/10+I334*8/10</f>
        <v>39.1526830280623</v>
      </c>
      <c r="J335" s="17" t="n">
        <f aca="false">H335-I335</f>
        <v>6.89361192493787</v>
      </c>
      <c r="K335" s="17" t="n">
        <f aca="false">MAX(B335-B334,0)</f>
        <v>14.1199999999999</v>
      </c>
      <c r="L335" s="17" t="n">
        <f aca="false">MAX(B334-B335,0)</f>
        <v>0</v>
      </c>
      <c r="M335" s="17" t="n">
        <f aca="false">(M334*13+K335)/14</f>
        <v>21.6493014952689</v>
      </c>
      <c r="N335" s="17" t="n">
        <f aca="false">(N334*13+L335)/14</f>
        <v>8.98334962628981</v>
      </c>
      <c r="O335" s="17" t="n">
        <f aca="false">IF(N335=0,100,100-100/(1+M335/N335))</f>
        <v>70.6739400692371</v>
      </c>
      <c r="P335" s="17" t="n">
        <f aca="false">AVERAGE(B316:B335)+2*STDEV(B316:B335)</f>
        <v>6200.24383580269</v>
      </c>
      <c r="Q335" s="17" t="n">
        <f aca="false">AVERAGE(B316:B335)-2*STDEV(B316:B335)</f>
        <v>5971.38616419732</v>
      </c>
      <c r="R335" s="19" t="n">
        <f aca="false">B335/B315-1</f>
        <v>0.0410687538449193</v>
      </c>
      <c r="S335" s="17" t="n">
        <f aca="false">STDEV(C316:C335)*SQRT(252)*100</f>
        <v>11.5575305322355</v>
      </c>
      <c r="T335" s="19" t="n">
        <f aca="false">B314/B84-1</f>
        <v>0.245357999029423</v>
      </c>
      <c r="U335" s="19" t="n">
        <f aca="false">B335/MAX(B84:B335)-1</f>
        <v>0</v>
      </c>
      <c r="V335" s="17" t="n">
        <f aca="false">(B335-AVERAGE(B316:B335))/STDEV(B316:B335)</f>
        <v>2.47795931865406</v>
      </c>
    </row>
    <row r="336" customFormat="false" ht="15" hidden="false" customHeight="false" outlineLevel="0" collapsed="false">
      <c r="A336" s="17" t="s">
        <v>900</v>
      </c>
      <c r="B336" s="17" t="n">
        <v>6248.56</v>
      </c>
      <c r="C336" s="19" t="n">
        <f aca="false">B336/B335-1</f>
        <v>0.00336727369656642</v>
      </c>
      <c r="D336" s="17" t="n">
        <f aca="false">AVERAGE(B287:B336)</f>
        <v>6000.9856</v>
      </c>
      <c r="E336" s="17" t="n">
        <f aca="false">AVERAGE(B137:B336)</f>
        <v>5674.4482</v>
      </c>
      <c r="F336" s="17" t="n">
        <f aca="false">B336*2/13+F335*11/13</f>
        <v>6132.81857835788</v>
      </c>
      <c r="G336" s="17" t="n">
        <f aca="false">B336*2/27+G335*25/27</f>
        <v>6079.27147088968</v>
      </c>
      <c r="H336" s="17" t="n">
        <f aca="false">F336-G336</f>
        <v>53.5471074681964</v>
      </c>
      <c r="I336" s="17" t="n">
        <f aca="false">H336*2/10+I335*8/10</f>
        <v>42.0315679160891</v>
      </c>
      <c r="J336" s="17" t="n">
        <f aca="false">H336-I336</f>
        <v>11.5155395521073</v>
      </c>
      <c r="K336" s="17" t="n">
        <f aca="false">MAX(B336-B335,0)</f>
        <v>20.9700000000003</v>
      </c>
      <c r="L336" s="17" t="n">
        <f aca="false">MAX(B335-B336,0)</f>
        <v>0</v>
      </c>
      <c r="M336" s="17" t="n">
        <f aca="false">(M335*13+K336)/14</f>
        <v>21.6007799598925</v>
      </c>
      <c r="N336" s="17" t="n">
        <f aca="false">(N335*13+L336)/14</f>
        <v>8.34168179584054</v>
      </c>
      <c r="O336" s="17" t="n">
        <f aca="false">IF(N336=0,100,100-100/(1+M336/N336))</f>
        <v>72.1409620094335</v>
      </c>
      <c r="P336" s="17" t="n">
        <f aca="false">AVERAGE(B317:B336)+2*STDEV(B317:B336)</f>
        <v>6226.00276939152</v>
      </c>
      <c r="Q336" s="17" t="n">
        <f aca="false">AVERAGE(B317:B336)-2*STDEV(B317:B336)</f>
        <v>5970.97723060848</v>
      </c>
      <c r="R336" s="19" t="n">
        <f aca="false">B336/B316-1</f>
        <v>0.0422848144972694</v>
      </c>
      <c r="S336" s="17" t="n">
        <f aca="false">STDEV(C317:C336)*SQRT(252)*100</f>
        <v>11.5671110701049</v>
      </c>
      <c r="T336" s="19" t="n">
        <f aca="false">B315/B85-1</f>
        <v>0.254876293806929</v>
      </c>
      <c r="U336" s="19" t="n">
        <f aca="false">B336/MAX(B85:B336)-1</f>
        <v>0</v>
      </c>
      <c r="V336" s="17" t="n">
        <f aca="false">(B336-AVERAGE(B317:B336))/STDEV(B317:B336)</f>
        <v>2.35380347734776</v>
      </c>
    </row>
    <row r="337" customFormat="false" ht="15" hidden="false" customHeight="false" outlineLevel="0" collapsed="false">
      <c r="A337" s="17" t="s">
        <v>901</v>
      </c>
      <c r="B337" s="17" t="n">
        <v>6248.65</v>
      </c>
      <c r="C337" s="19" t="n">
        <f aca="false">B337/B336-1</f>
        <v>1.44033185245362E-005</v>
      </c>
      <c r="D337" s="17" t="n">
        <f aca="false">AVERAGE(B288:B337)</f>
        <v>6008.492</v>
      </c>
      <c r="E337" s="17" t="n">
        <f aca="false">AVERAGE(B138:B337)</f>
        <v>5680.4122</v>
      </c>
      <c r="F337" s="17" t="n">
        <f aca="false">B337*2/13+F336*11/13</f>
        <v>6150.63879707205</v>
      </c>
      <c r="G337" s="17" t="n">
        <f aca="false">B337*2/27+G336*25/27</f>
        <v>6091.81802860156</v>
      </c>
      <c r="H337" s="17" t="n">
        <f aca="false">F337-G337</f>
        <v>58.820768470493</v>
      </c>
      <c r="I337" s="17" t="n">
        <f aca="false">H337*2/10+I336*8/10</f>
        <v>45.3894080269699</v>
      </c>
      <c r="J337" s="17" t="n">
        <f aca="false">H337-I337</f>
        <v>13.4313604435231</v>
      </c>
      <c r="K337" s="17" t="n">
        <f aca="false">MAX(B337-B336,0)</f>
        <v>0.089999999999236</v>
      </c>
      <c r="L337" s="17" t="n">
        <f aca="false">MAX(B336-B337,0)</f>
        <v>0</v>
      </c>
      <c r="M337" s="17" t="n">
        <f aca="false">(M336*13+K337)/14</f>
        <v>20.064295677043</v>
      </c>
      <c r="N337" s="17" t="n">
        <f aca="false">(N336*13+L337)/14</f>
        <v>7.74584738185193</v>
      </c>
      <c r="O337" s="17" t="n">
        <f aca="false">IF(N337=0,100,100-100/(1+M337/N337))</f>
        <v>72.147401883377</v>
      </c>
      <c r="P337" s="17" t="n">
        <f aca="false">AVERAGE(B318:B337)+2*STDEV(B318:B337)</f>
        <v>6246.1064112594</v>
      </c>
      <c r="Q337" s="17" t="n">
        <f aca="false">AVERAGE(B318:B337)-2*STDEV(B318:B337)</f>
        <v>5975.8545887406</v>
      </c>
      <c r="R337" s="19" t="n">
        <f aca="false">B337/B317-1</f>
        <v>0.041643050989858</v>
      </c>
      <c r="S337" s="17" t="n">
        <f aca="false">STDEV(C318:C337)*SQRT(252)*100</f>
        <v>11.5795373345612</v>
      </c>
      <c r="T337" s="19" t="n">
        <f aca="false">B316/B86-1</f>
        <v>0.268283085567527</v>
      </c>
      <c r="U337" s="19" t="n">
        <f aca="false">B337/MAX(B86:B337)-1</f>
        <v>0</v>
      </c>
      <c r="V337" s="17" t="n">
        <f aca="false">(B337-AVERAGE(B318:B337))/STDEV(B318:B337)</f>
        <v>2.0376476830667</v>
      </c>
    </row>
    <row r="338" customFormat="false" ht="15" hidden="false" customHeight="false" outlineLevel="0" collapsed="false">
      <c r="A338" s="17" t="s">
        <v>902</v>
      </c>
      <c r="B338" s="17" t="n">
        <v>6236.39</v>
      </c>
      <c r="C338" s="19" t="n">
        <f aca="false">B338/B337-1</f>
        <v>-0.00196202379714006</v>
      </c>
      <c r="D338" s="17" t="n">
        <f aca="false">AVERAGE(B289:B338)</f>
        <v>6016.1842</v>
      </c>
      <c r="E338" s="17" t="n">
        <f aca="false">AVERAGE(B139:B338)</f>
        <v>5686.3383</v>
      </c>
      <c r="F338" s="17" t="n">
        <f aca="false">B338*2/13+F337*11/13</f>
        <v>6163.8312898302</v>
      </c>
      <c r="G338" s="17" t="n">
        <f aca="false">B338*2/27+G337*25/27</f>
        <v>6102.52706351996</v>
      </c>
      <c r="H338" s="17" t="n">
        <f aca="false">F338-G338</f>
        <v>61.3042263102352</v>
      </c>
      <c r="I338" s="17" t="n">
        <f aca="false">H338*2/10+I337*8/10</f>
        <v>48.572371683623</v>
      </c>
      <c r="J338" s="17" t="n">
        <f aca="false">H338-I338</f>
        <v>12.7318546266123</v>
      </c>
      <c r="K338" s="17" t="n">
        <f aca="false">MAX(B338-B337,0)</f>
        <v>0</v>
      </c>
      <c r="L338" s="17" t="n">
        <f aca="false">MAX(B337-B338,0)</f>
        <v>12.2599999999993</v>
      </c>
      <c r="M338" s="17" t="n">
        <f aca="false">(M337*13+K338)/14</f>
        <v>18.6311317001114</v>
      </c>
      <c r="N338" s="17" t="n">
        <f aca="false">(N337*13+L338)/14</f>
        <v>8.06828685457674</v>
      </c>
      <c r="O338" s="17" t="n">
        <f aca="false">IF(N338=0,100,100-100/(1+M338/N338))</f>
        <v>69.7810390962239</v>
      </c>
      <c r="P338" s="17" t="n">
        <f aca="false">AVERAGE(B319:B338)+2*STDEV(B319:B338)</f>
        <v>6263.54517094093</v>
      </c>
      <c r="Q338" s="17" t="n">
        <f aca="false">AVERAGE(B319:B338)-2*STDEV(B319:B338)</f>
        <v>5976.34082905907</v>
      </c>
      <c r="R338" s="19" t="n">
        <f aca="false">B338/B318-1</f>
        <v>0.0295931743364031</v>
      </c>
      <c r="S338" s="17" t="n">
        <f aca="false">STDEV(C319:C338)*SQRT(252)*100</f>
        <v>11.2946329748244</v>
      </c>
      <c r="T338" s="19" t="n">
        <f aca="false">B317/B87-1</f>
        <v>0.282049966873971</v>
      </c>
      <c r="U338" s="19" t="n">
        <f aca="false">B338/MAX(B87:B338)-1</f>
        <v>-0.00196202379714006</v>
      </c>
      <c r="V338" s="17" t="n">
        <f aca="false">(B338-AVERAGE(B319:B338))/STDEV(B319:B338)</f>
        <v>1.62179999420624</v>
      </c>
    </row>
    <row r="339" customFormat="false" ht="15" hidden="false" customHeight="false" outlineLevel="0" collapsed="false">
      <c r="A339" s="17" t="s">
        <v>903</v>
      </c>
      <c r="B339" s="17" t="n">
        <v>6295.58</v>
      </c>
      <c r="C339" s="19" t="n">
        <f aca="false">B339/B338-1</f>
        <v>0.00949106774913044</v>
      </c>
      <c r="D339" s="17" t="n">
        <f aca="false">AVERAGE(B290:B339)</f>
        <v>6025.407</v>
      </c>
      <c r="E339" s="17" t="n">
        <f aca="false">AVERAGE(B140:B339)</f>
        <v>5692.5002</v>
      </c>
      <c r="F339" s="17" t="n">
        <f aca="false">B339*2/13+F338*11/13</f>
        <v>6184.10032216401</v>
      </c>
      <c r="G339" s="17" t="n">
        <f aca="false">B339*2/27+G338*25/27</f>
        <v>6116.827281037</v>
      </c>
      <c r="H339" s="17" t="n">
        <f aca="false">F339-G339</f>
        <v>67.2730411270113</v>
      </c>
      <c r="I339" s="17" t="n">
        <f aca="false">H339*2/10+I338*8/10</f>
        <v>52.3125055723006</v>
      </c>
      <c r="J339" s="17" t="n">
        <f aca="false">H339-I339</f>
        <v>14.9605355547107</v>
      </c>
      <c r="K339" s="17" t="n">
        <f aca="false">MAX(B339-B338,0)</f>
        <v>59.1899999999996</v>
      </c>
      <c r="L339" s="17" t="n">
        <f aca="false">MAX(B338-B339,0)</f>
        <v>0</v>
      </c>
      <c r="M339" s="17" t="n">
        <f aca="false">(M338*13+K339)/14</f>
        <v>21.528193721532</v>
      </c>
      <c r="N339" s="17" t="n">
        <f aca="false">(N338*13+L339)/14</f>
        <v>7.49198065067841</v>
      </c>
      <c r="O339" s="17" t="n">
        <f aca="false">IF(N339=0,100,100-100/(1+M339/N339))</f>
        <v>74.1835436459241</v>
      </c>
      <c r="P339" s="17" t="n">
        <f aca="false">AVERAGE(B320:B339)+2*STDEV(B320:B339)</f>
        <v>6292.45536358069</v>
      </c>
      <c r="Q339" s="17" t="n">
        <f aca="false">AVERAGE(B320:B339)-2*STDEV(B320:B339)</f>
        <v>5970.53163641931</v>
      </c>
      <c r="R339" s="19" t="n">
        <f aca="false">B339/B319-1</f>
        <v>0.0380917361000039</v>
      </c>
      <c r="S339" s="17" t="n">
        <f aca="false">STDEV(C320:C339)*SQRT(252)*100</f>
        <v>11.645289560014</v>
      </c>
      <c r="T339" s="19" t="n">
        <f aca="false">B318/B88-1</f>
        <v>0.299687155345181</v>
      </c>
      <c r="U339" s="19" t="n">
        <f aca="false">B339/MAX(B88:B339)-1</f>
        <v>0</v>
      </c>
      <c r="V339" s="17" t="n">
        <f aca="false">(B339-AVERAGE(B320:B339))/STDEV(B320:B339)</f>
        <v>2.03882455570284</v>
      </c>
    </row>
    <row r="340" customFormat="false" ht="15" hidden="false" customHeight="false" outlineLevel="0" collapsed="false">
      <c r="A340" s="17" t="s">
        <v>904</v>
      </c>
      <c r="B340" s="17" t="n">
        <v>6313.61</v>
      </c>
      <c r="C340" s="19" t="n">
        <f aca="false">B340/B339-1</f>
        <v>0.00286391404763342</v>
      </c>
      <c r="D340" s="17" t="n">
        <f aca="false">AVERAGE(B291:B340)</f>
        <v>6035.2286</v>
      </c>
      <c r="E340" s="17" t="n">
        <f aca="false">AVERAGE(B141:B340)</f>
        <v>5698.73975</v>
      </c>
      <c r="F340" s="17" t="n">
        <f aca="false">B340*2/13+F339*11/13</f>
        <v>6204.02488798493</v>
      </c>
      <c r="G340" s="17" t="n">
        <f aca="false">B340*2/27+G339*25/27</f>
        <v>6131.40377873796</v>
      </c>
      <c r="H340" s="17" t="n">
        <f aca="false">F340-G340</f>
        <v>72.6211092469712</v>
      </c>
      <c r="I340" s="17" t="n">
        <f aca="false">H340*2/10+I339*8/10</f>
        <v>56.3742263072347</v>
      </c>
      <c r="J340" s="17" t="n">
        <f aca="false">H340-I340</f>
        <v>16.2468829397365</v>
      </c>
      <c r="K340" s="17" t="n">
        <f aca="false">MAX(B340-B339,0)</f>
        <v>18.0299999999997</v>
      </c>
      <c r="L340" s="17" t="n">
        <f aca="false">MAX(B339-B340,0)</f>
        <v>0</v>
      </c>
      <c r="M340" s="17" t="n">
        <f aca="false">(M339*13+K340)/14</f>
        <v>21.2783227414225</v>
      </c>
      <c r="N340" s="17" t="n">
        <f aca="false">(N339*13+L340)/14</f>
        <v>6.95683917562995</v>
      </c>
      <c r="O340" s="17" t="n">
        <f aca="false">IF(N340=0,100,100-100/(1+M340/N340))</f>
        <v>75.3610792243114</v>
      </c>
      <c r="P340" s="17" t="n">
        <f aca="false">AVERAGE(B321:B340)+2*STDEV(B321:B340)</f>
        <v>6320.55816133391</v>
      </c>
      <c r="Q340" s="17" t="n">
        <f aca="false">AVERAGE(B321:B340)-2*STDEV(B321:B340)</f>
        <v>5967.93683866609</v>
      </c>
      <c r="R340" s="19" t="n">
        <f aca="false">B340/B320-1</f>
        <v>0.0421026222532528</v>
      </c>
      <c r="S340" s="17" t="n">
        <f aca="false">STDEV(C321:C340)*SQRT(252)*100</f>
        <v>11.5986558822778</v>
      </c>
      <c r="T340" s="19" t="n">
        <f aca="false">B319/B89-1</f>
        <v>0.270404903503131</v>
      </c>
      <c r="U340" s="19" t="n">
        <f aca="false">B340/MAX(B89:B340)-1</f>
        <v>0</v>
      </c>
      <c r="V340" s="17" t="n">
        <f aca="false">(B340-AVERAGE(B321:B340))/STDEV(B321:B340)</f>
        <v>1.92118274321768</v>
      </c>
    </row>
    <row r="341" customFormat="false" ht="15" hidden="false" customHeight="false" outlineLevel="0" collapsed="false">
      <c r="A341" s="17" t="s">
        <v>905</v>
      </c>
      <c r="B341" s="17" t="n">
        <v>6320.78</v>
      </c>
      <c r="C341" s="19" t="n">
        <f aca="false">B341/B340-1</f>
        <v>0.00113564189108928</v>
      </c>
      <c r="D341" s="17" t="n">
        <f aca="false">AVERAGE(B292:B341)</f>
        <v>6044.8826</v>
      </c>
      <c r="E341" s="17" t="n">
        <f aca="false">AVERAGE(B142:B341)</f>
        <v>5704.83835</v>
      </c>
      <c r="F341" s="17" t="n">
        <f aca="false">B341*2/13+F340*11/13</f>
        <v>6221.98721291033</v>
      </c>
      <c r="G341" s="17" t="n">
        <f aca="false">B341*2/27+G340*25/27</f>
        <v>6145.43164697959</v>
      </c>
      <c r="H341" s="17" t="n">
        <f aca="false">F341-G341</f>
        <v>76.5555659307338</v>
      </c>
      <c r="I341" s="17" t="n">
        <f aca="false">H341*2/10+I340*8/10</f>
        <v>60.4104942319345</v>
      </c>
      <c r="J341" s="17" t="n">
        <f aca="false">H341-I341</f>
        <v>16.1450716987993</v>
      </c>
      <c r="K341" s="17" t="n">
        <f aca="false">MAX(B341-B340,0)</f>
        <v>7.17000000000007</v>
      </c>
      <c r="L341" s="17" t="n">
        <f aca="false">MAX(B340-B341,0)</f>
        <v>0</v>
      </c>
      <c r="M341" s="17" t="n">
        <f aca="false">(M340*13+K341)/14</f>
        <v>20.2705854027495</v>
      </c>
      <c r="N341" s="17" t="n">
        <f aca="false">(N340*13+L341)/14</f>
        <v>6.45992209165638</v>
      </c>
      <c r="O341" s="17" t="n">
        <f aca="false">IF(N341=0,100,100-100/(1+M341/N341))</f>
        <v>75.8331483492848</v>
      </c>
      <c r="P341" s="17" t="n">
        <f aca="false">AVERAGE(B322:B341)+2*STDEV(B322:B341)</f>
        <v>6345.73072166247</v>
      </c>
      <c r="Q341" s="17" t="n">
        <f aca="false">AVERAGE(B322:B341)-2*STDEV(B322:B341)</f>
        <v>5968.49027833753</v>
      </c>
      <c r="R341" s="19" t="n">
        <f aca="false">B341/B321-1</f>
        <v>0.0424275008575876</v>
      </c>
      <c r="S341" s="17" t="n">
        <f aca="false">STDEV(C322:C341)*SQRT(252)*100</f>
        <v>11.59466878453</v>
      </c>
      <c r="T341" s="19" t="n">
        <f aca="false">B320/B90-1</f>
        <v>0.260901326140706</v>
      </c>
      <c r="U341" s="19" t="n">
        <f aca="false">B341/MAX(B90:B341)-1</f>
        <v>0</v>
      </c>
      <c r="V341" s="17" t="n">
        <f aca="false">(B341-AVERAGE(B322:B341))/STDEV(B322:B341)</f>
        <v>1.73543958921732</v>
      </c>
    </row>
    <row r="342" customFormat="false" ht="15" hidden="false" customHeight="false" outlineLevel="0" collapsed="false">
      <c r="A342" s="17" t="s">
        <v>906</v>
      </c>
      <c r="B342" s="17" t="n">
        <v>6345.81</v>
      </c>
      <c r="C342" s="19" t="n">
        <f aca="false">B342/B341-1</f>
        <v>0.00395995430943663</v>
      </c>
      <c r="D342" s="17" t="n">
        <f aca="false">AVERAGE(B293:B342)</f>
        <v>6054.556</v>
      </c>
      <c r="E342" s="17" t="n">
        <f aca="false">AVERAGE(B143:B342)</f>
        <v>5710.81005</v>
      </c>
      <c r="F342" s="17" t="n">
        <f aca="false">B342*2/13+F341*11/13</f>
        <v>6241.03687246259</v>
      </c>
      <c r="G342" s="17" t="n">
        <f aca="false">B342*2/27+G341*25/27</f>
        <v>6160.27448794407</v>
      </c>
      <c r="H342" s="17" t="n">
        <f aca="false">F342-G342</f>
        <v>80.7623845185162</v>
      </c>
      <c r="I342" s="17" t="n">
        <f aca="false">H342*2/10+I341*8/10</f>
        <v>64.4808722892509</v>
      </c>
      <c r="J342" s="17" t="n">
        <f aca="false">H342-I342</f>
        <v>16.2815122292654</v>
      </c>
      <c r="K342" s="17" t="n">
        <f aca="false">MAX(B342-B341,0)</f>
        <v>25.0300000000007</v>
      </c>
      <c r="L342" s="17" t="n">
        <f aca="false">MAX(B341-B342,0)</f>
        <v>0</v>
      </c>
      <c r="M342" s="17" t="n">
        <f aca="false">(M341*13+K342)/14</f>
        <v>20.6105435882674</v>
      </c>
      <c r="N342" s="17" t="n">
        <f aca="false">(N341*13+L342)/14</f>
        <v>5.9984990851095</v>
      </c>
      <c r="O342" s="17" t="n">
        <f aca="false">IF(N342=0,100,100-100/(1+M342/N342))</f>
        <v>77.4569150843177</v>
      </c>
      <c r="P342" s="17" t="n">
        <f aca="false">AVERAGE(B323:B342)+2*STDEV(B323:B342)</f>
        <v>6373.13299242755</v>
      </c>
      <c r="Q342" s="17" t="n">
        <f aca="false">AVERAGE(B323:B342)-2*STDEV(B323:B342)</f>
        <v>5967.54400757245</v>
      </c>
      <c r="R342" s="19" t="n">
        <f aca="false">B342/B322-1</f>
        <v>0.0435042137718398</v>
      </c>
      <c r="S342" s="17" t="n">
        <f aca="false">STDEV(C323:C342)*SQRT(252)*100</f>
        <v>11.6101976256703</v>
      </c>
      <c r="T342" s="19" t="n">
        <f aca="false">B321/B91-1</f>
        <v>0.256641203022478</v>
      </c>
      <c r="U342" s="19" t="n">
        <f aca="false">B342/MAX(B91:B342)-1</f>
        <v>0</v>
      </c>
      <c r="V342" s="17" t="n">
        <f aca="false">(B342-AVERAGE(B323:B342))/STDEV(B323:B342)</f>
        <v>1.73053516295754</v>
      </c>
    </row>
    <row r="343" customFormat="false" ht="15" hidden="false" customHeight="false" outlineLevel="0" collapsed="false">
      <c r="A343" s="17" t="s">
        <v>907</v>
      </c>
      <c r="B343" s="17" t="n">
        <v>6312.21</v>
      </c>
      <c r="C343" s="19" t="n">
        <f aca="false">B343/B342-1</f>
        <v>-0.00529483233818862</v>
      </c>
      <c r="D343" s="17" t="n">
        <f aca="false">AVERAGE(B294:B343)</f>
        <v>6062.1422</v>
      </c>
      <c r="E343" s="17" t="n">
        <f aca="false">AVERAGE(B144:B343)</f>
        <v>5716.5865</v>
      </c>
      <c r="F343" s="17" t="n">
        <f aca="false">B343*2/13+F342*11/13</f>
        <v>6251.98658439142</v>
      </c>
      <c r="G343" s="17" t="n">
        <f aca="false">B343*2/27+G342*25/27</f>
        <v>6171.52897031858</v>
      </c>
      <c r="H343" s="17" t="n">
        <f aca="false">F343-G343</f>
        <v>80.4576140728359</v>
      </c>
      <c r="I343" s="17" t="n">
        <f aca="false">H343*2/10+I342*8/10</f>
        <v>67.6762206459679</v>
      </c>
      <c r="J343" s="17" t="n">
        <f aca="false">H343-I343</f>
        <v>12.781393426868</v>
      </c>
      <c r="K343" s="17" t="n">
        <f aca="false">MAX(B343-B342,0)</f>
        <v>0</v>
      </c>
      <c r="L343" s="17" t="n">
        <f aca="false">MAX(B342-B343,0)</f>
        <v>33.6000000000004</v>
      </c>
      <c r="M343" s="17" t="n">
        <f aca="false">(M342*13+K343)/14</f>
        <v>19.1383619033912</v>
      </c>
      <c r="N343" s="17" t="n">
        <f aca="false">(N342*13+L343)/14</f>
        <v>7.97003486474456</v>
      </c>
      <c r="O343" s="17" t="n">
        <f aca="false">IF(N343=0,100,100-100/(1+M343/N343))</f>
        <v>70.5993868508194</v>
      </c>
      <c r="P343" s="17" t="n">
        <f aca="false">AVERAGE(B324:B343)+2*STDEV(B324:B343)</f>
        <v>6388.90877540062</v>
      </c>
      <c r="Q343" s="17" t="n">
        <f aca="false">AVERAGE(B324:B343)-2*STDEV(B324:B343)</f>
        <v>5975.99022459938</v>
      </c>
      <c r="R343" s="19" t="n">
        <f aca="false">B343/B323-1</f>
        <v>0.0399045138459866</v>
      </c>
      <c r="S343" s="17" t="n">
        <f aca="false">STDEV(C324:C343)*SQRT(252)*100</f>
        <v>11.8301066601649</v>
      </c>
      <c r="T343" s="19" t="n">
        <f aca="false">B322/B92-1</f>
        <v>0.281064160116957</v>
      </c>
      <c r="U343" s="19" t="n">
        <f aca="false">B343/MAX(B92:B343)-1</f>
        <v>-0.00529483233818862</v>
      </c>
      <c r="V343" s="17" t="n">
        <f aca="false">(B343-AVERAGE(B324:B343))/STDEV(B324:B343)</f>
        <v>1.25700818961232</v>
      </c>
    </row>
    <row r="344" customFormat="false" ht="15" hidden="false" customHeight="false" outlineLevel="0" collapsed="false">
      <c r="A344" s="17" t="s">
        <v>908</v>
      </c>
      <c r="B344" s="17" t="n">
        <v>6309.07</v>
      </c>
      <c r="C344" s="19" t="n">
        <f aca="false">B344/B343-1</f>
        <v>-0.000497448595658256</v>
      </c>
      <c r="D344" s="17" t="n">
        <f aca="false">AVERAGE(B295:B344)</f>
        <v>6068.5516</v>
      </c>
      <c r="E344" s="17" t="n">
        <f aca="false">AVERAGE(B145:B344)</f>
        <v>5722.29155</v>
      </c>
      <c r="F344" s="17" t="n">
        <f aca="false">B344*2/13+F343*11/13</f>
        <v>6260.7686483312</v>
      </c>
      <c r="G344" s="17" t="n">
        <f aca="false">B344*2/27+G343*25/27</f>
        <v>6181.71719473943</v>
      </c>
      <c r="H344" s="17" t="n">
        <f aca="false">F344-G344</f>
        <v>79.051453591771</v>
      </c>
      <c r="I344" s="17" t="n">
        <f aca="false">H344*2/10+I343*8/10</f>
        <v>69.9512672351285</v>
      </c>
      <c r="J344" s="17" t="n">
        <f aca="false">H344-I344</f>
        <v>9.10018635664245</v>
      </c>
      <c r="K344" s="17" t="n">
        <f aca="false">MAX(B344-B343,0)</f>
        <v>0</v>
      </c>
      <c r="L344" s="17" t="n">
        <f aca="false">MAX(B343-B344,0)</f>
        <v>3.14000000000033</v>
      </c>
      <c r="M344" s="17" t="n">
        <f aca="false">(M343*13+K344)/14</f>
        <v>17.771336053149</v>
      </c>
      <c r="N344" s="17" t="n">
        <f aca="false">(N343*13+L344)/14</f>
        <v>7.62503237440568</v>
      </c>
      <c r="O344" s="17" t="n">
        <f aca="false">IF(N344=0,100,100-100/(1+M344/N344))</f>
        <v>69.9758947970977</v>
      </c>
      <c r="P344" s="17" t="n">
        <f aca="false">AVERAGE(B325:B344)+2*STDEV(B325:B344)</f>
        <v>6402.56873423313</v>
      </c>
      <c r="Q344" s="17" t="n">
        <f aca="false">AVERAGE(B325:B344)-2*STDEV(B325:B344)</f>
        <v>5983.99226576687</v>
      </c>
      <c r="R344" s="19" t="n">
        <f aca="false">B344/B324-1</f>
        <v>0.03555548260552</v>
      </c>
      <c r="S344" s="17" t="n">
        <f aca="false">STDEV(C325:C344)*SQRT(252)*100</f>
        <v>11.8431862528532</v>
      </c>
      <c r="T344" s="19" t="n">
        <f aca="false">B323/B93-1</f>
        <v>0.277368238302171</v>
      </c>
      <c r="U344" s="19" t="n">
        <f aca="false">B344/MAX(B93:B344)-1</f>
        <v>-0.00578964702693596</v>
      </c>
      <c r="V344" s="17" t="n">
        <f aca="false">(B344-AVERAGE(B325:B344))/STDEV(B325:B344)</f>
        <v>1.10650749598298</v>
      </c>
    </row>
    <row r="345" customFormat="false" ht="15" hidden="false" customHeight="false" outlineLevel="0" collapsed="false">
      <c r="A345" s="17" t="s">
        <v>909</v>
      </c>
      <c r="B345" s="17" t="n">
        <v>6316.18</v>
      </c>
      <c r="C345" s="19" t="n">
        <f aca="false">B345/B344-1</f>
        <v>0.00112694897980226</v>
      </c>
      <c r="D345" s="17" t="n">
        <f aca="false">AVERAGE(B296:B345)</f>
        <v>6075.1172</v>
      </c>
      <c r="E345" s="17" t="n">
        <f aca="false">AVERAGE(B146:B345)</f>
        <v>5728.2258</v>
      </c>
      <c r="F345" s="17" t="n">
        <f aca="false">B345*2/13+F344*11/13</f>
        <v>6269.29347166486</v>
      </c>
      <c r="G345" s="17" t="n">
        <f aca="false">B345*2/27+G344*25/27</f>
        <v>6191.67740253651</v>
      </c>
      <c r="H345" s="17" t="n">
        <f aca="false">F345-G345</f>
        <v>77.6160691283531</v>
      </c>
      <c r="I345" s="17" t="n">
        <f aca="false">H345*2/10+I344*8/10</f>
        <v>71.4842276137734</v>
      </c>
      <c r="J345" s="17" t="n">
        <f aca="false">H345-I345</f>
        <v>6.13184151457963</v>
      </c>
      <c r="K345" s="17" t="n">
        <f aca="false">MAX(B345-B344,0)</f>
        <v>7.11000000000058</v>
      </c>
      <c r="L345" s="17" t="n">
        <f aca="false">MAX(B344-B345,0)</f>
        <v>0</v>
      </c>
      <c r="M345" s="17" t="n">
        <f aca="false">(M344*13+K345)/14</f>
        <v>17.0098120493527</v>
      </c>
      <c r="N345" s="17" t="n">
        <f aca="false">(N344*13+L345)/14</f>
        <v>7.08038720480528</v>
      </c>
      <c r="O345" s="17" t="n">
        <f aca="false">IF(N345=0,100,100-100/(1+M345/N345))</f>
        <v>70.6088474814785</v>
      </c>
      <c r="P345" s="17" t="n">
        <f aca="false">AVERAGE(B326:B345)+2*STDEV(B326:B345)</f>
        <v>6416.07824995191</v>
      </c>
      <c r="Q345" s="17" t="n">
        <f aca="false">AVERAGE(B326:B345)-2*STDEV(B326:B345)</f>
        <v>5990.64775004809</v>
      </c>
      <c r="R345" s="19" t="n">
        <f aca="false">B345/B325-1</f>
        <v>0.0329788225750796</v>
      </c>
      <c r="S345" s="17" t="n">
        <f aca="false">STDEV(C326:C345)*SQRT(252)*100</f>
        <v>11.8246166633943</v>
      </c>
      <c r="T345" s="19" t="n">
        <f aca="false">B324/B94-1</f>
        <v>0.295703566962425</v>
      </c>
      <c r="U345" s="19" t="n">
        <f aca="false">B345/MAX(B94:B345)-1</f>
        <v>-0.00466922268394421</v>
      </c>
      <c r="V345" s="17" t="n">
        <f aca="false">(B345-AVERAGE(B326:B345))/STDEV(B326:B345)</f>
        <v>1.06073259933648</v>
      </c>
    </row>
    <row r="346" customFormat="false" ht="15" hidden="false" customHeight="false" outlineLevel="0" collapsed="false">
      <c r="A346" s="17" t="s">
        <v>910</v>
      </c>
      <c r="B346" s="17" t="n">
        <v>6293.64</v>
      </c>
      <c r="C346" s="19" t="n">
        <f aca="false">B346/B345-1</f>
        <v>-0.00356861267411635</v>
      </c>
      <c r="D346" s="17" t="n">
        <f aca="false">AVERAGE(B297:B346)</f>
        <v>6082.3354</v>
      </c>
      <c r="E346" s="17" t="n">
        <f aca="false">AVERAGE(B147:B346)</f>
        <v>5734.11015</v>
      </c>
      <c r="F346" s="17" t="n">
        <f aca="false">B346*2/13+F345*11/13</f>
        <v>6273.03909140873</v>
      </c>
      <c r="G346" s="17" t="n">
        <f aca="false">B346*2/27+G345*25/27</f>
        <v>6199.2301875338</v>
      </c>
      <c r="H346" s="17" t="n">
        <f aca="false">F346-G346</f>
        <v>73.8089038749258</v>
      </c>
      <c r="I346" s="17" t="n">
        <f aca="false">H346*2/10+I345*8/10</f>
        <v>71.9491628660039</v>
      </c>
      <c r="J346" s="17" t="n">
        <f aca="false">H346-I346</f>
        <v>1.85974100892192</v>
      </c>
      <c r="K346" s="17" t="n">
        <f aca="false">MAX(B346-B345,0)</f>
        <v>0</v>
      </c>
      <c r="L346" s="17" t="n">
        <f aca="false">MAX(B345-B346,0)</f>
        <v>22.54</v>
      </c>
      <c r="M346" s="17" t="n">
        <f aca="false">(M345*13+K346)/14</f>
        <v>15.7948254743989</v>
      </c>
      <c r="N346" s="17" t="n">
        <f aca="false">(N345*13+L346)/14</f>
        <v>8.1846452616049</v>
      </c>
      <c r="O346" s="17" t="n">
        <f aca="false">IF(N346=0,100,100-100/(1+M346/N346))</f>
        <v>65.8681154738077</v>
      </c>
      <c r="P346" s="17" t="n">
        <f aca="false">AVERAGE(B327:B346)+2*STDEV(B327:B346)</f>
        <v>6424.71204158404</v>
      </c>
      <c r="Q346" s="17" t="n">
        <f aca="false">AVERAGE(B327:B346)-2*STDEV(B327:B346)</f>
        <v>5999.11695841596</v>
      </c>
      <c r="R346" s="19" t="n">
        <f aca="false">B346/B326-1</f>
        <v>0.027934165331452</v>
      </c>
      <c r="S346" s="17" t="n">
        <f aca="false">STDEV(C327:C346)*SQRT(252)*100</f>
        <v>11.9691385054359</v>
      </c>
      <c r="T346" s="19" t="n">
        <f aca="false">B325/B95-1</f>
        <v>0.283359953992784</v>
      </c>
      <c r="U346" s="19" t="n">
        <f aca="false">B346/MAX(B95:B346)-1</f>
        <v>-0.00822117271081235</v>
      </c>
      <c r="V346" s="17" t="n">
        <f aca="false">(B346-AVERAGE(B327:B346))/STDEV(B327:B346)</f>
        <v>0.768105678210802</v>
      </c>
    </row>
    <row r="347" customFormat="false" ht="15" hidden="false" customHeight="false" outlineLevel="0" collapsed="false">
      <c r="A347" s="17" t="s">
        <v>911</v>
      </c>
      <c r="B347" s="17" t="n">
        <v>6258.36</v>
      </c>
      <c r="C347" s="19" t="n">
        <f aca="false">B347/B346-1</f>
        <v>-0.00560565904627541</v>
      </c>
      <c r="D347" s="17" t="n">
        <f aca="false">AVERAGE(B298:B347)</f>
        <v>6088.48</v>
      </c>
      <c r="E347" s="17" t="n">
        <f aca="false">AVERAGE(B148:B347)</f>
        <v>5739.6385</v>
      </c>
      <c r="F347" s="17" t="n">
        <f aca="false">B347*2/13+F346*11/13</f>
        <v>6270.78076965354</v>
      </c>
      <c r="G347" s="17" t="n">
        <f aca="false">B347*2/27+G346*25/27</f>
        <v>6203.61017364241</v>
      </c>
      <c r="H347" s="17" t="n">
        <f aca="false">F347-G347</f>
        <v>67.1705960111285</v>
      </c>
      <c r="I347" s="17" t="n">
        <f aca="false">H347*2/10+I346*8/10</f>
        <v>70.9934494950288</v>
      </c>
      <c r="J347" s="17" t="n">
        <f aca="false">H347-I347</f>
        <v>-3.82285348390032</v>
      </c>
      <c r="K347" s="17" t="n">
        <f aca="false">MAX(B347-B346,0)</f>
        <v>0</v>
      </c>
      <c r="L347" s="17" t="n">
        <f aca="false">MAX(B346-B347,0)</f>
        <v>35.2800000000007</v>
      </c>
      <c r="M347" s="17" t="n">
        <f aca="false">(M346*13+K347)/14</f>
        <v>14.666623654799</v>
      </c>
      <c r="N347" s="17" t="n">
        <f aca="false">(N346*13+L347)/14</f>
        <v>10.1200277429189</v>
      </c>
      <c r="O347" s="17" t="n">
        <f aca="false">IF(N347=0,100,100-100/(1+M347/N347))</f>
        <v>59.1714605553752</v>
      </c>
      <c r="P347" s="17" t="n">
        <f aca="false">AVERAGE(B328:B347)+2*STDEV(B328:B347)</f>
        <v>6427.71669999812</v>
      </c>
      <c r="Q347" s="17" t="n">
        <f aca="false">AVERAGE(B328:B347)-2*STDEV(B328:B347)</f>
        <v>6010.51330000188</v>
      </c>
      <c r="R347" s="19" t="n">
        <f aca="false">B347/B327-1</f>
        <v>0.0235527897487058</v>
      </c>
      <c r="S347" s="17" t="n">
        <f aca="false">STDEV(C328:C347)*SQRT(252)*100</f>
        <v>12.1923343857386</v>
      </c>
      <c r="T347" s="19" t="n">
        <f aca="false">B326/B96-1</f>
        <v>0.277601220298522</v>
      </c>
      <c r="U347" s="19" t="n">
        <f aca="false">B347/MAX(B96:B347)-1</f>
        <v>-0.0137807466659103</v>
      </c>
      <c r="V347" s="17" t="n">
        <f aca="false">(B347-AVERAGE(B328:B347))/STDEV(B328:B347)</f>
        <v>0.376267307508556</v>
      </c>
    </row>
    <row r="348" customFormat="false" ht="15" hidden="false" customHeight="false" outlineLevel="0" collapsed="false">
      <c r="A348" s="17" t="s">
        <v>912</v>
      </c>
      <c r="B348" s="17" t="n">
        <v>6339.14</v>
      </c>
      <c r="C348" s="19" t="n">
        <f aca="false">B348/B347-1</f>
        <v>0.0129075348813428</v>
      </c>
      <c r="D348" s="17" t="n">
        <f aca="false">AVERAGE(B299:B348)</f>
        <v>6095.9766</v>
      </c>
      <c r="E348" s="17" t="n">
        <f aca="false">AVERAGE(B149:B348)</f>
        <v>5745.5957</v>
      </c>
      <c r="F348" s="17" t="n">
        <f aca="false">B348*2/13+F347*11/13</f>
        <v>6281.29757432223</v>
      </c>
      <c r="G348" s="17" t="n">
        <f aca="false">B348*2/27+G347*25/27</f>
        <v>6213.64942003927</v>
      </c>
      <c r="H348" s="17" t="n">
        <f aca="false">F348-G348</f>
        <v>67.648154282957</v>
      </c>
      <c r="I348" s="17" t="n">
        <f aca="false">H348*2/10+I347*8/10</f>
        <v>70.3243904526145</v>
      </c>
      <c r="J348" s="17" t="n">
        <f aca="false">H348-I348</f>
        <v>-2.67623616965749</v>
      </c>
      <c r="K348" s="17" t="n">
        <f aca="false">MAX(B348-B347,0)</f>
        <v>80.7800000000007</v>
      </c>
      <c r="L348" s="17" t="n">
        <f aca="false">MAX(B347-B348,0)</f>
        <v>0</v>
      </c>
      <c r="M348" s="17" t="n">
        <f aca="false">(M347*13+K348)/14</f>
        <v>19.3890076794562</v>
      </c>
      <c r="N348" s="17" t="n">
        <f aca="false">(N347*13+L348)/14</f>
        <v>9.39716861842467</v>
      </c>
      <c r="O348" s="17" t="n">
        <f aca="false">IF(N348=0,100,100-100/(1+M348/N348))</f>
        <v>67.3552731659034</v>
      </c>
      <c r="P348" s="17" t="n">
        <f aca="false">AVERAGE(B329:B348)+2*STDEV(B329:B348)</f>
        <v>6437.69127667222</v>
      </c>
      <c r="Q348" s="17" t="n">
        <f aca="false">AVERAGE(B329:B348)-2*STDEV(B329:B348)</f>
        <v>6025.19072332778</v>
      </c>
      <c r="R348" s="19" t="n">
        <f aca="false">B348/B328-1</f>
        <v>0.0404620672223117</v>
      </c>
      <c r="S348" s="17" t="n">
        <f aca="false">STDEV(C329:C348)*SQRT(252)*100</f>
        <v>12.7307280132924</v>
      </c>
      <c r="T348" s="19" t="n">
        <f aca="false">B327/B97-1</f>
        <v>0.266805342902546</v>
      </c>
      <c r="U348" s="19" t="n">
        <f aca="false">B348/MAX(B97:B348)-1</f>
        <v>-0.00105108725284875</v>
      </c>
      <c r="V348" s="17" t="n">
        <f aca="false">(B348-AVERAGE(B329:B348))/STDEV(B329:B348)</f>
        <v>1.04435253845654</v>
      </c>
    </row>
    <row r="349" customFormat="false" ht="15" hidden="false" customHeight="false" outlineLevel="0" collapsed="false">
      <c r="A349" s="17" t="s">
        <v>913</v>
      </c>
      <c r="B349" s="17" t="n">
        <v>6314.51</v>
      </c>
      <c r="C349" s="19" t="n">
        <f aca="false">B349/B348-1</f>
        <v>-0.00388538508378111</v>
      </c>
      <c r="D349" s="17" t="n">
        <f aca="false">AVERAGE(B300:B349)</f>
        <v>6103.9994</v>
      </c>
      <c r="E349" s="17" t="n">
        <f aca="false">AVERAGE(B150:B349)</f>
        <v>5751.36025</v>
      </c>
      <c r="F349" s="17" t="n">
        <f aca="false">B349*2/13+F348*11/13</f>
        <v>6286.40717827265</v>
      </c>
      <c r="G349" s="17" t="n">
        <f aca="false">B349*2/27+G348*25/27</f>
        <v>6221.12057411044</v>
      </c>
      <c r="H349" s="17" t="n">
        <f aca="false">F349-G349</f>
        <v>65.2866041622183</v>
      </c>
      <c r="I349" s="17" t="n">
        <f aca="false">H349*2/10+I348*8/10</f>
        <v>69.3168331945352</v>
      </c>
      <c r="J349" s="17" t="n">
        <f aca="false">H349-I349</f>
        <v>-4.03022903231694</v>
      </c>
      <c r="K349" s="17" t="n">
        <f aca="false">MAX(B349-B348,0)</f>
        <v>0</v>
      </c>
      <c r="L349" s="17" t="n">
        <f aca="false">MAX(B348-B349,0)</f>
        <v>24.6300000000001</v>
      </c>
      <c r="M349" s="17" t="n">
        <f aca="false">(M348*13+K349)/14</f>
        <v>18.0040785594951</v>
      </c>
      <c r="N349" s="17" t="n">
        <f aca="false">(N348*13+L349)/14</f>
        <v>10.4852280028229</v>
      </c>
      <c r="O349" s="17" t="n">
        <f aca="false">IF(N349=0,100,100-100/(1+M349/N349))</f>
        <v>63.1959171070473</v>
      </c>
      <c r="P349" s="17" t="n">
        <f aca="false">AVERAGE(B330:B349)+2*STDEV(B330:B349)</f>
        <v>6442.67598842675</v>
      </c>
      <c r="Q349" s="17" t="n">
        <f aca="false">AVERAGE(B330:B349)-2*STDEV(B330:B349)</f>
        <v>6040.77501157325</v>
      </c>
      <c r="R349" s="19" t="n">
        <f aca="false">B349/B329-1</f>
        <v>0.0336709871955632</v>
      </c>
      <c r="S349" s="17" t="n">
        <f aca="false">STDEV(C330:C349)*SQRT(252)*100</f>
        <v>12.8976971853007</v>
      </c>
      <c r="T349" s="19" t="n">
        <f aca="false">B328/B98-1</f>
        <v>0.26717331802564</v>
      </c>
      <c r="U349" s="19" t="n">
        <f aca="false">B349/MAX(B98:B349)-1</f>
        <v>-0.0049323884578959</v>
      </c>
      <c r="V349" s="17" t="n">
        <f aca="false">(B349-AVERAGE(B330:B349))/STDEV(B330:B349)</f>
        <v>0.724402319893178</v>
      </c>
    </row>
    <row r="350" customFormat="false" ht="15" hidden="false" customHeight="false" outlineLevel="0" collapsed="false">
      <c r="A350" s="17" t="s">
        <v>914</v>
      </c>
      <c r="B350" s="17" t="n">
        <v>6308.61</v>
      </c>
      <c r="C350" s="19" t="n">
        <f aca="false">B350/B349-1</f>
        <v>-0.000934355951609955</v>
      </c>
      <c r="D350" s="17" t="n">
        <f aca="false">AVERAGE(B301:B350)</f>
        <v>6110.561</v>
      </c>
      <c r="E350" s="17" t="n">
        <f aca="false">AVERAGE(B151:B350)</f>
        <v>5757.0635</v>
      </c>
      <c r="F350" s="17" t="n">
        <f aca="false">B350*2/13+F349*11/13</f>
        <v>6289.82299699994</v>
      </c>
      <c r="G350" s="17" t="n">
        <f aca="false">B350*2/27+G349*25/27</f>
        <v>6227.60127232448</v>
      </c>
      <c r="H350" s="17" t="n">
        <f aca="false">F350-G350</f>
        <v>62.2217246754617</v>
      </c>
      <c r="I350" s="17" t="n">
        <f aca="false">H350*2/10+I349*8/10</f>
        <v>67.8978114907205</v>
      </c>
      <c r="J350" s="17" t="n">
        <f aca="false">H350-I350</f>
        <v>-5.67608681525881</v>
      </c>
      <c r="K350" s="17" t="n">
        <f aca="false">MAX(B350-B349,0)</f>
        <v>0</v>
      </c>
      <c r="L350" s="17" t="n">
        <f aca="false">MAX(B349-B350,0)</f>
        <v>5.90000000000055</v>
      </c>
      <c r="M350" s="17" t="n">
        <f aca="false">(M349*13+K350)/14</f>
        <v>16.7180729481026</v>
      </c>
      <c r="N350" s="17" t="n">
        <f aca="false">(N349*13+L350)/14</f>
        <v>10.157711716907</v>
      </c>
      <c r="O350" s="17" t="n">
        <f aca="false">IF(N350=0,100,100-100/(1+M350/N350))</f>
        <v>62.2049668743936</v>
      </c>
      <c r="P350" s="17" t="n">
        <f aca="false">AVERAGE(B331:B350)+2*STDEV(B331:B350)</f>
        <v>6439.09229511194</v>
      </c>
      <c r="Q350" s="17" t="n">
        <f aca="false">AVERAGE(B331:B350)-2*STDEV(B331:B350)</f>
        <v>6068.43670488806</v>
      </c>
      <c r="R350" s="19" t="n">
        <f aca="false">B350/B330-1</f>
        <v>0.0396814017531804</v>
      </c>
      <c r="S350" s="17" t="n">
        <f aca="false">STDEV(C331:C350)*SQRT(252)*100</f>
        <v>12.5573577461995</v>
      </c>
      <c r="T350" s="19" t="n">
        <f aca="false">B329/B99-1</f>
        <v>0.257217534472114</v>
      </c>
      <c r="U350" s="19" t="n">
        <f aca="false">B350/MAX(B99:B350)-1</f>
        <v>-0.00586213580299455</v>
      </c>
      <c r="V350" s="17" t="n">
        <f aca="false">(B350-AVERAGE(B331:B350))/STDEV(B331:B350)</f>
        <v>0.591875600385497</v>
      </c>
    </row>
    <row r="351" customFormat="false" ht="15" hidden="false" customHeight="false" outlineLevel="0" collapsed="false">
      <c r="A351" s="17" t="s">
        <v>915</v>
      </c>
      <c r="B351" s="17" t="n">
        <v>6378.63</v>
      </c>
      <c r="C351" s="19" t="n">
        <f aca="false">B351/B350-1</f>
        <v>0.0110991169211603</v>
      </c>
      <c r="D351" s="17" t="n">
        <f aca="false">AVERAGE(B302:B351)</f>
        <v>6118.2208</v>
      </c>
      <c r="E351" s="17" t="n">
        <f aca="false">AVERAGE(B152:B351)</f>
        <v>5763.02725</v>
      </c>
      <c r="F351" s="17" t="n">
        <f aca="false">B351*2/13+F350*11/13</f>
        <v>6303.4856128461</v>
      </c>
      <c r="G351" s="17" t="n">
        <f aca="false">B351*2/27+G350*25/27</f>
        <v>6238.78858548563</v>
      </c>
      <c r="H351" s="17" t="n">
        <f aca="false">F351-G351</f>
        <v>64.6970273604748</v>
      </c>
      <c r="I351" s="17" t="n">
        <f aca="false">H351*2/10+I350*8/10</f>
        <v>67.2576546646714</v>
      </c>
      <c r="J351" s="17" t="n">
        <f aca="false">H351-I351</f>
        <v>-2.56062730419661</v>
      </c>
      <c r="K351" s="17" t="n">
        <f aca="false">MAX(B351-B350,0)</f>
        <v>70.0200000000004</v>
      </c>
      <c r="L351" s="17" t="n">
        <f aca="false">MAX(B350-B351,0)</f>
        <v>0</v>
      </c>
      <c r="M351" s="17" t="n">
        <f aca="false">(M350*13+K351)/14</f>
        <v>20.5253534518096</v>
      </c>
      <c r="N351" s="17" t="n">
        <f aca="false">(N350*13+L351)/14</f>
        <v>9.43216087998511</v>
      </c>
      <c r="O351" s="17" t="n">
        <f aca="false">IF(N351=0,100,100-100/(1+M351/N351))</f>
        <v>68.5148748473617</v>
      </c>
      <c r="P351" s="17" t="n">
        <f aca="false">AVERAGE(B332:B351)+2*STDEV(B332:B351)</f>
        <v>6442.90001143853</v>
      </c>
      <c r="Q351" s="17" t="n">
        <f aca="false">AVERAGE(B332:B351)-2*STDEV(B332:B351)</f>
        <v>6094.46998856147</v>
      </c>
      <c r="R351" s="19" t="n">
        <f aca="false">B351/B331-1</f>
        <v>0.0490788162270444</v>
      </c>
      <c r="S351" s="17" t="n">
        <f aca="false">STDEV(C332:C351)*SQRT(252)*100</f>
        <v>12.968402540514</v>
      </c>
      <c r="T351" s="19" t="n">
        <f aca="false">B330/B100-1</f>
        <v>0.244979318155705</v>
      </c>
      <c r="U351" s="19" t="n">
        <f aca="false">B351/MAX(B100:B351)-1</f>
        <v>0</v>
      </c>
      <c r="V351" s="17" t="n">
        <f aca="false">(B351-AVERAGE(B332:B351))/STDEV(B332:B351)</f>
        <v>1.26217596396732</v>
      </c>
    </row>
    <row r="352" customFormat="false" ht="15" hidden="false" customHeight="false" outlineLevel="0" collapsed="false">
      <c r="A352" s="17" t="s">
        <v>916</v>
      </c>
      <c r="B352" s="17" t="n">
        <v>6386.12</v>
      </c>
      <c r="C352" s="19" t="n">
        <f aca="false">B352/B351-1</f>
        <v>0.00117423333850675</v>
      </c>
      <c r="D352" s="17" t="n">
        <f aca="false">AVERAGE(B303:B352)</f>
        <v>6125.8556</v>
      </c>
      <c r="E352" s="17" t="n">
        <f aca="false">AVERAGE(B153:B352)</f>
        <v>5768.97495</v>
      </c>
      <c r="F352" s="17" t="n">
        <f aca="false">B352*2/13+F351*11/13</f>
        <v>6316.19859548516</v>
      </c>
      <c r="G352" s="17" t="n">
        <f aca="false">B352*2/27+G351*25/27</f>
        <v>6249.7020235978</v>
      </c>
      <c r="H352" s="17" t="n">
        <f aca="false">F352-G352</f>
        <v>66.49657188736</v>
      </c>
      <c r="I352" s="17" t="n">
        <f aca="false">H352*2/10+I351*8/10</f>
        <v>67.1054381092091</v>
      </c>
      <c r="J352" s="17" t="n">
        <f aca="false">H352-I352</f>
        <v>-0.608866221849084</v>
      </c>
      <c r="K352" s="17" t="n">
        <f aca="false">MAX(B352-B351,0)</f>
        <v>7.48999999999978</v>
      </c>
      <c r="L352" s="17" t="n">
        <f aca="false">MAX(B351-B352,0)</f>
        <v>0</v>
      </c>
      <c r="M352" s="17" t="n">
        <f aca="false">(M351*13+K352)/14</f>
        <v>19.5942567766803</v>
      </c>
      <c r="N352" s="17" t="n">
        <f aca="false">(N351*13+L352)/14</f>
        <v>8.75843510284331</v>
      </c>
      <c r="O352" s="17" t="n">
        <f aca="false">IF(N352=0,100,100-100/(1+M352/N352))</f>
        <v>69.108982173334</v>
      </c>
      <c r="P352" s="17" t="n">
        <f aca="false">AVERAGE(B333:B352)+2*STDEV(B333:B352)</f>
        <v>6435.20933277145</v>
      </c>
      <c r="Q352" s="17" t="n">
        <f aca="false">AVERAGE(B333:B352)-2*STDEV(B333:B352)</f>
        <v>6135.26866722855</v>
      </c>
      <c r="R352" s="19" t="n">
        <f aca="false">B352/B332-1</f>
        <v>0.0546784166578587</v>
      </c>
      <c r="S352" s="17" t="n">
        <f aca="false">STDEV(C333:C352)*SQRT(252)*100</f>
        <v>12.7465376830035</v>
      </c>
      <c r="T352" s="19" t="n">
        <f aca="false">B331/B101-1</f>
        <v>0.252656648523031</v>
      </c>
      <c r="U352" s="19" t="n">
        <f aca="false">B352/MAX(B101:B352)-1</f>
        <v>0</v>
      </c>
      <c r="V352" s="17" t="n">
        <f aca="false">(B352-AVERAGE(B333:B352))/STDEV(B333:B352)</f>
        <v>1.34534608459849</v>
      </c>
    </row>
    <row r="353" customFormat="false" ht="15" hidden="false" customHeight="false" outlineLevel="0" collapsed="false">
      <c r="A353" s="17" t="s">
        <v>917</v>
      </c>
      <c r="B353" s="17" t="n">
        <v>6409.29</v>
      </c>
      <c r="C353" s="19" t="n">
        <f aca="false">B353/B352-1</f>
        <v>0.00362818111779917</v>
      </c>
      <c r="D353" s="17" t="n">
        <f aca="false">AVERAGE(B304:B353)</f>
        <v>6134.665</v>
      </c>
      <c r="E353" s="17" t="n">
        <f aca="false">AVERAGE(B154:B353)</f>
        <v>5774.9606</v>
      </c>
      <c r="F353" s="17" t="n">
        <f aca="false">B353*2/13+F352*11/13</f>
        <v>6330.52035002591</v>
      </c>
      <c r="G353" s="17" t="n">
        <f aca="false">B353*2/27+G352*25/27</f>
        <v>6261.52335518315</v>
      </c>
      <c r="H353" s="17" t="n">
        <f aca="false">F353-G353</f>
        <v>68.9969948427561</v>
      </c>
      <c r="I353" s="17" t="n">
        <f aca="false">H353*2/10+I352*8/10</f>
        <v>67.4837494559185</v>
      </c>
      <c r="J353" s="17" t="n">
        <f aca="false">H353-I353</f>
        <v>1.51324538683758</v>
      </c>
      <c r="K353" s="17" t="n">
        <f aca="false">MAX(B353-B352,0)</f>
        <v>23.1700000000001</v>
      </c>
      <c r="L353" s="17" t="n">
        <f aca="false">MAX(B352-B353,0)</f>
        <v>0</v>
      </c>
      <c r="M353" s="17" t="n">
        <f aca="false">(M352*13+K353)/14</f>
        <v>19.8496670069174</v>
      </c>
      <c r="N353" s="17" t="n">
        <f aca="false">(N352*13+L353)/14</f>
        <v>8.13283259549736</v>
      </c>
      <c r="O353" s="17" t="n">
        <f aca="false">IF(N353=0,100,100-100/(1+M353/N353))</f>
        <v>70.9360038915339</v>
      </c>
      <c r="P353" s="17" t="n">
        <f aca="false">AVERAGE(B334:B353)+2*STDEV(B334:B353)</f>
        <v>6410.56334679827</v>
      </c>
      <c r="Q353" s="17" t="n">
        <f aca="false">AVERAGE(B334:B353)-2*STDEV(B334:B353)</f>
        <v>6197.05665320173</v>
      </c>
      <c r="R353" s="19" t="n">
        <f aca="false">B353/B333-1</f>
        <v>0.0615150707120227</v>
      </c>
      <c r="S353" s="17" t="n">
        <f aca="false">STDEV(C334:C353)*SQRT(252)*100</f>
        <v>12.5799320647869</v>
      </c>
      <c r="T353" s="19" t="n">
        <f aca="false">B332/B102-1</f>
        <v>0.243329596182357</v>
      </c>
      <c r="U353" s="19" t="n">
        <f aca="false">B353/MAX(B102:B353)-1</f>
        <v>0</v>
      </c>
      <c r="V353" s="17" t="n">
        <f aca="false">(B353-AVERAGE(B334:B353))/STDEV(B334:B353)</f>
        <v>1.97614413343546</v>
      </c>
    </row>
    <row r="354" customFormat="false" ht="15" hidden="false" customHeight="false" outlineLevel="0" collapsed="false">
      <c r="A354" s="17" t="s">
        <v>918</v>
      </c>
      <c r="B354" s="17" t="n">
        <v>6405.97</v>
      </c>
      <c r="C354" s="19" t="n">
        <f aca="false">B354/B353-1</f>
        <v>-0.00051799809339248</v>
      </c>
      <c r="D354" s="17" t="n">
        <f aca="false">AVERAGE(B305:B354)</f>
        <v>6143.0244</v>
      </c>
      <c r="E354" s="17" t="n">
        <f aca="false">AVERAGE(B155:B354)</f>
        <v>5780.857</v>
      </c>
      <c r="F354" s="17" t="n">
        <f aca="false">B354*2/13+F353*11/13</f>
        <v>6342.12798848346</v>
      </c>
      <c r="G354" s="17" t="n">
        <f aca="false">B354*2/27+G353*25/27</f>
        <v>6272.22310665107</v>
      </c>
      <c r="H354" s="17" t="n">
        <f aca="false">F354-G354</f>
        <v>69.9048818323945</v>
      </c>
      <c r="I354" s="17" t="n">
        <f aca="false">H354*2/10+I353*8/10</f>
        <v>67.9679759312137</v>
      </c>
      <c r="J354" s="17" t="n">
        <f aca="false">H354-I354</f>
        <v>1.93690590118081</v>
      </c>
      <c r="K354" s="17" t="n">
        <f aca="false">MAX(B354-B353,0)</f>
        <v>0</v>
      </c>
      <c r="L354" s="17" t="n">
        <f aca="false">MAX(B353-B354,0)</f>
        <v>3.31999999999971</v>
      </c>
      <c r="M354" s="17" t="n">
        <f aca="false">(M353*13+K354)/14</f>
        <v>18.4318336492805</v>
      </c>
      <c r="N354" s="17" t="n">
        <f aca="false">(N353*13+L354)/14</f>
        <v>7.7890588386761</v>
      </c>
      <c r="O354" s="17" t="n">
        <f aca="false">IF(N354=0,100,100-100/(1+M354/N354))</f>
        <v>70.2944556816528</v>
      </c>
      <c r="P354" s="17" t="n">
        <f aca="false">AVERAGE(B335:B354)+2*STDEV(B335:B354)</f>
        <v>6420.60417614589</v>
      </c>
      <c r="Q354" s="17" t="n">
        <f aca="false">AVERAGE(B335:B354)-2*STDEV(B335:B354)</f>
        <v>6206.26582385411</v>
      </c>
      <c r="R354" s="19" t="n">
        <f aca="false">B354/B334-1</f>
        <v>0.0309810782058979</v>
      </c>
      <c r="S354" s="17" t="n">
        <f aca="false">STDEV(C335:C354)*SQRT(252)*100</f>
        <v>7.99999027535142</v>
      </c>
      <c r="T354" s="19" t="n">
        <f aca="false">B333/B103-1</f>
        <v>0.243122326035305</v>
      </c>
      <c r="U354" s="19" t="n">
        <f aca="false">B354/MAX(B103:B354)-1</f>
        <v>-0.00051799809339248</v>
      </c>
      <c r="V354" s="17" t="n">
        <f aca="false">(B354-AVERAGE(B335:B354))/STDEV(B335:B354)</f>
        <v>1.72689579835959</v>
      </c>
    </row>
    <row r="355" customFormat="false" ht="15" hidden="false" customHeight="false" outlineLevel="0" collapsed="false">
      <c r="A355" s="17" t="s">
        <v>919</v>
      </c>
      <c r="B355" s="17" t="n">
        <v>6422.56</v>
      </c>
      <c r="C355" s="19" t="n">
        <f aca="false">B355/B354-1</f>
        <v>0.00258977172855945</v>
      </c>
      <c r="D355" s="17" t="n">
        <f aca="false">AVERAGE(B306:B355)</f>
        <v>6151.8532</v>
      </c>
      <c r="E355" s="17" t="n">
        <f aca="false">AVERAGE(B156:B355)</f>
        <v>5786.6857</v>
      </c>
      <c r="F355" s="17" t="n">
        <f aca="false">B355*2/13+F354*11/13</f>
        <v>6354.50214410139</v>
      </c>
      <c r="G355" s="17" t="n">
        <f aca="false">B355*2/27+G354*25/27</f>
        <v>6283.35917282506</v>
      </c>
      <c r="H355" s="17" t="n">
        <f aca="false">F355-G355</f>
        <v>71.1429712763284</v>
      </c>
      <c r="I355" s="17" t="n">
        <f aca="false">H355*2/10+I354*8/10</f>
        <v>68.6029750002366</v>
      </c>
      <c r="J355" s="17" t="n">
        <f aca="false">H355-I355</f>
        <v>2.53999627609173</v>
      </c>
      <c r="K355" s="17" t="n">
        <f aca="false">MAX(B355-B354,0)</f>
        <v>16.5900000000001</v>
      </c>
      <c r="L355" s="17" t="n">
        <f aca="false">MAX(B354-B355,0)</f>
        <v>0</v>
      </c>
      <c r="M355" s="17" t="n">
        <f aca="false">(M354*13+K355)/14</f>
        <v>18.3002741029033</v>
      </c>
      <c r="N355" s="17" t="n">
        <f aca="false">(N354*13+L355)/14</f>
        <v>7.23269749305638</v>
      </c>
      <c r="O355" s="17" t="n">
        <f aca="false">IF(N355=0,100,100-100/(1+M355/N355))</f>
        <v>71.6731071983769</v>
      </c>
      <c r="P355" s="17" t="n">
        <f aca="false">AVERAGE(B336:B355)+2*STDEV(B336:B355)</f>
        <v>6432.91339810391</v>
      </c>
      <c r="Q355" s="17" t="n">
        <f aca="false">AVERAGE(B336:B355)-2*STDEV(B336:B355)</f>
        <v>6213.45360189609</v>
      </c>
      <c r="R355" s="19" t="n">
        <f aca="false">B355/B335-1</f>
        <v>0.0313074560142848</v>
      </c>
      <c r="S355" s="17" t="n">
        <f aca="false">STDEV(C336:C355)*SQRT(252)*100</f>
        <v>8.00464154486187</v>
      </c>
      <c r="T355" s="19" t="n">
        <f aca="false">B334/B104-1</f>
        <v>0.275026112151949</v>
      </c>
      <c r="U355" s="19" t="n">
        <f aca="false">B355/MAX(B104:B355)-1</f>
        <v>0</v>
      </c>
      <c r="V355" s="17" t="n">
        <f aca="false">(B355-AVERAGE(B336:B355))/STDEV(B336:B355)</f>
        <v>1.81129303347923</v>
      </c>
    </row>
    <row r="356" customFormat="false" ht="15" hidden="false" customHeight="false" outlineLevel="0" collapsed="false">
      <c r="A356" s="17" t="s">
        <v>920</v>
      </c>
      <c r="B356" s="17" t="n">
        <v>6311.38</v>
      </c>
      <c r="C356" s="19" t="n">
        <f aca="false">B356/B355-1</f>
        <v>-0.0173108542388083</v>
      </c>
      <c r="D356" s="17" t="n">
        <f aca="false">AVERAGE(B307:B356)</f>
        <v>6158.2592</v>
      </c>
      <c r="E356" s="17" t="n">
        <f aca="false">AVERAGE(B157:B356)</f>
        <v>5791.88725</v>
      </c>
      <c r="F356" s="17" t="n">
        <f aca="false">B356*2/13+F355*11/13</f>
        <v>6347.86796808579</v>
      </c>
      <c r="G356" s="17" t="n">
        <f aca="false">B356*2/27+G355*25/27</f>
        <v>6285.43478965283</v>
      </c>
      <c r="H356" s="17" t="n">
        <f aca="false">F356-G356</f>
        <v>62.433178432957</v>
      </c>
      <c r="I356" s="17" t="n">
        <f aca="false">H356*2/10+I355*8/10</f>
        <v>67.3690156867807</v>
      </c>
      <c r="J356" s="17" t="n">
        <f aca="false">H356-I356</f>
        <v>-4.93583725382371</v>
      </c>
      <c r="K356" s="17" t="n">
        <f aca="false">MAX(B356-B355,0)</f>
        <v>0</v>
      </c>
      <c r="L356" s="17" t="n">
        <f aca="false">MAX(B355-B356,0)</f>
        <v>111.18</v>
      </c>
      <c r="M356" s="17" t="n">
        <f aca="false">(M355*13+K356)/14</f>
        <v>16.9931116669816</v>
      </c>
      <c r="N356" s="17" t="n">
        <f aca="false">(N355*13+L356)/14</f>
        <v>14.6575048149809</v>
      </c>
      <c r="O356" s="17" t="n">
        <f aca="false">IF(N356=0,100,100-100/(1+M356/N356))</f>
        <v>53.6896703944641</v>
      </c>
      <c r="P356" s="17" t="n">
        <f aca="false">AVERAGE(B337:B356)+2*STDEV(B337:B356)</f>
        <v>6430.51706291775</v>
      </c>
      <c r="Q356" s="17" t="n">
        <f aca="false">AVERAGE(B337:B356)-2*STDEV(B337:B356)</f>
        <v>6222.13193708226</v>
      </c>
      <c r="R356" s="19" t="n">
        <f aca="false">B356/B336-1</f>
        <v>0.0100535163301625</v>
      </c>
      <c r="S356" s="17" t="n">
        <f aca="false">STDEV(C337:C356)*SQRT(252)*100</f>
        <v>10.3926483182046</v>
      </c>
      <c r="T356" s="19" t="n">
        <f aca="false">B335/B105-1</f>
        <v>0.294499263117853</v>
      </c>
      <c r="U356" s="19" t="n">
        <f aca="false">B356/MAX(B105:B356)-1</f>
        <v>-0.0173108542388083</v>
      </c>
      <c r="V356" s="17" t="n">
        <f aca="false">(B356-AVERAGE(B337:B356))/STDEV(B337:B356)</f>
        <v>-0.286863084686732</v>
      </c>
    </row>
    <row r="357" customFormat="false" ht="15" hidden="false" customHeight="false" outlineLevel="0" collapsed="false">
      <c r="A357" s="17" t="s">
        <v>921</v>
      </c>
      <c r="B357" s="17" t="n">
        <v>6365.56</v>
      </c>
      <c r="C357" s="19" t="n">
        <f aca="false">B357/B356-1</f>
        <v>0.00858449340714707</v>
      </c>
      <c r="D357" s="17" t="n">
        <f aca="false">AVERAGE(B308:B357)</f>
        <v>6166.0982</v>
      </c>
      <c r="E357" s="17" t="n">
        <f aca="false">AVERAGE(B158:B357)</f>
        <v>5797.2031</v>
      </c>
      <c r="F357" s="17" t="n">
        <f aca="false">B357*2/13+F356*11/13</f>
        <v>6350.58981914952</v>
      </c>
      <c r="G357" s="17" t="n">
        <f aca="false">B357*2/27+G356*25/27</f>
        <v>6291.36999041929</v>
      </c>
      <c r="H357" s="17" t="n">
        <f aca="false">F357-G357</f>
        <v>59.2198287302253</v>
      </c>
      <c r="I357" s="17" t="n">
        <f aca="false">H357*2/10+I356*8/10</f>
        <v>65.7391782954696</v>
      </c>
      <c r="J357" s="17" t="n">
        <f aca="false">H357-I357</f>
        <v>-6.51934956524428</v>
      </c>
      <c r="K357" s="17" t="n">
        <f aca="false">MAX(B357-B356,0)</f>
        <v>54.1800000000003</v>
      </c>
      <c r="L357" s="17" t="n">
        <f aca="false">MAX(B356-B357,0)</f>
        <v>0</v>
      </c>
      <c r="M357" s="17" t="n">
        <f aca="false">(M356*13+K357)/14</f>
        <v>19.649317976483</v>
      </c>
      <c r="N357" s="17" t="n">
        <f aca="false">(N356*13+L357)/14</f>
        <v>13.6105401853394</v>
      </c>
      <c r="O357" s="17" t="n">
        <f aca="false">IF(N357=0,100,100-100/(1+M357/N357))</f>
        <v>59.0781773057517</v>
      </c>
      <c r="P357" s="17" t="n">
        <f aca="false">AVERAGE(B338:B357)+2*STDEV(B338:B357)</f>
        <v>6430.99374251267</v>
      </c>
      <c r="Q357" s="17" t="n">
        <f aca="false">AVERAGE(B338:B357)-2*STDEV(B338:B357)</f>
        <v>6233.34625748733</v>
      </c>
      <c r="R357" s="19" t="n">
        <f aca="false">B357/B337-1</f>
        <v>0.0187096412825172</v>
      </c>
      <c r="S357" s="17" t="n">
        <f aca="false">STDEV(C338:C357)*SQRT(252)*100</f>
        <v>10.7754562621396</v>
      </c>
      <c r="T357" s="19" t="n">
        <f aca="false">B336/B106-1</f>
        <v>0.319904522506918</v>
      </c>
      <c r="U357" s="19" t="n">
        <f aca="false">B357/MAX(B106:B357)-1</f>
        <v>-0.0088749657457462</v>
      </c>
      <c r="V357" s="17" t="n">
        <f aca="false">(B357-AVERAGE(B338:B357))/STDEV(B338:B357)</f>
        <v>0.675748542830573</v>
      </c>
    </row>
    <row r="358" customFormat="false" ht="15" hidden="false" customHeight="false" outlineLevel="0" collapsed="false">
      <c r="A358" s="17" t="s">
        <v>922</v>
      </c>
      <c r="B358" s="17" t="n">
        <v>6337.87</v>
      </c>
      <c r="C358" s="19" t="n">
        <f aca="false">B358/B357-1</f>
        <v>-0.00434997078026134</v>
      </c>
      <c r="D358" s="17" t="n">
        <f aca="false">AVERAGE(B309:B358)</f>
        <v>6174.1574</v>
      </c>
      <c r="E358" s="17" t="n">
        <f aca="false">AVERAGE(B159:B358)</f>
        <v>5802.38925</v>
      </c>
      <c r="F358" s="17" t="n">
        <f aca="false">B358*2/13+F357*11/13</f>
        <v>6348.63292389575</v>
      </c>
      <c r="G358" s="17" t="n">
        <f aca="false">B358*2/27+G357*25/27</f>
        <v>6294.81443557342</v>
      </c>
      <c r="H358" s="17" t="n">
        <f aca="false">F358-G358</f>
        <v>53.8184883223266</v>
      </c>
      <c r="I358" s="17" t="n">
        <f aca="false">H358*2/10+I357*8/10</f>
        <v>63.355040300841</v>
      </c>
      <c r="J358" s="17" t="n">
        <f aca="false">H358-I358</f>
        <v>-9.5365519785144</v>
      </c>
      <c r="K358" s="17" t="n">
        <f aca="false">MAX(B358-B357,0)</f>
        <v>0</v>
      </c>
      <c r="L358" s="17" t="n">
        <f aca="false">MAX(B357-B358,0)</f>
        <v>27.6900000000005</v>
      </c>
      <c r="M358" s="17" t="n">
        <f aca="false">(M357*13+K358)/14</f>
        <v>18.245795263877</v>
      </c>
      <c r="N358" s="17" t="n">
        <f aca="false">(N357*13+L358)/14</f>
        <v>14.6162158863867</v>
      </c>
      <c r="O358" s="17" t="n">
        <f aca="false">IF(N358=0,100,100-100/(1+M358/N358))</f>
        <v>55.5224547287959</v>
      </c>
      <c r="P358" s="17" t="n">
        <f aca="false">AVERAGE(B339:B358)+2*STDEV(B339:B358)</f>
        <v>6425.18285373252</v>
      </c>
      <c r="Q358" s="17" t="n">
        <f aca="false">AVERAGE(B339:B358)-2*STDEV(B339:B358)</f>
        <v>6249.30514626748</v>
      </c>
      <c r="R358" s="19" t="n">
        <f aca="false">B358/B338-1</f>
        <v>0.0162722344176678</v>
      </c>
      <c r="S358" s="17" t="n">
        <f aca="false">STDEV(C339:C358)*SQRT(252)*100</f>
        <v>10.8937140410942</v>
      </c>
      <c r="T358" s="19" t="n">
        <f aca="false">B337/B107-1</f>
        <v>0.318455828517292</v>
      </c>
      <c r="U358" s="19" t="n">
        <f aca="false">B358/MAX(B107:B358)-1</f>
        <v>-0.0131863306843378</v>
      </c>
      <c r="V358" s="17" t="n">
        <f aca="false">(B358-AVERAGE(B339:B358))/STDEV(B339:B358)</f>
        <v>0.0142371653354358</v>
      </c>
    </row>
    <row r="359" customFormat="false" ht="15" hidden="false" customHeight="false" outlineLevel="0" collapsed="false">
      <c r="A359" s="17" t="s">
        <v>923</v>
      </c>
      <c r="B359" s="17" t="n">
        <v>6263.7</v>
      </c>
      <c r="C359" s="19" t="n">
        <f aca="false">B359/B358-1</f>
        <v>-0.0117026698244047</v>
      </c>
      <c r="D359" s="17" t="n">
        <f aca="false">AVERAGE(B310:B359)</f>
        <v>6180.785</v>
      </c>
      <c r="E359" s="17" t="n">
        <f aca="false">AVERAGE(B160:B359)</f>
        <v>5807.08415</v>
      </c>
      <c r="F359" s="17" t="n">
        <f aca="false">B359*2/13+F358*11/13</f>
        <v>6335.56632021948</v>
      </c>
      <c r="G359" s="17" t="n">
        <f aca="false">B359*2/27+G358*25/27</f>
        <v>6292.50966256798</v>
      </c>
      <c r="H359" s="17" t="n">
        <f aca="false">F359-G359</f>
        <v>43.0566576514957</v>
      </c>
      <c r="I359" s="17" t="n">
        <f aca="false">H359*2/10+I358*8/10</f>
        <v>59.295363770972</v>
      </c>
      <c r="J359" s="17" t="n">
        <f aca="false">H359-I359</f>
        <v>-16.2387061194763</v>
      </c>
      <c r="K359" s="17" t="n">
        <f aca="false">MAX(B359-B358,0)</f>
        <v>0</v>
      </c>
      <c r="L359" s="17" t="n">
        <f aca="false">MAX(B358-B359,0)</f>
        <v>74.1700000000001</v>
      </c>
      <c r="M359" s="17" t="n">
        <f aca="false">(M358*13+K359)/14</f>
        <v>16.9425241736001</v>
      </c>
      <c r="N359" s="17" t="n">
        <f aca="false">(N358*13+L359)/14</f>
        <v>18.8700576087876</v>
      </c>
      <c r="O359" s="17" t="n">
        <f aca="false">IF(N359=0,100,100-100/(1+M359/N359))</f>
        <v>47.3088599882298</v>
      </c>
      <c r="P359" s="17" t="n">
        <f aca="false">AVERAGE(B340:B359)+2*STDEV(B340:B359)</f>
        <v>6427.822508517</v>
      </c>
      <c r="Q359" s="17" t="n">
        <f aca="false">AVERAGE(B340:B359)-2*STDEV(B340:B359)</f>
        <v>6243.477491483</v>
      </c>
      <c r="R359" s="19" t="n">
        <f aca="false">B359/B339-1</f>
        <v>-0.00506387020735188</v>
      </c>
      <c r="S359" s="17" t="n">
        <f aca="false">STDEV(C340:C359)*SQRT(252)*100</f>
        <v>11.2505993870719</v>
      </c>
      <c r="T359" s="19" t="n">
        <f aca="false">B338/B108-1</f>
        <v>0.305191978468609</v>
      </c>
      <c r="U359" s="19" t="n">
        <f aca="false">B359/MAX(B108:B359)-1</f>
        <v>-0.0247346852345484</v>
      </c>
      <c r="V359" s="17" t="n">
        <f aca="false">(B359-AVERAGE(B340:B359))/STDEV(B340:B359)</f>
        <v>-1.56120303456279</v>
      </c>
    </row>
    <row r="360" customFormat="false" ht="15" hidden="false" customHeight="false" outlineLevel="0" collapsed="false">
      <c r="A360" s="17" t="s">
        <v>924</v>
      </c>
      <c r="B360" s="17" t="n">
        <v>6265.11</v>
      </c>
      <c r="C360" s="19" t="n">
        <f aca="false">B360/B359-1</f>
        <v>0.000225106566406508</v>
      </c>
      <c r="D360" s="17" t="n">
        <f aca="false">AVERAGE(B311:B360)</f>
        <v>6188.7402</v>
      </c>
      <c r="E360" s="17" t="n">
        <f aca="false">AVERAGE(B161:B360)</f>
        <v>5811.65605</v>
      </c>
      <c r="F360" s="17" t="n">
        <f aca="false">B360*2/13+F359*11/13</f>
        <v>6324.72688633956</v>
      </c>
      <c r="G360" s="17" t="n">
        <f aca="false">B360*2/27+G359*25/27</f>
        <v>6290.48005793332</v>
      </c>
      <c r="H360" s="17" t="n">
        <f aca="false">F360-G360</f>
        <v>34.2468284062406</v>
      </c>
      <c r="I360" s="17" t="n">
        <f aca="false">H360*2/10+I359*8/10</f>
        <v>54.2856566980257</v>
      </c>
      <c r="J360" s="17" t="n">
        <f aca="false">H360-I360</f>
        <v>-20.0388282917851</v>
      </c>
      <c r="K360" s="17" t="n">
        <f aca="false">MAX(B360-B359,0)</f>
        <v>1.40999999999985</v>
      </c>
      <c r="L360" s="17" t="n">
        <f aca="false">MAX(B359-B360,0)</f>
        <v>0</v>
      </c>
      <c r="M360" s="17" t="n">
        <f aca="false">(M359*13+K360)/14</f>
        <v>15.8330581612001</v>
      </c>
      <c r="N360" s="17" t="n">
        <f aca="false">(N359*13+L360)/14</f>
        <v>17.5221963510171</v>
      </c>
      <c r="O360" s="17" t="n">
        <f aca="false">IF(N360=0,100,100-100/(1+M360/N360))</f>
        <v>47.4679578757249</v>
      </c>
      <c r="P360" s="17" t="n">
        <f aca="false">AVERAGE(B341:B360)+2*STDEV(B341:B360)</f>
        <v>6430.26262840422</v>
      </c>
      <c r="Q360" s="17" t="n">
        <f aca="false">AVERAGE(B341:B360)-2*STDEV(B341:B360)</f>
        <v>6236.18737159578</v>
      </c>
      <c r="R360" s="19" t="n">
        <f aca="false">B360/B340-1</f>
        <v>-0.00768181753386732</v>
      </c>
      <c r="S360" s="17" t="n">
        <f aca="false">STDEV(C341:C360)*SQRT(252)*100</f>
        <v>11.1932015127225</v>
      </c>
      <c r="T360" s="19" t="n">
        <f aca="false">B339/B109-1</f>
        <v>0.314682364831989</v>
      </c>
      <c r="U360" s="19" t="n">
        <f aca="false">B360/MAX(B109:B360)-1</f>
        <v>-0.0245151466082062</v>
      </c>
      <c r="V360" s="17" t="n">
        <f aca="false">(B360-AVERAGE(B341:B360))/STDEV(B341:B360)</f>
        <v>-1.40388839092933</v>
      </c>
    </row>
    <row r="361" customFormat="false" ht="15" hidden="false" customHeight="false" outlineLevel="0" collapsed="false">
      <c r="A361" s="17" t="s">
        <v>925</v>
      </c>
      <c r="B361" s="17" t="n">
        <v>6293.05</v>
      </c>
      <c r="C361" s="19" t="n">
        <f aca="false">B361/B360-1</f>
        <v>0.00445961842649223</v>
      </c>
      <c r="D361" s="17" t="n">
        <f aca="false">AVERAGE(B312:B361)</f>
        <v>6196.9744</v>
      </c>
      <c r="E361" s="17" t="n">
        <f aca="false">AVERAGE(B162:B361)</f>
        <v>5816.36065</v>
      </c>
      <c r="F361" s="17" t="n">
        <f aca="false">B361*2/13+F360*11/13</f>
        <v>6319.85351921039</v>
      </c>
      <c r="G361" s="17" t="n">
        <f aca="false">B361*2/27+G360*25/27</f>
        <v>6290.67042401233</v>
      </c>
      <c r="H361" s="17" t="n">
        <f aca="false">F361-G361</f>
        <v>29.1830951980646</v>
      </c>
      <c r="I361" s="17" t="n">
        <f aca="false">H361*2/10+I360*8/10</f>
        <v>49.2651443980335</v>
      </c>
      <c r="J361" s="17" t="n">
        <f aca="false">H361-I361</f>
        <v>-20.0820491999689</v>
      </c>
      <c r="K361" s="17" t="n">
        <f aca="false">MAX(B361-B360,0)</f>
        <v>27.9400000000005</v>
      </c>
      <c r="L361" s="17" t="n">
        <f aca="false">MAX(B360-B361,0)</f>
        <v>0</v>
      </c>
      <c r="M361" s="17" t="n">
        <f aca="false">(M360*13+K361)/14</f>
        <v>16.6978397211144</v>
      </c>
      <c r="N361" s="17" t="n">
        <f aca="false">(N360*13+L361)/14</f>
        <v>16.270610897373</v>
      </c>
      <c r="O361" s="17" t="n">
        <f aca="false">IF(N361=0,100,100-100/(1+M361/N361))</f>
        <v>50.6479358534092</v>
      </c>
      <c r="P361" s="17" t="n">
        <f aca="false">AVERAGE(B342:B361)+2*STDEV(B342:B361)</f>
        <v>6430.40521398761</v>
      </c>
      <c r="Q361" s="17" t="n">
        <f aca="false">AVERAGE(B342:B361)-2*STDEV(B342:B361)</f>
        <v>6233.27178601239</v>
      </c>
      <c r="R361" s="19" t="n">
        <f aca="false">B361/B341-1</f>
        <v>-0.00438711677989101</v>
      </c>
      <c r="S361" s="17" t="n">
        <f aca="false">STDEV(C342:C361)*SQRT(252)*100</f>
        <v>11.313721052751</v>
      </c>
      <c r="T361" s="19" t="n">
        <f aca="false">B340/B110-1</f>
        <v>0.301254755829627</v>
      </c>
      <c r="U361" s="19" t="n">
        <f aca="false">B361/MAX(B110:B361)-1</f>
        <v>-0.0201648563812561</v>
      </c>
      <c r="V361" s="17" t="n">
        <f aca="false">(B361-AVERAGE(B342:B361))/STDEV(B342:B361)</f>
        <v>-0.787050687413083</v>
      </c>
    </row>
    <row r="362" customFormat="false" ht="15" hidden="false" customHeight="false" outlineLevel="0" collapsed="false">
      <c r="A362" s="17" t="s">
        <v>926</v>
      </c>
      <c r="B362" s="17" t="n">
        <v>6316.28</v>
      </c>
      <c r="C362" s="19" t="n">
        <f aca="false">B362/B361-1</f>
        <v>0.00369137381714735</v>
      </c>
      <c r="D362" s="17" t="n">
        <f aca="false">AVERAGE(B313:B362)</f>
        <v>6204.5442</v>
      </c>
      <c r="E362" s="17" t="n">
        <f aca="false">AVERAGE(B163:B362)</f>
        <v>5821.2802</v>
      </c>
      <c r="F362" s="17" t="n">
        <f aca="false">B362*2/13+F361*11/13</f>
        <v>6319.30374702418</v>
      </c>
      <c r="G362" s="17" t="n">
        <f aca="false">B362*2/27+G361*25/27</f>
        <v>6292.56742964105</v>
      </c>
      <c r="H362" s="17" t="n">
        <f aca="false">F362-G362</f>
        <v>26.7363173831336</v>
      </c>
      <c r="I362" s="17" t="n">
        <f aca="false">H362*2/10+I361*8/10</f>
        <v>44.7593789950535</v>
      </c>
      <c r="J362" s="17" t="n">
        <f aca="false">H362-I362</f>
        <v>-18.0230616119199</v>
      </c>
      <c r="K362" s="17" t="n">
        <f aca="false">MAX(B362-B361,0)</f>
        <v>23.2299999999996</v>
      </c>
      <c r="L362" s="17" t="n">
        <f aca="false">MAX(B361-B362,0)</f>
        <v>0</v>
      </c>
      <c r="M362" s="17" t="n">
        <f aca="false">(M361*13+K362)/14</f>
        <v>17.1644225981776</v>
      </c>
      <c r="N362" s="17" t="n">
        <f aca="false">(N361*13+L362)/14</f>
        <v>15.1084244047035</v>
      </c>
      <c r="O362" s="17" t="n">
        <f aca="false">IF(N362=0,100,100-100/(1+M362/N362))</f>
        <v>53.1853374963953</v>
      </c>
      <c r="P362" s="17" t="n">
        <f aca="false">AVERAGE(B343:B362)+2*STDEV(B343:B362)</f>
        <v>6428.93219867774</v>
      </c>
      <c r="Q362" s="17" t="n">
        <f aca="false">AVERAGE(B343:B362)-2*STDEV(B343:B362)</f>
        <v>6231.79180132226</v>
      </c>
      <c r="R362" s="19" t="n">
        <f aca="false">B362/B342-1</f>
        <v>-0.00465346425436641</v>
      </c>
      <c r="S362" s="17" t="n">
        <f aca="false">STDEV(C343:C362)*SQRT(252)*100</f>
        <v>11.3010313580509</v>
      </c>
      <c r="T362" s="19" t="n">
        <f aca="false">B341/B111-1</f>
        <v>0.300788814596672</v>
      </c>
      <c r="U362" s="19" t="n">
        <f aca="false">B362/MAX(B111:B362)-1</f>
        <v>-0.016547918586981</v>
      </c>
      <c r="V362" s="17" t="n">
        <f aca="false">(B362-AVERAGE(B343:B362))/STDEV(B343:B362)</f>
        <v>-0.285725304177173</v>
      </c>
    </row>
    <row r="363" customFormat="false" ht="15" hidden="false" customHeight="false" outlineLevel="0" collapsed="false">
      <c r="A363" s="17" t="s">
        <v>927</v>
      </c>
      <c r="B363" s="17" t="n">
        <v>6344.57</v>
      </c>
      <c r="C363" s="19" t="n">
        <f aca="false">B363/B362-1</f>
        <v>0.00447890213860047</v>
      </c>
      <c r="D363" s="17" t="n">
        <f aca="false">AVERAGE(B314:B363)</f>
        <v>6212.7742</v>
      </c>
      <c r="E363" s="17" t="n">
        <f aca="false">AVERAGE(B164:B363)</f>
        <v>5826.2865</v>
      </c>
      <c r="F363" s="17" t="n">
        <f aca="false">B363*2/13+F362*11/13</f>
        <v>6323.19086286661</v>
      </c>
      <c r="G363" s="17" t="n">
        <f aca="false">B363*2/27+G362*25/27</f>
        <v>6296.41947188986</v>
      </c>
      <c r="H363" s="17" t="n">
        <f aca="false">F363-G363</f>
        <v>26.7713909767563</v>
      </c>
      <c r="I363" s="17" t="n">
        <f aca="false">H363*2/10+I362*8/10</f>
        <v>41.1617813913941</v>
      </c>
      <c r="J363" s="17" t="n">
        <f aca="false">H363-I363</f>
        <v>-14.3903904146378</v>
      </c>
      <c r="K363" s="17" t="n">
        <f aca="false">MAX(B363-B362,0)</f>
        <v>28.29</v>
      </c>
      <c r="L363" s="17" t="n">
        <f aca="false">MAX(B362-B363,0)</f>
        <v>0</v>
      </c>
      <c r="M363" s="17" t="n">
        <f aca="false">(M362*13+K363)/14</f>
        <v>17.9591066983078</v>
      </c>
      <c r="N363" s="17" t="n">
        <f aca="false">(N362*13+L363)/14</f>
        <v>14.029251232939</v>
      </c>
      <c r="O363" s="17" t="n">
        <f aca="false">IF(N363=0,100,100-100/(1+M363/N363))</f>
        <v>56.1426339448485</v>
      </c>
      <c r="P363" s="17" t="n">
        <f aca="false">AVERAGE(B344:B363)+2*STDEV(B344:B363)</f>
        <v>6430.35780344431</v>
      </c>
      <c r="Q363" s="17" t="n">
        <f aca="false">AVERAGE(B344:B363)-2*STDEV(B344:B363)</f>
        <v>6233.6021965557</v>
      </c>
      <c r="R363" s="19" t="n">
        <f aca="false">B363/B343-1</f>
        <v>0.00512657215143353</v>
      </c>
      <c r="S363" s="17" t="n">
        <f aca="false">STDEV(C344:C363)*SQRT(252)*100</f>
        <v>11.2500740224754</v>
      </c>
      <c r="T363" s="19" t="n">
        <f aca="false">B342/B112-1</f>
        <v>0.29614779713638</v>
      </c>
      <c r="U363" s="19" t="n">
        <f aca="false">B363/MAX(B112:B363)-1</f>
        <v>-0.0121431329563291</v>
      </c>
      <c r="V363" s="17" t="n">
        <f aca="false">(B363-AVERAGE(B344:B363))/STDEV(B344:B363)</f>
        <v>0.255952045262463</v>
      </c>
    </row>
    <row r="364" customFormat="false" ht="15" hidden="false" customHeight="false" outlineLevel="0" collapsed="false">
      <c r="A364" s="17" t="s">
        <v>928</v>
      </c>
      <c r="B364" s="17" t="n">
        <v>6393.89</v>
      </c>
      <c r="C364" s="19" t="n">
        <f aca="false">B364/B363-1</f>
        <v>0.00777357645987054</v>
      </c>
      <c r="D364" s="17" t="n">
        <f aca="false">AVERAGE(B315:B364)</f>
        <v>6221.066</v>
      </c>
      <c r="E364" s="17" t="n">
        <f aca="false">AVERAGE(B165:B364)</f>
        <v>5831.5182</v>
      </c>
      <c r="F364" s="17" t="n">
        <f aca="false">B364*2/13+F363*11/13</f>
        <v>6334.06765319483</v>
      </c>
      <c r="G364" s="17" t="n">
        <f aca="false">B364*2/27+G363*25/27</f>
        <v>6303.63951100913</v>
      </c>
      <c r="H364" s="17" t="n">
        <f aca="false">F364-G364</f>
        <v>30.4281421857004</v>
      </c>
      <c r="I364" s="17" t="n">
        <f aca="false">H364*2/10+I363*8/10</f>
        <v>39.0150535502553</v>
      </c>
      <c r="J364" s="17" t="n">
        <f aca="false">H364-I364</f>
        <v>-8.58691136455494</v>
      </c>
      <c r="K364" s="17" t="n">
        <f aca="false">MAX(B364-B363,0)</f>
        <v>49.3200000000006</v>
      </c>
      <c r="L364" s="17" t="n">
        <f aca="false">MAX(B363-B364,0)</f>
        <v>0</v>
      </c>
      <c r="M364" s="17" t="n">
        <f aca="false">(M363*13+K364)/14</f>
        <v>20.1991705055716</v>
      </c>
      <c r="N364" s="17" t="n">
        <f aca="false">(N363*13+L364)/14</f>
        <v>13.0271618591576</v>
      </c>
      <c r="O364" s="17" t="n">
        <f aca="false">IF(N364=0,100,100-100/(1+M364/N364))</f>
        <v>60.7926577144989</v>
      </c>
      <c r="P364" s="17" t="n">
        <f aca="false">AVERAGE(B345:B364)+2*STDEV(B345:B364)</f>
        <v>6437.7043887159</v>
      </c>
      <c r="Q364" s="17" t="n">
        <f aca="false">AVERAGE(B345:B364)-2*STDEV(B345:B364)</f>
        <v>6234.7376112841</v>
      </c>
      <c r="R364" s="19" t="n">
        <f aca="false">B364/B344-1</f>
        <v>0.0134441367745168</v>
      </c>
      <c r="S364" s="17" t="n">
        <f aca="false">STDEV(C345:C364)*SQRT(252)*100</f>
        <v>11.5533081056816</v>
      </c>
      <c r="T364" s="19" t="n">
        <f aca="false">B343/B113-1</f>
        <v>0.294998256159859</v>
      </c>
      <c r="U364" s="19" t="n">
        <f aca="false">B364/MAX(B113:B364)-1</f>
        <v>-0.00446395206895689</v>
      </c>
      <c r="V364" s="17" t="n">
        <f aca="false">(B364-AVERAGE(B345:B364))/STDEV(B345:B364)</f>
        <v>1.13652097608686</v>
      </c>
    </row>
    <row r="365" customFormat="false" ht="15" hidden="false" customHeight="false" outlineLevel="0" collapsed="false">
      <c r="A365" s="17" t="s">
        <v>929</v>
      </c>
      <c r="B365" s="17" t="n">
        <v>6383.65</v>
      </c>
      <c r="C365" s="19" t="n">
        <f aca="false">B365/B364-1</f>
        <v>-0.0016015289596788</v>
      </c>
      <c r="D365" s="17" t="n">
        <f aca="false">AVERAGE(B316:B365)</f>
        <v>6229.1006</v>
      </c>
      <c r="E365" s="17" t="n">
        <f aca="false">AVERAGE(B166:B365)</f>
        <v>5836.7849</v>
      </c>
      <c r="F365" s="17" t="n">
        <f aca="false">B365*2/13+F364*11/13</f>
        <v>6341.69570654947</v>
      </c>
      <c r="G365" s="17" t="n">
        <f aca="false">B365*2/27+G364*25/27</f>
        <v>6309.56621389734</v>
      </c>
      <c r="H365" s="17" t="n">
        <f aca="false">F365-G365</f>
        <v>32.1294926521287</v>
      </c>
      <c r="I365" s="17" t="n">
        <f aca="false">H365*2/10+I364*8/10</f>
        <v>37.63794137063</v>
      </c>
      <c r="J365" s="17" t="n">
        <f aca="false">H365-I365</f>
        <v>-5.50844871850134</v>
      </c>
      <c r="K365" s="17" t="n">
        <f aca="false">MAX(B365-B364,0)</f>
        <v>0</v>
      </c>
      <c r="L365" s="17" t="n">
        <f aca="false">MAX(B364-B365,0)</f>
        <v>10.2400000000007</v>
      </c>
      <c r="M365" s="17" t="n">
        <f aca="false">(M364*13+K365)/14</f>
        <v>18.7563726123165</v>
      </c>
      <c r="N365" s="17" t="n">
        <f aca="false">(N364*13+L365)/14</f>
        <v>12.8280788692178</v>
      </c>
      <c r="O365" s="17" t="n">
        <f aca="false">IF(N365=0,100,100-100/(1+M365/N365))</f>
        <v>59.3848293464342</v>
      </c>
      <c r="P365" s="17" t="n">
        <f aca="false">AVERAGE(B346:B365)+2*STDEV(B346:B365)</f>
        <v>6442.74480392077</v>
      </c>
      <c r="Q365" s="17" t="n">
        <f aca="false">AVERAGE(B346:B365)-2*STDEV(B346:B365)</f>
        <v>6236.44419607923</v>
      </c>
      <c r="R365" s="19" t="n">
        <f aca="false">B365/B345-1</f>
        <v>0.0106820894907997</v>
      </c>
      <c r="S365" s="17" t="n">
        <f aca="false">STDEV(C346:C365)*SQRT(252)*100</f>
        <v>11.5802845873524</v>
      </c>
      <c r="T365" s="19" t="n">
        <f aca="false">B344/B114-1</f>
        <v>0.278216068592175</v>
      </c>
      <c r="U365" s="19" t="n">
        <f aca="false">B365/MAX(B114:B365)-1</f>
        <v>-0.00605833188012273</v>
      </c>
      <c r="V365" s="17" t="n">
        <f aca="false">(B365-AVERAGE(B346:B365))/STDEV(B346:B365)</f>
        <v>0.854200100735296</v>
      </c>
    </row>
    <row r="366" customFormat="false" ht="15" hidden="false" customHeight="false" outlineLevel="0" collapsed="false">
      <c r="A366" s="17" t="s">
        <v>930</v>
      </c>
      <c r="B366" s="17" t="n">
        <v>6394.67</v>
      </c>
      <c r="C366" s="19" t="n">
        <f aca="false">B366/B365-1</f>
        <v>0.00172628511901496</v>
      </c>
      <c r="D366" s="17" t="n">
        <f aca="false">AVERAGE(B317:B366)</f>
        <v>6237.0928</v>
      </c>
      <c r="E366" s="17" t="n">
        <f aca="false">AVERAGE(B167:B366)</f>
        <v>5841.8033</v>
      </c>
      <c r="F366" s="17" t="n">
        <f aca="false">B366*2/13+F365*11/13</f>
        <v>6349.84559784955</v>
      </c>
      <c r="G366" s="17" t="n">
        <f aca="false">B366*2/27+G365*25/27</f>
        <v>6315.87019805309</v>
      </c>
      <c r="H366" s="17" t="n">
        <f aca="false">F366-G366</f>
        <v>33.9753997964572</v>
      </c>
      <c r="I366" s="17" t="n">
        <f aca="false">H366*2/10+I365*8/10</f>
        <v>36.9054330557954</v>
      </c>
      <c r="J366" s="17" t="n">
        <f aca="false">H366-I366</f>
        <v>-2.93003325933826</v>
      </c>
      <c r="K366" s="17" t="n">
        <f aca="false">MAX(B366-B365,0)</f>
        <v>11.0200000000004</v>
      </c>
      <c r="L366" s="17" t="n">
        <f aca="false">MAX(B365-B366,0)</f>
        <v>0</v>
      </c>
      <c r="M366" s="17" t="n">
        <f aca="false">(M365*13+K366)/14</f>
        <v>18.2037745685796</v>
      </c>
      <c r="N366" s="17" t="n">
        <f aca="false">(N365*13+L366)/14</f>
        <v>11.9117875214166</v>
      </c>
      <c r="O366" s="17" t="n">
        <f aca="false">IF(N366=0,100,100-100/(1+M366/N366))</f>
        <v>60.4464047995523</v>
      </c>
      <c r="P366" s="17" t="n">
        <f aca="false">AVERAGE(B347:B366)+2*STDEV(B347:B366)</f>
        <v>6448.21501719195</v>
      </c>
      <c r="Q366" s="17" t="n">
        <f aca="false">AVERAGE(B347:B366)-2*STDEV(B347:B366)</f>
        <v>6241.07698280806</v>
      </c>
      <c r="R366" s="19" t="n">
        <f aca="false">B366/B346-1</f>
        <v>0.0160527135330268</v>
      </c>
      <c r="S366" s="17" t="n">
        <f aca="false">STDEV(C347:C366)*SQRT(252)*100</f>
        <v>11.4822160945922</v>
      </c>
      <c r="T366" s="19" t="n">
        <f aca="false">B345/B115-1</f>
        <v>0.283458166877319</v>
      </c>
      <c r="U366" s="19" t="n">
        <f aca="false">B366/MAX(B115:B366)-1</f>
        <v>-0.00434250516927837</v>
      </c>
      <c r="V366" s="17" t="n">
        <f aca="false">(B366-AVERAGE(B347:B366))/STDEV(B347:B366)</f>
        <v>0.96600318041622</v>
      </c>
    </row>
    <row r="367" customFormat="false" ht="15" hidden="false" customHeight="false" outlineLevel="0" collapsed="false">
      <c r="A367" s="17" t="s">
        <v>931</v>
      </c>
      <c r="B367" s="17" t="n">
        <v>6389.91</v>
      </c>
      <c r="C367" s="19" t="n">
        <f aca="false">B367/B366-1</f>
        <v>-0.000744369920574473</v>
      </c>
      <c r="D367" s="17" t="n">
        <f aca="false">AVERAGE(B318:B367)</f>
        <v>6244.9142</v>
      </c>
      <c r="E367" s="17" t="n">
        <f aca="false">AVERAGE(B168:B367)</f>
        <v>5846.93655</v>
      </c>
      <c r="F367" s="17" t="n">
        <f aca="false">B367*2/13+F366*11/13</f>
        <v>6356.00935202654</v>
      </c>
      <c r="G367" s="17" t="n">
        <f aca="false">B367*2/27+G366*25/27</f>
        <v>6321.35462782694</v>
      </c>
      <c r="H367" s="17" t="n">
        <f aca="false">F367-G367</f>
        <v>34.6547241996032</v>
      </c>
      <c r="I367" s="17" t="n">
        <f aca="false">H367*2/10+I366*8/10</f>
        <v>36.455291284557</v>
      </c>
      <c r="J367" s="17" t="n">
        <f aca="false">H367-I367</f>
        <v>-1.80056708495382</v>
      </c>
      <c r="K367" s="17" t="n">
        <f aca="false">MAX(B367-B366,0)</f>
        <v>0</v>
      </c>
      <c r="L367" s="17" t="n">
        <f aca="false">MAX(B366-B367,0)</f>
        <v>4.76000000000022</v>
      </c>
      <c r="M367" s="17" t="n">
        <f aca="false">(M366*13+K367)/14</f>
        <v>16.9035049565382</v>
      </c>
      <c r="N367" s="17" t="n">
        <f aca="false">(N366*13+L367)/14</f>
        <v>11.4009455556011</v>
      </c>
      <c r="O367" s="17" t="n">
        <f aca="false">IF(N367=0,100,100-100/(1+M367/N367))</f>
        <v>59.7203077632211</v>
      </c>
      <c r="P367" s="17" t="n">
        <f aca="false">AVERAGE(B348:B367)+2*STDEV(B348:B367)</f>
        <v>6448.21981794965</v>
      </c>
      <c r="Q367" s="17" t="n">
        <f aca="false">AVERAGE(B348:B367)-2*STDEV(B348:B367)</f>
        <v>6254.22718205035</v>
      </c>
      <c r="R367" s="19" t="n">
        <f aca="false">B367/B347-1</f>
        <v>0.0210198838034246</v>
      </c>
      <c r="S367" s="17" t="n">
        <f aca="false">STDEV(C348:C367)*SQRT(252)*100</f>
        <v>11.248599638402</v>
      </c>
      <c r="T367" s="19" t="n">
        <f aca="false">B346/B116-1</f>
        <v>0.275718012490346</v>
      </c>
      <c r="U367" s="19" t="n">
        <f aca="false">B367/MAX(B116:B367)-1</f>
        <v>-0.00508364265962491</v>
      </c>
      <c r="V367" s="17" t="n">
        <f aca="false">(B367-AVERAGE(B348:B367))/STDEV(B348:B367)</f>
        <v>0.79769007355685</v>
      </c>
    </row>
    <row r="368" customFormat="false" ht="15" hidden="false" customHeight="false" outlineLevel="0" collapsed="false">
      <c r="A368" s="17" t="s">
        <v>932</v>
      </c>
      <c r="B368" s="17" t="n">
        <v>6466.32</v>
      </c>
      <c r="C368" s="19" t="n">
        <f aca="false">B368/B367-1</f>
        <v>0.0119579149002098</v>
      </c>
      <c r="D368" s="17" t="n">
        <f aca="false">AVERAGE(B319:B368)</f>
        <v>6253.0978</v>
      </c>
      <c r="E368" s="17" t="n">
        <f aca="false">AVERAGE(B169:B368)</f>
        <v>5852.40075</v>
      </c>
      <c r="F368" s="17" t="n">
        <f aca="false">B368*2/13+F367*11/13</f>
        <v>6372.98022094553</v>
      </c>
      <c r="G368" s="17" t="n">
        <f aca="false">B368*2/27+G367*25/27</f>
        <v>6332.09280354346</v>
      </c>
      <c r="H368" s="17" t="n">
        <f aca="false">F368-G368</f>
        <v>40.887417402073</v>
      </c>
      <c r="I368" s="17" t="n">
        <f aca="false">H368*2/10+I367*8/10</f>
        <v>37.3417165080602</v>
      </c>
      <c r="J368" s="17" t="n">
        <f aca="false">H368-I368</f>
        <v>3.5457008940128</v>
      </c>
      <c r="K368" s="17" t="n">
        <f aca="false">MAX(B368-B367,0)</f>
        <v>76.4099999999999</v>
      </c>
      <c r="L368" s="17" t="n">
        <f aca="false">MAX(B367-B368,0)</f>
        <v>0</v>
      </c>
      <c r="M368" s="17" t="n">
        <f aca="false">(M367*13+K368)/14</f>
        <v>21.153968888214</v>
      </c>
      <c r="N368" s="17" t="n">
        <f aca="false">(N367*13+L368)/14</f>
        <v>10.5865923016296</v>
      </c>
      <c r="O368" s="17" t="n">
        <f aca="false">IF(N368=0,100,100-100/(1+M368/N368))</f>
        <v>66.6464866884045</v>
      </c>
      <c r="P368" s="17" t="n">
        <f aca="false">AVERAGE(B349:B368)+2*STDEV(B349:B368)</f>
        <v>6467.10953369729</v>
      </c>
      <c r="Q368" s="17" t="n">
        <f aca="false">AVERAGE(B349:B368)-2*STDEV(B349:B368)</f>
        <v>6248.05546630271</v>
      </c>
      <c r="R368" s="19" t="n">
        <f aca="false">B368/B348-1</f>
        <v>0.0200626583416677</v>
      </c>
      <c r="S368" s="17" t="n">
        <f aca="false">STDEV(C349:C368)*SQRT(252)*100</f>
        <v>11.1203138569896</v>
      </c>
      <c r="T368" s="19" t="n">
        <f aca="false">B347/B117-1</f>
        <v>0.273354683551515</v>
      </c>
      <c r="U368" s="19" t="n">
        <f aca="false">B368/MAX(B117:B368)-1</f>
        <v>0</v>
      </c>
      <c r="V368" s="17" t="n">
        <f aca="false">(B368-AVERAGE(B349:B368))/STDEV(B349:B368)</f>
        <v>1.98558285255004</v>
      </c>
    </row>
    <row r="369" customFormat="false" ht="15" hidden="false" customHeight="false" outlineLevel="0" collapsed="false">
      <c r="A369" s="17" t="s">
        <v>933</v>
      </c>
      <c r="B369" s="17" t="n">
        <v>6513.27</v>
      </c>
      <c r="C369" s="19" t="n">
        <f aca="false">B369/B368-1</f>
        <v>0.00726069851167299</v>
      </c>
      <c r="D369" s="17" t="n">
        <f aca="false">AVERAGE(B320:B369)</f>
        <v>6262.0718</v>
      </c>
      <c r="E369" s="17" t="n">
        <f aca="false">AVERAGE(B170:B369)</f>
        <v>5858.16555</v>
      </c>
      <c r="F369" s="17" t="n">
        <f aca="false">B369*2/13+F368*11/13</f>
        <v>6394.56326387699</v>
      </c>
      <c r="G369" s="17" t="n">
        <f aca="false">B369*2/27+G368*25/27</f>
        <v>6345.51333661432</v>
      </c>
      <c r="H369" s="17" t="n">
        <f aca="false">F369-G369</f>
        <v>49.0499272626739</v>
      </c>
      <c r="I369" s="17" t="n">
        <f aca="false">H369*2/10+I368*8/10</f>
        <v>39.6833586589829</v>
      </c>
      <c r="J369" s="17" t="n">
        <f aca="false">H369-I369</f>
        <v>9.36656860369099</v>
      </c>
      <c r="K369" s="17" t="n">
        <f aca="false">MAX(B369-B368,0)</f>
        <v>46.9500000000007</v>
      </c>
      <c r="L369" s="17" t="n">
        <f aca="false">MAX(B368-B369,0)</f>
        <v>0</v>
      </c>
      <c r="M369" s="17" t="n">
        <f aca="false">(M368*13+K369)/14</f>
        <v>22.9965425390559</v>
      </c>
      <c r="N369" s="17" t="n">
        <f aca="false">(N368*13+L369)/14</f>
        <v>9.83040713722748</v>
      </c>
      <c r="O369" s="17" t="n">
        <f aca="false">IF(N369=0,100,100-100/(1+M369/N369))</f>
        <v>70.0538513807462</v>
      </c>
      <c r="P369" s="17" t="n">
        <f aca="false">AVERAGE(B350:B369)+2*STDEV(B350:B369)</f>
        <v>6495.16300512559</v>
      </c>
      <c r="Q369" s="17" t="n">
        <f aca="false">AVERAGE(B350:B369)-2*STDEV(B350:B369)</f>
        <v>6239.87799487441</v>
      </c>
      <c r="R369" s="19" t="n">
        <f aca="false">B369/B349-1</f>
        <v>0.0314767099901656</v>
      </c>
      <c r="S369" s="17" t="n">
        <f aca="false">STDEV(C350:C369)*SQRT(252)*100</f>
        <v>11.172295461574</v>
      </c>
      <c r="T369" s="19" t="n">
        <f aca="false">B348/B118-1</f>
        <v>0.284565893593524</v>
      </c>
      <c r="U369" s="19" t="n">
        <f aca="false">B369/MAX(B118:B369)-1</f>
        <v>0</v>
      </c>
      <c r="V369" s="17" t="n">
        <f aca="false">(B369-AVERAGE(B350:B369))/STDEV(B350:B369)</f>
        <v>2.28371418841382</v>
      </c>
    </row>
    <row r="370" customFormat="false" ht="15" hidden="false" customHeight="false" outlineLevel="0" collapsed="false">
      <c r="A370" s="17" t="s">
        <v>934</v>
      </c>
      <c r="B370" s="17" t="n">
        <v>6480.67</v>
      </c>
      <c r="C370" s="19" t="n">
        <f aca="false">B370/B369-1</f>
        <v>-0.00500516637572224</v>
      </c>
      <c r="D370" s="17" t="n">
        <f aca="false">AVERAGE(B321:B370)</f>
        <v>6270.5146</v>
      </c>
      <c r="E370" s="17" t="n">
        <f aca="false">AVERAGE(B171:B370)</f>
        <v>5863.8125</v>
      </c>
      <c r="F370" s="17" t="n">
        <f aca="false">B370*2/13+F369*11/13</f>
        <v>6407.81045404976</v>
      </c>
      <c r="G370" s="17" t="n">
        <f aca="false">B370*2/27+G369*25/27</f>
        <v>6355.52494130955</v>
      </c>
      <c r="H370" s="17" t="n">
        <f aca="false">F370-G370</f>
        <v>52.2855127402081</v>
      </c>
      <c r="I370" s="17" t="n">
        <f aca="false">H370*2/10+I369*8/10</f>
        <v>42.203789475228</v>
      </c>
      <c r="J370" s="17" t="n">
        <f aca="false">H370-I370</f>
        <v>10.0817232649801</v>
      </c>
      <c r="K370" s="17" t="n">
        <f aca="false">MAX(B370-B369,0)</f>
        <v>0</v>
      </c>
      <c r="L370" s="17" t="n">
        <f aca="false">MAX(B369-B370,0)</f>
        <v>32.6000000000004</v>
      </c>
      <c r="M370" s="17" t="n">
        <f aca="false">(M369*13+K370)/14</f>
        <v>21.3539323576948</v>
      </c>
      <c r="N370" s="17" t="n">
        <f aca="false">(N369*13+L370)/14</f>
        <v>11.4568066274255</v>
      </c>
      <c r="O370" s="17" t="n">
        <f aca="false">IF(N370=0,100,100-100/(1+M370/N370))</f>
        <v>65.0821438900806</v>
      </c>
      <c r="P370" s="17" t="n">
        <f aca="false">AVERAGE(B351:B370)+2*STDEV(B351:B370)</f>
        <v>6510.0850211485</v>
      </c>
      <c r="Q370" s="17" t="n">
        <f aca="false">AVERAGE(B351:B370)-2*STDEV(B351:B370)</f>
        <v>6242.1619788515</v>
      </c>
      <c r="R370" s="19" t="n">
        <f aca="false">B370/B350-1</f>
        <v>0.0272738368673924</v>
      </c>
      <c r="S370" s="17" t="n">
        <f aca="false">STDEV(C351:C370)*SQRT(252)*100</f>
        <v>11.3849555979113</v>
      </c>
      <c r="T370" s="19" t="n">
        <f aca="false">B349/B119-1</f>
        <v>0.274680043602891</v>
      </c>
      <c r="U370" s="19" t="n">
        <f aca="false">B370/MAX(B119:B370)-1</f>
        <v>-0.00500516637572224</v>
      </c>
      <c r="V370" s="17" t="n">
        <f aca="false">(B370-AVERAGE(B351:B370))/STDEV(B351:B370)</f>
        <v>1.56084372741788</v>
      </c>
    </row>
    <row r="371" customFormat="false" ht="15" hidden="false" customHeight="false" outlineLevel="0" collapsed="false">
      <c r="A371" s="17" t="s">
        <v>935</v>
      </c>
      <c r="B371" s="17" t="n">
        <v>6472.48</v>
      </c>
      <c r="C371" s="19" t="n">
        <f aca="false">B371/B370-1</f>
        <v>-0.00126375822252955</v>
      </c>
      <c r="D371" s="17" t="n">
        <f aca="false">AVERAGE(B322:B371)</f>
        <v>6278.6938</v>
      </c>
      <c r="E371" s="17" t="n">
        <f aca="false">AVERAGE(B172:B371)</f>
        <v>5869.37585</v>
      </c>
      <c r="F371" s="17" t="n">
        <f aca="false">B371*2/13+F370*11/13</f>
        <v>6417.75961496518</v>
      </c>
      <c r="G371" s="17" t="n">
        <f aca="false">B371*2/27+G370*25/27</f>
        <v>6364.18827899033</v>
      </c>
      <c r="H371" s="17" t="n">
        <f aca="false">F371-G371</f>
        <v>53.5713359748552</v>
      </c>
      <c r="I371" s="17" t="n">
        <f aca="false">H371*2/10+I370*8/10</f>
        <v>44.4772987751534</v>
      </c>
      <c r="J371" s="17" t="n">
        <f aca="false">H371-I371</f>
        <v>9.09403719970177</v>
      </c>
      <c r="K371" s="17" t="n">
        <f aca="false">MAX(B371-B370,0)</f>
        <v>0</v>
      </c>
      <c r="L371" s="17" t="n">
        <f aca="false">MAX(B370-B371,0)</f>
        <v>8.19000000000051</v>
      </c>
      <c r="M371" s="17" t="n">
        <f aca="false">(M370*13+K371)/14</f>
        <v>19.8286514750023</v>
      </c>
      <c r="N371" s="17" t="n">
        <f aca="false">(N370*13+L371)/14</f>
        <v>11.2234632968952</v>
      </c>
      <c r="O371" s="17" t="n">
        <f aca="false">IF(N371=0,100,100-100/(1+M371/N371))</f>
        <v>63.856042078485</v>
      </c>
      <c r="P371" s="17" t="n">
        <f aca="false">AVERAGE(B352:B371)+2*STDEV(B352:B371)</f>
        <v>6521.55085699974</v>
      </c>
      <c r="Q371" s="17" t="n">
        <f aca="false">AVERAGE(B352:B371)-2*STDEV(B352:B371)</f>
        <v>6240.08114300026</v>
      </c>
      <c r="R371" s="19" t="n">
        <f aca="false">B371/B351-1</f>
        <v>0.0147131907635338</v>
      </c>
      <c r="S371" s="17" t="n">
        <f aca="false">STDEV(C352:C371)*SQRT(252)*100</f>
        <v>10.8153624824304</v>
      </c>
      <c r="T371" s="19" t="n">
        <f aca="false">B350/B120-1</f>
        <v>0.274747368612482</v>
      </c>
      <c r="U371" s="19" t="n">
        <f aca="false">B371/MAX(B120:B371)-1</f>
        <v>-0.00626259927808937</v>
      </c>
      <c r="V371" s="17" t="n">
        <f aca="false">(B371-AVERAGE(B352:B371))/STDEV(B352:B371)</f>
        <v>1.30264814210411</v>
      </c>
    </row>
    <row r="372" customFormat="false" ht="15" hidden="false" customHeight="false" outlineLevel="0" collapsed="false">
      <c r="A372" s="17" t="s">
        <v>936</v>
      </c>
      <c r="B372" s="17" t="n">
        <v>6472.69</v>
      </c>
      <c r="C372" s="19" t="n">
        <f aca="false">B372/B371-1</f>
        <v>3.24450596989045E-005</v>
      </c>
      <c r="D372" s="17" t="n">
        <f aca="false">AVERAGE(B323:B372)</f>
        <v>6286.5226</v>
      </c>
      <c r="E372" s="17" t="n">
        <f aca="false">AVERAGE(B173:B372)</f>
        <v>5874.9194</v>
      </c>
      <c r="F372" s="17" t="n">
        <f aca="false">B372*2/13+F371*11/13</f>
        <v>6426.21044343208</v>
      </c>
      <c r="G372" s="17" t="n">
        <f aca="false">B372*2/27+G371*25/27</f>
        <v>6372.22544350956</v>
      </c>
      <c r="H372" s="17" t="n">
        <f aca="false">F372-G372</f>
        <v>53.9849999225144</v>
      </c>
      <c r="I372" s="17" t="n">
        <f aca="false">H372*2/10+I371*8/10</f>
        <v>46.3788390046256</v>
      </c>
      <c r="J372" s="17" t="n">
        <f aca="false">H372-I372</f>
        <v>7.60616091788876</v>
      </c>
      <c r="K372" s="17" t="n">
        <f aca="false">MAX(B372-B371,0)</f>
        <v>0.210000000000036</v>
      </c>
      <c r="L372" s="17" t="n">
        <f aca="false">MAX(B371-B372,0)</f>
        <v>0</v>
      </c>
      <c r="M372" s="17" t="n">
        <f aca="false">(M371*13+K372)/14</f>
        <v>18.4273192267879</v>
      </c>
      <c r="N372" s="17" t="n">
        <f aca="false">(N371*13+L372)/14</f>
        <v>10.421787347117</v>
      </c>
      <c r="O372" s="17" t="n">
        <f aca="false">IF(N372=0,100,100-100/(1+M372/N372))</f>
        <v>63.8748350129363</v>
      </c>
      <c r="P372" s="17" t="n">
        <f aca="false">AVERAGE(B353:B372)+2*STDEV(B353:B372)</f>
        <v>6531.76819026292</v>
      </c>
      <c r="Q372" s="17" t="n">
        <f aca="false">AVERAGE(B353:B372)-2*STDEV(B353:B372)</f>
        <v>6238.52080973708</v>
      </c>
      <c r="R372" s="19" t="n">
        <f aca="false">B372/B352-1</f>
        <v>0.0135559619925714</v>
      </c>
      <c r="S372" s="17" t="n">
        <f aca="false">STDEV(C353:C372)*SQRT(252)*100</f>
        <v>10.8170539098061</v>
      </c>
      <c r="T372" s="19" t="n">
        <f aca="false">B351/B121-1</f>
        <v>0.292688660604452</v>
      </c>
      <c r="U372" s="19" t="n">
        <f aca="false">B372/MAX(B121:B372)-1</f>
        <v>-0.00623035740879785</v>
      </c>
      <c r="V372" s="17" t="n">
        <f aca="false">(B372-AVERAGE(B353:B372))/STDEV(B353:B372)</f>
        <v>1.19415218431643</v>
      </c>
    </row>
    <row r="373" customFormat="false" ht="15" hidden="false" customHeight="false" outlineLevel="0" collapsed="false">
      <c r="A373" s="17" t="s">
        <v>937</v>
      </c>
      <c r="B373" s="17" t="n">
        <v>6465.17</v>
      </c>
      <c r="C373" s="19" t="n">
        <f aca="false">B373/B372-1</f>
        <v>-0.00116180444297498</v>
      </c>
      <c r="D373" s="17" t="n">
        <f aca="false">AVERAGE(B324:B373)</f>
        <v>6294.4262</v>
      </c>
      <c r="E373" s="17" t="n">
        <f aca="false">AVERAGE(B174:B373)</f>
        <v>5880.31575</v>
      </c>
      <c r="F373" s="17" t="n">
        <f aca="false">B373*2/13+F372*11/13</f>
        <v>6432.2042213656</v>
      </c>
      <c r="G373" s="17" t="n">
        <f aca="false">B373*2/27+G372*25/27</f>
        <v>6379.11022547182</v>
      </c>
      <c r="H373" s="17" t="n">
        <f aca="false">F373-G373</f>
        <v>53.0939958937861</v>
      </c>
      <c r="I373" s="17" t="n">
        <f aca="false">H373*2/10+I372*8/10</f>
        <v>47.7218703824577</v>
      </c>
      <c r="J373" s="17" t="n">
        <f aca="false">H373-I373</f>
        <v>5.37212551132839</v>
      </c>
      <c r="K373" s="17" t="n">
        <f aca="false">MAX(B373-B372,0)</f>
        <v>0</v>
      </c>
      <c r="L373" s="17" t="n">
        <f aca="false">MAX(B372-B373,0)</f>
        <v>7.51999999999953</v>
      </c>
      <c r="M373" s="17" t="n">
        <f aca="false">(M372*13+K373)/14</f>
        <v>17.1110821391602</v>
      </c>
      <c r="N373" s="17" t="n">
        <f aca="false">(N372*13+L373)/14</f>
        <v>10.2145168223229</v>
      </c>
      <c r="O373" s="17" t="n">
        <f aca="false">IF(N373=0,100,100-100/(1+M373/N373))</f>
        <v>62.6192390632652</v>
      </c>
      <c r="P373" s="17" t="n">
        <f aca="false">AVERAGE(B354:B373)+2*STDEV(B354:B373)</f>
        <v>6538.57424249441</v>
      </c>
      <c r="Q373" s="17" t="n">
        <f aca="false">AVERAGE(B354:B373)-2*STDEV(B354:B373)</f>
        <v>6237.30275750559</v>
      </c>
      <c r="R373" s="19" t="n">
        <f aca="false">B373/B353-1</f>
        <v>0.0087185944152941</v>
      </c>
      <c r="S373" s="17" t="n">
        <f aca="false">STDEV(C354:C373)*SQRT(252)*100</f>
        <v>10.7783783790925</v>
      </c>
      <c r="T373" s="19" t="n">
        <f aca="false">B352/B122-1</f>
        <v>0.292731608374055</v>
      </c>
      <c r="U373" s="19" t="n">
        <f aca="false">B373/MAX(B122:B373)-1</f>
        <v>-0.00738492339485397</v>
      </c>
      <c r="V373" s="17" t="n">
        <f aca="false">(B373-AVERAGE(B354:B373))/STDEV(B354:B373)</f>
        <v>1.02540736642057</v>
      </c>
    </row>
    <row r="374" customFormat="false" ht="15" hidden="false" customHeight="false" outlineLevel="0" collapsed="false">
      <c r="A374" s="17" t="s">
        <v>938</v>
      </c>
      <c r="B374" s="17" t="n">
        <v>6433.16</v>
      </c>
      <c r="C374" s="19" t="n">
        <f aca="false">B374/B373-1</f>
        <v>-0.00495114590954304</v>
      </c>
      <c r="D374" s="17" t="n">
        <f aca="false">AVERAGE(B325:B374)</f>
        <v>6301.2404</v>
      </c>
      <c r="E374" s="17" t="n">
        <f aca="false">AVERAGE(B175:B374)</f>
        <v>5885.5087</v>
      </c>
      <c r="F374" s="17" t="n">
        <f aca="false">B374*2/13+F373*11/13</f>
        <v>6432.35126423243</v>
      </c>
      <c r="G374" s="17" t="n">
        <f aca="false">B374*2/27+G373*25/27</f>
        <v>6383.11391247391</v>
      </c>
      <c r="H374" s="17" t="n">
        <f aca="false">F374-G374</f>
        <v>49.2373517585284</v>
      </c>
      <c r="I374" s="17" t="n">
        <f aca="false">H374*2/10+I373*8/10</f>
        <v>48.0249666576718</v>
      </c>
      <c r="J374" s="17" t="n">
        <f aca="false">H374-I374</f>
        <v>1.21238510085652</v>
      </c>
      <c r="K374" s="17" t="n">
        <f aca="false">MAX(B374-B373,0)</f>
        <v>0</v>
      </c>
      <c r="L374" s="17" t="n">
        <f aca="false">MAX(B373-B374,0)</f>
        <v>32.0100000000002</v>
      </c>
      <c r="M374" s="17" t="n">
        <f aca="false">(M373*13+K374)/14</f>
        <v>15.888861986363</v>
      </c>
      <c r="N374" s="17" t="n">
        <f aca="false">(N373*13+L374)/14</f>
        <v>11.7713370492998</v>
      </c>
      <c r="O374" s="17" t="n">
        <f aca="false">IF(N374=0,100,100-100/(1+M374/N374))</f>
        <v>57.4430500875182</v>
      </c>
      <c r="P374" s="17" t="n">
        <f aca="false">AVERAGE(B355:B374)+2*STDEV(B355:B374)</f>
        <v>6541.10517486684</v>
      </c>
      <c r="Q374" s="17" t="n">
        <f aca="false">AVERAGE(B355:B374)-2*STDEV(B355:B374)</f>
        <v>6237.49082513316</v>
      </c>
      <c r="R374" s="19" t="n">
        <f aca="false">B374/B354-1</f>
        <v>0.00424447819768115</v>
      </c>
      <c r="S374" s="17" t="n">
        <f aca="false">STDEV(C355:C374)*SQRT(252)*100</f>
        <v>10.9450988340506</v>
      </c>
      <c r="T374" s="19" t="n">
        <f aca="false">B353/B123-1</f>
        <v>0.290683695107143</v>
      </c>
      <c r="U374" s="19" t="n">
        <f aca="false">B374/MAX(B123:B374)-1</f>
        <v>-0.0122995054711382</v>
      </c>
      <c r="V374" s="17" t="n">
        <f aca="false">(B374-AVERAGE(B355:B374))/STDEV(B355:B374)</f>
        <v>0.577864650184987</v>
      </c>
    </row>
    <row r="375" customFormat="false" ht="15" hidden="false" customHeight="false" outlineLevel="0" collapsed="false">
      <c r="A375" s="17" t="s">
        <v>939</v>
      </c>
      <c r="B375" s="17" t="n">
        <v>6435.15</v>
      </c>
      <c r="C375" s="19" t="n">
        <f aca="false">B375/B374-1</f>
        <v>0.000309334759278412</v>
      </c>
      <c r="D375" s="17" t="n">
        <f aca="false">AVERAGE(B326:B375)</f>
        <v>6307.6528</v>
      </c>
      <c r="E375" s="17" t="n">
        <f aca="false">AVERAGE(B176:B375)</f>
        <v>5890.7736</v>
      </c>
      <c r="F375" s="17" t="n">
        <f aca="false">B375*2/13+F374*11/13</f>
        <v>6432.78183896591</v>
      </c>
      <c r="G375" s="17" t="n">
        <f aca="false">B375*2/27+G374*25/27</f>
        <v>6386.96843747584</v>
      </c>
      <c r="H375" s="17" t="n">
        <f aca="false">F375-G375</f>
        <v>45.8134014900679</v>
      </c>
      <c r="I375" s="17" t="n">
        <f aca="false">H375*2/10+I374*8/10</f>
        <v>47.582653624151</v>
      </c>
      <c r="J375" s="17" t="n">
        <f aca="false">H375-I375</f>
        <v>-1.76925213408312</v>
      </c>
      <c r="K375" s="17" t="n">
        <f aca="false">MAX(B375-B374,0)</f>
        <v>1.98999999999978</v>
      </c>
      <c r="L375" s="17" t="n">
        <f aca="false">MAX(B374-B375,0)</f>
        <v>0</v>
      </c>
      <c r="M375" s="17" t="n">
        <f aca="false">(M374*13+K375)/14</f>
        <v>14.8960861301942</v>
      </c>
      <c r="N375" s="17" t="n">
        <f aca="false">(N374*13+L375)/14</f>
        <v>10.9305272600641</v>
      </c>
      <c r="O375" s="17" t="n">
        <f aca="false">IF(N375=0,100,100-100/(1+M375/N375))</f>
        <v>57.6772722970056</v>
      </c>
      <c r="P375" s="17" t="n">
        <f aca="false">AVERAGE(B356:B375)+2*STDEV(B356:B375)</f>
        <v>6542.41829832463</v>
      </c>
      <c r="Q375" s="17" t="n">
        <f aca="false">AVERAGE(B356:B375)-2*STDEV(B356:B375)</f>
        <v>6237.43670167537</v>
      </c>
      <c r="R375" s="19" t="n">
        <f aca="false">B375/B355-1</f>
        <v>0.00196027752173578</v>
      </c>
      <c r="S375" s="17" t="n">
        <f aca="false">STDEV(C356:C375)*SQRT(252)*100</f>
        <v>10.9098883536291</v>
      </c>
      <c r="T375" s="19" t="n">
        <f aca="false">B354/B124-1</f>
        <v>0.300363965580589</v>
      </c>
      <c r="U375" s="19" t="n">
        <f aca="false">B375/MAX(B124:B375)-1</f>
        <v>-0.011993975376424</v>
      </c>
      <c r="V375" s="17" t="n">
        <f aca="false">(B375-AVERAGE(B356:B375))/STDEV(B356:B375)</f>
        <v>0.593117755259261</v>
      </c>
    </row>
    <row r="376" customFormat="false" ht="15" hidden="false" customHeight="false" outlineLevel="0" collapsed="false">
      <c r="A376" s="17" t="s">
        <v>940</v>
      </c>
      <c r="B376" s="17" t="n">
        <v>6441.42</v>
      </c>
      <c r="C376" s="19" t="n">
        <f aca="false">B376/B375-1</f>
        <v>0.000974336262558051</v>
      </c>
      <c r="D376" s="17" t="n">
        <f aca="false">AVERAGE(B327:B376)</f>
        <v>6314.029</v>
      </c>
      <c r="E376" s="17" t="n">
        <f aca="false">AVERAGE(B177:B376)</f>
        <v>5895.89945</v>
      </c>
      <c r="F376" s="17" t="n">
        <f aca="false">B376*2/13+F375*11/13</f>
        <v>6434.11078681731</v>
      </c>
      <c r="G376" s="17" t="n">
        <f aca="false">B376*2/27+G375*25/27</f>
        <v>6391.0018865517</v>
      </c>
      <c r="H376" s="17" t="n">
        <f aca="false">F376-G376</f>
        <v>43.1089002656036</v>
      </c>
      <c r="I376" s="17" t="n">
        <f aca="false">H376*2/10+I375*8/10</f>
        <v>46.6879029524415</v>
      </c>
      <c r="J376" s="17" t="n">
        <f aca="false">H376-I376</f>
        <v>-3.57900268683799</v>
      </c>
      <c r="K376" s="17" t="n">
        <f aca="false">MAX(B376-B375,0)</f>
        <v>6.27000000000044</v>
      </c>
      <c r="L376" s="17" t="n">
        <f aca="false">MAX(B375-B376,0)</f>
        <v>0</v>
      </c>
      <c r="M376" s="17" t="n">
        <f aca="false">(M375*13+K376)/14</f>
        <v>14.2799371208947</v>
      </c>
      <c r="N376" s="17" t="n">
        <f aca="false">(N375*13+L376)/14</f>
        <v>10.1497753129167</v>
      </c>
      <c r="O376" s="17" t="n">
        <f aca="false">IF(N376=0,100,100-100/(1+M376/N376))</f>
        <v>58.4531527318793</v>
      </c>
      <c r="P376" s="17" t="n">
        <f aca="false">AVERAGE(B357:B376)+2*STDEV(B357:B376)</f>
        <v>6545.87768126414</v>
      </c>
      <c r="Q376" s="17" t="n">
        <f aca="false">AVERAGE(B357:B376)-2*STDEV(B357:B376)</f>
        <v>6246.98131873587</v>
      </c>
      <c r="R376" s="19" t="n">
        <f aca="false">B376/B356-1</f>
        <v>0.020604051728782</v>
      </c>
      <c r="S376" s="17" t="n">
        <f aca="false">STDEV(C357:C376)*SQRT(252)*100</f>
        <v>8.75243303423595</v>
      </c>
      <c r="T376" s="19" t="n">
        <f aca="false">B355/B125-1</f>
        <v>0.305854892360744</v>
      </c>
      <c r="U376" s="19" t="n">
        <f aca="false">B376/MAX(B125:B376)-1</f>
        <v>-0.0110313252790074</v>
      </c>
      <c r="V376" s="17" t="n">
        <f aca="false">(B376-AVERAGE(B357:B376))/STDEV(B357:B376)</f>
        <v>0.602088290662881</v>
      </c>
    </row>
    <row r="377" customFormat="false" ht="15" hidden="false" customHeight="false" outlineLevel="0" collapsed="false">
      <c r="A377" s="17" t="s">
        <v>941</v>
      </c>
      <c r="B377" s="17" t="n">
        <v>6396.42</v>
      </c>
      <c r="C377" s="19" t="n">
        <f aca="false">B377/B376-1</f>
        <v>-0.00698603724023583</v>
      </c>
      <c r="D377" s="17" t="n">
        <f aca="false">AVERAGE(B328:B377)</f>
        <v>6319.6704</v>
      </c>
      <c r="E377" s="17" t="n">
        <f aca="false">AVERAGE(B178:B377)</f>
        <v>5900.82115</v>
      </c>
      <c r="F377" s="17" t="n">
        <f aca="false">B377*2/13+F376*11/13</f>
        <v>6428.31220423003</v>
      </c>
      <c r="G377" s="17" t="n">
        <f aca="false">B377*2/27+G376*25/27</f>
        <v>6391.40322828861</v>
      </c>
      <c r="H377" s="17" t="n">
        <f aca="false">F377-G377</f>
        <v>36.9089759414155</v>
      </c>
      <c r="I377" s="17" t="n">
        <f aca="false">H377*2/10+I376*8/10</f>
        <v>44.7321175502363</v>
      </c>
      <c r="J377" s="17" t="n">
        <f aca="false">H377-I377</f>
        <v>-7.82314160882082</v>
      </c>
      <c r="K377" s="17" t="n">
        <f aca="false">MAX(B377-B376,0)</f>
        <v>0</v>
      </c>
      <c r="L377" s="17" t="n">
        <f aca="false">MAX(B376-B377,0)</f>
        <v>45</v>
      </c>
      <c r="M377" s="17" t="n">
        <f aca="false">(M376*13+K377)/14</f>
        <v>13.2599416122593</v>
      </c>
      <c r="N377" s="17" t="n">
        <f aca="false">(N376*13+L377)/14</f>
        <v>12.6390770762798</v>
      </c>
      <c r="O377" s="17" t="n">
        <f aca="false">IF(N377=0,100,100-100/(1+M377/N377))</f>
        <v>51.1986255993828</v>
      </c>
      <c r="P377" s="17" t="n">
        <f aca="false">AVERAGE(B358:B377)+2*STDEV(B358:B377)</f>
        <v>6546.71428386863</v>
      </c>
      <c r="Q377" s="17" t="n">
        <f aca="false">AVERAGE(B358:B377)-2*STDEV(B358:B377)</f>
        <v>6249.23071613137</v>
      </c>
      <c r="R377" s="19" t="n">
        <f aca="false">B377/B357-1</f>
        <v>0.00484796310143953</v>
      </c>
      <c r="S377" s="17" t="n">
        <f aca="false">STDEV(C358:C377)*SQRT(252)*100</f>
        <v>8.71606639993753</v>
      </c>
      <c r="T377" s="19" t="n">
        <f aca="false">B356/B126-1</f>
        <v>0.297671281884687</v>
      </c>
      <c r="U377" s="19" t="n">
        <f aca="false">B377/MAX(B126:B377)-1</f>
        <v>-0.0179402972700349</v>
      </c>
      <c r="V377" s="17" t="n">
        <f aca="false">(B377-AVERAGE(B358:B377))/STDEV(B358:B377)</f>
        <v>-0.0208751026056135</v>
      </c>
    </row>
    <row r="378" customFormat="false" ht="15" hidden="false" customHeight="false" outlineLevel="0" collapsed="false">
      <c r="A378" s="17" t="s">
        <v>942</v>
      </c>
      <c r="B378" s="17" t="n">
        <v>6511.34</v>
      </c>
      <c r="C378" s="19" t="n">
        <f aca="false">B378/B377-1</f>
        <v>0.017966299899006</v>
      </c>
      <c r="D378" s="17" t="n">
        <f aca="false">AVERAGE(B329:B378)</f>
        <v>6328.0448</v>
      </c>
      <c r="E378" s="17" t="n">
        <f aca="false">AVERAGE(B179:B378)</f>
        <v>5906.33405</v>
      </c>
      <c r="F378" s="17" t="n">
        <f aca="false">B378*2/13+F377*11/13</f>
        <v>6441.08571127156</v>
      </c>
      <c r="G378" s="17" t="n">
        <f aca="false">B378*2/27+G377*25/27</f>
        <v>6400.28743360057</v>
      </c>
      <c r="H378" s="17" t="n">
        <f aca="false">F378-G378</f>
        <v>40.7982776709951</v>
      </c>
      <c r="I378" s="17" t="n">
        <f aca="false">H378*2/10+I377*8/10</f>
        <v>43.9453495743881</v>
      </c>
      <c r="J378" s="17" t="n">
        <f aca="false">H378-I378</f>
        <v>-3.14707190339303</v>
      </c>
      <c r="K378" s="17" t="n">
        <f aca="false">MAX(B378-B377,0)</f>
        <v>114.92</v>
      </c>
      <c r="L378" s="17" t="n">
        <f aca="false">MAX(B377-B378,0)</f>
        <v>0</v>
      </c>
      <c r="M378" s="17" t="n">
        <f aca="false">(M377*13+K378)/14</f>
        <v>20.5213743542408</v>
      </c>
      <c r="N378" s="17" t="n">
        <f aca="false">(N377*13+L378)/14</f>
        <v>11.7362858565455</v>
      </c>
      <c r="O378" s="17" t="n">
        <f aca="false">IF(N378=0,100,100-100/(1+M378/N378))</f>
        <v>63.6170578403541</v>
      </c>
      <c r="P378" s="17" t="n">
        <f aca="false">AVERAGE(B359:B378)+2*STDEV(B359:B378)</f>
        <v>6560.76478486551</v>
      </c>
      <c r="Q378" s="17" t="n">
        <f aca="false">AVERAGE(B359:B378)-2*STDEV(B359:B378)</f>
        <v>6252.52721513449</v>
      </c>
      <c r="R378" s="19" t="n">
        <f aca="false">B378/B358-1</f>
        <v>0.0273703941545032</v>
      </c>
      <c r="S378" s="17" t="n">
        <f aca="false">STDEV(C359:C378)*SQRT(252)*100</f>
        <v>10.5571302225294</v>
      </c>
      <c r="T378" s="19" t="n">
        <f aca="false">B357/B127-1</f>
        <v>0.296096983912708</v>
      </c>
      <c r="U378" s="19" t="n">
        <f aca="false">B378/MAX(B127:B378)-1</f>
        <v>-0.000296318132059659</v>
      </c>
      <c r="V378" s="17" t="n">
        <f aca="false">(B378-AVERAGE(B359:B378))/STDEV(B359:B378)</f>
        <v>1.35861439721785</v>
      </c>
    </row>
    <row r="379" customFormat="false" ht="15" hidden="false" customHeight="false" outlineLevel="0" collapsed="false">
      <c r="A379" s="17" t="s">
        <v>943</v>
      </c>
      <c r="B379" s="17" t="n">
        <v>6575.8</v>
      </c>
      <c r="C379" s="19" t="n">
        <f aca="false">B379/B378-1</f>
        <v>0.00989965199175602</v>
      </c>
      <c r="D379" s="17" t="n">
        <f aca="false">AVERAGE(B330:B379)</f>
        <v>6337.3844</v>
      </c>
      <c r="E379" s="17" t="n">
        <f aca="false">AVERAGE(B180:B379)</f>
        <v>5912.1465</v>
      </c>
      <c r="F379" s="17" t="n">
        <f aca="false">B379*2/13+F378*11/13</f>
        <v>6461.81098646055</v>
      </c>
      <c r="G379" s="17" t="n">
        <f aca="false">B379*2/27+G378*25/27</f>
        <v>6413.28836444497</v>
      </c>
      <c r="H379" s="17" t="n">
        <f aca="false">F379-G379</f>
        <v>48.5226220155828</v>
      </c>
      <c r="I379" s="17" t="n">
        <f aca="false">H379*2/10+I378*8/10</f>
        <v>44.860804062627</v>
      </c>
      <c r="J379" s="17" t="n">
        <f aca="false">H379-I379</f>
        <v>3.66181795295576</v>
      </c>
      <c r="K379" s="17" t="n">
        <f aca="false">MAX(B379-B378,0)</f>
        <v>64.46</v>
      </c>
      <c r="L379" s="17" t="n">
        <f aca="false">MAX(B378-B379,0)</f>
        <v>0</v>
      </c>
      <c r="M379" s="17" t="n">
        <f aca="false">(M378*13+K379)/14</f>
        <v>23.6598476146522</v>
      </c>
      <c r="N379" s="17" t="n">
        <f aca="false">(N378*13+L379)/14</f>
        <v>10.8979797239351</v>
      </c>
      <c r="O379" s="17" t="n">
        <f aca="false">IF(N379=0,100,100-100/(1+M379/N379))</f>
        <v>68.464511332961</v>
      </c>
      <c r="P379" s="17" t="n">
        <f aca="false">AVERAGE(B360:B379)+2*STDEV(B360:B379)</f>
        <v>6578.61363221654</v>
      </c>
      <c r="Q379" s="17" t="n">
        <f aca="false">AVERAGE(B360:B379)-2*STDEV(B360:B379)</f>
        <v>6265.88836778346</v>
      </c>
      <c r="R379" s="19" t="n">
        <f aca="false">B379/B359-1</f>
        <v>0.0498267796989</v>
      </c>
      <c r="S379" s="17" t="n">
        <f aca="false">STDEV(C360:C379)*SQRT(252)*100</f>
        <v>9.76373823060399</v>
      </c>
      <c r="T379" s="19" t="n">
        <f aca="false">B358/B128-1</f>
        <v>0.283694637254644</v>
      </c>
      <c r="U379" s="19" t="n">
        <f aca="false">B379/MAX(B128:B379)-1</f>
        <v>0</v>
      </c>
      <c r="V379" s="17" t="n">
        <f aca="false">(B379-AVERAGE(B360:B379))/STDEV(B360:B379)</f>
        <v>1.96401144983743</v>
      </c>
    </row>
    <row r="380" customFormat="false" ht="15" hidden="false" customHeight="false" outlineLevel="0" collapsed="false">
      <c r="A380" s="17" t="s">
        <v>944</v>
      </c>
      <c r="B380" s="17" t="n">
        <v>6584.58</v>
      </c>
      <c r="C380" s="19" t="n">
        <f aca="false">B380/B379-1</f>
        <v>0.00133519875908639</v>
      </c>
      <c r="D380" s="17" t="n">
        <f aca="false">AVERAGE(B331:B380)</f>
        <v>6347.7194</v>
      </c>
      <c r="E380" s="17" t="n">
        <f aca="false">AVERAGE(B181:B380)</f>
        <v>5918.40675</v>
      </c>
      <c r="F380" s="17" t="n">
        <f aca="false">B380*2/13+F379*11/13</f>
        <v>6480.69852700508</v>
      </c>
      <c r="G380" s="17" t="n">
        <f aca="false">B380*2/27+G379*25/27</f>
        <v>6425.97663374534</v>
      </c>
      <c r="H380" s="17" t="n">
        <f aca="false">F380-G380</f>
        <v>54.7218932597389</v>
      </c>
      <c r="I380" s="17" t="n">
        <f aca="false">H380*2/10+I379*8/10</f>
        <v>46.8330219020494</v>
      </c>
      <c r="J380" s="17" t="n">
        <f aca="false">H380-I380</f>
        <v>7.88887135768947</v>
      </c>
      <c r="K380" s="17" t="n">
        <f aca="false">MAX(B380-B379,0)</f>
        <v>8.77999999999975</v>
      </c>
      <c r="L380" s="17" t="n">
        <f aca="false">MAX(B379-B380,0)</f>
        <v>0</v>
      </c>
      <c r="M380" s="17" t="n">
        <f aca="false">(M379*13+K380)/14</f>
        <v>22.5970013564627</v>
      </c>
      <c r="N380" s="17" t="n">
        <f aca="false">(N379*13+L380)/14</f>
        <v>10.1195526007969</v>
      </c>
      <c r="O380" s="17" t="n">
        <f aca="false">IF(N380=0,100,100-100/(1+M380/N380))</f>
        <v>69.069014377196</v>
      </c>
      <c r="P380" s="17" t="n">
        <f aca="false">AVERAGE(B361:B380)+2*STDEV(B361:B380)</f>
        <v>6592.2500630834</v>
      </c>
      <c r="Q380" s="17" t="n">
        <f aca="false">AVERAGE(B361:B380)-2*STDEV(B361:B380)</f>
        <v>6284.1989369166</v>
      </c>
      <c r="R380" s="19" t="n">
        <f aca="false">B380/B360-1</f>
        <v>0.0509919219295432</v>
      </c>
      <c r="S380" s="17" t="n">
        <f aca="false">STDEV(C361:C380)*SQRT(252)*100</f>
        <v>9.73807390922909</v>
      </c>
      <c r="T380" s="19" t="n">
        <f aca="false">B359/B129-1</f>
        <v>0.261583701749262</v>
      </c>
      <c r="U380" s="19" t="n">
        <f aca="false">B380/MAX(B129:B380)-1</f>
        <v>0</v>
      </c>
      <c r="V380" s="17" t="n">
        <f aca="false">(B380-AVERAGE(B361:B380))/STDEV(B361:B380)</f>
        <v>1.90040532324825</v>
      </c>
    </row>
    <row r="381" customFormat="false" ht="15" hidden="false" customHeight="false" outlineLevel="0" collapsed="false">
      <c r="A381" s="17" t="s">
        <v>945</v>
      </c>
      <c r="B381" s="17" t="n">
        <v>6653.29</v>
      </c>
      <c r="C381" s="19" t="n">
        <f aca="false">B381/B380-1</f>
        <v>0.0104349859824013</v>
      </c>
      <c r="D381" s="17" t="n">
        <f aca="false">AVERAGE(B332:B381)</f>
        <v>6359.1808</v>
      </c>
      <c r="E381" s="17" t="n">
        <f aca="false">AVERAGE(B182:B381)</f>
        <v>5924.83545</v>
      </c>
      <c r="F381" s="17" t="n">
        <f aca="false">B381*2/13+F380*11/13</f>
        <v>6507.25106131199</v>
      </c>
      <c r="G381" s="17" t="n">
        <f aca="false">B381*2/27+G380*25/27</f>
        <v>6442.81466087532</v>
      </c>
      <c r="H381" s="17" t="n">
        <f aca="false">F381-G381</f>
        <v>64.4364004366735</v>
      </c>
      <c r="I381" s="17" t="n">
        <f aca="false">H381*2/10+I380*8/10</f>
        <v>50.3536976089742</v>
      </c>
      <c r="J381" s="17" t="n">
        <f aca="false">H381-I381</f>
        <v>14.0827028276993</v>
      </c>
      <c r="K381" s="17" t="n">
        <f aca="false">MAX(B381-B380,0)</f>
        <v>68.71</v>
      </c>
      <c r="L381" s="17" t="n">
        <f aca="false">MAX(B380-B381,0)</f>
        <v>0</v>
      </c>
      <c r="M381" s="17" t="n">
        <f aca="false">(M380*13+K381)/14</f>
        <v>25.8907869738582</v>
      </c>
      <c r="N381" s="17" t="n">
        <f aca="false">(N380*13+L381)/14</f>
        <v>9.39672741502568</v>
      </c>
      <c r="O381" s="17" t="n">
        <f aca="false">IF(N381=0,100,100-100/(1+M381/N381))</f>
        <v>73.3709569014422</v>
      </c>
      <c r="P381" s="17" t="n">
        <f aca="false">AVERAGE(B362:B381)+2*STDEV(B362:B381)</f>
        <v>6622.54457990942</v>
      </c>
      <c r="Q381" s="17" t="n">
        <f aca="false">AVERAGE(B362:B381)-2*STDEV(B362:B381)</f>
        <v>6289.92842009058</v>
      </c>
      <c r="R381" s="19" t="n">
        <f aca="false">B381/B361-1</f>
        <v>0.0572441026211454</v>
      </c>
      <c r="S381" s="17" t="n">
        <f aca="false">STDEV(C362:C381)*SQRT(252)*100</f>
        <v>10.120423227918</v>
      </c>
      <c r="T381" s="19" t="n">
        <f aca="false">B360/B130-1</f>
        <v>0.251250229674781</v>
      </c>
      <c r="U381" s="19" t="n">
        <f aca="false">B381/MAX(B130:B381)-1</f>
        <v>0</v>
      </c>
      <c r="V381" s="17" t="n">
        <f aca="false">(B381-AVERAGE(B362:B381))/STDEV(B362:B381)</f>
        <v>2.36974054546629</v>
      </c>
    </row>
    <row r="382" customFormat="false" ht="15" hidden="false" customHeight="false" outlineLevel="0" collapsed="false">
      <c r="A382" s="17" t="s">
        <v>946</v>
      </c>
      <c r="B382" s="17" t="n">
        <v>6676.63</v>
      </c>
      <c r="C382" s="19" t="n">
        <f aca="false">B382/B381-1</f>
        <v>0.00350803888001283</v>
      </c>
      <c r="D382" s="17" t="n">
        <f aca="false">AVERAGE(B333:B382)</f>
        <v>6371.6126</v>
      </c>
      <c r="E382" s="17" t="n">
        <f aca="false">AVERAGE(B183:B382)</f>
        <v>5931.4429</v>
      </c>
      <c r="F382" s="17" t="n">
        <f aca="false">B382*2/13+F381*11/13</f>
        <v>6533.30935957169</v>
      </c>
      <c r="G382" s="17" t="n">
        <f aca="false">B382*2/27+G381*25/27</f>
        <v>6460.1343156253</v>
      </c>
      <c r="H382" s="17" t="n">
        <f aca="false">F382-G382</f>
        <v>73.1750439463904</v>
      </c>
      <c r="I382" s="17" t="n">
        <f aca="false">H382*2/10+I381*8/10</f>
        <v>54.9179668764574</v>
      </c>
      <c r="J382" s="17" t="n">
        <f aca="false">H382-I382</f>
        <v>18.2570770699329</v>
      </c>
      <c r="K382" s="17" t="n">
        <f aca="false">MAX(B382-B381,0)</f>
        <v>23.3400000000001</v>
      </c>
      <c r="L382" s="17" t="n">
        <f aca="false">MAX(B381-B382,0)</f>
        <v>0</v>
      </c>
      <c r="M382" s="17" t="n">
        <f aca="false">(M381*13+K382)/14</f>
        <v>25.7085879042969</v>
      </c>
      <c r="N382" s="17" t="n">
        <f aca="false">(N381*13+L382)/14</f>
        <v>8.72553259966671</v>
      </c>
      <c r="O382" s="17" t="n">
        <f aca="false">IF(N382=0,100,100-100/(1+M382/N382))</f>
        <v>74.6602135557308</v>
      </c>
      <c r="P382" s="17" t="n">
        <f aca="false">AVERAGE(B363:B382)+2*STDEV(B363:B382)</f>
        <v>6654.2365486745</v>
      </c>
      <c r="Q382" s="17" t="n">
        <f aca="false">AVERAGE(B363:B382)-2*STDEV(B363:B382)</f>
        <v>6294.2714513255</v>
      </c>
      <c r="R382" s="19" t="n">
        <f aca="false">B382/B362-1</f>
        <v>0.0570509857067769</v>
      </c>
      <c r="S382" s="17" t="n">
        <f aca="false">STDEV(C363:C382)*SQRT(252)*100</f>
        <v>10.1185058863663</v>
      </c>
      <c r="T382" s="19" t="n">
        <f aca="false">B361/B131-1</f>
        <v>0.252373181555852</v>
      </c>
      <c r="U382" s="19" t="n">
        <f aca="false">B382/MAX(B131:B382)-1</f>
        <v>0</v>
      </c>
      <c r="V382" s="17" t="n">
        <f aca="false">(B382-AVERAGE(B363:B382))/STDEV(B363:B382)</f>
        <v>2.24884025135126</v>
      </c>
    </row>
    <row r="383" customFormat="false" ht="15" hidden="false" customHeight="false" outlineLevel="0" collapsed="false">
      <c r="A383" s="17" t="s">
        <v>947</v>
      </c>
      <c r="B383" s="17" t="n">
        <v>6677.94</v>
      </c>
      <c r="C383" s="19" t="n">
        <f aca="false">B383/B382-1</f>
        <v>0.000196206768983576</v>
      </c>
      <c r="D383" s="17" t="n">
        <f aca="false">AVERAGE(B334:B383)</f>
        <v>6384.414</v>
      </c>
      <c r="E383" s="17" t="n">
        <f aca="false">AVERAGE(B184:B383)</f>
        <v>5938.0126</v>
      </c>
      <c r="F383" s="17" t="n">
        <f aca="false">B383*2/13+F382*11/13</f>
        <v>6555.56022732989</v>
      </c>
      <c r="G383" s="17" t="n">
        <f aca="false">B383*2/27+G382*25/27</f>
        <v>6476.26807002342</v>
      </c>
      <c r="H383" s="17" t="n">
        <f aca="false">F383-G383</f>
        <v>79.292157306465</v>
      </c>
      <c r="I383" s="17" t="n">
        <f aca="false">H383*2/10+I382*8/10</f>
        <v>59.792804962459</v>
      </c>
      <c r="J383" s="17" t="n">
        <f aca="false">H383-I383</f>
        <v>19.4993523440061</v>
      </c>
      <c r="K383" s="17" t="n">
        <f aca="false">MAX(B383-B382,0)</f>
        <v>1.30999999999949</v>
      </c>
      <c r="L383" s="17" t="n">
        <f aca="false">MAX(B382-B383,0)</f>
        <v>0</v>
      </c>
      <c r="M383" s="17" t="n">
        <f aca="false">(M382*13+K383)/14</f>
        <v>23.9658316254186</v>
      </c>
      <c r="N383" s="17" t="n">
        <f aca="false">(N382*13+L383)/14</f>
        <v>8.10228027111908</v>
      </c>
      <c r="O383" s="17" t="n">
        <f aca="false">IF(N383=0,100,100-100/(1+M383/N383))</f>
        <v>74.7341524276212</v>
      </c>
      <c r="P383" s="17" t="n">
        <f aca="false">AVERAGE(B364:B383)+2*STDEV(B364:B383)</f>
        <v>6681.75636468477</v>
      </c>
      <c r="Q383" s="17" t="n">
        <f aca="false">AVERAGE(B364:B383)-2*STDEV(B364:B383)</f>
        <v>6300.08863531523</v>
      </c>
      <c r="R383" s="19" t="n">
        <f aca="false">B383/B363-1</f>
        <v>0.0525441440475871</v>
      </c>
      <c r="S383" s="17" t="n">
        <f aca="false">STDEV(C364:C383)*SQRT(252)*100</f>
        <v>10.1382787809148</v>
      </c>
      <c r="T383" s="19" t="n">
        <f aca="false">B362/B132-1</f>
        <v>0.254432323039739</v>
      </c>
      <c r="U383" s="19" t="n">
        <f aca="false">B383/MAX(B132:B383)-1</f>
        <v>0</v>
      </c>
      <c r="V383" s="17" t="n">
        <f aca="false">(B383-AVERAGE(B364:B383))/STDEV(B364:B383)</f>
        <v>1.96000327624159</v>
      </c>
    </row>
    <row r="384" customFormat="false" ht="15" hidden="false" customHeight="false" outlineLevel="0" collapsed="false">
      <c r="A384" s="17" t="s">
        <v>948</v>
      </c>
      <c r="B384" s="17" t="n">
        <v>6662.66</v>
      </c>
      <c r="C384" s="19" t="n">
        <f aca="false">B384/B383-1</f>
        <v>-0.00228813077086643</v>
      </c>
      <c r="D384" s="17" t="n">
        <f aca="false">AVERAGE(B335:B384)</f>
        <v>6393.3978</v>
      </c>
      <c r="E384" s="17" t="n">
        <f aca="false">AVERAGE(B185:B384)</f>
        <v>5944.45455</v>
      </c>
      <c r="F384" s="17" t="n">
        <f aca="false">B384*2/13+F383*11/13</f>
        <v>6572.03711543298</v>
      </c>
      <c r="G384" s="17" t="n">
        <f aca="false">B384*2/27+G383*25/27</f>
        <v>6490.07487965132</v>
      </c>
      <c r="H384" s="17" t="n">
        <f aca="false">F384-G384</f>
        <v>81.9622357816652</v>
      </c>
      <c r="I384" s="17" t="n">
        <f aca="false">H384*2/10+I383*8/10</f>
        <v>64.2266911263002</v>
      </c>
      <c r="J384" s="17" t="n">
        <f aca="false">H384-I384</f>
        <v>17.735544655365</v>
      </c>
      <c r="K384" s="17" t="n">
        <f aca="false">MAX(B384-B383,0)</f>
        <v>0</v>
      </c>
      <c r="L384" s="17" t="n">
        <f aca="false">MAX(B383-B384,0)</f>
        <v>15.2799999999997</v>
      </c>
      <c r="M384" s="17" t="n">
        <f aca="false">(M383*13+K384)/14</f>
        <v>22.2539865093172</v>
      </c>
      <c r="N384" s="17" t="n">
        <f aca="false">(N383*13+L384)/14</f>
        <v>8.6149745374677</v>
      </c>
      <c r="O384" s="17" t="n">
        <f aca="false">IF(N384=0,100,100-100/(1+M384/N384))</f>
        <v>72.0917897936025</v>
      </c>
      <c r="P384" s="17" t="n">
        <f aca="false">AVERAGE(B365:B384)+2*STDEV(B365:B384)</f>
        <v>6704.0713301126</v>
      </c>
      <c r="Q384" s="17" t="n">
        <f aca="false">AVERAGE(B365:B384)-2*STDEV(B365:B384)</f>
        <v>6304.6506698874</v>
      </c>
      <c r="R384" s="19" t="n">
        <f aca="false">B384/B364-1</f>
        <v>0.0420354432121917</v>
      </c>
      <c r="S384" s="17" t="n">
        <f aca="false">STDEV(C365:C384)*SQRT(252)*100</f>
        <v>10.0840063448521</v>
      </c>
      <c r="T384" s="19" t="n">
        <f aca="false">B363/B133-1</f>
        <v>0.256298252943937</v>
      </c>
      <c r="U384" s="19" t="n">
        <f aca="false">B384/MAX(B133:B384)-1</f>
        <v>-0.00228813077086643</v>
      </c>
      <c r="V384" s="17" t="n">
        <f aca="false">(B384-AVERAGE(B365:B384))/STDEV(B365:B384)</f>
        <v>1.58528604815532</v>
      </c>
    </row>
    <row r="385" customFormat="false" ht="15" hidden="false" customHeight="false" outlineLevel="0" collapsed="false">
      <c r="A385" s="17" t="s">
        <v>949</v>
      </c>
      <c r="B385" s="17" t="n">
        <v>6708.49</v>
      </c>
      <c r="C385" s="19" t="n">
        <f aca="false">B385/B384-1</f>
        <v>0.00687863405906941</v>
      </c>
      <c r="D385" s="17" t="n">
        <f aca="false">AVERAGE(B336:B385)</f>
        <v>6403.0158</v>
      </c>
      <c r="E385" s="17" t="n">
        <f aca="false">AVERAGE(B186:B385)</f>
        <v>5950.96095</v>
      </c>
      <c r="F385" s="17" t="n">
        <f aca="false">B385*2/13+F384*11/13</f>
        <v>6593.02986690483</v>
      </c>
      <c r="G385" s="17" t="n">
        <f aca="false">B385*2/27+G384*25/27</f>
        <v>6506.25377745492</v>
      </c>
      <c r="H385" s="17" t="n">
        <f aca="false">F385-G385</f>
        <v>86.776089449907</v>
      </c>
      <c r="I385" s="17" t="n">
        <f aca="false">H385*2/10+I384*8/10</f>
        <v>68.7365707910216</v>
      </c>
      <c r="J385" s="17" t="n">
        <f aca="false">H385-I385</f>
        <v>18.0395186588854</v>
      </c>
      <c r="K385" s="17" t="n">
        <f aca="false">MAX(B385-B384,0)</f>
        <v>45.8299999999999</v>
      </c>
      <c r="L385" s="17" t="n">
        <f aca="false">MAX(B384-B385,0)</f>
        <v>0</v>
      </c>
      <c r="M385" s="17" t="n">
        <f aca="false">(M384*13+K385)/14</f>
        <v>23.9379874729374</v>
      </c>
      <c r="N385" s="17" t="n">
        <f aca="false">(N384*13+L385)/14</f>
        <v>7.99961921336286</v>
      </c>
      <c r="O385" s="17" t="n">
        <f aca="false">IF(N385=0,100,100-100/(1+M385/N385))</f>
        <v>74.9523522788127</v>
      </c>
      <c r="P385" s="17" t="n">
        <f aca="false">AVERAGE(B366:B385)+2*STDEV(B366:B385)</f>
        <v>6731.50156759764</v>
      </c>
      <c r="Q385" s="17" t="n">
        <f aca="false">AVERAGE(B366:B385)-2*STDEV(B366:B385)</f>
        <v>6309.70443240236</v>
      </c>
      <c r="R385" s="19" t="n">
        <f aca="false">B385/B365-1</f>
        <v>0.05088624846287</v>
      </c>
      <c r="S385" s="17" t="n">
        <f aca="false">STDEV(C366:C385)*SQRT(252)*100</f>
        <v>10.1225884694933</v>
      </c>
      <c r="T385" s="19" t="n">
        <f aca="false">B364/B134-1</f>
        <v>0.268269122054655</v>
      </c>
      <c r="U385" s="19" t="n">
        <f aca="false">B385/MAX(B134:B385)-1</f>
        <v>0</v>
      </c>
      <c r="V385" s="17" t="n">
        <f aca="false">(B385-AVERAGE(B366:B385))/STDEV(B366:B385)</f>
        <v>1.7817759706975</v>
      </c>
    </row>
    <row r="386" customFormat="false" ht="15" hidden="false" customHeight="false" outlineLevel="0" collapsed="false">
      <c r="A386" s="17" t="s">
        <v>950</v>
      </c>
      <c r="B386" s="17" t="n">
        <v>6758.54</v>
      </c>
      <c r="C386" s="19" t="n">
        <f aca="false">B386/B385-1</f>
        <v>0.00746069532786065</v>
      </c>
      <c r="D386" s="17" t="n">
        <f aca="false">AVERAGE(B337:B386)</f>
        <v>6413.2154</v>
      </c>
      <c r="E386" s="17" t="n">
        <f aca="false">AVERAGE(B187:B386)</f>
        <v>5957.6023</v>
      </c>
      <c r="F386" s="17" t="n">
        <f aca="false">B386*2/13+F385*11/13</f>
        <v>6618.49296430409</v>
      </c>
      <c r="G386" s="17" t="n">
        <f aca="false">B386*2/27+G385*25/27</f>
        <v>6524.9416457916</v>
      </c>
      <c r="H386" s="17" t="n">
        <f aca="false">F386-G386</f>
        <v>93.551318512491</v>
      </c>
      <c r="I386" s="17" t="n">
        <f aca="false">H386*2/10+I385*8/10</f>
        <v>73.6995203353154</v>
      </c>
      <c r="J386" s="17" t="n">
        <f aca="false">H386-I386</f>
        <v>19.8517981771755</v>
      </c>
      <c r="K386" s="17" t="n">
        <f aca="false">MAX(B386-B385,0)</f>
        <v>50.0500000000002</v>
      </c>
      <c r="L386" s="17" t="n">
        <f aca="false">MAX(B385-B386,0)</f>
        <v>0</v>
      </c>
      <c r="M386" s="17" t="n">
        <f aca="false">(M385*13+K386)/14</f>
        <v>25.8031312248705</v>
      </c>
      <c r="N386" s="17" t="n">
        <f aca="false">(N385*13+L386)/14</f>
        <v>7.4282178409798</v>
      </c>
      <c r="O386" s="17" t="n">
        <f aca="false">IF(N386=0,100,100-100/(1+M386/N386))</f>
        <v>77.6469567146965</v>
      </c>
      <c r="P386" s="17" t="n">
        <f aca="false">AVERAGE(B367:B386)+2*STDEV(B367:B386)</f>
        <v>6766.09472943947</v>
      </c>
      <c r="Q386" s="17" t="n">
        <f aca="false">AVERAGE(B367:B386)-2*STDEV(B367:B386)</f>
        <v>6311.49827056053</v>
      </c>
      <c r="R386" s="19" t="n">
        <f aca="false">B386/B366-1</f>
        <v>0.0569020762603856</v>
      </c>
      <c r="S386" s="17" t="n">
        <f aca="false">STDEV(C367:C386)*SQRT(252)*100</f>
        <v>10.2677718464827</v>
      </c>
      <c r="T386" s="19" t="n">
        <f aca="false">B365/B135-1</f>
        <v>0.261713090793377</v>
      </c>
      <c r="U386" s="19" t="n">
        <f aca="false">B386/MAX(B135:B386)-1</f>
        <v>0</v>
      </c>
      <c r="V386" s="17" t="n">
        <f aca="false">(B386-AVERAGE(B367:B386))/STDEV(B367:B386)</f>
        <v>1.93352583996721</v>
      </c>
    </row>
    <row r="387" customFormat="false" ht="15" hidden="false" customHeight="false" outlineLevel="0" collapsed="false">
      <c r="A387" s="17" t="s">
        <v>951</v>
      </c>
      <c r="B387" s="17" t="n">
        <v>6737.14</v>
      </c>
      <c r="C387" s="19" t="n">
        <f aca="false">B387/B386-1</f>
        <v>-0.00316636433312512</v>
      </c>
      <c r="D387" s="17" t="n">
        <f aca="false">AVERAGE(B338:B387)</f>
        <v>6422.9852</v>
      </c>
      <c r="E387" s="17" t="n">
        <f aca="false">AVERAGE(B188:B387)</f>
        <v>5964.0893</v>
      </c>
      <c r="F387" s="17" t="n">
        <f aca="false">B387*2/13+F386*11/13</f>
        <v>6636.74635441115</v>
      </c>
      <c r="G387" s="17" t="n">
        <f aca="false">B387*2/27+G386*25/27</f>
        <v>6540.66004239963</v>
      </c>
      <c r="H387" s="17" t="n">
        <f aca="false">F387-G387</f>
        <v>96.0863120115246</v>
      </c>
      <c r="I387" s="17" t="n">
        <f aca="false">H387*2/10+I386*8/10</f>
        <v>78.1768786705573</v>
      </c>
      <c r="J387" s="17" t="n">
        <f aca="false">H387-I387</f>
        <v>17.9094333409673</v>
      </c>
      <c r="K387" s="17" t="n">
        <f aca="false">MAX(B387-B386,0)</f>
        <v>0</v>
      </c>
      <c r="L387" s="17" t="n">
        <f aca="false">MAX(B386-B387,0)</f>
        <v>21.3999999999996</v>
      </c>
      <c r="M387" s="17" t="n">
        <f aca="false">(M386*13+K387)/14</f>
        <v>23.960050423094</v>
      </c>
      <c r="N387" s="17" t="n">
        <f aca="false">(N386*13+L387)/14</f>
        <v>8.42620228090979</v>
      </c>
      <c r="O387" s="17" t="n">
        <f aca="false">IF(N387=0,100,100-100/(1+M387/N387))</f>
        <v>73.9821634879416</v>
      </c>
      <c r="P387" s="17" t="n">
        <f aca="false">AVERAGE(B368:B387)+2*STDEV(B368:B387)</f>
        <v>6788.56002223959</v>
      </c>
      <c r="Q387" s="17" t="n">
        <f aca="false">AVERAGE(B368:B387)-2*STDEV(B368:B387)</f>
        <v>6323.75597776041</v>
      </c>
      <c r="R387" s="19" t="n">
        <f aca="false">B387/B367-1</f>
        <v>0.0543403584714026</v>
      </c>
      <c r="S387" s="17" t="n">
        <f aca="false">STDEV(C368:C387)*SQRT(252)*100</f>
        <v>10.4133291796213</v>
      </c>
      <c r="T387" s="19" t="n">
        <f aca="false">B366/B136-1</f>
        <v>0.267614205148028</v>
      </c>
      <c r="U387" s="19" t="n">
        <f aca="false">B387/MAX(B136:B387)-1</f>
        <v>-0.00316636433312512</v>
      </c>
      <c r="V387" s="17" t="n">
        <f aca="false">(B387-AVERAGE(B368:B387))/STDEV(B368:B387)</f>
        <v>1.55749075034655</v>
      </c>
    </row>
    <row r="388" customFormat="false" ht="15" hidden="false" customHeight="false" outlineLevel="0" collapsed="false">
      <c r="A388" s="17" t="s">
        <v>952</v>
      </c>
      <c r="B388" s="17" t="n">
        <v>6810.28</v>
      </c>
      <c r="C388" s="19" t="n">
        <f aca="false">B388/B387-1</f>
        <v>0.010856238700695</v>
      </c>
      <c r="D388" s="17" t="n">
        <f aca="false">AVERAGE(B339:B388)</f>
        <v>6434.463</v>
      </c>
      <c r="E388" s="17" t="n">
        <f aca="false">AVERAGE(B189:B388)</f>
        <v>5970.95955</v>
      </c>
      <c r="F388" s="17" t="n">
        <f aca="false">B388*2/13+F387*11/13</f>
        <v>6663.4438383479</v>
      </c>
      <c r="G388" s="17" t="n">
        <f aca="false">B388*2/27+G387*25/27</f>
        <v>6560.63189111076</v>
      </c>
      <c r="H388" s="17" t="n">
        <f aca="false">F388-G388</f>
        <v>102.811947237134</v>
      </c>
      <c r="I388" s="17" t="n">
        <f aca="false">H388*2/10+I387*8/10</f>
        <v>83.1038923838725</v>
      </c>
      <c r="J388" s="17" t="n">
        <f aca="false">H388-I388</f>
        <v>19.7080548532611</v>
      </c>
      <c r="K388" s="17" t="n">
        <f aca="false">MAX(B388-B387,0)</f>
        <v>73.1399999999994</v>
      </c>
      <c r="L388" s="17" t="n">
        <f aca="false">MAX(B387-B388,0)</f>
        <v>0</v>
      </c>
      <c r="M388" s="17" t="n">
        <f aca="false">(M387*13+K388)/14</f>
        <v>27.4729039643015</v>
      </c>
      <c r="N388" s="17" t="n">
        <f aca="false">(N387*13+L388)/14</f>
        <v>7.82433068941624</v>
      </c>
      <c r="O388" s="17" t="n">
        <f aca="false">IF(N388=0,100,100-100/(1+M388/N388))</f>
        <v>77.8330207276107</v>
      </c>
      <c r="P388" s="17" t="n">
        <f aca="false">AVERAGE(B369:B388)+2*STDEV(B369:B388)</f>
        <v>6827.64242171668</v>
      </c>
      <c r="Q388" s="17" t="n">
        <f aca="false">AVERAGE(B369:B388)-2*STDEV(B369:B388)</f>
        <v>6319.06957828332</v>
      </c>
      <c r="R388" s="19" t="n">
        <f aca="false">B388/B368-1</f>
        <v>0.0531925422806172</v>
      </c>
      <c r="S388" s="17" t="n">
        <f aca="false">STDEV(C369:C388)*SQRT(252)*100</f>
        <v>10.2896058077064</v>
      </c>
      <c r="T388" s="19" t="n">
        <f aca="false">B367/B137-1</f>
        <v>0.263864632059891</v>
      </c>
      <c r="U388" s="19" t="n">
        <f aca="false">B388/MAX(B137:B388)-1</f>
        <v>0</v>
      </c>
      <c r="V388" s="17" t="n">
        <f aca="false">(B388-AVERAGE(B369:B388))/STDEV(B369:B388)</f>
        <v>1.86344200685615</v>
      </c>
    </row>
    <row r="389" customFormat="false" ht="15" hidden="false" customHeight="false" outlineLevel="0" collapsed="false">
      <c r="A389" s="17" t="s">
        <v>953</v>
      </c>
      <c r="B389" s="17" t="n">
        <v>6811.38</v>
      </c>
      <c r="C389" s="19" t="n">
        <f aca="false">B389/B388-1</f>
        <v>0.000161520524853742</v>
      </c>
      <c r="D389" s="17" t="n">
        <f aca="false">AVERAGE(B340:B389)</f>
        <v>6444.779</v>
      </c>
      <c r="E389" s="17" t="n">
        <f aca="false">AVERAGE(B190:B389)</f>
        <v>5977.85545</v>
      </c>
      <c r="F389" s="17" t="n">
        <f aca="false">B389*2/13+F388*11/13</f>
        <v>6686.20324783284</v>
      </c>
      <c r="G389" s="17" t="n">
        <f aca="false">B389*2/27+G388*25/27</f>
        <v>6579.20582510256</v>
      </c>
      <c r="H389" s="17" t="n">
        <f aca="false">F389-G389</f>
        <v>106.997422730276</v>
      </c>
      <c r="I389" s="17" t="n">
        <f aca="false">H389*2/10+I388*8/10</f>
        <v>87.8825984531533</v>
      </c>
      <c r="J389" s="17" t="n">
        <f aca="false">H389-I389</f>
        <v>19.1148242771231</v>
      </c>
      <c r="K389" s="17" t="n">
        <f aca="false">MAX(B389-B388,0)</f>
        <v>1.10000000000036</v>
      </c>
      <c r="L389" s="17" t="n">
        <f aca="false">MAX(B388-B389,0)</f>
        <v>0</v>
      </c>
      <c r="M389" s="17" t="n">
        <f aca="false">(M388*13+K389)/14</f>
        <v>25.5891251097086</v>
      </c>
      <c r="N389" s="17" t="n">
        <f aca="false">(N388*13+L389)/14</f>
        <v>7.26544992588651</v>
      </c>
      <c r="O389" s="17" t="n">
        <f aca="false">IF(N389=0,100,100-100/(1+M389/N389))</f>
        <v>77.8860328644793</v>
      </c>
      <c r="P389" s="17" t="n">
        <f aca="false">AVERAGE(B370:B389)+2*STDEV(B370:B389)</f>
        <v>6861.92827542127</v>
      </c>
      <c r="Q389" s="17" t="n">
        <f aca="false">AVERAGE(B370:B389)-2*STDEV(B370:B389)</f>
        <v>6314.59472457874</v>
      </c>
      <c r="R389" s="19" t="n">
        <f aca="false">B389/B369-1</f>
        <v>0.0457696364498939</v>
      </c>
      <c r="S389" s="17" t="n">
        <f aca="false">STDEV(C370:C389)*SQRT(252)*100</f>
        <v>10.1723507726618</v>
      </c>
      <c r="T389" s="19" t="n">
        <f aca="false">B368/B138-1</f>
        <v>0.28016281376394</v>
      </c>
      <c r="U389" s="19" t="n">
        <f aca="false">B389/MAX(B138:B389)-1</f>
        <v>0</v>
      </c>
      <c r="V389" s="17" t="n">
        <f aca="false">(B389-AVERAGE(B370:B389))/STDEV(B370:B389)</f>
        <v>1.63058522289777</v>
      </c>
    </row>
    <row r="390" customFormat="false" ht="15" hidden="false" customHeight="false" outlineLevel="0" collapsed="false">
      <c r="A390" s="17" t="s">
        <v>954</v>
      </c>
      <c r="B390" s="17" t="n">
        <v>6834.33</v>
      </c>
      <c r="C390" s="19" t="n">
        <f aca="false">B390/B389-1</f>
        <v>0.0033693612748078</v>
      </c>
      <c r="D390" s="17" t="n">
        <f aca="false">AVERAGE(B341:B390)</f>
        <v>6455.1934</v>
      </c>
      <c r="E390" s="17" t="n">
        <f aca="false">AVERAGE(B191:B390)</f>
        <v>5984.82505</v>
      </c>
      <c r="F390" s="17" t="n">
        <f aca="false">B390*2/13+F389*11/13</f>
        <v>6708.99197893548</v>
      </c>
      <c r="G390" s="17" t="n">
        <f aca="false">B390*2/27+G389*25/27</f>
        <v>6598.103912132</v>
      </c>
      <c r="H390" s="17" t="n">
        <f aca="false">F390-G390</f>
        <v>110.888066803477</v>
      </c>
      <c r="I390" s="17" t="n">
        <f aca="false">H390*2/10+I389*8/10</f>
        <v>92.4836921232181</v>
      </c>
      <c r="J390" s="17" t="n">
        <f aca="false">H390-I390</f>
        <v>18.4043746802591</v>
      </c>
      <c r="K390" s="17" t="n">
        <f aca="false">MAX(B390-B389,0)</f>
        <v>22.9499999999998</v>
      </c>
      <c r="L390" s="17" t="n">
        <f aca="false">MAX(B389-B390,0)</f>
        <v>0</v>
      </c>
      <c r="M390" s="17" t="n">
        <f aca="false">(M389*13+K390)/14</f>
        <v>25.4006161733008</v>
      </c>
      <c r="N390" s="17" t="n">
        <f aca="false">(N389*13+L390)/14</f>
        <v>6.74648921689461</v>
      </c>
      <c r="O390" s="17" t="n">
        <f aca="false">IF(N390=0,100,100-100/(1+M390/N390))</f>
        <v>79.013696147734</v>
      </c>
      <c r="P390" s="17" t="n">
        <f aca="false">AVERAGE(B371:B390)+2*STDEV(B371:B390)</f>
        <v>6895.57735285267</v>
      </c>
      <c r="Q390" s="17" t="n">
        <f aca="false">AVERAGE(B371:B390)-2*STDEV(B371:B390)</f>
        <v>6316.31164714733</v>
      </c>
      <c r="R390" s="19" t="n">
        <f aca="false">B390/B370-1</f>
        <v>0.0545715180683479</v>
      </c>
      <c r="S390" s="17" t="n">
        <f aca="false">STDEV(C371:C390)*SQRT(252)*100</f>
        <v>9.80689509766887</v>
      </c>
      <c r="T390" s="19" t="n">
        <f aca="false">B369/B139-1</f>
        <v>0.286393980091642</v>
      </c>
      <c r="U390" s="19" t="n">
        <f aca="false">B390/MAX(B139:B390)-1</f>
        <v>0</v>
      </c>
      <c r="V390" s="17" t="n">
        <f aca="false">(B390-AVERAGE(B371:B390))/STDEV(B371:B390)</f>
        <v>1.57706902204338</v>
      </c>
    </row>
    <row r="391" customFormat="false" ht="15" hidden="false" customHeight="false" outlineLevel="0" collapsed="false">
      <c r="A391" s="17" t="s">
        <v>955</v>
      </c>
      <c r="B391" s="17" t="n">
        <v>6906.28</v>
      </c>
      <c r="C391" s="19" t="n">
        <f aca="false">B391/B390-1</f>
        <v>0.0105277327843403</v>
      </c>
      <c r="D391" s="17" t="n">
        <f aca="false">AVERAGE(B342:B391)</f>
        <v>6466.9034</v>
      </c>
      <c r="E391" s="17" t="n">
        <f aca="false">AVERAGE(B192:B391)</f>
        <v>5992.26385</v>
      </c>
      <c r="F391" s="17" t="n">
        <f aca="false">B391*2/13+F390*11/13</f>
        <v>6739.34398217617</v>
      </c>
      <c r="G391" s="17" t="n">
        <f aca="false">B391*2/27+G390*25/27</f>
        <v>6620.93177049259</v>
      </c>
      <c r="H391" s="17" t="n">
        <f aca="false">F391-G391</f>
        <v>118.412211683579</v>
      </c>
      <c r="I391" s="17" t="n">
        <f aca="false">H391*2/10+I390*8/10</f>
        <v>97.6693960352902</v>
      </c>
      <c r="J391" s="17" t="n">
        <f aca="false">H391-I391</f>
        <v>20.7428156482886</v>
      </c>
      <c r="K391" s="17" t="n">
        <f aca="false">MAX(B391-B390,0)</f>
        <v>71.9499999999998</v>
      </c>
      <c r="L391" s="17" t="n">
        <f aca="false">MAX(B390-B391,0)</f>
        <v>0</v>
      </c>
      <c r="M391" s="17" t="n">
        <f aca="false">(M390*13+K391)/14</f>
        <v>28.7255721609222</v>
      </c>
      <c r="N391" s="17" t="n">
        <f aca="false">(N390*13+L391)/14</f>
        <v>6.26459712997357</v>
      </c>
      <c r="O391" s="17" t="n">
        <f aca="false">IF(N391=0,100,100-100/(1+M391/N391))</f>
        <v>82.0961222625362</v>
      </c>
      <c r="P391" s="17" t="n">
        <f aca="false">AVERAGE(B372:B391)+2*STDEV(B372:B391)</f>
        <v>6939.31708742543</v>
      </c>
      <c r="Q391" s="17" t="n">
        <f aca="false">AVERAGE(B372:B391)-2*STDEV(B372:B391)</f>
        <v>6315.95191257457</v>
      </c>
      <c r="R391" s="19" t="n">
        <f aca="false">B391/B371-1</f>
        <v>0.067022223320891</v>
      </c>
      <c r="S391" s="17" t="n">
        <f aca="false">STDEV(C372:C391)*SQRT(252)*100</f>
        <v>10.0679702287293</v>
      </c>
      <c r="T391" s="19" t="n">
        <f aca="false">B370/B140-1</f>
        <v>0.279323686756026</v>
      </c>
      <c r="U391" s="19" t="n">
        <f aca="false">B391/MAX(B140:B391)-1</f>
        <v>0</v>
      </c>
      <c r="V391" s="17" t="n">
        <f aca="false">(B391-AVERAGE(B372:B391))/STDEV(B372:B391)</f>
        <v>1.78800812904998</v>
      </c>
    </row>
    <row r="392" customFormat="false" ht="15" hidden="false" customHeight="false" outlineLevel="0" collapsed="false">
      <c r="A392" s="17" t="s">
        <v>956</v>
      </c>
      <c r="B392" s="17" t="n">
        <v>6963.46</v>
      </c>
      <c r="C392" s="19" t="n">
        <f aca="false">B392/B391-1</f>
        <v>0.00827942104866875</v>
      </c>
      <c r="D392" s="17" t="n">
        <f aca="false">AVERAGE(B343:B392)</f>
        <v>6479.2564</v>
      </c>
      <c r="E392" s="17" t="n">
        <f aca="false">AVERAGE(B193:B392)</f>
        <v>5999.97675</v>
      </c>
      <c r="F392" s="17" t="n">
        <f aca="false">B392*2/13+F391*11/13</f>
        <v>6773.82336953368</v>
      </c>
      <c r="G392" s="17" t="n">
        <f aca="false">B392*2/27+G391*25/27</f>
        <v>6646.30423193759</v>
      </c>
      <c r="H392" s="17" t="n">
        <f aca="false">F392-G392</f>
        <v>127.519137596098</v>
      </c>
      <c r="I392" s="17" t="n">
        <f aca="false">H392*2/10+I391*8/10</f>
        <v>103.639344347452</v>
      </c>
      <c r="J392" s="17" t="n">
        <f aca="false">H392-I392</f>
        <v>23.8797932486459</v>
      </c>
      <c r="K392" s="17" t="n">
        <f aca="false">MAX(B392-B391,0)</f>
        <v>57.1800000000003</v>
      </c>
      <c r="L392" s="17" t="n">
        <f aca="false">MAX(B391-B392,0)</f>
        <v>0</v>
      </c>
      <c r="M392" s="17" t="n">
        <f aca="false">(M391*13+K392)/14</f>
        <v>30.7580312922849</v>
      </c>
      <c r="N392" s="17" t="n">
        <f aca="false">(N391*13+L392)/14</f>
        <v>5.81712590640403</v>
      </c>
      <c r="O392" s="17" t="n">
        <f aca="false">IF(N392=0,100,100-100/(1+M392/N392))</f>
        <v>84.0954178958046</v>
      </c>
      <c r="P392" s="17" t="n">
        <f aca="false">AVERAGE(B373:B392)+2*STDEV(B373:B392)</f>
        <v>6988.77267677378</v>
      </c>
      <c r="Q392" s="17" t="n">
        <f aca="false">AVERAGE(B373:B392)-2*STDEV(B373:B392)</f>
        <v>6315.57332322622</v>
      </c>
      <c r="R392" s="19" t="n">
        <f aca="false">B392/B372-1</f>
        <v>0.0758216444785709</v>
      </c>
      <c r="S392" s="17" t="n">
        <f aca="false">STDEV(C373:C392)*SQRT(252)*100</f>
        <v>10.1417828358055</v>
      </c>
      <c r="T392" s="19" t="n">
        <f aca="false">B371/B141-1</f>
        <v>0.268850003724716</v>
      </c>
      <c r="U392" s="19" t="n">
        <f aca="false">B392/MAX(B141:B392)-1</f>
        <v>0</v>
      </c>
      <c r="V392" s="17" t="n">
        <f aca="false">(B392-AVERAGE(B373:B392))/STDEV(B373:B392)</f>
        <v>1.84959773570556</v>
      </c>
    </row>
    <row r="393" customFormat="false" ht="15" hidden="false" customHeight="false" outlineLevel="0" collapsed="false">
      <c r="A393" s="17" t="s">
        <v>957</v>
      </c>
      <c r="B393" s="17" t="n">
        <v>6919.35</v>
      </c>
      <c r="C393" s="19" t="n">
        <f aca="false">B393/B392-1</f>
        <v>-0.00633449463341496</v>
      </c>
      <c r="D393" s="17" t="n">
        <f aca="false">AVERAGE(B344:B393)</f>
        <v>6491.3992</v>
      </c>
      <c r="E393" s="17" t="n">
        <f aca="false">AVERAGE(B194:B393)</f>
        <v>6007.48165</v>
      </c>
      <c r="F393" s="17" t="n">
        <f aca="false">B393*2/13+F392*11/13</f>
        <v>6796.21208191312</v>
      </c>
      <c r="G393" s="17" t="n">
        <f aca="false">B393*2/27+G392*25/27</f>
        <v>6666.52984438665</v>
      </c>
      <c r="H393" s="17" t="n">
        <f aca="false">F393-G393</f>
        <v>129.682237526463</v>
      </c>
      <c r="I393" s="17" t="n">
        <f aca="false">H393*2/10+I392*8/10</f>
        <v>108.847922983254</v>
      </c>
      <c r="J393" s="17" t="n">
        <f aca="false">H393-I393</f>
        <v>20.8343145432089</v>
      </c>
      <c r="K393" s="17" t="n">
        <f aca="false">MAX(B393-B392,0)</f>
        <v>0</v>
      </c>
      <c r="L393" s="17" t="n">
        <f aca="false">MAX(B392-B393,0)</f>
        <v>44.1099999999997</v>
      </c>
      <c r="M393" s="17" t="n">
        <f aca="false">(M392*13+K393)/14</f>
        <v>28.5610290571217</v>
      </c>
      <c r="N393" s="17" t="n">
        <f aca="false">(N392*13+L393)/14</f>
        <v>8.55233119880372</v>
      </c>
      <c r="O393" s="17" t="n">
        <f aca="false">IF(N393=0,100,100-100/(1+M393/N393))</f>
        <v>76.9561927569243</v>
      </c>
      <c r="P393" s="17" t="n">
        <f aca="false">AVERAGE(B374:B393)+2*STDEV(B374:B393)</f>
        <v>7019.54700291702</v>
      </c>
      <c r="Q393" s="17" t="n">
        <f aca="false">AVERAGE(B374:B393)-2*STDEV(B374:B393)</f>
        <v>6330.21699708298</v>
      </c>
      <c r="R393" s="19" t="n">
        <f aca="false">B393/B373-1</f>
        <v>0.0702502795750151</v>
      </c>
      <c r="S393" s="17" t="n">
        <f aca="false">STDEV(C374:C393)*SQRT(252)*100</f>
        <v>10.6240740492893</v>
      </c>
      <c r="T393" s="19" t="n">
        <f aca="false">B372/B142-1</f>
        <v>0.256474365569439</v>
      </c>
      <c r="U393" s="19" t="n">
        <f aca="false">B393/MAX(B142:B393)-1</f>
        <v>-0.00633449463341496</v>
      </c>
      <c r="V393" s="17" t="n">
        <f aca="false">(B393-AVERAGE(B374:B393))/STDEV(B374:B393)</f>
        <v>1.41858325000207</v>
      </c>
    </row>
    <row r="394" customFormat="false" ht="15" hidden="false" customHeight="false" outlineLevel="0" collapsed="false">
      <c r="A394" s="17" t="s">
        <v>958</v>
      </c>
      <c r="B394" s="17" t="n">
        <v>6916.3</v>
      </c>
      <c r="C394" s="19" t="n">
        <f aca="false">B394/B393-1</f>
        <v>-0.000440792849039307</v>
      </c>
      <c r="D394" s="17" t="n">
        <f aca="false">AVERAGE(B345:B394)</f>
        <v>6503.5438</v>
      </c>
      <c r="E394" s="17" t="n">
        <f aca="false">AVERAGE(B195:B394)</f>
        <v>6014.95475</v>
      </c>
      <c r="F394" s="17" t="n">
        <f aca="false">B394*2/13+F393*11/13</f>
        <v>6814.68714623418</v>
      </c>
      <c r="G394" s="17" t="n">
        <f aca="false">B394*2/27+G393*25/27</f>
        <v>6685.03133739505</v>
      </c>
      <c r="H394" s="17" t="n">
        <f aca="false">F394-G394</f>
        <v>129.655808839126</v>
      </c>
      <c r="I394" s="17" t="n">
        <f aca="false">H394*2/10+I393*8/10</f>
        <v>113.009500154428</v>
      </c>
      <c r="J394" s="17" t="n">
        <f aca="false">H394-I394</f>
        <v>16.6463086846974</v>
      </c>
      <c r="K394" s="17" t="n">
        <f aca="false">MAX(B394-B393,0)</f>
        <v>0</v>
      </c>
      <c r="L394" s="17" t="n">
        <f aca="false">MAX(B393-B394,0)</f>
        <v>3.05000000000018</v>
      </c>
      <c r="M394" s="17" t="n">
        <f aca="false">(M393*13+K394)/14</f>
        <v>26.5209555530416</v>
      </c>
      <c r="N394" s="17" t="n">
        <f aca="false">(N393*13+L394)/14</f>
        <v>8.15930754174632</v>
      </c>
      <c r="O394" s="17" t="n">
        <f aca="false">IF(N394=0,100,100-100/(1+M394/N394))</f>
        <v>76.4727634290278</v>
      </c>
      <c r="P394" s="17" t="n">
        <f aca="false">AVERAGE(B375:B394)+2*STDEV(B375:B394)</f>
        <v>7040.07557546708</v>
      </c>
      <c r="Q394" s="17" t="n">
        <f aca="false">AVERAGE(B375:B394)-2*STDEV(B375:B394)</f>
        <v>6358.00242453292</v>
      </c>
      <c r="R394" s="19" t="n">
        <f aca="false">B394/B374-1</f>
        <v>0.0751015053255322</v>
      </c>
      <c r="S394" s="17" t="n">
        <f aca="false">STDEV(C375:C394)*SQRT(252)*100</f>
        <v>10.2672696272534</v>
      </c>
      <c r="T394" s="19" t="n">
        <f aca="false">B373/B143-1</f>
        <v>0.253688248024014</v>
      </c>
      <c r="U394" s="19" t="n">
        <f aca="false">B394/MAX(B143:B394)-1</f>
        <v>-0.00677249528251755</v>
      </c>
      <c r="V394" s="17" t="n">
        <f aca="false">(B394-AVERAGE(B375:B394))/STDEV(B375:B394)</f>
        <v>1.27412140297527</v>
      </c>
    </row>
    <row r="395" customFormat="false" ht="15" hidden="false" customHeight="false" outlineLevel="0" collapsed="false">
      <c r="A395" s="17" t="s">
        <v>959</v>
      </c>
      <c r="B395" s="17" t="n">
        <v>7022.97</v>
      </c>
      <c r="C395" s="19" t="n">
        <f aca="false">B395/B394-1</f>
        <v>0.0154229862787907</v>
      </c>
      <c r="D395" s="17" t="n">
        <f aca="false">AVERAGE(B346:B395)</f>
        <v>6517.6796</v>
      </c>
      <c r="E395" s="17" t="n">
        <f aca="false">AVERAGE(B196:B395)</f>
        <v>6023.0776</v>
      </c>
      <c r="F395" s="17" t="n">
        <f aca="false">B395*2/13+F394*11/13</f>
        <v>6846.73066219815</v>
      </c>
      <c r="G395" s="17" t="n">
        <f aca="false">B395*2/27+G394*25/27</f>
        <v>6710.06383092134</v>
      </c>
      <c r="H395" s="17" t="n">
        <f aca="false">F395-G395</f>
        <v>136.666831276806</v>
      </c>
      <c r="I395" s="17" t="n">
        <f aca="false">H395*2/10+I394*8/10</f>
        <v>117.740966378904</v>
      </c>
      <c r="J395" s="17" t="n">
        <f aca="false">H395-I395</f>
        <v>18.9258648979022</v>
      </c>
      <c r="K395" s="17" t="n">
        <f aca="false">MAX(B395-B394,0)</f>
        <v>106.67</v>
      </c>
      <c r="L395" s="17" t="n">
        <f aca="false">MAX(B394-B395,0)</f>
        <v>0</v>
      </c>
      <c r="M395" s="17" t="n">
        <f aca="false">(M394*13+K395)/14</f>
        <v>32.2458872992529</v>
      </c>
      <c r="N395" s="17" t="n">
        <f aca="false">(N394*13+L395)/14</f>
        <v>7.57649986019301</v>
      </c>
      <c r="O395" s="17" t="n">
        <f aca="false">IF(N395=0,100,100-100/(1+M395/N395))</f>
        <v>80.9742700007981</v>
      </c>
      <c r="P395" s="17" t="n">
        <f aca="false">AVERAGE(B376:B395)+2*STDEV(B376:B395)</f>
        <v>7074.9831062516</v>
      </c>
      <c r="Q395" s="17" t="n">
        <f aca="false">AVERAGE(B376:B395)-2*STDEV(B376:B395)</f>
        <v>6381.8768937484</v>
      </c>
      <c r="R395" s="19" t="n">
        <f aca="false">B395/B375-1</f>
        <v>0.0913451900888092</v>
      </c>
      <c r="S395" s="17" t="n">
        <f aca="false">STDEV(C376:C395)*SQRT(252)*100</f>
        <v>10.9916636946036</v>
      </c>
      <c r="T395" s="19" t="n">
        <f aca="false">B374/B144-1</f>
        <v>0.244792049627907</v>
      </c>
      <c r="U395" s="19" t="n">
        <f aca="false">B395/MAX(B144:B395)-1</f>
        <v>0</v>
      </c>
      <c r="V395" s="17" t="n">
        <f aca="false">(B395-AVERAGE(B376:B395))/STDEV(B376:B395)</f>
        <v>1.69982605659384</v>
      </c>
    </row>
    <row r="396" customFormat="false" ht="15" hidden="false" customHeight="false" outlineLevel="0" collapsed="false">
      <c r="A396" s="17" t="s">
        <v>960</v>
      </c>
      <c r="B396" s="17" t="n">
        <v>6988.32</v>
      </c>
      <c r="C396" s="19" t="n">
        <f aca="false">B396/B395-1</f>
        <v>-0.00493381005472049</v>
      </c>
      <c r="D396" s="17" t="n">
        <f aca="false">AVERAGE(B347:B396)</f>
        <v>6531.5732</v>
      </c>
      <c r="E396" s="17" t="n">
        <f aca="false">AVERAGE(B197:B396)</f>
        <v>6031.13405</v>
      </c>
      <c r="F396" s="17" t="n">
        <f aca="false">B396*2/13+F395*11/13</f>
        <v>6868.51363724459</v>
      </c>
      <c r="G396" s="17" t="n">
        <f aca="false">B396*2/27+G395*25/27</f>
        <v>6730.67539900125</v>
      </c>
      <c r="H396" s="17" t="n">
        <f aca="false">F396-G396</f>
        <v>137.838238243344</v>
      </c>
      <c r="I396" s="17" t="n">
        <f aca="false">H396*2/10+I395*8/10</f>
        <v>121.760420751792</v>
      </c>
      <c r="J396" s="17" t="n">
        <f aca="false">H396-I396</f>
        <v>16.0778174915519</v>
      </c>
      <c r="K396" s="17" t="n">
        <f aca="false">MAX(B396-B395,0)</f>
        <v>0</v>
      </c>
      <c r="L396" s="17" t="n">
        <f aca="false">MAX(B395-B396,0)</f>
        <v>34.6500000000005</v>
      </c>
      <c r="M396" s="17" t="n">
        <f aca="false">(M395*13+K396)/14</f>
        <v>29.9426096350205</v>
      </c>
      <c r="N396" s="17" t="n">
        <f aca="false">(N395*13+L396)/14</f>
        <v>9.5103212987507</v>
      </c>
      <c r="O396" s="17" t="n">
        <f aca="false">IF(N396=0,100,100-100/(1+M396/N396))</f>
        <v>75.8945125909265</v>
      </c>
      <c r="P396" s="17" t="n">
        <f aca="false">AVERAGE(B377:B396)+2*STDEV(B377:B396)</f>
        <v>7093.15924288542</v>
      </c>
      <c r="Q396" s="17" t="n">
        <f aca="false">AVERAGE(B377:B396)-2*STDEV(B377:B396)</f>
        <v>6418.39075711458</v>
      </c>
      <c r="R396" s="19" t="n">
        <f aca="false">B396/B376-1</f>
        <v>0.0849036392596663</v>
      </c>
      <c r="S396" s="17" t="n">
        <f aca="false">STDEV(C377:C396)*SQRT(252)*100</f>
        <v>11.4275082953354</v>
      </c>
      <c r="T396" s="19" t="n">
        <f aca="false">B375/B145-1</f>
        <v>0.254579058083609</v>
      </c>
      <c r="U396" s="19" t="n">
        <f aca="false">B396/MAX(B145:B396)-1</f>
        <v>-0.00493381005472049</v>
      </c>
      <c r="V396" s="17" t="n">
        <f aca="false">(B396-AVERAGE(B377:B396))/STDEV(B377:B396)</f>
        <v>1.37851725386579</v>
      </c>
    </row>
    <row r="397" customFormat="false" ht="15" hidden="false" customHeight="false" outlineLevel="0" collapsed="false">
      <c r="A397" s="17" t="s">
        <v>961</v>
      </c>
      <c r="B397" s="17" t="n">
        <v>6930.73</v>
      </c>
      <c r="C397" s="19" t="n">
        <f aca="false">B397/B396-1</f>
        <v>-0.00824089337637657</v>
      </c>
      <c r="D397" s="17" t="n">
        <f aca="false">AVERAGE(B348:B397)</f>
        <v>6545.0206</v>
      </c>
      <c r="E397" s="17" t="n">
        <f aca="false">AVERAGE(B198:B397)</f>
        <v>6039.01975</v>
      </c>
      <c r="F397" s="17" t="n">
        <f aca="false">B397*2/13+F396*11/13</f>
        <v>6878.08538536081</v>
      </c>
      <c r="G397" s="17" t="n">
        <f aca="false">B397*2/27+G396*25/27</f>
        <v>6745.49425833449</v>
      </c>
      <c r="H397" s="17" t="n">
        <f aca="false">F397-G397</f>
        <v>132.59112702632</v>
      </c>
      <c r="I397" s="17" t="n">
        <f aca="false">H397*2/10+I396*8/10</f>
        <v>123.926562006697</v>
      </c>
      <c r="J397" s="17" t="n">
        <f aca="false">H397-I397</f>
        <v>8.66456501962219</v>
      </c>
      <c r="K397" s="17" t="n">
        <f aca="false">MAX(B397-B396,0)</f>
        <v>0</v>
      </c>
      <c r="L397" s="17" t="n">
        <f aca="false">MAX(B396-B397,0)</f>
        <v>57.5900000000001</v>
      </c>
      <c r="M397" s="17" t="n">
        <f aca="false">(M396*13+K397)/14</f>
        <v>27.8038518039476</v>
      </c>
      <c r="N397" s="17" t="n">
        <f aca="false">(N396*13+L397)/14</f>
        <v>12.9445840631257</v>
      </c>
      <c r="O397" s="17" t="n">
        <f aca="false">IF(N397=0,100,100-100/(1+M397/N397))</f>
        <v>68.2329302028854</v>
      </c>
      <c r="P397" s="17" t="n">
        <f aca="false">AVERAGE(B378:B397)+2*STDEV(B378:B397)</f>
        <v>7082.62467423932</v>
      </c>
      <c r="Q397" s="17" t="n">
        <f aca="false">AVERAGE(B378:B397)-2*STDEV(B378:B397)</f>
        <v>6482.35632576069</v>
      </c>
      <c r="R397" s="19" t="n">
        <f aca="false">B397/B377-1</f>
        <v>0.0835326635836922</v>
      </c>
      <c r="S397" s="17" t="n">
        <f aca="false">STDEV(C378:C397)*SQRT(252)*100</f>
        <v>11.596507355577</v>
      </c>
      <c r="T397" s="19" t="n">
        <f aca="false">B376/B146-1</f>
        <v>0.258884022537655</v>
      </c>
      <c r="U397" s="19" t="n">
        <f aca="false">B397/MAX(B146:B397)-1</f>
        <v>-0.0131340444284969</v>
      </c>
      <c r="V397" s="17" t="n">
        <f aca="false">(B397-AVERAGE(B378:B397))/STDEV(B378:B397)</f>
        <v>0.987821532657585</v>
      </c>
    </row>
    <row r="398" customFormat="false" ht="15" hidden="false" customHeight="false" outlineLevel="0" collapsed="false">
      <c r="A398" s="17" t="s">
        <v>962</v>
      </c>
      <c r="B398" s="17" t="n">
        <v>6949.99</v>
      </c>
      <c r="C398" s="19" t="n">
        <f aca="false">B398/B397-1</f>
        <v>0.00277892804942637</v>
      </c>
      <c r="D398" s="17" t="n">
        <f aca="false">AVERAGE(B349:B398)</f>
        <v>6557.2376</v>
      </c>
      <c r="E398" s="17" t="n">
        <f aca="false">AVERAGE(B199:B398)</f>
        <v>6046.7737</v>
      </c>
      <c r="F398" s="17" t="n">
        <f aca="false">B398*2/13+F397*11/13</f>
        <v>6889.14763376684</v>
      </c>
      <c r="G398" s="17" t="n">
        <f aca="false">B398*2/27+G397*25/27</f>
        <v>6760.64209105045</v>
      </c>
      <c r="H398" s="17" t="n">
        <f aca="false">F398-G398</f>
        <v>128.505542716384</v>
      </c>
      <c r="I398" s="17" t="n">
        <f aca="false">H398*2/10+I397*8/10</f>
        <v>124.842358148635</v>
      </c>
      <c r="J398" s="17" t="n">
        <f aca="false">H398-I398</f>
        <v>3.66318456774954</v>
      </c>
      <c r="K398" s="17" t="n">
        <f aca="false">MAX(B398-B397,0)</f>
        <v>19.2600000000002</v>
      </c>
      <c r="L398" s="17" t="n">
        <f aca="false">MAX(B397-B398,0)</f>
        <v>0</v>
      </c>
      <c r="M398" s="17" t="n">
        <f aca="false">(M397*13+K398)/14</f>
        <v>27.1935766750943</v>
      </c>
      <c r="N398" s="17" t="n">
        <f aca="false">(N397*13+L398)/14</f>
        <v>12.0199709157595</v>
      </c>
      <c r="O398" s="17" t="n">
        <f aca="false">IF(N398=0,100,100-100/(1+M398/N398))</f>
        <v>69.3474024814753</v>
      </c>
      <c r="P398" s="17" t="n">
        <f aca="false">AVERAGE(B379:B398)+2*STDEV(B379:B398)</f>
        <v>7084.57156202417</v>
      </c>
      <c r="Q398" s="17" t="n">
        <f aca="false">AVERAGE(B379:B398)-2*STDEV(B379:B398)</f>
        <v>6524.27443797583</v>
      </c>
      <c r="R398" s="19" t="n">
        <f aca="false">B398/B378-1</f>
        <v>0.0673670857304334</v>
      </c>
      <c r="S398" s="17" t="n">
        <f aca="false">STDEV(C379:C398)*SQRT(252)*100</f>
        <v>10.3661039308237</v>
      </c>
      <c r="T398" s="19" t="n">
        <f aca="false">B377/B147-1</f>
        <v>0.241374893502229</v>
      </c>
      <c r="U398" s="19" t="n">
        <f aca="false">B398/MAX(B147:B398)-1</f>
        <v>-0.0103916149435354</v>
      </c>
      <c r="V398" s="17" t="n">
        <f aca="false">(B398-AVERAGE(B379:B398))/STDEV(B379:B398)</f>
        <v>1.03921290152787</v>
      </c>
    </row>
    <row r="399" customFormat="false" ht="15" hidden="false" customHeight="false" outlineLevel="0" collapsed="false">
      <c r="A399" s="17" t="s">
        <v>963</v>
      </c>
      <c r="B399" s="17" t="n">
        <v>6901.5</v>
      </c>
      <c r="C399" s="19" t="n">
        <f aca="false">B399/B398-1</f>
        <v>-0.00697698845609851</v>
      </c>
      <c r="D399" s="17" t="n">
        <f aca="false">AVERAGE(B350:B399)</f>
        <v>6568.9774</v>
      </c>
      <c r="E399" s="17" t="n">
        <f aca="false">AVERAGE(B200:B399)</f>
        <v>6054.3229</v>
      </c>
      <c r="F399" s="17" t="n">
        <f aca="false">B399*2/13+F398*11/13</f>
        <v>6891.04799780271</v>
      </c>
      <c r="G399" s="17" t="n">
        <f aca="false">B399*2/27+G398*25/27</f>
        <v>6771.0760102319</v>
      </c>
      <c r="H399" s="17" t="n">
        <f aca="false">F399-G399</f>
        <v>119.971987570807</v>
      </c>
      <c r="I399" s="17" t="n">
        <f aca="false">H399*2/10+I398*8/10</f>
        <v>123.868284033069</v>
      </c>
      <c r="J399" s="17" t="n">
        <f aca="false">H399-I399</f>
        <v>-3.89629646226224</v>
      </c>
      <c r="K399" s="17" t="n">
        <f aca="false">MAX(B399-B398,0)</f>
        <v>0</v>
      </c>
      <c r="L399" s="17" t="n">
        <f aca="false">MAX(B398-B399,0)</f>
        <v>48.4899999999998</v>
      </c>
      <c r="M399" s="17" t="n">
        <f aca="false">(M398*13+K399)/14</f>
        <v>25.251178341159</v>
      </c>
      <c r="N399" s="17" t="n">
        <f aca="false">(N398*13+L399)/14</f>
        <v>14.6249729932053</v>
      </c>
      <c r="O399" s="17" t="n">
        <f aca="false">IF(N399=0,100,100-100/(1+M399/N399))</f>
        <v>63.3240107086216</v>
      </c>
      <c r="P399" s="17" t="n">
        <f aca="false">AVERAGE(B380:B399)+2*STDEV(B380:B399)</f>
        <v>7082.13997691097</v>
      </c>
      <c r="Q399" s="17" t="n">
        <f aca="false">AVERAGE(B380:B399)-2*STDEV(B380:B399)</f>
        <v>6559.27602308903</v>
      </c>
      <c r="R399" s="19" t="n">
        <f aca="false">B399/B379-1</f>
        <v>0.0495300951975424</v>
      </c>
      <c r="S399" s="17" t="n">
        <f aca="false">STDEV(C380:C399)*SQRT(252)*100</f>
        <v>10.6645464542584</v>
      </c>
      <c r="T399" s="19" t="n">
        <f aca="false">B378/B148-1</f>
        <v>0.264902772111817</v>
      </c>
      <c r="U399" s="19" t="n">
        <f aca="false">B399/MAX(B148:B399)-1</f>
        <v>-0.0172961012221325</v>
      </c>
      <c r="V399" s="17" t="n">
        <f aca="false">(B399-AVERAGE(B380:B399))/STDEV(B380:B399)</f>
        <v>0.618072823031227</v>
      </c>
    </row>
    <row r="400" customFormat="false" ht="15" hidden="false" customHeight="false" outlineLevel="0" collapsed="false">
      <c r="A400" s="17" t="s">
        <v>964</v>
      </c>
      <c r="B400" s="17" t="n">
        <v>6760.29</v>
      </c>
      <c r="C400" s="19" t="n">
        <f aca="false">B400/B399-1</f>
        <v>-0.0204607693979569</v>
      </c>
      <c r="D400" s="17" t="n">
        <f aca="false">AVERAGE(B351:B400)</f>
        <v>6578.011</v>
      </c>
      <c r="E400" s="17" t="n">
        <f aca="false">AVERAGE(B201:B400)</f>
        <v>6061.12615</v>
      </c>
      <c r="F400" s="17" t="n">
        <f aca="false">B400*2/13+F399*11/13</f>
        <v>6870.93138275614</v>
      </c>
      <c r="G400" s="17" t="n">
        <f aca="false">B400*2/27+G399*25/27</f>
        <v>6770.27704651102</v>
      </c>
      <c r="H400" s="17" t="n">
        <f aca="false">F400-G400</f>
        <v>100.654336245117</v>
      </c>
      <c r="I400" s="17" t="n">
        <f aca="false">H400*2/10+I399*8/10</f>
        <v>119.225494475479</v>
      </c>
      <c r="J400" s="17" t="n">
        <f aca="false">H400-I400</f>
        <v>-18.5711582303621</v>
      </c>
      <c r="K400" s="17" t="n">
        <f aca="false">MAX(B400-B399,0)</f>
        <v>0</v>
      </c>
      <c r="L400" s="17" t="n">
        <f aca="false">MAX(B399-B400,0)</f>
        <v>141.21</v>
      </c>
      <c r="M400" s="17" t="n">
        <f aca="false">(M399*13+K400)/14</f>
        <v>23.4475227453619</v>
      </c>
      <c r="N400" s="17" t="n">
        <f aca="false">(N399*13+L400)/14</f>
        <v>23.6667606365478</v>
      </c>
      <c r="O400" s="17" t="n">
        <f aca="false">IF(N400=0,100,100-100/(1+M400/N400))</f>
        <v>49.767333942651</v>
      </c>
      <c r="P400" s="17" t="n">
        <f aca="false">AVERAGE(B381:B400)+2*STDEV(B381:B400)</f>
        <v>7068.34907197648</v>
      </c>
      <c r="Q400" s="17" t="n">
        <f aca="false">AVERAGE(B381:B400)-2*STDEV(B381:B400)</f>
        <v>6590.63792802352</v>
      </c>
      <c r="R400" s="19" t="n">
        <f aca="false">B400/B380-1</f>
        <v>0.0266850733076369</v>
      </c>
      <c r="S400" s="17" t="n">
        <f aca="false">STDEV(C381:C400)*SQRT(252)*100</f>
        <v>13.4159035623901</v>
      </c>
      <c r="T400" s="19" t="n">
        <f aca="false">B379/B149-1</f>
        <v>0.273984810911345</v>
      </c>
      <c r="U400" s="19" t="n">
        <f aca="false">B400/MAX(B149:B400)-1</f>
        <v>-0.0374029790814997</v>
      </c>
      <c r="V400" s="17" t="n">
        <f aca="false">(B400-AVERAGE(B381:B400))/STDEV(B381:B400)</f>
        <v>-0.579458954441428</v>
      </c>
    </row>
    <row r="401" customFormat="false" ht="15" hidden="false" customHeight="false" outlineLevel="0" collapsed="false">
      <c r="A401" s="17" t="s">
        <v>965</v>
      </c>
      <c r="B401" s="17" t="n">
        <v>6495.92</v>
      </c>
      <c r="C401" s="19" t="n">
        <f aca="false">B401/B400-1</f>
        <v>-0.0391063105280987</v>
      </c>
      <c r="D401" s="17" t="n">
        <f aca="false">AVERAGE(B352:B401)</f>
        <v>6580.3568</v>
      </c>
      <c r="E401" s="17" t="n">
        <f aca="false">AVERAGE(B202:B401)</f>
        <v>6066.3881</v>
      </c>
      <c r="F401" s="17" t="n">
        <f aca="false">B401*2/13+F400*11/13</f>
        <v>6813.23732387058</v>
      </c>
      <c r="G401" s="17" t="n">
        <f aca="false">B401*2/27+G400*25/27</f>
        <v>6749.95430232502</v>
      </c>
      <c r="H401" s="17" t="n">
        <f aca="false">F401-G401</f>
        <v>63.2830215455588</v>
      </c>
      <c r="I401" s="17" t="n">
        <f aca="false">H401*2/10+I400*8/10</f>
        <v>108.036999889495</v>
      </c>
      <c r="J401" s="17" t="n">
        <f aca="false">H401-I401</f>
        <v>-44.7539783439359</v>
      </c>
      <c r="K401" s="17" t="n">
        <f aca="false">MAX(B401-B400,0)</f>
        <v>0</v>
      </c>
      <c r="L401" s="17" t="n">
        <f aca="false">MAX(B400-B401,0)</f>
        <v>264.37</v>
      </c>
      <c r="M401" s="17" t="n">
        <f aca="false">(M400*13+K401)/14</f>
        <v>21.7726996921218</v>
      </c>
      <c r="N401" s="17" t="n">
        <f aca="false">(N400*13+L401)/14</f>
        <v>40.8598491625086</v>
      </c>
      <c r="O401" s="17" t="n">
        <f aca="false">IF(N401=0,100,100-100/(1+M401/N401))</f>
        <v>34.7625956316356</v>
      </c>
      <c r="P401" s="17" t="n">
        <f aca="false">AVERAGE(B382:B401)+2*STDEV(B382:B401)</f>
        <v>7093.06647993919</v>
      </c>
      <c r="Q401" s="17" t="n">
        <f aca="false">AVERAGE(B382:B401)-2*STDEV(B382:B401)</f>
        <v>6550.18352006081</v>
      </c>
      <c r="R401" s="19" t="n">
        <f aca="false">B401/B381-1</f>
        <v>-0.023652959663565</v>
      </c>
      <c r="S401" s="17" t="n">
        <f aca="false">STDEV(C382:C401)*SQRT(252)*100</f>
        <v>19.231861745318</v>
      </c>
      <c r="T401" s="19" t="n">
        <f aca="false">B380/B150-1</f>
        <v>0.274115898729866</v>
      </c>
      <c r="U401" s="19" t="n">
        <f aca="false">B401/MAX(B150:B401)-1</f>
        <v>-0.0750465970949613</v>
      </c>
      <c r="V401" s="17" t="n">
        <f aca="false">(B401-AVERAGE(B382:B401))/STDEV(B382:B401)</f>
        <v>-2.39981744921936</v>
      </c>
    </row>
    <row r="402" customFormat="false" ht="15" hidden="false" customHeight="false" outlineLevel="0" collapsed="false">
      <c r="A402" s="17" t="s">
        <v>966</v>
      </c>
      <c r="B402" s="17" t="n">
        <v>6665.98</v>
      </c>
      <c r="C402" s="19" t="n">
        <f aca="false">B402/B401-1</f>
        <v>0.0261795095998718</v>
      </c>
      <c r="D402" s="17" t="n">
        <f aca="false">AVERAGE(B353:B402)</f>
        <v>6585.954</v>
      </c>
      <c r="E402" s="17" t="n">
        <f aca="false">AVERAGE(B203:B402)</f>
        <v>6072.50775</v>
      </c>
      <c r="F402" s="17" t="n">
        <f aca="false">B402*2/13+F401*11/13</f>
        <v>6790.58235096741</v>
      </c>
      <c r="G402" s="17" t="n">
        <f aca="false">B402*2/27+G401*25/27</f>
        <v>6743.73398363427</v>
      </c>
      <c r="H402" s="17" t="n">
        <f aca="false">F402-G402</f>
        <v>46.8483673331357</v>
      </c>
      <c r="I402" s="17" t="n">
        <f aca="false">H402*2/10+I401*8/10</f>
        <v>95.7992733782229</v>
      </c>
      <c r="J402" s="17" t="n">
        <f aca="false">H402-I402</f>
        <v>-48.9509060450872</v>
      </c>
      <c r="K402" s="17" t="n">
        <f aca="false">MAX(B402-B401,0)</f>
        <v>170.06</v>
      </c>
      <c r="L402" s="17" t="n">
        <f aca="false">MAX(B401-B402,0)</f>
        <v>0</v>
      </c>
      <c r="M402" s="17" t="n">
        <f aca="false">(M401*13+K402)/14</f>
        <v>32.364649714113</v>
      </c>
      <c r="N402" s="17" t="n">
        <f aca="false">(N401*13+L402)/14</f>
        <v>37.9412885080437</v>
      </c>
      <c r="O402" s="17" t="n">
        <f aca="false">IF(N402=0,100,100-100/(1+M402/N402))</f>
        <v>46.0340200735894</v>
      </c>
      <c r="P402" s="17" t="n">
        <f aca="false">AVERAGE(B383:B402)+2*STDEV(B383:B402)</f>
        <v>7093.77060626606</v>
      </c>
      <c r="Q402" s="17" t="n">
        <f aca="false">AVERAGE(B383:B402)-2*STDEV(B383:B402)</f>
        <v>6548.41439373395</v>
      </c>
      <c r="R402" s="19" t="n">
        <f aca="false">B402/B382-1</f>
        <v>-0.0015951160989901</v>
      </c>
      <c r="S402" s="17" t="n">
        <f aca="false">STDEV(C383:C402)*SQRT(252)*100</f>
        <v>21.505656305006</v>
      </c>
      <c r="T402" s="19" t="n">
        <f aca="false">B381/B151-1</f>
        <v>0.282962583013876</v>
      </c>
      <c r="U402" s="19" t="n">
        <f aca="false">B402/MAX(B151:B402)-1</f>
        <v>-0.0508317706041747</v>
      </c>
      <c r="V402" s="17" t="n">
        <f aca="false">(B402-AVERAGE(B383:B402))/STDEV(B383:B402)</f>
        <v>-1.13769676725462</v>
      </c>
    </row>
    <row r="403" customFormat="false" ht="15" hidden="false" customHeight="false" outlineLevel="0" collapsed="false">
      <c r="A403" s="17" t="s">
        <v>967</v>
      </c>
      <c r="B403" s="17" t="n">
        <v>6582.02</v>
      </c>
      <c r="C403" s="19" t="n">
        <f aca="false">B403/B402-1</f>
        <v>-0.0125952973156234</v>
      </c>
      <c r="D403" s="17" t="n">
        <f aca="false">AVERAGE(B354:B403)</f>
        <v>6589.4086</v>
      </c>
      <c r="E403" s="17" t="n">
        <f aca="false">AVERAGE(B204:B403)</f>
        <v>6077.8777</v>
      </c>
      <c r="F403" s="17" t="n">
        <f aca="false">B403*2/13+F402*11/13</f>
        <v>6758.49583543396</v>
      </c>
      <c r="G403" s="17" t="n">
        <f aca="false">B403*2/27+G402*25/27</f>
        <v>6731.75517003174</v>
      </c>
      <c r="H403" s="17" t="n">
        <f aca="false">F403-G403</f>
        <v>26.7406654022261</v>
      </c>
      <c r="I403" s="17" t="n">
        <f aca="false">H403*2/10+I402*8/10</f>
        <v>81.9875517830236</v>
      </c>
      <c r="J403" s="17" t="n">
        <f aca="false">H403-I403</f>
        <v>-55.2468863807974</v>
      </c>
      <c r="K403" s="17" t="n">
        <f aca="false">MAX(B403-B402,0)</f>
        <v>0</v>
      </c>
      <c r="L403" s="17" t="n">
        <f aca="false">MAX(B402-B403,0)</f>
        <v>83.9599999999991</v>
      </c>
      <c r="M403" s="17" t="n">
        <f aca="false">(M402*13+K403)/14</f>
        <v>30.0528890202478</v>
      </c>
      <c r="N403" s="17" t="n">
        <f aca="false">(N402*13+L403)/14</f>
        <v>41.2283393288977</v>
      </c>
      <c r="O403" s="17" t="n">
        <f aca="false">IF(N403=0,100,100-100/(1+M403/N403))</f>
        <v>42.1610145002616</v>
      </c>
      <c r="P403" s="17" t="n">
        <f aca="false">AVERAGE(B384:B403)+2*STDEV(B384:B403)</f>
        <v>7102.60932135933</v>
      </c>
      <c r="Q403" s="17" t="n">
        <f aca="false">AVERAGE(B384:B403)-2*STDEV(B384:B403)</f>
        <v>6529.98367864067</v>
      </c>
      <c r="R403" s="19" t="n">
        <f aca="false">B403/B383-1</f>
        <v>-0.0143637109647584</v>
      </c>
      <c r="S403" s="17" t="n">
        <f aca="false">STDEV(C384:C403)*SQRT(252)*100</f>
        <v>21.9652349245862</v>
      </c>
      <c r="T403" s="19" t="n">
        <f aca="false">B382/B152-1</f>
        <v>0.284812318871258</v>
      </c>
      <c r="U403" s="19" t="n">
        <f aca="false">B403/MAX(B152:B403)-1</f>
        <v>-0.0627868266559589</v>
      </c>
      <c r="V403" s="17" t="n">
        <f aca="false">(B403-AVERAGE(B384:B403))/STDEV(B384:B403)</f>
        <v>-1.63650722232924</v>
      </c>
    </row>
    <row r="404" customFormat="false" ht="15" hidden="false" customHeight="false" outlineLevel="0" collapsed="false">
      <c r="A404" s="17" t="s">
        <v>968</v>
      </c>
      <c r="B404" s="17" t="n">
        <v>6306.1</v>
      </c>
      <c r="C404" s="19" t="n">
        <f aca="false">B404/B403-1</f>
        <v>-0.0419202615610406</v>
      </c>
      <c r="D404" s="17" t="n">
        <f aca="false">AVERAGE(B355:B404)</f>
        <v>6587.4112</v>
      </c>
      <c r="E404" s="17" t="n">
        <f aca="false">AVERAGE(B205:B404)</f>
        <v>6081.66725</v>
      </c>
      <c r="F404" s="17" t="n">
        <f aca="false">B404*2/13+F403*11/13</f>
        <v>6688.89647613643</v>
      </c>
      <c r="G404" s="17" t="n">
        <f aca="false">B404*2/27+G403*25/27</f>
        <v>6700.22515743679</v>
      </c>
      <c r="H404" s="17" t="n">
        <f aca="false">F404-G404</f>
        <v>-11.3286813003624</v>
      </c>
      <c r="I404" s="17" t="n">
        <f aca="false">H404*2/10+I403*8/10</f>
        <v>63.3243051663464</v>
      </c>
      <c r="J404" s="17" t="n">
        <f aca="false">H404-I404</f>
        <v>-74.6529864667088</v>
      </c>
      <c r="K404" s="17" t="n">
        <f aca="false">MAX(B404-B403,0)</f>
        <v>0</v>
      </c>
      <c r="L404" s="17" t="n">
        <f aca="false">MAX(B403-B404,0)</f>
        <v>275.92</v>
      </c>
      <c r="M404" s="17" t="n">
        <f aca="false">(M403*13+K404)/14</f>
        <v>27.9062540902301</v>
      </c>
      <c r="N404" s="17" t="n">
        <f aca="false">(N403*13+L404)/14</f>
        <v>57.9920293768336</v>
      </c>
      <c r="O404" s="17" t="n">
        <f aca="false">IF(N404=0,100,100-100/(1+M404/N404))</f>
        <v>32.4875573339371</v>
      </c>
      <c r="P404" s="17" t="n">
        <f aca="false">AVERAGE(B385:B404)+2*STDEV(B385:B404)</f>
        <v>7159.67144434162</v>
      </c>
      <c r="Q404" s="17" t="n">
        <f aca="false">AVERAGE(B385:B404)-2*STDEV(B385:B404)</f>
        <v>6437.26555565838</v>
      </c>
      <c r="R404" s="19" t="n">
        <f aca="false">B404/B384-1</f>
        <v>-0.0535161632140916</v>
      </c>
      <c r="S404" s="17" t="n">
        <f aca="false">STDEV(C385:C404)*SQRT(252)*100</f>
        <v>26.4158505424418</v>
      </c>
      <c r="T404" s="19" t="n">
        <f aca="false">B383/B153-1</f>
        <v>0.281223139734774</v>
      </c>
      <c r="U404" s="19" t="n">
        <f aca="false">B404/MAX(B153:B404)-1</f>
        <v>-0.102075048020994</v>
      </c>
      <c r="V404" s="17" t="n">
        <f aca="false">(B404-AVERAGE(B385:B404))/STDEV(B385:B404)</f>
        <v>-2.72627068916875</v>
      </c>
    </row>
    <row r="405" customFormat="false" ht="15" hidden="false" customHeight="false" outlineLevel="0" collapsed="false">
      <c r="A405" s="17" t="s">
        <v>969</v>
      </c>
      <c r="B405" s="17" t="n">
        <v>6412.68</v>
      </c>
      <c r="C405" s="19" t="n">
        <f aca="false">B405/B404-1</f>
        <v>0.0169010957644187</v>
      </c>
      <c r="D405" s="17" t="n">
        <f aca="false">AVERAGE(B356:B405)</f>
        <v>6587.2136</v>
      </c>
      <c r="E405" s="17" t="n">
        <f aca="false">AVERAGE(B206:B405)</f>
        <v>6086.0252</v>
      </c>
      <c r="F405" s="17" t="n">
        <f aca="false">B405*2/13+F404*11/13</f>
        <v>6646.4016336539</v>
      </c>
      <c r="G405" s="17" t="n">
        <f aca="false">B405*2/27+G404*25/27</f>
        <v>6678.92551614518</v>
      </c>
      <c r="H405" s="17" t="n">
        <f aca="false">F405-G405</f>
        <v>-32.5238824912758</v>
      </c>
      <c r="I405" s="17" t="n">
        <f aca="false">H405*2/10+I404*8/10</f>
        <v>44.1546676348219</v>
      </c>
      <c r="J405" s="17" t="n">
        <f aca="false">H405-I405</f>
        <v>-76.6785501260977</v>
      </c>
      <c r="K405" s="17" t="n">
        <f aca="false">MAX(B405-B404,0)</f>
        <v>106.58</v>
      </c>
      <c r="L405" s="17" t="n">
        <f aca="false">MAX(B404-B405,0)</f>
        <v>0</v>
      </c>
      <c r="M405" s="17" t="n">
        <f aca="false">(M404*13+K405)/14</f>
        <v>33.5258073694994</v>
      </c>
      <c r="N405" s="17" t="n">
        <f aca="false">(N404*13+L405)/14</f>
        <v>53.8497415642026</v>
      </c>
      <c r="O405" s="17" t="n">
        <f aca="false">IF(N405=0,100,100-100/(1+M405/N405))</f>
        <v>38.3697816822162</v>
      </c>
      <c r="P405" s="17" t="n">
        <f aca="false">AVERAGE(B386:B405)+2*STDEV(B386:B405)</f>
        <v>7182.64572108451</v>
      </c>
      <c r="Q405" s="17" t="n">
        <f aca="false">AVERAGE(B386:B405)-2*STDEV(B386:B405)</f>
        <v>6384.71027891549</v>
      </c>
      <c r="R405" s="19" t="n">
        <f aca="false">B405/B385-1</f>
        <v>-0.0440948708278613</v>
      </c>
      <c r="S405" s="17" t="n">
        <f aca="false">STDEV(C386:C405)*SQRT(252)*100</f>
        <v>27.1235749076193</v>
      </c>
      <c r="T405" s="19" t="n">
        <f aca="false">B384/B154-1</f>
        <v>0.274737931654642</v>
      </c>
      <c r="U405" s="19" t="n">
        <f aca="false">B405/MAX(B154:B405)-1</f>
        <v>-0.0868991324183358</v>
      </c>
      <c r="V405" s="17" t="n">
        <f aca="false">(B405-AVERAGE(B386:B405))/STDEV(B386:B405)</f>
        <v>-1.85978955385924</v>
      </c>
    </row>
    <row r="406" customFormat="false" ht="15" hidden="false" customHeight="false" outlineLevel="0" collapsed="false">
      <c r="A406" s="17" t="s">
        <v>970</v>
      </c>
      <c r="B406" s="17" t="n">
        <v>6523.85</v>
      </c>
      <c r="C406" s="19" t="n">
        <f aca="false">B406/B405-1</f>
        <v>0.0173359656181191</v>
      </c>
      <c r="D406" s="17" t="n">
        <f aca="false">AVERAGE(B357:B406)</f>
        <v>6591.463</v>
      </c>
      <c r="E406" s="17" t="n">
        <f aca="false">AVERAGE(B207:B406)</f>
        <v>6090.78805</v>
      </c>
      <c r="F406" s="17" t="n">
        <f aca="false">B406*2/13+F405*11/13</f>
        <v>6627.54753616869</v>
      </c>
      <c r="G406" s="17" t="n">
        <f aca="false">B406*2/27+G405*25/27</f>
        <v>6667.43844087517</v>
      </c>
      <c r="H406" s="17" t="n">
        <f aca="false">F406-G406</f>
        <v>-39.8909047064781</v>
      </c>
      <c r="I406" s="17" t="n">
        <f aca="false">H406*2/10+I405*8/10</f>
        <v>27.3455531665619</v>
      </c>
      <c r="J406" s="17" t="n">
        <f aca="false">H406-I406</f>
        <v>-67.23645787304</v>
      </c>
      <c r="K406" s="17" t="n">
        <f aca="false">MAX(B406-B405,0)</f>
        <v>111.17</v>
      </c>
      <c r="L406" s="17" t="n">
        <f aca="false">MAX(B405-B406,0)</f>
        <v>0</v>
      </c>
      <c r="M406" s="17" t="n">
        <f aca="false">(M405*13+K406)/14</f>
        <v>39.0718211288209</v>
      </c>
      <c r="N406" s="17" t="n">
        <f aca="false">(N405*13+L406)/14</f>
        <v>50.0033314524738</v>
      </c>
      <c r="O406" s="17" t="n">
        <f aca="false">IF(N406=0,100,100-100/(1+M406/N406))</f>
        <v>43.8638834698171</v>
      </c>
      <c r="P406" s="17" t="n">
        <f aca="false">AVERAGE(B387:B406)+2*STDEV(B387:B406)</f>
        <v>7187.48553092372</v>
      </c>
      <c r="Q406" s="17" t="n">
        <f aca="false">AVERAGE(B387:B406)-2*STDEV(B387:B406)</f>
        <v>6356.40146907628</v>
      </c>
      <c r="R406" s="19" t="n">
        <f aca="false">B406/B386-1</f>
        <v>-0.0347249553897735</v>
      </c>
      <c r="S406" s="17" t="n">
        <f aca="false">STDEV(C387:C406)*SQRT(252)*100</f>
        <v>27.8038103436335</v>
      </c>
      <c r="T406" s="19" t="n">
        <f aca="false">B385/B155-1</f>
        <v>0.276149839636891</v>
      </c>
      <c r="U406" s="19" t="n">
        <f aca="false">B406/MAX(B155:B406)-1</f>
        <v>-0.0710696471720653</v>
      </c>
      <c r="V406" s="17" t="n">
        <f aca="false">(B406-AVERAGE(B387:B406))/STDEV(B387:B406)</f>
        <v>-1.19407174984684</v>
      </c>
    </row>
    <row r="407" customFormat="false" ht="15" hidden="false" customHeight="false" outlineLevel="0" collapsed="false">
      <c r="A407" s="17" t="s">
        <v>971</v>
      </c>
      <c r="B407" s="17" t="n">
        <v>6553.86</v>
      </c>
      <c r="C407" s="19" t="n">
        <f aca="false">B407/B406-1</f>
        <v>0.00460004445227891</v>
      </c>
      <c r="D407" s="17" t="n">
        <f aca="false">AVERAGE(B358:B407)</f>
        <v>6595.229</v>
      </c>
      <c r="E407" s="17" t="n">
        <f aca="false">AVERAGE(B208:B407)</f>
        <v>6095.6397</v>
      </c>
      <c r="F407" s="17" t="n">
        <f aca="false">B407*2/13+F406*11/13</f>
        <v>6616.21099214273</v>
      </c>
      <c r="G407" s="17" t="n">
        <f aca="false">B407*2/27+G406*25/27</f>
        <v>6659.02522303256</v>
      </c>
      <c r="H407" s="17" t="n">
        <f aca="false">F407-G407</f>
        <v>-42.814230889825</v>
      </c>
      <c r="I407" s="17" t="n">
        <f aca="false">H407*2/10+I406*8/10</f>
        <v>13.3135963552845</v>
      </c>
      <c r="J407" s="17" t="n">
        <f aca="false">H407-I407</f>
        <v>-56.1278272451096</v>
      </c>
      <c r="K407" s="17" t="n">
        <f aca="false">MAX(B407-B406,0)</f>
        <v>30.0099999999993</v>
      </c>
      <c r="L407" s="17" t="n">
        <f aca="false">MAX(B406-B407,0)</f>
        <v>0</v>
      </c>
      <c r="M407" s="17" t="n">
        <f aca="false">(M406*13+K407)/14</f>
        <v>38.4245481910479</v>
      </c>
      <c r="N407" s="17" t="n">
        <f aca="false">(N406*13+L407)/14</f>
        <v>46.4316649201543</v>
      </c>
      <c r="O407" s="17" t="n">
        <f aca="false">IF(N407=0,100,100-100/(1+M407/N407))</f>
        <v>45.2819502335007</v>
      </c>
      <c r="P407" s="17" t="n">
        <f aca="false">AVERAGE(B388:B407)+2*STDEV(B388:B407)</f>
        <v>7189.48700585951</v>
      </c>
      <c r="Q407" s="17" t="n">
        <f aca="false">AVERAGE(B388:B407)-2*STDEV(B388:B407)</f>
        <v>6336.07199414049</v>
      </c>
      <c r="R407" s="19" t="n">
        <f aca="false">B407/B387-1</f>
        <v>-0.0272044220544624</v>
      </c>
      <c r="S407" s="17" t="n">
        <f aca="false">STDEV(C388:C407)*SQRT(252)*100</f>
        <v>27.8830110695725</v>
      </c>
      <c r="T407" s="19" t="n">
        <f aca="false">B386/B156-1</f>
        <v>0.282195076142036</v>
      </c>
      <c r="U407" s="19" t="n">
        <f aca="false">B407/MAX(B156:B407)-1</f>
        <v>-0.0667965262559858</v>
      </c>
      <c r="V407" s="17" t="n">
        <f aca="false">(B407-AVERAGE(B388:B407))/STDEV(B388:B407)</f>
        <v>-0.979216428729923</v>
      </c>
    </row>
    <row r="408" customFormat="false" ht="15" hidden="false" customHeight="false" outlineLevel="0" collapsed="false">
      <c r="A408" s="17" t="s">
        <v>972</v>
      </c>
      <c r="B408" s="17" t="n">
        <v>6675.03</v>
      </c>
      <c r="C408" s="19" t="n">
        <f aca="false">B408/B407-1</f>
        <v>0.0184883412218144</v>
      </c>
      <c r="D408" s="17" t="n">
        <f aca="false">AVERAGE(B359:B408)</f>
        <v>6601.9722</v>
      </c>
      <c r="E408" s="17" t="n">
        <f aca="false">AVERAGE(B209:B408)</f>
        <v>6100.8667</v>
      </c>
      <c r="F408" s="17" t="n">
        <f aca="false">B408*2/13+F407*11/13</f>
        <v>6625.26007027462</v>
      </c>
      <c r="G408" s="17" t="n">
        <f aca="false">B408*2/27+G407*25/27</f>
        <v>6660.21076206719</v>
      </c>
      <c r="H408" s="17" t="n">
        <f aca="false">F408-G408</f>
        <v>-34.9506917925637</v>
      </c>
      <c r="I408" s="17" t="n">
        <f aca="false">H408*2/10+I407*8/10</f>
        <v>3.66073872571489</v>
      </c>
      <c r="J408" s="17" t="n">
        <f aca="false">H408-I408</f>
        <v>-38.6114305182786</v>
      </c>
      <c r="K408" s="17" t="n">
        <f aca="false">MAX(B408-B407,0)</f>
        <v>121.17</v>
      </c>
      <c r="L408" s="17" t="n">
        <f aca="false">MAX(B407-B408,0)</f>
        <v>0</v>
      </c>
      <c r="M408" s="17" t="n">
        <f aca="false">(M407*13+K408)/14</f>
        <v>44.334937605973</v>
      </c>
      <c r="N408" s="17" t="n">
        <f aca="false">(N407*13+L408)/14</f>
        <v>43.1151174258575</v>
      </c>
      <c r="O408" s="17" t="n">
        <f aca="false">IF(N408=0,100,100-100/(1+M408/N408))</f>
        <v>50.6974382003942</v>
      </c>
      <c r="P408" s="17" t="n">
        <f aca="false">AVERAGE(B389:B408)+2*STDEV(B389:B408)</f>
        <v>7183.84030416091</v>
      </c>
      <c r="Q408" s="17" t="n">
        <f aca="false">AVERAGE(B389:B408)-2*STDEV(B389:B408)</f>
        <v>6328.19369583909</v>
      </c>
      <c r="R408" s="19" t="n">
        <f aca="false">B408/B388-1</f>
        <v>-0.0198596827149544</v>
      </c>
      <c r="S408" s="17" t="n">
        <f aca="false">STDEV(C389:C408)*SQRT(252)*100</f>
        <v>28.4476736377262</v>
      </c>
      <c r="T408" s="19" t="n">
        <f aca="false">B387/B157-1</f>
        <v>0.270585528412659</v>
      </c>
      <c r="U408" s="19" t="n">
        <f aca="false">B408/MAX(B157:B408)-1</f>
        <v>-0.049543142004024</v>
      </c>
      <c r="V408" s="17" t="n">
        <f aca="false">(B408-AVERAGE(B389:B408))/STDEV(B389:B408)</f>
        <v>-0.378600226833553</v>
      </c>
    </row>
    <row r="409" customFormat="false" ht="15" hidden="false" customHeight="false" outlineLevel="0" collapsed="false">
      <c r="A409" s="17" t="s">
        <v>973</v>
      </c>
      <c r="B409" s="17" t="n">
        <v>6794.92</v>
      </c>
      <c r="C409" s="19" t="n">
        <f aca="false">B409/B408-1</f>
        <v>0.0179609679656871</v>
      </c>
      <c r="D409" s="17" t="n">
        <f aca="false">AVERAGE(B360:B409)</f>
        <v>6612.5966</v>
      </c>
      <c r="E409" s="17" t="n">
        <f aca="false">AVERAGE(B210:B409)</f>
        <v>6106.62095</v>
      </c>
      <c r="F409" s="17" t="n">
        <f aca="false">B409*2/13+F408*11/13</f>
        <v>6651.36159792468</v>
      </c>
      <c r="G409" s="17" t="n">
        <f aca="false">B409*2/27+G408*25/27</f>
        <v>6670.18922413628</v>
      </c>
      <c r="H409" s="17" t="n">
        <f aca="false">F409-G409</f>
        <v>-18.8276262116015</v>
      </c>
      <c r="I409" s="17" t="n">
        <f aca="false">H409*2/10+I408*8/10</f>
        <v>-0.836934261748379</v>
      </c>
      <c r="J409" s="17" t="n">
        <f aca="false">H409-I409</f>
        <v>-17.9906919498531</v>
      </c>
      <c r="K409" s="17" t="n">
        <f aca="false">MAX(B409-B408,0)</f>
        <v>119.89</v>
      </c>
      <c r="L409" s="17" t="n">
        <f aca="false">MAX(B408-B409,0)</f>
        <v>0</v>
      </c>
      <c r="M409" s="17" t="n">
        <f aca="false">(M408*13+K409)/14</f>
        <v>49.731727776975</v>
      </c>
      <c r="N409" s="17" t="n">
        <f aca="false">(N408*13+L409)/14</f>
        <v>40.0354661811534</v>
      </c>
      <c r="O409" s="17" t="n">
        <f aca="false">IF(N409=0,100,100-100/(1+M409/N409))</f>
        <v>55.4007823840101</v>
      </c>
      <c r="P409" s="17" t="n">
        <f aca="false">AVERAGE(B390:B409)+2*STDEV(B390:B409)</f>
        <v>7182.63203197041</v>
      </c>
      <c r="Q409" s="17" t="n">
        <f aca="false">AVERAGE(B390:B409)-2*STDEV(B390:B409)</f>
        <v>6327.75596802959</v>
      </c>
      <c r="R409" s="19" t="n">
        <f aca="false">B409/B389-1</f>
        <v>-0.00241654407770531</v>
      </c>
      <c r="S409" s="17" t="n">
        <f aca="false">STDEV(C390:C409)*SQRT(252)*100</f>
        <v>29.2225443505561</v>
      </c>
      <c r="T409" s="19" t="n">
        <f aca="false">B388/B158-1</f>
        <v>0.284803344501796</v>
      </c>
      <c r="U409" s="19" t="n">
        <f aca="false">B409/MAX(B158:B409)-1</f>
        <v>-0.0324720168247907</v>
      </c>
      <c r="V409" s="17" t="n">
        <f aca="false">(B409-AVERAGE(B390:B409))/STDEV(B390:B409)</f>
        <v>0.185879575651564</v>
      </c>
    </row>
    <row r="410" customFormat="false" ht="15" hidden="false" customHeight="false" outlineLevel="0" collapsed="false">
      <c r="A410" s="17" t="s">
        <v>974</v>
      </c>
      <c r="B410" s="17" t="n">
        <v>6770.66</v>
      </c>
      <c r="C410" s="19" t="n">
        <f aca="false">B410/B409-1</f>
        <v>-0.00357031429361943</v>
      </c>
      <c r="D410" s="17" t="n">
        <f aca="false">AVERAGE(B361:B410)</f>
        <v>6622.7076</v>
      </c>
      <c r="E410" s="17" t="n">
        <f aca="false">AVERAGE(B211:B410)</f>
        <v>6112.34845</v>
      </c>
      <c r="F410" s="17" t="n">
        <f aca="false">B410*2/13+F409*11/13</f>
        <v>6669.71519824396</v>
      </c>
      <c r="G410" s="17" t="n">
        <f aca="false">B410*2/27+G409*25/27</f>
        <v>6677.63150382989</v>
      </c>
      <c r="H410" s="17" t="n">
        <f aca="false">F410-G410</f>
        <v>-7.91630558593079</v>
      </c>
      <c r="I410" s="17" t="n">
        <f aca="false">H410*2/10+I409*8/10</f>
        <v>-2.25280852658486</v>
      </c>
      <c r="J410" s="17" t="n">
        <f aca="false">H410-I410</f>
        <v>-5.66349705934593</v>
      </c>
      <c r="K410" s="17" t="n">
        <f aca="false">MAX(B410-B409,0)</f>
        <v>0</v>
      </c>
      <c r="L410" s="17" t="n">
        <f aca="false">MAX(B409-B410,0)</f>
        <v>24.2600000000002</v>
      </c>
      <c r="M410" s="17" t="n">
        <f aca="false">(M409*13+K410)/14</f>
        <v>46.1794615071911</v>
      </c>
      <c r="N410" s="17" t="n">
        <f aca="false">(N409*13+L410)/14</f>
        <v>38.9086471682139</v>
      </c>
      <c r="O410" s="17" t="n">
        <f aca="false">IF(N410=0,100,100-100/(1+M410/N410))</f>
        <v>54.2725208329133</v>
      </c>
      <c r="P410" s="17" t="n">
        <f aca="false">AVERAGE(B391:B410)+2*STDEV(B391:B410)</f>
        <v>7177.91252364665</v>
      </c>
      <c r="Q410" s="17" t="n">
        <f aca="false">AVERAGE(B391:B410)-2*STDEV(B391:B410)</f>
        <v>6326.10847635334</v>
      </c>
      <c r="R410" s="19" t="n">
        <f aca="false">B410/B390-1</f>
        <v>-0.00931620217343909</v>
      </c>
      <c r="S410" s="17" t="n">
        <f aca="false">STDEV(C391:C410)*SQRT(252)*100</f>
        <v>29.2215591548579</v>
      </c>
      <c r="T410" s="19" t="n">
        <f aca="false">B389/B159-1</f>
        <v>0.279199657446777</v>
      </c>
      <c r="U410" s="19" t="n">
        <f aca="false">B410/MAX(B159:B410)-1</f>
        <v>-0.0359263958125978</v>
      </c>
      <c r="V410" s="17" t="n">
        <f aca="false">(B410-AVERAGE(B391:B410))/STDEV(B391:B410)</f>
        <v>0.0875764798688668</v>
      </c>
    </row>
    <row r="411" customFormat="false" ht="15" hidden="false" customHeight="false" outlineLevel="0" collapsed="false">
      <c r="A411" s="17" t="s">
        <v>975</v>
      </c>
      <c r="B411" s="17" t="n">
        <v>6779.69</v>
      </c>
      <c r="C411" s="19" t="n">
        <f aca="false">B411/B410-1</f>
        <v>0.001333695681071</v>
      </c>
      <c r="D411" s="17" t="n">
        <f aca="false">AVERAGE(B362:B411)</f>
        <v>6632.4404</v>
      </c>
      <c r="E411" s="17" t="n">
        <f aca="false">AVERAGE(B212:B411)</f>
        <v>6118.1153</v>
      </c>
      <c r="F411" s="17" t="n">
        <f aca="false">B411*2/13+F410*11/13</f>
        <v>6686.63439851412</v>
      </c>
      <c r="G411" s="17" t="n">
        <f aca="false">B411*2/27+G410*25/27</f>
        <v>6685.19139243508</v>
      </c>
      <c r="H411" s="17" t="n">
        <f aca="false">F411-G411</f>
        <v>1.44300607903551</v>
      </c>
      <c r="I411" s="17" t="n">
        <f aca="false">H411*2/10+I410*8/10</f>
        <v>-1.51364560546079</v>
      </c>
      <c r="J411" s="17" t="n">
        <f aca="false">H411-I411</f>
        <v>2.9566516844963</v>
      </c>
      <c r="K411" s="17" t="n">
        <f aca="false">MAX(B411-B410,0)</f>
        <v>9.02999999999975</v>
      </c>
      <c r="L411" s="17" t="n">
        <f aca="false">MAX(B410-B411,0)</f>
        <v>0</v>
      </c>
      <c r="M411" s="17" t="n">
        <f aca="false">(M410*13+K411)/14</f>
        <v>43.5259285423917</v>
      </c>
      <c r="N411" s="17" t="n">
        <f aca="false">(N410*13+L411)/14</f>
        <v>36.1294580847701</v>
      </c>
      <c r="O411" s="17" t="n">
        <f aca="false">IF(N411=0,100,100-100/(1+M411/N411))</f>
        <v>54.6427936457341</v>
      </c>
      <c r="P411" s="17" t="n">
        <f aca="false">AVERAGE(B392:B411)+2*STDEV(B392:B411)</f>
        <v>7165.65101396215</v>
      </c>
      <c r="Q411" s="17" t="n">
        <f aca="false">AVERAGE(B392:B411)-2*STDEV(B392:B411)</f>
        <v>6325.71098603785</v>
      </c>
      <c r="R411" s="19" t="n">
        <f aca="false">B411/B391-1</f>
        <v>-0.0183296941334554</v>
      </c>
      <c r="S411" s="17" t="n">
        <f aca="false">STDEV(C392:C411)*SQRT(252)*100</f>
        <v>28.9504825965714</v>
      </c>
      <c r="T411" s="19" t="n">
        <f aca="false">B390/B160-1</f>
        <v>0.277270578033278</v>
      </c>
      <c r="U411" s="19" t="n">
        <f aca="false">B411/MAX(B160:B411)-1</f>
        <v>-0.0346406150104587</v>
      </c>
      <c r="V411" s="17" t="n">
        <f aca="false">(B411-AVERAGE(B392:B411))/STDEV(B392:B411)</f>
        <v>0.161959182176588</v>
      </c>
    </row>
    <row r="412" customFormat="false" ht="15" hidden="false" customHeight="false" outlineLevel="0" collapsed="false">
      <c r="A412" s="17" t="s">
        <v>976</v>
      </c>
      <c r="B412" s="17" t="n">
        <v>6759.26</v>
      </c>
      <c r="C412" s="19" t="n">
        <f aca="false">B412/B411-1</f>
        <v>-0.00301341211766315</v>
      </c>
      <c r="D412" s="17" t="n">
        <f aca="false">AVERAGE(B363:B412)</f>
        <v>6641.3</v>
      </c>
      <c r="E412" s="17" t="n">
        <f aca="false">AVERAGE(B213:B412)</f>
        <v>6123.68115</v>
      </c>
      <c r="F412" s="17" t="n">
        <f aca="false">B412*2/13+F411*11/13</f>
        <v>6697.80756797349</v>
      </c>
      <c r="G412" s="17" t="n">
        <f aca="false">B412*2/27+G411*25/27</f>
        <v>6690.67795595841</v>
      </c>
      <c r="H412" s="17" t="n">
        <f aca="false">F412-G412</f>
        <v>7.12961201507369</v>
      </c>
      <c r="I412" s="17" t="n">
        <f aca="false">H412*2/10+I411*8/10</f>
        <v>0.21500591864611</v>
      </c>
      <c r="J412" s="17" t="n">
        <f aca="false">H412-I412</f>
        <v>6.91460609642758</v>
      </c>
      <c r="K412" s="17" t="n">
        <f aca="false">MAX(B412-B411,0)</f>
        <v>0</v>
      </c>
      <c r="L412" s="17" t="n">
        <f aca="false">MAX(B411-B412,0)</f>
        <v>20.4299999999994</v>
      </c>
      <c r="M412" s="17" t="n">
        <f aca="false">(M411*13+K412)/14</f>
        <v>40.4169336465066</v>
      </c>
      <c r="N412" s="17" t="n">
        <f aca="false">(N411*13+L412)/14</f>
        <v>35.0080682215722</v>
      </c>
      <c r="O412" s="17" t="n">
        <f aca="false">IF(N412=0,100,100-100/(1+M412/N412))</f>
        <v>53.5855918402195</v>
      </c>
      <c r="P412" s="17" t="n">
        <f aca="false">AVERAGE(B393:B412)+2*STDEV(B393:B412)</f>
        <v>7142.88961941794</v>
      </c>
      <c r="Q412" s="17" t="n">
        <f aca="false">AVERAGE(B393:B412)-2*STDEV(B393:B412)</f>
        <v>6328.05238058206</v>
      </c>
      <c r="R412" s="19" t="n">
        <f aca="false">B412/B392-1</f>
        <v>-0.0293245024743446</v>
      </c>
      <c r="S412" s="17" t="n">
        <f aca="false">STDEV(C393:C412)*SQRT(252)*100</f>
        <v>28.7594491300692</v>
      </c>
      <c r="T412" s="19" t="n">
        <f aca="false">B391/B161-1</f>
        <v>0.290379717981439</v>
      </c>
      <c r="U412" s="19" t="n">
        <f aca="false">B412/MAX(B161:B412)-1</f>
        <v>-0.037549640679086</v>
      </c>
      <c r="V412" s="17" t="n">
        <f aca="false">(B412-AVERAGE(B393:B412))/STDEV(B393:B412)</f>
        <v>0.116779149828675</v>
      </c>
    </row>
    <row r="413" customFormat="false" ht="15" hidden="false" customHeight="false" outlineLevel="0" collapsed="false">
      <c r="A413" s="17" t="s">
        <v>977</v>
      </c>
      <c r="B413" s="17" t="n">
        <v>6761.85</v>
      </c>
      <c r="C413" s="19" t="n">
        <f aca="false">B413/B412-1</f>
        <v>0.000383178040199716</v>
      </c>
      <c r="D413" s="17" t="n">
        <f aca="false">AVERAGE(B364:B413)</f>
        <v>6649.6456</v>
      </c>
      <c r="E413" s="17" t="n">
        <f aca="false">AVERAGE(B214:B413)</f>
        <v>6129.19505</v>
      </c>
      <c r="F413" s="17" t="n">
        <f aca="false">B413*2/13+F412*11/13</f>
        <v>6707.66024982372</v>
      </c>
      <c r="G413" s="17" t="n">
        <f aca="false">B413*2/27+G412*25/27</f>
        <v>6695.94995922075</v>
      </c>
      <c r="H413" s="17" t="n">
        <f aca="false">F413-G413</f>
        <v>11.7102906029659</v>
      </c>
      <c r="I413" s="17" t="n">
        <f aca="false">H413*2/10+I412*8/10</f>
        <v>2.51406285551006</v>
      </c>
      <c r="J413" s="17" t="n">
        <f aca="false">H413-I413</f>
        <v>9.19622774745581</v>
      </c>
      <c r="K413" s="17" t="n">
        <f aca="false">MAX(B413-B412,0)</f>
        <v>2.59000000000015</v>
      </c>
      <c r="L413" s="17" t="n">
        <f aca="false">MAX(B412-B413,0)</f>
        <v>0</v>
      </c>
      <c r="M413" s="17" t="n">
        <f aca="false">(M412*13+K413)/14</f>
        <v>37.7150098146133</v>
      </c>
      <c r="N413" s="17" t="n">
        <f aca="false">(N412*13+L413)/14</f>
        <v>32.5074919200313</v>
      </c>
      <c r="O413" s="17" t="n">
        <f aca="false">IF(N413=0,100,100-100/(1+M413/N413))</f>
        <v>53.7078698180393</v>
      </c>
      <c r="P413" s="17" t="n">
        <f aca="false">AVERAGE(B394:B413)+2*STDEV(B394:B413)</f>
        <v>7126.03934653221</v>
      </c>
      <c r="Q413" s="17" t="n">
        <f aca="false">AVERAGE(B394:B413)-2*STDEV(B394:B413)</f>
        <v>6329.15265346779</v>
      </c>
      <c r="R413" s="19" t="n">
        <f aca="false">B413/B393-1</f>
        <v>-0.0227622536798977</v>
      </c>
      <c r="S413" s="17" t="n">
        <f aca="false">STDEV(C394:C413)*SQRT(252)*100</f>
        <v>28.7031956042242</v>
      </c>
      <c r="T413" s="19" t="n">
        <f aca="false">B392/B162-1</f>
        <v>0.305884625410465</v>
      </c>
      <c r="U413" s="19" t="n">
        <f aca="false">B413/MAX(B162:B413)-1</f>
        <v>-0.0371808508366118</v>
      </c>
      <c r="V413" s="17" t="n">
        <f aca="false">(B413-AVERAGE(B394:B413))/STDEV(B394:B413)</f>
        <v>0.171939124084385</v>
      </c>
    </row>
    <row r="414" customFormat="false" ht="15" hidden="false" customHeight="false" outlineLevel="0" collapsed="false">
      <c r="A414" s="17" t="s">
        <v>978</v>
      </c>
      <c r="B414" s="17" t="n">
        <v>6896.6</v>
      </c>
      <c r="C414" s="19" t="n">
        <f aca="false">B414/B413-1</f>
        <v>0.0199279782899651</v>
      </c>
      <c r="D414" s="17" t="n">
        <f aca="false">AVERAGE(B365:B414)</f>
        <v>6659.6998</v>
      </c>
      <c r="E414" s="17" t="n">
        <f aca="false">AVERAGE(B215:B414)</f>
        <v>6135.2865</v>
      </c>
      <c r="F414" s="17" t="n">
        <f aca="false">B414*2/13+F413*11/13</f>
        <v>6736.72790369699</v>
      </c>
      <c r="G414" s="17" t="n">
        <f aca="false">B414*2/27+G413*25/27</f>
        <v>6710.8129252044</v>
      </c>
      <c r="H414" s="17" t="n">
        <f aca="false">F414-G414</f>
        <v>25.9149784925921</v>
      </c>
      <c r="I414" s="17" t="n">
        <f aca="false">H414*2/10+I413*8/10</f>
        <v>7.19424598292648</v>
      </c>
      <c r="J414" s="17" t="n">
        <f aca="false">H414-I414</f>
        <v>18.7207325096657</v>
      </c>
      <c r="K414" s="17" t="n">
        <f aca="false">MAX(B414-B413,0)</f>
        <v>134.75</v>
      </c>
      <c r="L414" s="17" t="n">
        <f aca="false">MAX(B413-B414,0)</f>
        <v>0</v>
      </c>
      <c r="M414" s="17" t="n">
        <f aca="false">(M413*13+K414)/14</f>
        <v>44.6460805421409</v>
      </c>
      <c r="N414" s="17" t="n">
        <f aca="false">(N413*13+L414)/14</f>
        <v>30.1855282114576</v>
      </c>
      <c r="O414" s="17" t="n">
        <f aca="false">IF(N414=0,100,100-100/(1+M414/N414))</f>
        <v>59.6620616418245</v>
      </c>
      <c r="P414" s="17" t="n">
        <f aca="false">AVERAGE(B395:B414)+2*STDEV(B395:B414)</f>
        <v>7123.18314775465</v>
      </c>
      <c r="Q414" s="17" t="n">
        <f aca="false">AVERAGE(B395:B414)-2*STDEV(B395:B414)</f>
        <v>6330.03885224535</v>
      </c>
      <c r="R414" s="19" t="n">
        <f aca="false">B414/B394-1</f>
        <v>-0.00284834376762144</v>
      </c>
      <c r="S414" s="17" t="n">
        <f aca="false">STDEV(C395:C414)*SQRT(252)*100</f>
        <v>29.6502381208005</v>
      </c>
      <c r="T414" s="19" t="n">
        <f aca="false">B393/B163-1</f>
        <v>0.294955748403143</v>
      </c>
      <c r="U414" s="19" t="n">
        <f aca="false">B414/MAX(B163:B414)-1</f>
        <v>-0.0179938117349212</v>
      </c>
      <c r="V414" s="17" t="n">
        <f aca="false">(B414-AVERAGE(B395:B414))/STDEV(B395:B414)</f>
        <v>0.857291672965235</v>
      </c>
    </row>
    <row r="415" customFormat="false" ht="15" hidden="false" customHeight="false" outlineLevel="0" collapsed="false">
      <c r="A415" s="17" t="s">
        <v>979</v>
      </c>
      <c r="B415" s="17" t="n">
        <v>6989.1</v>
      </c>
      <c r="C415" s="19" t="n">
        <f aca="false">B415/B414-1</f>
        <v>0.0134124061131573</v>
      </c>
      <c r="D415" s="17" t="n">
        <f aca="false">AVERAGE(B366:B415)</f>
        <v>6671.8088</v>
      </c>
      <c r="E415" s="17" t="n">
        <f aca="false">AVERAGE(B216:B415)</f>
        <v>6141.8236</v>
      </c>
      <c r="F415" s="17" t="n">
        <f aca="false">B415*2/13+F414*11/13</f>
        <v>6775.5543800513</v>
      </c>
      <c r="G415" s="17" t="n">
        <f aca="false">B415*2/27+G414*25/27</f>
        <v>6731.42678259667</v>
      </c>
      <c r="H415" s="17" t="n">
        <f aca="false">F415-G415</f>
        <v>44.1275974546343</v>
      </c>
      <c r="I415" s="17" t="n">
        <f aca="false">H415*2/10+I414*8/10</f>
        <v>14.580916277268</v>
      </c>
      <c r="J415" s="17" t="n">
        <f aca="false">H415-I415</f>
        <v>29.5466811773662</v>
      </c>
      <c r="K415" s="17" t="n">
        <f aca="false">MAX(B415-B414,0)</f>
        <v>92.5</v>
      </c>
      <c r="L415" s="17" t="n">
        <f aca="false">MAX(B414-B415,0)</f>
        <v>0</v>
      </c>
      <c r="M415" s="17" t="n">
        <f aca="false">(M414*13+K415)/14</f>
        <v>48.0642176462737</v>
      </c>
      <c r="N415" s="17" t="n">
        <f aca="false">(N414*13+L415)/14</f>
        <v>28.0294190534964</v>
      </c>
      <c r="O415" s="17" t="n">
        <f aca="false">IF(N415=0,100,100-100/(1+M415/N415))</f>
        <v>63.1645689848057</v>
      </c>
      <c r="P415" s="17" t="n">
        <f aca="false">AVERAGE(B396:B415)+2*STDEV(B396:B415)</f>
        <v>7116.41783519513</v>
      </c>
      <c r="Q415" s="17" t="n">
        <f aca="false">AVERAGE(B396:B415)-2*STDEV(B396:B415)</f>
        <v>6333.41716480488</v>
      </c>
      <c r="R415" s="19" t="n">
        <f aca="false">B415/B395-1</f>
        <v>-0.0048227459322765</v>
      </c>
      <c r="S415" s="17" t="n">
        <f aca="false">STDEV(C396:C415)*SQRT(252)*100</f>
        <v>29.520053729934</v>
      </c>
      <c r="T415" s="19" t="n">
        <f aca="false">B394/B164-1</f>
        <v>0.293358640872923</v>
      </c>
      <c r="U415" s="19" t="n">
        <f aca="false">B415/MAX(B164:B415)-1</f>
        <v>-0.0048227459322765</v>
      </c>
      <c r="V415" s="17" t="n">
        <f aca="false">(B415-AVERAGE(B396:B415))/STDEV(B396:B415)</f>
        <v>1.34959015995903</v>
      </c>
    </row>
    <row r="416" customFormat="false" ht="15" hidden="false" customHeight="false" outlineLevel="0" collapsed="false">
      <c r="A416" s="17" t="s">
        <v>980</v>
      </c>
      <c r="B416" s="17" t="n">
        <v>6900.35</v>
      </c>
      <c r="C416" s="19" t="n">
        <f aca="false">B416/B415-1</f>
        <v>-0.0126983445651085</v>
      </c>
      <c r="D416" s="17" t="n">
        <f aca="false">AVERAGE(B367:B416)</f>
        <v>6681.9224</v>
      </c>
      <c r="E416" s="17" t="n">
        <f aca="false">AVERAGE(B217:B416)</f>
        <v>6147.95425</v>
      </c>
      <c r="F416" s="17" t="n">
        <f aca="false">B416*2/13+F415*11/13</f>
        <v>6794.75370619725</v>
      </c>
      <c r="G416" s="17" t="n">
        <f aca="false">B416*2/27+G415*25/27</f>
        <v>6743.93961351543</v>
      </c>
      <c r="H416" s="17" t="n">
        <f aca="false">F416-G416</f>
        <v>50.8140926818223</v>
      </c>
      <c r="I416" s="17" t="n">
        <f aca="false">H416*2/10+I415*8/10</f>
        <v>21.8275515581789</v>
      </c>
      <c r="J416" s="17" t="n">
        <f aca="false">H416-I416</f>
        <v>28.9865411236434</v>
      </c>
      <c r="K416" s="17" t="n">
        <f aca="false">MAX(B416-B415,0)</f>
        <v>0</v>
      </c>
      <c r="L416" s="17" t="n">
        <f aca="false">MAX(B415-B416,0)</f>
        <v>88.75</v>
      </c>
      <c r="M416" s="17" t="n">
        <f aca="false">(M415*13+K416)/14</f>
        <v>44.6310592429684</v>
      </c>
      <c r="N416" s="17" t="n">
        <f aca="false">(N415*13+L416)/14</f>
        <v>32.366603406818</v>
      </c>
      <c r="O416" s="17" t="n">
        <f aca="false">IF(N416=0,100,100-100/(1+M416/N416))</f>
        <v>57.9641741152154</v>
      </c>
      <c r="P416" s="17" t="n">
        <f aca="false">AVERAGE(B397:B416)+2*STDEV(B397:B416)</f>
        <v>7101.39145639176</v>
      </c>
      <c r="Q416" s="17" t="n">
        <f aca="false">AVERAGE(B397:B416)-2*STDEV(B397:B416)</f>
        <v>6339.64654360824</v>
      </c>
      <c r="R416" s="19" t="n">
        <f aca="false">B416/B396-1</f>
        <v>-0.0125881470796986</v>
      </c>
      <c r="S416" s="17" t="n">
        <f aca="false">STDEV(C397:C416)*SQRT(252)*100</f>
        <v>29.8167007080012</v>
      </c>
      <c r="T416" s="19" t="n">
        <f aca="false">B395/B165-1</f>
        <v>0.317553763289565</v>
      </c>
      <c r="U416" s="19" t="n">
        <f aca="false">B416/MAX(B165:B416)-1</f>
        <v>-0.017459849607787</v>
      </c>
      <c r="V416" s="17" t="n">
        <f aca="false">(B416-AVERAGE(B397:B416))/STDEV(B397:B416)</f>
        <v>0.944310868281993</v>
      </c>
    </row>
    <row r="417" customFormat="false" ht="15" hidden="false" customHeight="false" outlineLevel="0" collapsed="false">
      <c r="A417" s="17" t="s">
        <v>981</v>
      </c>
      <c r="B417" s="17" t="n">
        <v>6854.42</v>
      </c>
      <c r="C417" s="19" t="n">
        <f aca="false">B417/B416-1</f>
        <v>-0.00665618410660329</v>
      </c>
      <c r="D417" s="17" t="n">
        <f aca="false">AVERAGE(B368:B417)</f>
        <v>6691.2126</v>
      </c>
      <c r="E417" s="17" t="n">
        <f aca="false">AVERAGE(B218:B417)</f>
        <v>6153.7923</v>
      </c>
      <c r="F417" s="17" t="n">
        <f aca="false">B417*2/13+F416*11/13</f>
        <v>6803.93313601306</v>
      </c>
      <c r="G417" s="17" t="n">
        <f aca="false">B417*2/27+G416*25/27</f>
        <v>6752.12334584762</v>
      </c>
      <c r="H417" s="17" t="n">
        <f aca="false">F417-G417</f>
        <v>51.8097901654382</v>
      </c>
      <c r="I417" s="17" t="n">
        <f aca="false">H417*2/10+I416*8/10</f>
        <v>27.8239992796308</v>
      </c>
      <c r="J417" s="17" t="n">
        <f aca="false">H417-I417</f>
        <v>23.9857908858075</v>
      </c>
      <c r="K417" s="17" t="n">
        <f aca="false">MAX(B417-B416,0)</f>
        <v>0</v>
      </c>
      <c r="L417" s="17" t="n">
        <f aca="false">MAX(B416-B417,0)</f>
        <v>45.9300000000003</v>
      </c>
      <c r="M417" s="17" t="n">
        <f aca="false">(M416*13+K417)/14</f>
        <v>41.4431264398992</v>
      </c>
      <c r="N417" s="17" t="n">
        <f aca="false">(N416*13+L417)/14</f>
        <v>33.3354174491882</v>
      </c>
      <c r="O417" s="17" t="n">
        <f aca="false">IF(N417=0,100,100-100/(1+M417/N417))</f>
        <v>55.4211466077332</v>
      </c>
      <c r="P417" s="17" t="n">
        <f aca="false">AVERAGE(B398:B417)+2*STDEV(B398:B417)</f>
        <v>7090.16605661114</v>
      </c>
      <c r="Q417" s="17" t="n">
        <f aca="false">AVERAGE(B398:B417)-2*STDEV(B398:B417)</f>
        <v>6343.24094338886</v>
      </c>
      <c r="R417" s="19" t="n">
        <f aca="false">B417/B397-1</f>
        <v>-0.0110103841875242</v>
      </c>
      <c r="S417" s="17" t="n">
        <f aca="false">STDEV(C398:C417)*SQRT(252)*100</f>
        <v>29.767145341537</v>
      </c>
      <c r="T417" s="19" t="n">
        <f aca="false">B396/B166-1</f>
        <v>0.296296227594561</v>
      </c>
      <c r="U417" s="19" t="n">
        <f aca="false">B417/MAX(B166:B417)-1</f>
        <v>-0.0239998177409273</v>
      </c>
      <c r="V417" s="17" t="n">
        <f aca="false">(B417-AVERAGE(B398:B417))/STDEV(B398:B417)</f>
        <v>0.737511686577968</v>
      </c>
    </row>
    <row r="418" customFormat="false" ht="15" hidden="false" customHeight="false" outlineLevel="0" collapsed="false">
      <c r="A418" s="17" t="s">
        <v>982</v>
      </c>
      <c r="B418" s="17" t="n">
        <v>6750.54</v>
      </c>
      <c r="C418" s="19" t="n">
        <f aca="false">B418/B417-1</f>
        <v>-0.0151551845378602</v>
      </c>
      <c r="D418" s="17" t="n">
        <f aca="false">AVERAGE(B369:B418)</f>
        <v>6696.897</v>
      </c>
      <c r="E418" s="17" t="n">
        <f aca="false">AVERAGE(B219:B418)</f>
        <v>6159.0226</v>
      </c>
      <c r="F418" s="17" t="n">
        <f aca="false">B418*2/13+F417*11/13</f>
        <v>6795.71880739567</v>
      </c>
      <c r="G418" s="17" t="n">
        <f aca="false">B418*2/27+G417*25/27</f>
        <v>6752.00606097002</v>
      </c>
      <c r="H418" s="17" t="n">
        <f aca="false">F418-G418</f>
        <v>43.7127464256464</v>
      </c>
      <c r="I418" s="17" t="n">
        <f aca="false">H418*2/10+I417*8/10</f>
        <v>31.0017487088339</v>
      </c>
      <c r="J418" s="17" t="n">
        <f aca="false">H418-I418</f>
        <v>12.7109977168125</v>
      </c>
      <c r="K418" s="17" t="n">
        <f aca="false">MAX(B418-B417,0)</f>
        <v>0</v>
      </c>
      <c r="L418" s="17" t="n">
        <f aca="false">MAX(B417-B418,0)</f>
        <v>103.88</v>
      </c>
      <c r="M418" s="17" t="n">
        <f aca="false">(M417*13+K418)/14</f>
        <v>38.4829031227636</v>
      </c>
      <c r="N418" s="17" t="n">
        <f aca="false">(N417*13+L418)/14</f>
        <v>38.3743162028176</v>
      </c>
      <c r="O418" s="17" t="n">
        <f aca="false">IF(N418=0,100,100-100/(1+M418/N418))</f>
        <v>50.0706419780073</v>
      </c>
      <c r="P418" s="17" t="n">
        <f aca="false">AVERAGE(B399:B418)+2*STDEV(B399:B418)</f>
        <v>7064.27706274614</v>
      </c>
      <c r="Q418" s="17" t="n">
        <f aca="false">AVERAGE(B399:B418)-2*STDEV(B399:B418)</f>
        <v>6349.18493725386</v>
      </c>
      <c r="R418" s="19" t="n">
        <f aca="false">B418/B398-1</f>
        <v>-0.0286978830185367</v>
      </c>
      <c r="S418" s="17" t="n">
        <f aca="false">STDEV(C399:C418)*SQRT(252)*100</f>
        <v>30.1920188625562</v>
      </c>
      <c r="T418" s="19" t="n">
        <f aca="false">B397/B167-1</f>
        <v>0.292260677274643</v>
      </c>
      <c r="U418" s="19" t="n">
        <f aca="false">B418/MAX(B167:B418)-1</f>
        <v>-0.0387912806120488</v>
      </c>
      <c r="V418" s="17" t="n">
        <f aca="false">(B418-AVERAGE(B399:B418))/STDEV(B399:B418)</f>
        <v>0.245053740284678</v>
      </c>
    </row>
    <row r="419" customFormat="false" ht="15" hidden="false" customHeight="false" outlineLevel="0" collapsed="false">
      <c r="A419" s="17" t="s">
        <v>983</v>
      </c>
      <c r="B419" s="17" t="n">
        <v>6811.04</v>
      </c>
      <c r="C419" s="19" t="n">
        <f aca="false">B419/B418-1</f>
        <v>0.00896224598328432</v>
      </c>
      <c r="D419" s="17" t="n">
        <f aca="false">AVERAGE(B370:B419)</f>
        <v>6702.8524</v>
      </c>
      <c r="E419" s="17" t="n">
        <f aca="false">AVERAGE(B220:B419)</f>
        <v>6164.4556</v>
      </c>
      <c r="F419" s="17" t="n">
        <f aca="false">B419*2/13+F418*11/13</f>
        <v>6798.07591395018</v>
      </c>
      <c r="G419" s="17" t="n">
        <f aca="false">B419*2/27+G418*25/27</f>
        <v>6756.37894534261</v>
      </c>
      <c r="H419" s="17" t="n">
        <f aca="false">F419-G419</f>
        <v>41.6969686075681</v>
      </c>
      <c r="I419" s="17" t="n">
        <f aca="false">H419*2/10+I418*8/10</f>
        <v>33.1407926885807</v>
      </c>
      <c r="J419" s="17" t="n">
        <f aca="false">H419-I419</f>
        <v>8.55617591898739</v>
      </c>
      <c r="K419" s="17" t="n">
        <f aca="false">MAX(B419-B418,0)</f>
        <v>60.5</v>
      </c>
      <c r="L419" s="17" t="n">
        <f aca="false">MAX(B418-B419,0)</f>
        <v>0</v>
      </c>
      <c r="M419" s="17" t="n">
        <f aca="false">(M418*13+K419)/14</f>
        <v>40.055552899709</v>
      </c>
      <c r="N419" s="17" t="n">
        <f aca="false">(N418*13+L419)/14</f>
        <v>35.6332936169021</v>
      </c>
      <c r="O419" s="17" t="n">
        <f aca="false">IF(N419=0,100,100-100/(1+M419/N419))</f>
        <v>52.9213414435087</v>
      </c>
      <c r="P419" s="17" t="n">
        <f aca="false">AVERAGE(B400:B419)+2*STDEV(B400:B419)</f>
        <v>7051.57506431097</v>
      </c>
      <c r="Q419" s="17" t="n">
        <f aca="false">AVERAGE(B400:B419)-2*STDEV(B400:B419)</f>
        <v>6352.84093568903</v>
      </c>
      <c r="R419" s="19" t="n">
        <f aca="false">B419/B399-1</f>
        <v>-0.0131072955154676</v>
      </c>
      <c r="S419" s="17" t="n">
        <f aca="false">STDEV(C400:C419)*SQRT(252)*100</f>
        <v>30.3230669583351</v>
      </c>
      <c r="T419" s="19" t="n">
        <f aca="false">B398/B168-1</f>
        <v>0.293387153204255</v>
      </c>
      <c r="U419" s="19" t="n">
        <f aca="false">B419/MAX(B168:B419)-1</f>
        <v>-0.0301766916276163</v>
      </c>
      <c r="V419" s="17" t="n">
        <f aca="false">(B419-AVERAGE(B400:B419))/STDEV(B400:B419)</f>
        <v>0.623023811443941</v>
      </c>
    </row>
    <row r="420" customFormat="false" ht="15" hidden="false" customHeight="false" outlineLevel="0" collapsed="false">
      <c r="A420" s="17" t="s">
        <v>984</v>
      </c>
      <c r="B420" s="17" t="n">
        <v>6881.28</v>
      </c>
      <c r="C420" s="19" t="n">
        <f aca="false">B420/B419-1</f>
        <v>0.0103126688435247</v>
      </c>
      <c r="D420" s="17" t="n">
        <f aca="false">AVERAGE(B371:B420)</f>
        <v>6710.8646</v>
      </c>
      <c r="E420" s="17" t="n">
        <f aca="false">AVERAGE(B221:B420)</f>
        <v>6170.95925</v>
      </c>
      <c r="F420" s="17" t="n">
        <f aca="false">B420*2/13+F419*11/13</f>
        <v>6810.87654257323</v>
      </c>
      <c r="G420" s="17" t="n">
        <f aca="false">B420*2/27+G419*25/27</f>
        <v>6765.63087531723</v>
      </c>
      <c r="H420" s="17" t="n">
        <f aca="false">F420-G420</f>
        <v>45.2456672559956</v>
      </c>
      <c r="I420" s="17" t="n">
        <f aca="false">H420*2/10+I419*8/10</f>
        <v>35.5617676020637</v>
      </c>
      <c r="J420" s="17" t="n">
        <f aca="false">H420-I420</f>
        <v>9.6838996539319</v>
      </c>
      <c r="K420" s="17" t="n">
        <f aca="false">MAX(B420-B419,0)</f>
        <v>70.2399999999998</v>
      </c>
      <c r="L420" s="17" t="n">
        <f aca="false">MAX(B419-B420,0)</f>
        <v>0</v>
      </c>
      <c r="M420" s="17" t="n">
        <f aca="false">(M419*13+K420)/14</f>
        <v>42.2115848354441</v>
      </c>
      <c r="N420" s="17" t="n">
        <f aca="false">(N419*13+L420)/14</f>
        <v>33.0880583585519</v>
      </c>
      <c r="O420" s="17" t="n">
        <f aca="false">IF(N420=0,100,100-100/(1+M420/N420))</f>
        <v>56.0581472168381</v>
      </c>
      <c r="P420" s="17" t="n">
        <f aca="false">AVERAGE(B401:B420)+2*STDEV(B401:B420)</f>
        <v>7065.95002458236</v>
      </c>
      <c r="Q420" s="17" t="n">
        <f aca="false">AVERAGE(B401:B420)-2*STDEV(B401:B420)</f>
        <v>6350.56497541764</v>
      </c>
      <c r="R420" s="19" t="n">
        <f aca="false">B420/B400-1</f>
        <v>0.0178971612164567</v>
      </c>
      <c r="S420" s="17" t="n">
        <f aca="false">STDEV(C401:C420)*SQRT(252)*100</f>
        <v>29.5929678852179</v>
      </c>
      <c r="T420" s="19" t="n">
        <f aca="false">B399/B169-1</f>
        <v>0.287518818874281</v>
      </c>
      <c r="U420" s="19" t="n">
        <f aca="false">B420/MAX(B169:B420)-1</f>
        <v>-0.0201752250116405</v>
      </c>
      <c r="V420" s="17" t="n">
        <f aca="false">(B420-AVERAGE(B401:B420))/STDEV(B401:B420)</f>
        <v>0.967437047794153</v>
      </c>
    </row>
    <row r="421" customFormat="false" ht="15" hidden="false" customHeight="false" outlineLevel="0" collapsed="false">
      <c r="A421" s="17" t="s">
        <v>985</v>
      </c>
      <c r="B421" s="17" t="n">
        <v>6913.02</v>
      </c>
      <c r="C421" s="19" t="n">
        <f aca="false">B421/B420-1</f>
        <v>0.00461251395089302</v>
      </c>
      <c r="D421" s="17" t="n">
        <f aca="false">AVERAGE(B372:B421)</f>
        <v>6719.6754</v>
      </c>
      <c r="E421" s="17" t="n">
        <f aca="false">AVERAGE(B222:B421)</f>
        <v>6177.3928</v>
      </c>
      <c r="F421" s="17" t="n">
        <f aca="false">B421*2/13+F420*11/13</f>
        <v>6826.59092063889</v>
      </c>
      <c r="G421" s="17" t="n">
        <f aca="false">B421*2/27+G420*25/27</f>
        <v>6776.5485882567</v>
      </c>
      <c r="H421" s="17" t="n">
        <f aca="false">F421-G421</f>
        <v>50.0423323821888</v>
      </c>
      <c r="I421" s="17" t="n">
        <f aca="false">H421*2/10+I420*8/10</f>
        <v>38.4578805580887</v>
      </c>
      <c r="J421" s="17" t="n">
        <f aca="false">H421-I421</f>
        <v>11.5844518241</v>
      </c>
      <c r="K421" s="17" t="n">
        <f aca="false">MAX(B421-B420,0)</f>
        <v>31.7400000000007</v>
      </c>
      <c r="L421" s="17" t="n">
        <f aca="false">MAX(B420-B421,0)</f>
        <v>0</v>
      </c>
      <c r="M421" s="17" t="n">
        <f aca="false">(M420*13+K421)/14</f>
        <v>41.4636144900553</v>
      </c>
      <c r="N421" s="17" t="n">
        <f aca="false">(N420*13+L421)/14</f>
        <v>30.7246256186554</v>
      </c>
      <c r="O421" s="17" t="n">
        <f aca="false">IF(N421=0,100,100-100/(1+M421/N421))</f>
        <v>57.4381844295052</v>
      </c>
      <c r="P421" s="17" t="n">
        <f aca="false">AVERAGE(B402:B421)+2*STDEV(B402:B421)</f>
        <v>7083.29817006437</v>
      </c>
      <c r="Q421" s="17" t="n">
        <f aca="false">AVERAGE(B402:B421)-2*STDEV(B402:B421)</f>
        <v>6374.92682993563</v>
      </c>
      <c r="R421" s="19" t="n">
        <f aca="false">B421/B401-1</f>
        <v>0.0642095346001799</v>
      </c>
      <c r="S421" s="17" t="n">
        <f aca="false">STDEV(C402:C421)*SQRT(252)*100</f>
        <v>25.511400606129</v>
      </c>
      <c r="T421" s="19" t="n">
        <f aca="false">B400/B170-1</f>
        <v>0.263303359196305</v>
      </c>
      <c r="U421" s="19" t="n">
        <f aca="false">B421/MAX(B170:B421)-1</f>
        <v>-0.0156557695675761</v>
      </c>
      <c r="V421" s="17" t="n">
        <f aca="false">(B421-AVERAGE(B402:B421))/STDEV(B402:B421)</f>
        <v>1.03848074918771</v>
      </c>
    </row>
    <row r="422" customFormat="false" ht="15" hidden="false" customHeight="false" outlineLevel="0" collapsed="false">
      <c r="A422" s="17" t="s">
        <v>986</v>
      </c>
      <c r="B422" s="17" t="n">
        <v>6929.39</v>
      </c>
      <c r="C422" s="19" t="n">
        <f aca="false">B422/B421-1</f>
        <v>0.00236799546363242</v>
      </c>
      <c r="D422" s="17" t="n">
        <f aca="false">AVERAGE(B373:B422)</f>
        <v>6728.8094</v>
      </c>
      <c r="E422" s="17" t="n">
        <f aca="false">AVERAGE(B223:B422)</f>
        <v>6183.78195</v>
      </c>
      <c r="F422" s="17" t="n">
        <f aca="false">B422*2/13+F421*11/13</f>
        <v>6842.40616361752</v>
      </c>
      <c r="G422" s="17" t="n">
        <f aca="false">B422*2/27+G421*25/27</f>
        <v>6787.87017431176</v>
      </c>
      <c r="H422" s="17" t="n">
        <f aca="false">F422-G422</f>
        <v>54.5359893057621</v>
      </c>
      <c r="I422" s="17" t="n">
        <f aca="false">H422*2/10+I421*8/10</f>
        <v>41.6735023076234</v>
      </c>
      <c r="J422" s="17" t="n">
        <f aca="false">H422-I422</f>
        <v>12.8624869981387</v>
      </c>
      <c r="K422" s="17" t="n">
        <f aca="false">MAX(B422-B421,0)</f>
        <v>16.3699999999999</v>
      </c>
      <c r="L422" s="17" t="n">
        <f aca="false">MAX(B421-B422,0)</f>
        <v>0</v>
      </c>
      <c r="M422" s="17" t="n">
        <f aca="false">(M421*13+K422)/14</f>
        <v>39.6712134550513</v>
      </c>
      <c r="N422" s="17" t="n">
        <f aca="false">(N421*13+L422)/14</f>
        <v>28.5300095030371</v>
      </c>
      <c r="O422" s="17" t="n">
        <f aca="false">IF(N422=0,100,100-100/(1+M422/N422))</f>
        <v>58.1678916218707</v>
      </c>
      <c r="P422" s="17" t="n">
        <f aca="false">AVERAGE(B403:B422)+2*STDEV(B403:B422)</f>
        <v>7106.04454572959</v>
      </c>
      <c r="Q422" s="17" t="n">
        <f aca="false">AVERAGE(B403:B422)-2*STDEV(B403:B422)</f>
        <v>6378.52145427041</v>
      </c>
      <c r="R422" s="19" t="n">
        <f aca="false">B422/B402-1</f>
        <v>0.0395155701037209</v>
      </c>
      <c r="S422" s="17" t="n">
        <f aca="false">STDEV(C403:C422)*SQRT(252)*100</f>
        <v>24.0287194785738</v>
      </c>
      <c r="T422" s="19" t="n">
        <f aca="false">B401/B171-1</f>
        <v>0.211968334698431</v>
      </c>
      <c r="U422" s="19" t="n">
        <f aca="false">B422/MAX(B171:B422)-1</f>
        <v>-0.0133248468952594</v>
      </c>
      <c r="V422" s="17" t="n">
        <f aca="false">(B422-AVERAGE(B403:B422))/STDEV(B403:B422)</f>
        <v>1.02873435741936</v>
      </c>
    </row>
    <row r="423" customFormat="false" ht="15" hidden="false" customHeight="false" outlineLevel="0" collapsed="false">
      <c r="A423" s="17" t="s">
        <v>987</v>
      </c>
      <c r="B423" s="17" t="n">
        <v>6966.43</v>
      </c>
      <c r="C423" s="19" t="n">
        <f aca="false">B423/B422-1</f>
        <v>0.00534534785890251</v>
      </c>
      <c r="D423" s="17" t="n">
        <f aca="false">AVERAGE(B374:B423)</f>
        <v>6738.8346</v>
      </c>
      <c r="E423" s="17" t="n">
        <f aca="false">AVERAGE(B224:B423)</f>
        <v>6190.1171</v>
      </c>
      <c r="F423" s="17" t="n">
        <f aca="false">B423*2/13+F422*11/13</f>
        <v>6861.48675383021</v>
      </c>
      <c r="G423" s="17" t="n">
        <f aca="false">B423*2/27+G422*25/27</f>
        <v>6801.09682806644</v>
      </c>
      <c r="H423" s="17" t="n">
        <f aca="false">F423-G423</f>
        <v>60.3899257637668</v>
      </c>
      <c r="I423" s="17" t="n">
        <f aca="false">H423*2/10+I422*8/10</f>
        <v>45.4167869988521</v>
      </c>
      <c r="J423" s="17" t="n">
        <f aca="false">H423-I423</f>
        <v>14.9731387649147</v>
      </c>
      <c r="K423" s="17" t="n">
        <f aca="false">MAX(B423-B422,0)</f>
        <v>37.04</v>
      </c>
      <c r="L423" s="17" t="n">
        <f aca="false">MAX(B422-B423,0)</f>
        <v>0</v>
      </c>
      <c r="M423" s="17" t="n">
        <f aca="false">(M422*13+K423)/14</f>
        <v>39.4832696368334</v>
      </c>
      <c r="N423" s="17" t="n">
        <f aca="false">(N422*13+L423)/14</f>
        <v>26.4921516813916</v>
      </c>
      <c r="O423" s="17" t="n">
        <f aca="false">IF(N423=0,100,100-100/(1+M423/N423))</f>
        <v>59.8454225042236</v>
      </c>
      <c r="P423" s="17" t="n">
        <f aca="false">AVERAGE(B404:B423)+2*STDEV(B404:B423)</f>
        <v>7130.19986380803</v>
      </c>
      <c r="Q423" s="17" t="n">
        <f aca="false">AVERAGE(B404:B423)-2*STDEV(B404:B423)</f>
        <v>6392.80713619197</v>
      </c>
      <c r="R423" s="19" t="n">
        <f aca="false">B423/B403-1</f>
        <v>0.0584030434425906</v>
      </c>
      <c r="S423" s="17" t="n">
        <f aca="false">STDEV(C404:C423)*SQRT(252)*100</f>
        <v>23.4145269129071</v>
      </c>
      <c r="T423" s="19" t="n">
        <f aca="false">B402/B172-1</f>
        <v>0.242730211522042</v>
      </c>
      <c r="U423" s="19" t="n">
        <f aca="false">B423/MAX(B172:B423)-1</f>
        <v>-0.00805072497817871</v>
      </c>
      <c r="V423" s="17" t="n">
        <f aca="false">(B423-AVERAGE(B404:B423))/STDEV(B404:B423)</f>
        <v>1.11162745346032</v>
      </c>
    </row>
    <row r="424" customFormat="false" ht="15" hidden="false" customHeight="false" outlineLevel="0" collapsed="false">
      <c r="A424" s="17" t="s">
        <v>988</v>
      </c>
      <c r="B424" s="17" t="n">
        <v>7101.18</v>
      </c>
      <c r="C424" s="19" t="n">
        <f aca="false">B424/B423-1</f>
        <v>0.0193427623617837</v>
      </c>
      <c r="D424" s="17" t="n">
        <f aca="false">AVERAGE(B375:B424)</f>
        <v>6752.195</v>
      </c>
      <c r="E424" s="17" t="n">
        <f aca="false">AVERAGE(B225:B424)</f>
        <v>6197.10625</v>
      </c>
      <c r="F424" s="17" t="n">
        <f aca="false">B424*2/13+F423*11/13</f>
        <v>6898.36263785633</v>
      </c>
      <c r="G424" s="17" t="n">
        <f aca="false">B424*2/27+G423*25/27</f>
        <v>6823.32521117263</v>
      </c>
      <c r="H424" s="17" t="n">
        <f aca="false">F424-G424</f>
        <v>75.0374266836989</v>
      </c>
      <c r="I424" s="17" t="n">
        <f aca="false">H424*2/10+I423*8/10</f>
        <v>51.3409149358214</v>
      </c>
      <c r="J424" s="17" t="n">
        <f aca="false">H424-I424</f>
        <v>23.6965117478774</v>
      </c>
      <c r="K424" s="17" t="n">
        <f aca="false">MAX(B424-B423,0)</f>
        <v>134.75</v>
      </c>
      <c r="L424" s="17" t="n">
        <f aca="false">MAX(B423-B424,0)</f>
        <v>0</v>
      </c>
      <c r="M424" s="17" t="n">
        <f aca="false">(M423*13+K424)/14</f>
        <v>46.2880360913453</v>
      </c>
      <c r="N424" s="17" t="n">
        <f aca="false">(N423*13+L424)/14</f>
        <v>24.5998551327208</v>
      </c>
      <c r="O424" s="17" t="n">
        <f aca="false">IF(N424=0,100,100-100/(1+M424/N424))</f>
        <v>65.2975216106171</v>
      </c>
      <c r="P424" s="17" t="n">
        <f aca="false">AVERAGE(B405:B424)+2*STDEV(B405:B424)</f>
        <v>7132.786956586</v>
      </c>
      <c r="Q424" s="17" t="n">
        <f aca="false">AVERAGE(B405:B424)-2*STDEV(B405:B424)</f>
        <v>6469.728043414</v>
      </c>
      <c r="R424" s="19" t="n">
        <f aca="false">B424/B404-1</f>
        <v>0.126081096081572</v>
      </c>
      <c r="S424" s="17" t="n">
        <f aca="false">STDEV(C405:C424)*SQRT(252)*100</f>
        <v>17.0884632851717</v>
      </c>
      <c r="T424" s="19" t="n">
        <f aca="false">B403/B173-1</f>
        <v>0.22208358862957</v>
      </c>
      <c r="U424" s="19" t="n">
        <f aca="false">B424/MAX(B173:B424)-1</f>
        <v>0</v>
      </c>
      <c r="V424" s="17" t="n">
        <f aca="false">(B424-AVERAGE(B405:B424))/STDEV(B405:B424)</f>
        <v>1.8093264054936</v>
      </c>
    </row>
    <row r="425" customFormat="false" ht="15" hidden="false" customHeight="false" outlineLevel="0" collapsed="false">
      <c r="A425" s="17" t="s">
        <v>989</v>
      </c>
      <c r="B425" s="17" t="n">
        <v>7131.12</v>
      </c>
      <c r="C425" s="19" t="n">
        <f aca="false">B425/B424-1</f>
        <v>0.00421620068777306</v>
      </c>
      <c r="D425" s="17" t="n">
        <f aca="false">AVERAGE(B376:B425)</f>
        <v>6766.1144</v>
      </c>
      <c r="E425" s="17" t="n">
        <f aca="false">AVERAGE(B226:B425)</f>
        <v>6204.11035</v>
      </c>
      <c r="F425" s="17" t="n">
        <f aca="false">B425*2/13+F424*11/13</f>
        <v>6934.17146280151</v>
      </c>
      <c r="G425" s="17" t="n">
        <f aca="false">B425*2/27+G424*25/27</f>
        <v>6846.12482515984</v>
      </c>
      <c r="H425" s="17" t="n">
        <f aca="false">F425-G425</f>
        <v>88.0466376416671</v>
      </c>
      <c r="I425" s="17" t="n">
        <f aca="false">H425*2/10+I424*8/10</f>
        <v>58.6820594769906</v>
      </c>
      <c r="J425" s="17" t="n">
        <f aca="false">H425-I425</f>
        <v>29.3645781646765</v>
      </c>
      <c r="K425" s="17" t="n">
        <f aca="false">MAX(B425-B424,0)</f>
        <v>29.9399999999996</v>
      </c>
      <c r="L425" s="17" t="n">
        <f aca="false">MAX(B424-B425,0)</f>
        <v>0</v>
      </c>
      <c r="M425" s="17" t="n">
        <f aca="false">(M424*13+K425)/14</f>
        <v>45.1203192276777</v>
      </c>
      <c r="N425" s="17" t="n">
        <f aca="false">(N424*13+L425)/14</f>
        <v>22.8427226232407</v>
      </c>
      <c r="O425" s="17" t="n">
        <f aca="false">IF(N425=0,100,100-100/(1+M425/N425))</f>
        <v>66.3894934641863</v>
      </c>
      <c r="P425" s="17" t="n">
        <f aca="false">AVERAGE(B406:B425)+2*STDEV(B406:B425)</f>
        <v>7146.36857568875</v>
      </c>
      <c r="Q425" s="17" t="n">
        <f aca="false">AVERAGE(B406:B425)-2*STDEV(B406:B425)</f>
        <v>6527.99042431125</v>
      </c>
      <c r="R425" s="19" t="n">
        <f aca="false">B425/B405-1</f>
        <v>0.112034282078632</v>
      </c>
      <c r="S425" s="17" t="n">
        <f aca="false">STDEV(C406:C425)*SQRT(252)*100</f>
        <v>16.6024700617914</v>
      </c>
      <c r="T425" s="19" t="n">
        <f aca="false">B404/B174-1</f>
        <v>0.168971762346211</v>
      </c>
      <c r="U425" s="19" t="n">
        <f aca="false">B425/MAX(B174:B425)-1</f>
        <v>0</v>
      </c>
      <c r="V425" s="17" t="n">
        <f aca="false">(B425-AVERAGE(B406:B425))/STDEV(B406:B425)</f>
        <v>1.90136407209872</v>
      </c>
    </row>
    <row r="426" customFormat="false" ht="15" hidden="false" customHeight="false" outlineLevel="0" collapsed="false">
      <c r="A426" s="17" t="s">
        <v>990</v>
      </c>
      <c r="B426" s="17" t="n">
        <v>7046.51</v>
      </c>
      <c r="C426" s="19" t="n">
        <f aca="false">B426/B425-1</f>
        <v>-0.0118648963977608</v>
      </c>
      <c r="D426" s="17" t="n">
        <f aca="false">AVERAGE(B377:B426)</f>
        <v>6778.2162</v>
      </c>
      <c r="E426" s="17" t="n">
        <f aca="false">AVERAGE(B227:B426)</f>
        <v>6210.45105</v>
      </c>
      <c r="F426" s="17" t="n">
        <f aca="false">B426*2/13+F425*11/13</f>
        <v>6951.4543146782</v>
      </c>
      <c r="G426" s="17" t="n">
        <f aca="false">B426*2/27+G425*25/27</f>
        <v>6860.9681714443</v>
      </c>
      <c r="H426" s="17" t="n">
        <f aca="false">F426-G426</f>
        <v>90.4861432339021</v>
      </c>
      <c r="I426" s="17" t="n">
        <f aca="false">H426*2/10+I425*8/10</f>
        <v>65.0428762283729</v>
      </c>
      <c r="J426" s="17" t="n">
        <f aca="false">H426-I426</f>
        <v>25.4432670055292</v>
      </c>
      <c r="K426" s="17" t="n">
        <f aca="false">MAX(B426-B425,0)</f>
        <v>0</v>
      </c>
      <c r="L426" s="17" t="n">
        <f aca="false">MAX(B425-B426,0)</f>
        <v>84.6099999999997</v>
      </c>
      <c r="M426" s="17" t="n">
        <f aca="false">(M425*13+K426)/14</f>
        <v>41.8974392828436</v>
      </c>
      <c r="N426" s="17" t="n">
        <f aca="false">(N425*13+L426)/14</f>
        <v>27.2546710072949</v>
      </c>
      <c r="O426" s="17" t="n">
        <f aca="false">IF(N426=0,100,100-100/(1+M426/N426))</f>
        <v>60.5873618419688</v>
      </c>
      <c r="P426" s="17" t="n">
        <f aca="false">AVERAGE(B407:B426)+2*STDEV(B407:B426)</f>
        <v>7148.40718801011</v>
      </c>
      <c r="Q426" s="17" t="n">
        <f aca="false">AVERAGE(B407:B426)-2*STDEV(B407:B426)</f>
        <v>6578.2178119899</v>
      </c>
      <c r="R426" s="19" t="n">
        <f aca="false">B426/B406-1</f>
        <v>0.0801152693578178</v>
      </c>
      <c r="S426" s="17" t="n">
        <f aca="false">STDEV(C407:C426)*SQRT(252)*100</f>
        <v>17.0421780945365</v>
      </c>
      <c r="T426" s="19" t="n">
        <f aca="false">B405/B175-1</f>
        <v>0.191467382115392</v>
      </c>
      <c r="U426" s="19" t="n">
        <f aca="false">B426/MAX(B175:B426)-1</f>
        <v>-0.0118648963977608</v>
      </c>
      <c r="V426" s="17" t="n">
        <f aca="false">(B426-AVERAGE(B407:B426))/STDEV(B407:B426)</f>
        <v>1.28516950826882</v>
      </c>
    </row>
    <row r="427" customFormat="false" ht="15" hidden="false" customHeight="false" outlineLevel="0" collapsed="false">
      <c r="A427" s="17" t="s">
        <v>991</v>
      </c>
      <c r="B427" s="17" t="n">
        <v>7040.98</v>
      </c>
      <c r="C427" s="19" t="n">
        <f aca="false">B427/B426-1</f>
        <v>-0.000784785659851517</v>
      </c>
      <c r="D427" s="17" t="n">
        <f aca="false">AVERAGE(B378:B427)</f>
        <v>6791.1074</v>
      </c>
      <c r="E427" s="17" t="n">
        <f aca="false">AVERAGE(B228:B427)</f>
        <v>6216.71415</v>
      </c>
      <c r="F427" s="17" t="n">
        <f aca="false">B427*2/13+F426*11/13</f>
        <v>6965.2274970354</v>
      </c>
      <c r="G427" s="17" t="n">
        <f aca="false">B427*2/27+G426*25/27</f>
        <v>6874.30238096694</v>
      </c>
      <c r="H427" s="17" t="n">
        <f aca="false">F427-G427</f>
        <v>90.9251160684571</v>
      </c>
      <c r="I427" s="17" t="n">
        <f aca="false">H427*2/10+I426*8/10</f>
        <v>70.2193241963897</v>
      </c>
      <c r="J427" s="17" t="n">
        <f aca="false">H427-I427</f>
        <v>20.7057918720674</v>
      </c>
      <c r="K427" s="17" t="n">
        <f aca="false">MAX(B427-B426,0)</f>
        <v>0</v>
      </c>
      <c r="L427" s="17" t="n">
        <f aca="false">MAX(B426-B427,0)</f>
        <v>5.53000000000066</v>
      </c>
      <c r="M427" s="17" t="n">
        <f aca="false">(M426*13+K427)/14</f>
        <v>38.9047650483548</v>
      </c>
      <c r="N427" s="17" t="n">
        <f aca="false">(N426*13+L427)/14</f>
        <v>25.7029087924882</v>
      </c>
      <c r="O427" s="17" t="n">
        <f aca="false">IF(N427=0,100,100-100/(1+M427/N427))</f>
        <v>60.2169413252584</v>
      </c>
      <c r="P427" s="17" t="n">
        <f aca="false">AVERAGE(B408:B427)+2*STDEV(B408:B427)</f>
        <v>7143.14154171509</v>
      </c>
      <c r="Q427" s="17" t="n">
        <f aca="false">AVERAGE(B408:B427)-2*STDEV(B408:B427)</f>
        <v>6632.19545828491</v>
      </c>
      <c r="R427" s="19" t="n">
        <f aca="false">B427/B407-1</f>
        <v>0.0743256645701922</v>
      </c>
      <c r="S427" s="17" t="n">
        <f aca="false">STDEV(C408:C427)*SQRT(252)*100</f>
        <v>17.1204975595679</v>
      </c>
      <c r="T427" s="19" t="n">
        <f aca="false">B406/B176-1</f>
        <v>0.204495730440803</v>
      </c>
      <c r="U427" s="19" t="n">
        <f aca="false">B427/MAX(B176:B427)-1</f>
        <v>-0.0126403706570637</v>
      </c>
      <c r="V427" s="17" t="n">
        <f aca="false">(B427-AVERAGE(B408:B427))/STDEV(B408:B427)</f>
        <v>1.20021665668332</v>
      </c>
    </row>
    <row r="428" customFormat="false" ht="15" hidden="false" customHeight="false" outlineLevel="0" collapsed="false">
      <c r="A428" s="17" t="s">
        <v>992</v>
      </c>
      <c r="B428" s="17" t="n">
        <v>7030.97</v>
      </c>
      <c r="C428" s="19" t="n">
        <f aca="false">B428/B427-1</f>
        <v>-0.00142167709608598</v>
      </c>
      <c r="D428" s="17" t="n">
        <f aca="false">AVERAGE(B379:B428)</f>
        <v>6801.5</v>
      </c>
      <c r="E428" s="17" t="n">
        <f aca="false">AVERAGE(B229:B428)</f>
        <v>6222.89585</v>
      </c>
      <c r="F428" s="17" t="n">
        <f aca="false">B428*2/13+F427*11/13</f>
        <v>6975.34172826072</v>
      </c>
      <c r="G428" s="17" t="n">
        <f aca="false">B428*2/27+G427*25/27</f>
        <v>6885.90738978421</v>
      </c>
      <c r="H428" s="17" t="n">
        <f aca="false">F428-G428</f>
        <v>89.434338476518</v>
      </c>
      <c r="I428" s="17" t="n">
        <f aca="false">H428*2/10+I427*8/10</f>
        <v>74.0623270524154</v>
      </c>
      <c r="J428" s="17" t="n">
        <f aca="false">H428-I428</f>
        <v>15.3720114241026</v>
      </c>
      <c r="K428" s="17" t="n">
        <f aca="false">MAX(B428-B427,0)</f>
        <v>0</v>
      </c>
      <c r="L428" s="17" t="n">
        <f aca="false">MAX(B427-B428,0)</f>
        <v>10.0099999999993</v>
      </c>
      <c r="M428" s="17" t="n">
        <f aca="false">(M427*13+K428)/14</f>
        <v>36.1258532591866</v>
      </c>
      <c r="N428" s="17" t="n">
        <f aca="false">(N427*13+L428)/14</f>
        <v>24.5819867358819</v>
      </c>
      <c r="O428" s="17" t="n">
        <f aca="false">IF(N428=0,100,100-100/(1+M428/N428))</f>
        <v>59.5077229928148</v>
      </c>
      <c r="P428" s="17" t="n">
        <f aca="false">AVERAGE(B409:B428)+2*STDEV(B409:B428)</f>
        <v>7147.82290484491</v>
      </c>
      <c r="Q428" s="17" t="n">
        <f aca="false">AVERAGE(B409:B428)-2*STDEV(B409:B428)</f>
        <v>6663.10809515509</v>
      </c>
      <c r="R428" s="19" t="n">
        <f aca="false">B428/B408-1</f>
        <v>0.0533241049103901</v>
      </c>
      <c r="S428" s="17" t="n">
        <f aca="false">STDEV(C409:C428)*SQRT(252)*100</f>
        <v>16.268728663571</v>
      </c>
      <c r="T428" s="19" t="n">
        <f aca="false">B407/B177-1</f>
        <v>0.210968795731031</v>
      </c>
      <c r="U428" s="19" t="n">
        <f aca="false">B428/MAX(B177:B428)-1</f>
        <v>-0.0140440772277005</v>
      </c>
      <c r="V428" s="17" t="n">
        <f aca="false">(B428-AVERAGE(B409:B428))/STDEV(B409:B428)</f>
        <v>1.03569767204196</v>
      </c>
    </row>
    <row r="429" customFormat="false" ht="15" hidden="false" customHeight="false" outlineLevel="0" collapsed="false">
      <c r="A429" s="17" t="s">
        <v>993</v>
      </c>
      <c r="B429" s="17" t="n">
        <v>7019.95</v>
      </c>
      <c r="C429" s="19" t="n">
        <f aca="false">B429/B428-1</f>
        <v>-0.00156735130430086</v>
      </c>
      <c r="D429" s="17" t="n">
        <f aca="false">AVERAGE(B380:B429)</f>
        <v>6810.383</v>
      </c>
      <c r="E429" s="17" t="n">
        <f aca="false">AVERAGE(B230:B429)</f>
        <v>6229.0516</v>
      </c>
      <c r="F429" s="17" t="n">
        <f aca="false">B429*2/13+F428*11/13</f>
        <v>6982.20453929754</v>
      </c>
      <c r="G429" s="17" t="n">
        <f aca="false">B429*2/27+G428*25/27</f>
        <v>6895.83647202241</v>
      </c>
      <c r="H429" s="17" t="n">
        <f aca="false">F429-G429</f>
        <v>86.3680672751225</v>
      </c>
      <c r="I429" s="17" t="n">
        <f aca="false">H429*2/10+I428*8/10</f>
        <v>76.5234750969568</v>
      </c>
      <c r="J429" s="17" t="n">
        <f aca="false">H429-I429</f>
        <v>9.8445921781657</v>
      </c>
      <c r="K429" s="17" t="n">
        <f aca="false">MAX(B429-B428,0)</f>
        <v>0</v>
      </c>
      <c r="L429" s="17" t="n">
        <f aca="false">MAX(B428-B429,0)</f>
        <v>11.0200000000004</v>
      </c>
      <c r="M429" s="17" t="n">
        <f aca="false">(M428*13+K429)/14</f>
        <v>33.5454351692447</v>
      </c>
      <c r="N429" s="17" t="n">
        <f aca="false">(N428*13+L429)/14</f>
        <v>23.6132733976046</v>
      </c>
      <c r="O429" s="17" t="n">
        <f aca="false">IF(N429=0,100,100-100/(1+M429/N429))</f>
        <v>58.6882314354811</v>
      </c>
      <c r="P429" s="17" t="n">
        <f aca="false">AVERAGE(B410:B429)+2*STDEV(B410:B429)</f>
        <v>7158.35864359646</v>
      </c>
      <c r="Q429" s="17" t="n">
        <f aca="false">AVERAGE(B410:B429)-2*STDEV(B410:B429)</f>
        <v>6675.07535640354</v>
      </c>
      <c r="R429" s="19" t="n">
        <f aca="false">B429/B409-1</f>
        <v>0.0331173876955138</v>
      </c>
      <c r="S429" s="17" t="n">
        <f aca="false">STDEV(C410:C429)*SQRT(252)*100</f>
        <v>15.2778496571415</v>
      </c>
      <c r="T429" s="19" t="n">
        <f aca="false">B408/B178-1</f>
        <v>0.23411465844297</v>
      </c>
      <c r="U429" s="19" t="n">
        <f aca="false">B429/MAX(B178:B429)-1</f>
        <v>-0.0155894165292408</v>
      </c>
      <c r="V429" s="17" t="n">
        <f aca="false">(B429-AVERAGE(B410:B429))/STDEV(B410:B429)</f>
        <v>0.854430539898143</v>
      </c>
    </row>
    <row r="430" customFormat="false" ht="15" hidden="false" customHeight="false" outlineLevel="0" collapsed="false">
      <c r="A430" s="17" t="s">
        <v>994</v>
      </c>
      <c r="B430" s="17" t="n">
        <v>6864.88</v>
      </c>
      <c r="C430" s="19" t="n">
        <f aca="false">B430/B429-1</f>
        <v>-0.0220899009252202</v>
      </c>
      <c r="D430" s="17" t="n">
        <f aca="false">AVERAGE(B381:B430)</f>
        <v>6815.989</v>
      </c>
      <c r="E430" s="17" t="n">
        <f aca="false">AVERAGE(B231:B430)</f>
        <v>6234.29345</v>
      </c>
      <c r="F430" s="17" t="n">
        <f aca="false">B430*2/13+F429*11/13</f>
        <v>6964.15461017484</v>
      </c>
      <c r="G430" s="17" t="n">
        <f aca="false">B430*2/27+G429*25/27</f>
        <v>6893.54340002075</v>
      </c>
      <c r="H430" s="17" t="n">
        <f aca="false">F430-G430</f>
        <v>70.6112101540857</v>
      </c>
      <c r="I430" s="17" t="n">
        <f aca="false">H430*2/10+I429*8/10</f>
        <v>75.3410221083826</v>
      </c>
      <c r="J430" s="17" t="n">
        <f aca="false">H430-I430</f>
        <v>-4.72981195429686</v>
      </c>
      <c r="K430" s="17" t="n">
        <f aca="false">MAX(B430-B429,0)</f>
        <v>0</v>
      </c>
      <c r="L430" s="17" t="n">
        <f aca="false">MAX(B429-B430,0)</f>
        <v>155.07</v>
      </c>
      <c r="M430" s="17" t="n">
        <f aca="false">(M429*13+K430)/14</f>
        <v>31.1493326571558</v>
      </c>
      <c r="N430" s="17" t="n">
        <f aca="false">(N429*13+L430)/14</f>
        <v>33.00303958349</v>
      </c>
      <c r="O430" s="17" t="n">
        <f aca="false">IF(N430=0,100,100-100/(1+M430/N430))</f>
        <v>48.5552311928695</v>
      </c>
      <c r="P430" s="17" t="n">
        <f aca="false">AVERAGE(B411:B430)+2*STDEV(B411:B430)</f>
        <v>7154.60573005518</v>
      </c>
      <c r="Q430" s="17" t="n">
        <f aca="false">AVERAGE(B411:B430)-2*STDEV(B411:B430)</f>
        <v>6688.25026994482</v>
      </c>
      <c r="R430" s="19" t="n">
        <f aca="false">B430/B410-1</f>
        <v>0.0139159254784615</v>
      </c>
      <c r="S430" s="17" t="n">
        <f aca="false">STDEV(C411:C430)*SQRT(252)*100</f>
        <v>17.3894154807402</v>
      </c>
      <c r="T430" s="19" t="n">
        <f aca="false">B409/B179-1</f>
        <v>0.255224622273618</v>
      </c>
      <c r="U430" s="19" t="n">
        <f aca="false">B430/MAX(B179:B430)-1</f>
        <v>-0.0373349487878482</v>
      </c>
      <c r="V430" s="17" t="n">
        <f aca="false">(B430-AVERAGE(B411:B430))/STDEV(B411:B430)</f>
        <v>-0.4850205891156</v>
      </c>
    </row>
    <row r="431" customFormat="false" ht="15" hidden="false" customHeight="false" outlineLevel="0" collapsed="false">
      <c r="A431" s="17" t="s">
        <v>995</v>
      </c>
      <c r="B431" s="17" t="n">
        <v>6885.92</v>
      </c>
      <c r="C431" s="19" t="n">
        <f aca="false">B431/B430-1</f>
        <v>0.00306487513255882</v>
      </c>
      <c r="D431" s="17" t="n">
        <f aca="false">AVERAGE(B382:B431)</f>
        <v>6820.6416</v>
      </c>
      <c r="E431" s="17" t="n">
        <f aca="false">AVERAGE(B232:B431)</f>
        <v>6239.31575</v>
      </c>
      <c r="F431" s="17" t="n">
        <f aca="false">B431*2/13+F430*11/13</f>
        <v>6952.11851630179</v>
      </c>
      <c r="G431" s="17" t="n">
        <f aca="false">B431*2/27+G430*25/27</f>
        <v>6892.97870372292</v>
      </c>
      <c r="H431" s="17" t="n">
        <f aca="false">F431-G431</f>
        <v>59.1398125788683</v>
      </c>
      <c r="I431" s="17" t="n">
        <f aca="false">H431*2/10+I430*8/10</f>
        <v>72.1007802024797</v>
      </c>
      <c r="J431" s="17" t="n">
        <f aca="false">H431-I431</f>
        <v>-12.9609676236115</v>
      </c>
      <c r="K431" s="17" t="n">
        <f aca="false">MAX(B431-B430,0)</f>
        <v>21.04</v>
      </c>
      <c r="L431" s="17" t="n">
        <f aca="false">MAX(B430-B431,0)</f>
        <v>0</v>
      </c>
      <c r="M431" s="17" t="n">
        <f aca="false">(M430*13+K431)/14</f>
        <v>30.4272374673589</v>
      </c>
      <c r="N431" s="17" t="n">
        <f aca="false">(N430*13+L431)/14</f>
        <v>30.6456796132407</v>
      </c>
      <c r="O431" s="17" t="n">
        <f aca="false">IF(N431=0,100,100-100/(1+M431/N431))</f>
        <v>49.8211628358987</v>
      </c>
      <c r="P431" s="17" t="n">
        <f aca="false">AVERAGE(B412:B431)+2*STDEV(B412:B431)</f>
        <v>7150.9918119848</v>
      </c>
      <c r="Q431" s="17" t="n">
        <f aca="false">AVERAGE(B412:B431)-2*STDEV(B412:B431)</f>
        <v>6702.48718801521</v>
      </c>
      <c r="R431" s="19" t="n">
        <f aca="false">B431/B411-1</f>
        <v>0.0156688580156321</v>
      </c>
      <c r="S431" s="17" t="n">
        <f aca="false">STDEV(C412:C431)*SQRT(252)*100</f>
        <v>17.4079933338004</v>
      </c>
      <c r="T431" s="19" t="n">
        <f aca="false">B410/B180-1</f>
        <v>0.269689997055807</v>
      </c>
      <c r="U431" s="19" t="n">
        <f aca="false">B431/MAX(B180:B431)-1</f>
        <v>-0.0343845006114046</v>
      </c>
      <c r="V431" s="17" t="n">
        <f aca="false">(B431-AVERAGE(B412:B431))/STDEV(B412:B431)</f>
        <v>-0.364049758405773</v>
      </c>
    </row>
    <row r="432" customFormat="false" ht="15" hidden="false" customHeight="false" outlineLevel="0" collapsed="false">
      <c r="A432" s="17" t="s">
        <v>996</v>
      </c>
      <c r="B432" s="17" t="n">
        <v>6853.45</v>
      </c>
      <c r="C432" s="19" t="n">
        <f aca="false">B432/B431-1</f>
        <v>-0.00471541929037811</v>
      </c>
      <c r="D432" s="17" t="n">
        <f aca="false">AVERAGE(B383:B432)</f>
        <v>6824.178</v>
      </c>
      <c r="E432" s="17" t="n">
        <f aca="false">AVERAGE(B233:B432)</f>
        <v>6244.1924</v>
      </c>
      <c r="F432" s="17" t="n">
        <f aca="false">B432*2/13+F431*11/13</f>
        <v>6936.93874456305</v>
      </c>
      <c r="G432" s="17" t="n">
        <f aca="false">B432*2/27+G431*25/27</f>
        <v>6890.0506515953</v>
      </c>
      <c r="H432" s="17" t="n">
        <f aca="false">F432-G432</f>
        <v>46.8880929677543</v>
      </c>
      <c r="I432" s="17" t="n">
        <f aca="false">H432*2/10+I431*8/10</f>
        <v>67.0582427555346</v>
      </c>
      <c r="J432" s="17" t="n">
        <f aca="false">H432-I432</f>
        <v>-20.1701497877803</v>
      </c>
      <c r="K432" s="17" t="n">
        <f aca="false">MAX(B432-B431,0)</f>
        <v>0</v>
      </c>
      <c r="L432" s="17" t="n">
        <f aca="false">MAX(B431-B432,0)</f>
        <v>32.4700000000003</v>
      </c>
      <c r="M432" s="17" t="n">
        <f aca="false">(M431*13+K432)/14</f>
        <v>28.2538633625476</v>
      </c>
      <c r="N432" s="17" t="n">
        <f aca="false">(N431*13+L432)/14</f>
        <v>30.7759882122949</v>
      </c>
      <c r="O432" s="17" t="n">
        <f aca="false">IF(N432=0,100,100-100/(1+M432/N432))</f>
        <v>47.8636869461296</v>
      </c>
      <c r="P432" s="17" t="n">
        <f aca="false">AVERAGE(B413:B432)+2*STDEV(B413:B432)</f>
        <v>7144.57194567863</v>
      </c>
      <c r="Q432" s="17" t="n">
        <f aca="false">AVERAGE(B413:B432)-2*STDEV(B413:B432)</f>
        <v>6718.32605432137</v>
      </c>
      <c r="R432" s="19" t="n">
        <f aca="false">B432/B412-1</f>
        <v>0.0139349573769909</v>
      </c>
      <c r="S432" s="17" t="n">
        <f aca="false">STDEV(C413:C432)*SQRT(252)*100</f>
        <v>17.4682750195852</v>
      </c>
      <c r="T432" s="19" t="n">
        <f aca="false">B411/B181-1</f>
        <v>0.263088373652784</v>
      </c>
      <c r="U432" s="19" t="n">
        <f aca="false">B432/MAX(B181:B432)-1</f>
        <v>-0.0389377825643097</v>
      </c>
      <c r="V432" s="17" t="n">
        <f aca="false">(B432-AVERAGE(B413:B432))/STDEV(B413:B432)</f>
        <v>-0.731962480638904</v>
      </c>
    </row>
    <row r="433" customFormat="false" ht="15" hidden="false" customHeight="false" outlineLevel="0" collapsed="false">
      <c r="A433" s="17" t="s">
        <v>997</v>
      </c>
      <c r="B433" s="17" t="n">
        <v>6682.26</v>
      </c>
      <c r="C433" s="19" t="n">
        <f aca="false">B433/B432-1</f>
        <v>-0.0249786603827269</v>
      </c>
      <c r="D433" s="17" t="n">
        <f aca="false">AVERAGE(B384:B433)</f>
        <v>6824.2644</v>
      </c>
      <c r="E433" s="17" t="n">
        <f aca="false">AVERAGE(B234:B433)</f>
        <v>6248.31985</v>
      </c>
      <c r="F433" s="17" t="n">
        <f aca="false">B433*2/13+F432*11/13</f>
        <v>6897.75739924566</v>
      </c>
      <c r="G433" s="17" t="n">
        <f aca="false">B433*2/27+G432*25/27</f>
        <v>6874.65875147713</v>
      </c>
      <c r="H433" s="17" t="n">
        <f aca="false">F433-G433</f>
        <v>23.0986477685319</v>
      </c>
      <c r="I433" s="17" t="n">
        <f aca="false">H433*2/10+I432*8/10</f>
        <v>58.2663237581341</v>
      </c>
      <c r="J433" s="17" t="n">
        <f aca="false">H433-I433</f>
        <v>-35.1676759896022</v>
      </c>
      <c r="K433" s="17" t="n">
        <f aca="false">MAX(B433-B432,0)</f>
        <v>0</v>
      </c>
      <c r="L433" s="17" t="n">
        <f aca="false">MAX(B432-B433,0)</f>
        <v>171.19</v>
      </c>
      <c r="M433" s="17" t="n">
        <f aca="false">(M432*13+K433)/14</f>
        <v>26.2357302652227</v>
      </c>
      <c r="N433" s="17" t="n">
        <f aca="false">(N432*13+L433)/14</f>
        <v>40.8055604828453</v>
      </c>
      <c r="O433" s="17" t="n">
        <f aca="false">IF(N433=0,100,100-100/(1+M433/N433))</f>
        <v>39.1336890630776</v>
      </c>
      <c r="P433" s="17" t="n">
        <f aca="false">AVERAGE(B414:B433)+2*STDEV(B414:B433)</f>
        <v>7156.31843242625</v>
      </c>
      <c r="Q433" s="17" t="n">
        <f aca="false">AVERAGE(B414:B433)-2*STDEV(B414:B433)</f>
        <v>6698.62056757376</v>
      </c>
      <c r="R433" s="19" t="n">
        <f aca="false">B433/B413-1</f>
        <v>-0.0117704474367222</v>
      </c>
      <c r="S433" s="17" t="n">
        <f aca="false">STDEV(C414:C433)*SQRT(252)*100</f>
        <v>19.7142753926135</v>
      </c>
      <c r="T433" s="19" t="n">
        <f aca="false">B412/B182-1</f>
        <v>0.262200428000015</v>
      </c>
      <c r="U433" s="19" t="n">
        <f aca="false">B433/MAX(B182:B433)-1</f>
        <v>-0.0629438293003062</v>
      </c>
      <c r="V433" s="17" t="n">
        <f aca="false">(B433-AVERAGE(B414:B433))/STDEV(B414:B433)</f>
        <v>-2.14298137553279</v>
      </c>
    </row>
    <row r="434" customFormat="false" ht="15" hidden="false" customHeight="false" outlineLevel="0" collapsed="false">
      <c r="A434" s="17" t="s">
        <v>998</v>
      </c>
      <c r="B434" s="17" t="n">
        <v>6508.09</v>
      </c>
      <c r="C434" s="19" t="n">
        <f aca="false">B434/B433-1</f>
        <v>-0.0260645350525122</v>
      </c>
      <c r="D434" s="17" t="n">
        <f aca="false">AVERAGE(B385:B434)</f>
        <v>6821.173</v>
      </c>
      <c r="E434" s="17" t="n">
        <f aca="false">AVERAGE(B235:B434)</f>
        <v>6251.47235</v>
      </c>
      <c r="F434" s="17" t="n">
        <f aca="false">B434*2/13+F433*11/13</f>
        <v>6837.80856859248</v>
      </c>
      <c r="G434" s="17" t="n">
        <f aca="false">B434*2/27+G433*25/27</f>
        <v>6847.50551062697</v>
      </c>
      <c r="H434" s="17" t="n">
        <f aca="false">F434-G434</f>
        <v>-9.69694203448853</v>
      </c>
      <c r="I434" s="17" t="n">
        <f aca="false">H434*2/10+I433*8/10</f>
        <v>44.6736705996096</v>
      </c>
      <c r="J434" s="17" t="n">
        <f aca="false">H434-I434</f>
        <v>-54.3706126340981</v>
      </c>
      <c r="K434" s="17" t="n">
        <f aca="false">MAX(B434-B433,0)</f>
        <v>0</v>
      </c>
      <c r="L434" s="17" t="n">
        <f aca="false">MAX(B433-B434,0)</f>
        <v>174.17</v>
      </c>
      <c r="M434" s="17" t="n">
        <f aca="false">(M433*13+K434)/14</f>
        <v>24.3617495319925</v>
      </c>
      <c r="N434" s="17" t="n">
        <f aca="false">(N433*13+L434)/14</f>
        <v>50.3315918769278</v>
      </c>
      <c r="O434" s="17" t="n">
        <f aca="false">IF(N434=0,100,100-100/(1+M434/N434))</f>
        <v>32.6156911345288</v>
      </c>
      <c r="P434" s="17" t="n">
        <f aca="false">AVERAGE(B415:B434)+2*STDEV(B415:B434)</f>
        <v>7204.03313524868</v>
      </c>
      <c r="Q434" s="17" t="n">
        <f aca="false">AVERAGE(B415:B434)-2*STDEV(B415:B434)</f>
        <v>6612.05486475132</v>
      </c>
      <c r="R434" s="19" t="n">
        <f aca="false">B434/B414-1</f>
        <v>-0.0563335556651103</v>
      </c>
      <c r="S434" s="17" t="n">
        <f aca="false">STDEV(C415:C434)*SQRT(252)*100</f>
        <v>20.1428394514133</v>
      </c>
      <c r="T434" s="19" t="n">
        <f aca="false">B413/B183-1</f>
        <v>0.260598434004474</v>
      </c>
      <c r="U434" s="19" t="n">
        <f aca="false">B434/MAX(B183:B434)-1</f>
        <v>-0.0873677627076812</v>
      </c>
      <c r="V434" s="17" t="n">
        <f aca="false">(B434-AVERAGE(B415:B434))/STDEV(B415:B434)</f>
        <v>-2.70249108747838</v>
      </c>
    </row>
    <row r="435" customFormat="false" ht="15" hidden="false" customHeight="false" outlineLevel="0" collapsed="false">
      <c r="A435" s="17" t="s">
        <v>999</v>
      </c>
      <c r="B435" s="17" t="n">
        <v>6753.83</v>
      </c>
      <c r="C435" s="19" t="n">
        <f aca="false">B435/B434-1</f>
        <v>0.037759158216927</v>
      </c>
      <c r="D435" s="17" t="n">
        <f aca="false">AVERAGE(B386:B435)</f>
        <v>6822.0798</v>
      </c>
      <c r="E435" s="17" t="n">
        <f aca="false">AVERAGE(B236:B435)</f>
        <v>6255.815</v>
      </c>
      <c r="F435" s="17" t="n">
        <f aca="false">B435*2/13+F434*11/13</f>
        <v>6824.88878880902</v>
      </c>
      <c r="G435" s="17" t="n">
        <f aca="false">B435*2/27+G434*25/27</f>
        <v>6840.56658391386</v>
      </c>
      <c r="H435" s="17" t="n">
        <f aca="false">F435-G435</f>
        <v>-15.677795104838</v>
      </c>
      <c r="I435" s="17" t="n">
        <f aca="false">H435*2/10+I434*8/10</f>
        <v>32.6033774587201</v>
      </c>
      <c r="J435" s="17" t="n">
        <f aca="false">H435-I435</f>
        <v>-48.281172563558</v>
      </c>
      <c r="K435" s="17" t="n">
        <f aca="false">MAX(B435-B434,0)</f>
        <v>245.74</v>
      </c>
      <c r="L435" s="17" t="n">
        <f aca="false">MAX(B434-B435,0)</f>
        <v>0</v>
      </c>
      <c r="M435" s="17" t="n">
        <f aca="false">(M434*13+K435)/14</f>
        <v>40.1744817082788</v>
      </c>
      <c r="N435" s="17" t="n">
        <f aca="false">(N434*13+L435)/14</f>
        <v>46.7364781714329</v>
      </c>
      <c r="O435" s="17" t="n">
        <f aca="false">IF(N435=0,100,100-100/(1+M435/N435))</f>
        <v>46.2248740134523</v>
      </c>
      <c r="P435" s="17" t="n">
        <f aca="false">AVERAGE(B416:B435)+2*STDEV(B416:B435)</f>
        <v>7197.36266500344</v>
      </c>
      <c r="Q435" s="17" t="n">
        <f aca="false">AVERAGE(B416:B435)-2*STDEV(B416:B435)</f>
        <v>6595.19833499656</v>
      </c>
      <c r="R435" s="19" t="n">
        <f aca="false">B435/B415-1</f>
        <v>-0.0336624171924855</v>
      </c>
      <c r="S435" s="17" t="n">
        <f aca="false">STDEV(C416:C435)*SQRT(252)*100</f>
        <v>24.1917968614126</v>
      </c>
      <c r="T435" s="19" t="n">
        <f aca="false">B414/B184-1</f>
        <v>0.283262657067844</v>
      </c>
      <c r="U435" s="19" t="n">
        <f aca="false">B435/MAX(B184:B435)-1</f>
        <v>-0.0529075376658926</v>
      </c>
      <c r="V435" s="17" t="n">
        <f aca="false">(B435-AVERAGE(B416:B435))/STDEV(B416:B435)</f>
        <v>-0.94625664724029</v>
      </c>
    </row>
    <row r="436" customFormat="false" ht="15" hidden="false" customHeight="false" outlineLevel="0" collapsed="false">
      <c r="A436" s="17" t="s">
        <v>1000</v>
      </c>
      <c r="B436" s="17" t="n">
        <v>6529.84</v>
      </c>
      <c r="C436" s="19" t="n">
        <f aca="false">B436/B435-1</f>
        <v>-0.0331648857018906</v>
      </c>
      <c r="D436" s="17" t="n">
        <f aca="false">AVERAGE(B387:B436)</f>
        <v>6817.5058</v>
      </c>
      <c r="E436" s="17" t="n">
        <f aca="false">AVERAGE(B237:B436)</f>
        <v>6259.7545</v>
      </c>
      <c r="F436" s="17" t="n">
        <f aca="false">B436*2/13+F435*11/13</f>
        <v>6779.49666745379</v>
      </c>
      <c r="G436" s="17" t="n">
        <f aca="false">B436*2/27+G435*25/27</f>
        <v>6817.54979992024</v>
      </c>
      <c r="H436" s="17" t="n">
        <f aca="false">F436-G436</f>
        <v>-38.0531324664526</v>
      </c>
      <c r="I436" s="17" t="n">
        <f aca="false">H436*2/10+I435*8/10</f>
        <v>18.4720754736855</v>
      </c>
      <c r="J436" s="17" t="n">
        <f aca="false">H436-I436</f>
        <v>-56.5252079401381</v>
      </c>
      <c r="K436" s="17" t="n">
        <f aca="false">MAX(B436-B435,0)</f>
        <v>0</v>
      </c>
      <c r="L436" s="17" t="n">
        <f aca="false">MAX(B435-B436,0)</f>
        <v>223.99</v>
      </c>
      <c r="M436" s="17" t="n">
        <f aca="false">(M435*13+K436)/14</f>
        <v>37.3048758719731</v>
      </c>
      <c r="N436" s="17" t="n">
        <f aca="false">(N435*13+L436)/14</f>
        <v>59.3974440163306</v>
      </c>
      <c r="O436" s="17" t="n">
        <f aca="false">IF(N436=0,100,100-100/(1+M436/N436))</f>
        <v>38.5770226764593</v>
      </c>
      <c r="P436" s="17" t="n">
        <f aca="false">AVERAGE(B417:B436)+2*STDEV(B417:B436)</f>
        <v>7220.4956351287</v>
      </c>
      <c r="Q436" s="17" t="n">
        <f aca="false">AVERAGE(B417:B436)-2*STDEV(B417:B436)</f>
        <v>6535.01436487131</v>
      </c>
      <c r="R436" s="19" t="n">
        <f aca="false">B436/B416-1</f>
        <v>-0.0536943778214148</v>
      </c>
      <c r="S436" s="17" t="n">
        <f aca="false">STDEV(C417:C436)*SQRT(252)*100</f>
        <v>26.4248250690706</v>
      </c>
      <c r="T436" s="19" t="n">
        <f aca="false">B415/B185-1</f>
        <v>0.292551981520969</v>
      </c>
      <c r="U436" s="19" t="n">
        <f aca="false">B436/MAX(B185:B436)-1</f>
        <v>-0.0843177509283254</v>
      </c>
      <c r="V436" s="17" t="n">
        <f aca="false">(B436-AVERAGE(B417:B436))/STDEV(B417:B436)</f>
        <v>-2.03019405545165</v>
      </c>
    </row>
    <row r="437" customFormat="false" ht="15" hidden="false" customHeight="false" outlineLevel="0" collapsed="false">
      <c r="A437" s="17" t="s">
        <v>1001</v>
      </c>
      <c r="B437" s="17" t="n">
        <v>6460.81</v>
      </c>
      <c r="C437" s="19" t="n">
        <f aca="false">B437/B436-1</f>
        <v>-0.0105714688261886</v>
      </c>
      <c r="D437" s="17" t="n">
        <f aca="false">AVERAGE(B388:B437)</f>
        <v>6811.9792</v>
      </c>
      <c r="E437" s="17" t="n">
        <f aca="false">AVERAGE(B238:B437)</f>
        <v>6263.51765</v>
      </c>
      <c r="F437" s="17" t="n">
        <f aca="false">B437*2/13+F436*11/13</f>
        <v>6730.46794938397</v>
      </c>
      <c r="G437" s="17" t="n">
        <f aca="false">B437*2/27+G436*25/27</f>
        <v>6791.12462955578</v>
      </c>
      <c r="H437" s="17" t="n">
        <f aca="false">F437-G437</f>
        <v>-60.6566801718045</v>
      </c>
      <c r="I437" s="17" t="n">
        <f aca="false">H437*2/10+I436*8/10</f>
        <v>2.64632434458753</v>
      </c>
      <c r="J437" s="17" t="n">
        <f aca="false">H437-I437</f>
        <v>-63.303004516392</v>
      </c>
      <c r="K437" s="17" t="n">
        <f aca="false">MAX(B437-B436,0)</f>
        <v>0</v>
      </c>
      <c r="L437" s="17" t="n">
        <f aca="false">MAX(B436-B437,0)</f>
        <v>69.0299999999998</v>
      </c>
      <c r="M437" s="17" t="n">
        <f aca="false">(M436*13+K437)/14</f>
        <v>34.6402418811179</v>
      </c>
      <c r="N437" s="17" t="n">
        <f aca="false">(N436*13+L437)/14</f>
        <v>60.0854837294498</v>
      </c>
      <c r="O437" s="17" t="n">
        <f aca="false">IF(N437=0,100,100-100/(1+M437/N437))</f>
        <v>36.568990797209</v>
      </c>
      <c r="P437" s="17" t="n">
        <f aca="false">AVERAGE(B418:B437)+2*STDEV(B418:B437)</f>
        <v>7248.3618700493</v>
      </c>
      <c r="Q437" s="17" t="n">
        <f aca="false">AVERAGE(B418:B437)-2*STDEV(B418:B437)</f>
        <v>6467.7871299507</v>
      </c>
      <c r="R437" s="19" t="n">
        <f aca="false">B437/B417-1</f>
        <v>-0.0574242605501267</v>
      </c>
      <c r="S437" s="17" t="n">
        <f aca="false">STDEV(C418:C437)*SQRT(252)*100</f>
        <v>26.5403589858467</v>
      </c>
      <c r="T437" s="19" t="n">
        <f aca="false">B416/B186-1</f>
        <v>0.270719503818411</v>
      </c>
      <c r="U437" s="19" t="n">
        <f aca="false">B437/MAX(B186:B437)-1</f>
        <v>-0.0939978572790809</v>
      </c>
      <c r="V437" s="17" t="n">
        <f aca="false">(B437-AVERAGE(B418:B437))/STDEV(B418:B437)</f>
        <v>-2.0357538085325</v>
      </c>
    </row>
    <row r="438" customFormat="false" ht="15" hidden="false" customHeight="false" outlineLevel="0" collapsed="false">
      <c r="A438" s="17" t="s">
        <v>1002</v>
      </c>
      <c r="B438" s="17" t="n">
        <v>6581.13</v>
      </c>
      <c r="C438" s="19" t="n">
        <f aca="false">B438/B437-1</f>
        <v>0.0186230519083519</v>
      </c>
      <c r="D438" s="17" t="n">
        <f aca="false">AVERAGE(B389:B438)</f>
        <v>6807.3962</v>
      </c>
      <c r="E438" s="17" t="n">
        <f aca="false">AVERAGE(B239:B438)</f>
        <v>6267.6642</v>
      </c>
      <c r="F438" s="17" t="n">
        <f aca="false">B438*2/13+F437*11/13</f>
        <v>6707.49288024798</v>
      </c>
      <c r="G438" s="17" t="n">
        <f aca="false">B438*2/27+G437*25/27</f>
        <v>6775.56947181091</v>
      </c>
      <c r="H438" s="17" t="n">
        <f aca="false">F438-G438</f>
        <v>-68.0765915629281</v>
      </c>
      <c r="I438" s="17" t="n">
        <f aca="false">H438*2/10+I437*8/10</f>
        <v>-11.4982588369156</v>
      </c>
      <c r="J438" s="17" t="n">
        <f aca="false">H438-I438</f>
        <v>-56.5783327260125</v>
      </c>
      <c r="K438" s="17" t="n">
        <f aca="false">MAX(B438-B437,0)</f>
        <v>120.32</v>
      </c>
      <c r="L438" s="17" t="n">
        <f aca="false">MAX(B437-B438,0)</f>
        <v>0</v>
      </c>
      <c r="M438" s="17" t="n">
        <f aca="false">(M437*13+K438)/14</f>
        <v>40.7602246038952</v>
      </c>
      <c r="N438" s="17" t="n">
        <f aca="false">(N437*13+L438)/14</f>
        <v>55.7936634630605</v>
      </c>
      <c r="O438" s="17" t="n">
        <f aca="false">IF(N438=0,100,100-100/(1+M438/N438))</f>
        <v>42.2150007834276</v>
      </c>
      <c r="P438" s="17" t="n">
        <f aca="false">AVERAGE(B419:B438)+2*STDEV(B419:B438)</f>
        <v>7256.70923617623</v>
      </c>
      <c r="Q438" s="17" t="n">
        <f aca="false">AVERAGE(B419:B438)-2*STDEV(B419:B438)</f>
        <v>6442.49876382377</v>
      </c>
      <c r="R438" s="19" t="n">
        <f aca="false">B438/B418-1</f>
        <v>-0.0250957701161685</v>
      </c>
      <c r="S438" s="17" t="n">
        <f aca="false">STDEV(C419:C438)*SQRT(252)*100</f>
        <v>27.1592670327789</v>
      </c>
      <c r="T438" s="19" t="n">
        <f aca="false">B417/B187-1</f>
        <v>0.260063900112873</v>
      </c>
      <c r="U438" s="19" t="n">
        <f aca="false">B438/MAX(B187:B438)-1</f>
        <v>-0.0771253323461111</v>
      </c>
      <c r="V438" s="17" t="n">
        <f aca="false">(B438-AVERAGE(B419:B438))/STDEV(B419:B438)</f>
        <v>-1.31894152245088</v>
      </c>
    </row>
    <row r="439" customFormat="false" ht="15" hidden="false" customHeight="false" outlineLevel="0" collapsed="false">
      <c r="A439" s="17" t="s">
        <v>1003</v>
      </c>
      <c r="B439" s="17" t="n">
        <v>6390.84</v>
      </c>
      <c r="C439" s="19" t="n">
        <f aca="false">B439/B438-1</f>
        <v>-0.0289144873296835</v>
      </c>
      <c r="D439" s="17" t="n">
        <f aca="false">AVERAGE(B390:B439)</f>
        <v>6798.9854</v>
      </c>
      <c r="E439" s="17" t="n">
        <f aca="false">AVERAGE(B240:B439)</f>
        <v>6270.98305</v>
      </c>
      <c r="F439" s="17" t="n">
        <f aca="false">B439*2/13+F438*11/13</f>
        <v>6658.77705251752</v>
      </c>
      <c r="G439" s="17" t="n">
        <f aca="false">B439*2/27+G438*25/27</f>
        <v>6747.07099241751</v>
      </c>
      <c r="H439" s="17" t="n">
        <f aca="false">F439-G439</f>
        <v>-88.2939398999861</v>
      </c>
      <c r="I439" s="17" t="n">
        <f aca="false">H439*2/10+I438*8/10</f>
        <v>-26.8573950495297</v>
      </c>
      <c r="J439" s="17" t="n">
        <f aca="false">H439-I439</f>
        <v>-61.4365448504564</v>
      </c>
      <c r="K439" s="17" t="n">
        <f aca="false">MAX(B439-B438,0)</f>
        <v>0</v>
      </c>
      <c r="L439" s="17" t="n">
        <f aca="false">MAX(B438-B439,0)</f>
        <v>190.29</v>
      </c>
      <c r="M439" s="17" t="n">
        <f aca="false">(M438*13+K439)/14</f>
        <v>37.8487799893313</v>
      </c>
      <c r="N439" s="17" t="n">
        <f aca="false">(N438*13+L439)/14</f>
        <v>65.4005446442705</v>
      </c>
      <c r="O439" s="17" t="n">
        <f aca="false">IF(N439=0,100,100-100/(1+M439/N439))</f>
        <v>36.6576538138572</v>
      </c>
      <c r="P439" s="17" t="n">
        <f aca="false">AVERAGE(B420:B439)+2*STDEV(B420:B439)</f>
        <v>7284.52301614639</v>
      </c>
      <c r="Q439" s="17" t="n">
        <f aca="false">AVERAGE(B420:B439)-2*STDEV(B420:B439)</f>
        <v>6372.66498385362</v>
      </c>
      <c r="R439" s="19" t="n">
        <f aca="false">B439/B419-1</f>
        <v>-0.0616939556954591</v>
      </c>
      <c r="S439" s="17" t="n">
        <f aca="false">STDEV(C420:C439)*SQRT(252)*100</f>
        <v>28.5829151172919</v>
      </c>
      <c r="T439" s="19" t="n">
        <f aca="false">B418/B188-1</f>
        <v>0.241768652172554</v>
      </c>
      <c r="U439" s="19" t="n">
        <f aca="false">B439/MAX(B188:B439)-1</f>
        <v>-0.103809780230875</v>
      </c>
      <c r="V439" s="17" t="n">
        <f aca="false">(B439-AVERAGE(B420:B439))/STDEV(B420:B439)</f>
        <v>-1.92027260602975</v>
      </c>
    </row>
    <row r="440" customFormat="false" ht="15" hidden="false" customHeight="false" outlineLevel="0" collapsed="false">
      <c r="A440" s="17" t="s">
        <v>1004</v>
      </c>
      <c r="B440" s="17" t="n">
        <v>6458.83</v>
      </c>
      <c r="C440" s="19" t="n">
        <f aca="false">B440/B439-1</f>
        <v>0.0106386640879759</v>
      </c>
      <c r="D440" s="17" t="n">
        <f aca="false">AVERAGE(B391:B440)</f>
        <v>6791.4754</v>
      </c>
      <c r="E440" s="17" t="n">
        <f aca="false">AVERAGE(B241:B440)</f>
        <v>6274.77275</v>
      </c>
      <c r="F440" s="17" t="n">
        <f aca="false">B440*2/13+F439*11/13</f>
        <v>6628.01596751482</v>
      </c>
      <c r="G440" s="17" t="n">
        <f aca="false">B440*2/27+G439*25/27</f>
        <v>6725.71980779399</v>
      </c>
      <c r="H440" s="17" t="n">
        <f aca="false">F440-G440</f>
        <v>-97.7038402791632</v>
      </c>
      <c r="I440" s="17" t="n">
        <f aca="false">H440*2/10+I439*8/10</f>
        <v>-41.0266840954564</v>
      </c>
      <c r="J440" s="17" t="n">
        <f aca="false">H440-I440</f>
        <v>-56.6771561837068</v>
      </c>
      <c r="K440" s="17" t="n">
        <f aca="false">MAX(B440-B439,0)</f>
        <v>67.9899999999998</v>
      </c>
      <c r="L440" s="17" t="n">
        <f aca="false">MAX(B439-B440,0)</f>
        <v>0</v>
      </c>
      <c r="M440" s="17" t="n">
        <f aca="false">(M439*13+K440)/14</f>
        <v>40.0017242758076</v>
      </c>
      <c r="N440" s="17" t="n">
        <f aca="false">(N439*13+L440)/14</f>
        <v>60.7290771696797</v>
      </c>
      <c r="O440" s="17" t="n">
        <f aca="false">IF(N440=0,100,100-100/(1+M440/N440))</f>
        <v>39.7115119722892</v>
      </c>
      <c r="P440" s="17" t="n">
        <f aca="false">AVERAGE(B421:B440)+2*STDEV(B421:B440)</f>
        <v>7291.40601554719</v>
      </c>
      <c r="Q440" s="17" t="n">
        <f aca="false">AVERAGE(B421:B440)-2*STDEV(B421:B440)</f>
        <v>6323.53698445281</v>
      </c>
      <c r="R440" s="19" t="n">
        <f aca="false">B440/B420-1</f>
        <v>-0.0613911946614583</v>
      </c>
      <c r="S440" s="17" t="n">
        <f aca="false">STDEV(C421:C440)*SQRT(252)*100</f>
        <v>28.603317420771</v>
      </c>
      <c r="T440" s="19" t="n">
        <f aca="false">B419/B189-1</f>
        <v>0.253827178675307</v>
      </c>
      <c r="U440" s="19" t="n">
        <f aca="false">B440/MAX(B189:B440)-1</f>
        <v>-0.0942755135238224</v>
      </c>
      <c r="V440" s="17" t="n">
        <f aca="false">(B440-AVERAGE(B421:B440))/STDEV(B421:B440)</f>
        <v>-1.44086230181696</v>
      </c>
    </row>
    <row r="441" customFormat="false" ht="15" hidden="false" customHeight="false" outlineLevel="0" collapsed="false">
      <c r="A441" s="17" t="s">
        <v>1005</v>
      </c>
      <c r="B441" s="17" t="n">
        <v>6560.06</v>
      </c>
      <c r="C441" s="19" t="n">
        <f aca="false">B441/B440-1</f>
        <v>0.015673117267369</v>
      </c>
      <c r="D441" s="17" t="n">
        <f aca="false">AVERAGE(B392:B441)</f>
        <v>6784.551</v>
      </c>
      <c r="E441" s="17" t="n">
        <f aca="false">AVERAGE(B242:B441)</f>
        <v>6279.16565</v>
      </c>
      <c r="F441" s="17" t="n">
        <f aca="false">B441*2/13+F440*11/13</f>
        <v>6617.56120328177</v>
      </c>
      <c r="G441" s="17" t="n">
        <f aca="false">B441*2/27+G440*25/27</f>
        <v>6713.44871092036</v>
      </c>
      <c r="H441" s="17" t="n">
        <f aca="false">F441-G441</f>
        <v>-95.8875076385848</v>
      </c>
      <c r="I441" s="17" t="n">
        <f aca="false">H441*2/10+I440*8/10</f>
        <v>-51.9988488040821</v>
      </c>
      <c r="J441" s="17" t="n">
        <f aca="false">H441-I441</f>
        <v>-43.8886588345027</v>
      </c>
      <c r="K441" s="17" t="n">
        <f aca="false">MAX(B441-B440,0)</f>
        <v>101.23</v>
      </c>
      <c r="L441" s="17" t="n">
        <f aca="false">MAX(B440-B441,0)</f>
        <v>0</v>
      </c>
      <c r="M441" s="17" t="n">
        <f aca="false">(M440*13+K441)/14</f>
        <v>44.3751725418214</v>
      </c>
      <c r="N441" s="17" t="n">
        <f aca="false">(N440*13+L441)/14</f>
        <v>56.391285943274</v>
      </c>
      <c r="O441" s="17" t="n">
        <f aca="false">IF(N441=0,100,100-100/(1+M441/N441))</f>
        <v>44.0376422958092</v>
      </c>
      <c r="P441" s="17" t="n">
        <f aca="false">AVERAGE(B422:B441)+2*STDEV(B422:B441)</f>
        <v>7283.20236568672</v>
      </c>
      <c r="Q441" s="17" t="n">
        <f aca="false">AVERAGE(B422:B441)-2*STDEV(B422:B441)</f>
        <v>6296.44463431328</v>
      </c>
      <c r="R441" s="19" t="n">
        <f aca="false">B441/B421-1</f>
        <v>-0.0510572803203231</v>
      </c>
      <c r="S441" s="17" t="n">
        <f aca="false">STDEV(C422:C441)*SQRT(252)*100</f>
        <v>29.2561734722434</v>
      </c>
      <c r="T441" s="19" t="n">
        <f aca="false">B420/B190-1</f>
        <v>0.264845848015131</v>
      </c>
      <c r="U441" s="19" t="n">
        <f aca="false">B441/MAX(B190:B441)-1</f>
        <v>-0.0800799874353537</v>
      </c>
      <c r="V441" s="17" t="n">
        <f aca="false">(B441-AVERAGE(B422:B441))/STDEV(B422:B441)</f>
        <v>-0.931387685932587</v>
      </c>
    </row>
    <row r="442" customFormat="false" ht="15" hidden="false" customHeight="false" outlineLevel="0" collapsed="false">
      <c r="A442" s="17" t="s">
        <v>1006</v>
      </c>
      <c r="B442" s="17" t="n">
        <v>6594.84</v>
      </c>
      <c r="C442" s="19" t="n">
        <f aca="false">B442/B441-1</f>
        <v>0.00530178077639532</v>
      </c>
      <c r="D442" s="17" t="n">
        <f aca="false">AVERAGE(B393:B442)</f>
        <v>6777.1786</v>
      </c>
      <c r="E442" s="17" t="n">
        <f aca="false">AVERAGE(B243:B442)</f>
        <v>6283.27875</v>
      </c>
      <c r="F442" s="17" t="n">
        <f aca="false">B442*2/13+F441*11/13</f>
        <v>6614.06563354612</v>
      </c>
      <c r="G442" s="17" t="n">
        <f aca="false">B442*2/27+G441*25/27</f>
        <v>6704.66288048181</v>
      </c>
      <c r="H442" s="17" t="n">
        <f aca="false">F442-G442</f>
        <v>-90.5972469356957</v>
      </c>
      <c r="I442" s="17" t="n">
        <f aca="false">H442*2/10+I441*8/10</f>
        <v>-59.7185284304048</v>
      </c>
      <c r="J442" s="17" t="n">
        <f aca="false">H442-I442</f>
        <v>-30.8787185052909</v>
      </c>
      <c r="K442" s="17" t="n">
        <f aca="false">MAX(B442-B441,0)</f>
        <v>34.7799999999997</v>
      </c>
      <c r="L442" s="17" t="n">
        <f aca="false">MAX(B441-B442,0)</f>
        <v>0</v>
      </c>
      <c r="M442" s="17" t="n">
        <f aca="false">(M441*13+K442)/14</f>
        <v>43.6898030745484</v>
      </c>
      <c r="N442" s="17" t="n">
        <f aca="false">(N441*13+L442)/14</f>
        <v>52.3633369473259</v>
      </c>
      <c r="O442" s="17" t="n">
        <f aca="false">IF(N442=0,100,100-100/(1+M442/N442))</f>
        <v>45.4850336642809</v>
      </c>
      <c r="P442" s="17" t="n">
        <f aca="false">AVERAGE(B423:B442)+2*STDEV(B423:B442)</f>
        <v>7269.22871176168</v>
      </c>
      <c r="Q442" s="17" t="n">
        <f aca="false">AVERAGE(B423:B442)-2*STDEV(B423:B442)</f>
        <v>6276.96328823832</v>
      </c>
      <c r="R442" s="19" t="n">
        <f aca="false">B442/B422-1</f>
        <v>-0.0482798630182455</v>
      </c>
      <c r="S442" s="17" t="n">
        <f aca="false">STDEV(C423:C442)*SQRT(252)*100</f>
        <v>29.3387427314043</v>
      </c>
      <c r="T442" s="19" t="n">
        <f aca="false">B421/B191-1</f>
        <v>0.275813321718846</v>
      </c>
      <c r="U442" s="19" t="n">
        <f aca="false">B442/MAX(B191:B442)-1</f>
        <v>-0.0752027731969172</v>
      </c>
      <c r="V442" s="17" t="n">
        <f aca="false">(B442-AVERAGE(B423:B442))/STDEV(B423:B442)</f>
        <v>-0.718581926868092</v>
      </c>
    </row>
    <row r="443" customFormat="false" ht="15" hidden="false" customHeight="false" outlineLevel="0" collapsed="false">
      <c r="A443" s="17" t="s">
        <v>1007</v>
      </c>
      <c r="B443" s="17" t="n">
        <v>6433.21</v>
      </c>
      <c r="C443" s="19" t="n">
        <f aca="false">B443/B442-1</f>
        <v>-0.0245085551734386</v>
      </c>
      <c r="D443" s="17" t="n">
        <f aca="false">AVERAGE(B394:B443)</f>
        <v>6767.4558</v>
      </c>
      <c r="E443" s="17" t="n">
        <f aca="false">AVERAGE(B244:B443)</f>
        <v>6286.81325</v>
      </c>
      <c r="F443" s="17" t="n">
        <f aca="false">B443*2/13+F442*11/13</f>
        <v>6586.24168992364</v>
      </c>
      <c r="G443" s="17" t="n">
        <f aca="false">B443*2/27+G442*25/27</f>
        <v>6684.55525970538</v>
      </c>
      <c r="H443" s="17" t="n">
        <f aca="false">F443-G443</f>
        <v>-98.3135697817443</v>
      </c>
      <c r="I443" s="17" t="n">
        <f aca="false">H443*2/10+I442*8/10</f>
        <v>-67.4375367006727</v>
      </c>
      <c r="J443" s="17" t="n">
        <f aca="false">H443-I443</f>
        <v>-30.8760330810716</v>
      </c>
      <c r="K443" s="17" t="n">
        <f aca="false">MAX(B443-B442,0)</f>
        <v>0</v>
      </c>
      <c r="L443" s="17" t="n">
        <f aca="false">MAX(B442-B443,0)</f>
        <v>161.63</v>
      </c>
      <c r="M443" s="17" t="n">
        <f aca="false">(M442*13+K443)/14</f>
        <v>40.5691028549378</v>
      </c>
      <c r="N443" s="17" t="n">
        <f aca="false">(N442*13+L443)/14</f>
        <v>60.1680985939455</v>
      </c>
      <c r="O443" s="17" t="n">
        <f aca="false">IF(N443=0,100,100-100/(1+M443/N443))</f>
        <v>40.2722154987834</v>
      </c>
      <c r="P443" s="17" t="n">
        <f aca="false">AVERAGE(B424:B443)+2*STDEV(B424:B443)</f>
        <v>7255.95070411209</v>
      </c>
      <c r="Q443" s="17" t="n">
        <f aca="false">AVERAGE(B424:B443)-2*STDEV(B424:B443)</f>
        <v>6236.91929588791</v>
      </c>
      <c r="R443" s="19" t="n">
        <f aca="false">B443/B423-1</f>
        <v>-0.0765413561896122</v>
      </c>
      <c r="S443" s="17" t="n">
        <f aca="false">STDEV(C424:C443)*SQRT(252)*100</f>
        <v>30.2067358844877</v>
      </c>
      <c r="T443" s="19" t="n">
        <f aca="false">B422/B192-1</f>
        <v>0.278277696610145</v>
      </c>
      <c r="U443" s="19" t="n">
        <f aca="false">B443/MAX(B192:B443)-1</f>
        <v>-0.0978682170542635</v>
      </c>
      <c r="V443" s="17" t="n">
        <f aca="false">(B443-AVERAGE(B424:B443))/STDEV(B424:B443)</f>
        <v>-1.22950086708649</v>
      </c>
    </row>
    <row r="444" customFormat="false" ht="15" hidden="false" customHeight="false" outlineLevel="0" collapsed="false">
      <c r="A444" s="17" t="s">
        <v>1008</v>
      </c>
      <c r="B444" s="17" t="n">
        <v>6472.34</v>
      </c>
      <c r="C444" s="19" t="n">
        <f aca="false">B444/B443-1</f>
        <v>0.00608250002720268</v>
      </c>
      <c r="D444" s="17" t="n">
        <f aca="false">AVERAGE(B395:B444)</f>
        <v>6758.5766</v>
      </c>
      <c r="E444" s="17" t="n">
        <f aca="false">AVERAGE(B245:B444)</f>
        <v>6290.263</v>
      </c>
      <c r="F444" s="17" t="n">
        <f aca="false">B444*2/13+F443*11/13</f>
        <v>6568.71835301231</v>
      </c>
      <c r="G444" s="17" t="n">
        <f aca="false">B444*2/27+G443*25/27</f>
        <v>6668.83561083832</v>
      </c>
      <c r="H444" s="17" t="n">
        <f aca="false">F444-G444</f>
        <v>-100.117257826007</v>
      </c>
      <c r="I444" s="17" t="n">
        <f aca="false">H444*2/10+I443*8/10</f>
        <v>-73.9734809257395</v>
      </c>
      <c r="J444" s="17" t="n">
        <f aca="false">H444-I444</f>
        <v>-26.1437769002671</v>
      </c>
      <c r="K444" s="17" t="n">
        <f aca="false">MAX(B444-B443,0)</f>
        <v>39.1300000000001</v>
      </c>
      <c r="L444" s="17" t="n">
        <f aca="false">MAX(B443-B444,0)</f>
        <v>0</v>
      </c>
      <c r="M444" s="17" t="n">
        <f aca="false">(M443*13+K444)/14</f>
        <v>40.4663097938708</v>
      </c>
      <c r="N444" s="17" t="n">
        <f aca="false">(N443*13+L444)/14</f>
        <v>55.8703772658065</v>
      </c>
      <c r="O444" s="17" t="n">
        <f aca="false">IF(N444=0,100,100-100/(1+M444/N444))</f>
        <v>42.0050876036492</v>
      </c>
      <c r="P444" s="17" t="n">
        <f aca="false">AVERAGE(B425:B444)+2*STDEV(B425:B444)</f>
        <v>7209.7320098181</v>
      </c>
      <c r="Q444" s="17" t="n">
        <f aca="false">AVERAGE(B425:B444)-2*STDEV(B425:B444)</f>
        <v>6220.25399018191</v>
      </c>
      <c r="R444" s="19" t="n">
        <f aca="false">B444/B424-1</f>
        <v>-0.0885542966098593</v>
      </c>
      <c r="S444" s="17" t="n">
        <f aca="false">STDEV(C425:C444)*SQRT(252)*100</f>
        <v>29.2094775205195</v>
      </c>
      <c r="T444" s="19" t="n">
        <f aca="false">B423/B193-1</f>
        <v>0.285705848806929</v>
      </c>
      <c r="U444" s="19" t="n">
        <f aca="false">B444/MAX(B193:B444)-1</f>
        <v>-0.0923810004599558</v>
      </c>
      <c r="V444" s="17" t="n">
        <f aca="false">(B444-AVERAGE(B425:B444))/STDEV(B425:B444)</f>
        <v>-0.980933361568632</v>
      </c>
    </row>
    <row r="445" customFormat="false" ht="15" hidden="false" customHeight="false" outlineLevel="0" collapsed="false">
      <c r="A445" s="17" t="s">
        <v>1009</v>
      </c>
      <c r="B445" s="17" t="n">
        <v>6615.87</v>
      </c>
      <c r="C445" s="19" t="n">
        <f aca="false">B445/B444-1</f>
        <v>0.0221759054685013</v>
      </c>
      <c r="D445" s="17" t="n">
        <f aca="false">AVERAGE(B396:B445)</f>
        <v>6750.4346</v>
      </c>
      <c r="E445" s="17" t="n">
        <f aca="false">AVERAGE(B246:B445)</f>
        <v>6294.443</v>
      </c>
      <c r="F445" s="17" t="n">
        <f aca="false">B445*2/13+F444*11/13</f>
        <v>6575.97245254888</v>
      </c>
      <c r="G445" s="17" t="n">
        <f aca="false">B445*2/27+G444*25/27</f>
        <v>6664.9122322577</v>
      </c>
      <c r="H445" s="17" t="n">
        <f aca="false">F445-G445</f>
        <v>-88.9397797088222</v>
      </c>
      <c r="I445" s="17" t="n">
        <f aca="false">H445*2/10+I444*8/10</f>
        <v>-76.966740682356</v>
      </c>
      <c r="J445" s="17" t="n">
        <f aca="false">H445-I445</f>
        <v>-11.9730390264662</v>
      </c>
      <c r="K445" s="17" t="n">
        <f aca="false">MAX(B445-B444,0)</f>
        <v>143.53</v>
      </c>
      <c r="L445" s="17" t="n">
        <f aca="false">MAX(B444-B445,0)</f>
        <v>0</v>
      </c>
      <c r="M445" s="17" t="n">
        <f aca="false">(M444*13+K445)/14</f>
        <v>47.8280019514515</v>
      </c>
      <c r="N445" s="17" t="n">
        <f aca="false">(N444*13+L445)/14</f>
        <v>51.8796360325346</v>
      </c>
      <c r="O445" s="17" t="n">
        <f aca="false">IF(N445=0,100,100-100/(1+M445/N445))</f>
        <v>47.9682428733625</v>
      </c>
      <c r="P445" s="17" t="n">
        <f aca="false">AVERAGE(B426:B445)+2*STDEV(B426:B445)</f>
        <v>7144.84606465604</v>
      </c>
      <c r="Q445" s="17" t="n">
        <f aca="false">AVERAGE(B426:B445)-2*STDEV(B426:B445)</f>
        <v>6233.61493534396</v>
      </c>
      <c r="R445" s="19" t="n">
        <f aca="false">B445/B425-1</f>
        <v>-0.07225372732474</v>
      </c>
      <c r="S445" s="17" t="n">
        <f aca="false">STDEV(C426:C445)*SQRT(252)*100</f>
        <v>30.5808702981839</v>
      </c>
      <c r="T445" s="19" t="n">
        <f aca="false">B424/B194-1</f>
        <v>0.309774829942011</v>
      </c>
      <c r="U445" s="19" t="n">
        <f aca="false">B445/MAX(B194:B445)-1</f>
        <v>-0.07225372732474</v>
      </c>
      <c r="V445" s="17" t="n">
        <f aca="false">(B445-AVERAGE(B426:B445))/STDEV(B426:B445)</f>
        <v>-0.322028067918984</v>
      </c>
    </row>
    <row r="446" customFormat="false" ht="15" hidden="false" customHeight="false" outlineLevel="0" collapsed="false">
      <c r="A446" s="17" t="s">
        <v>1010</v>
      </c>
      <c r="B446" s="17" t="n">
        <v>6583.44</v>
      </c>
      <c r="C446" s="19" t="n">
        <f aca="false">B446/B445-1</f>
        <v>-0.0049018496433576</v>
      </c>
      <c r="D446" s="17" t="n">
        <f aca="false">AVERAGE(B397:B446)</f>
        <v>6742.337</v>
      </c>
      <c r="E446" s="17" t="n">
        <f aca="false">AVERAGE(B247:B446)</f>
        <v>6298.34465</v>
      </c>
      <c r="F446" s="17" t="n">
        <f aca="false">B446*2/13+F445*11/13</f>
        <v>6577.1213060029</v>
      </c>
      <c r="G446" s="17" t="n">
        <f aca="false">B446*2/27+G445*25/27</f>
        <v>6658.87725209046</v>
      </c>
      <c r="H446" s="17" t="n">
        <f aca="false">F446-G446</f>
        <v>-81.7559460875655</v>
      </c>
      <c r="I446" s="17" t="n">
        <f aca="false">H446*2/10+I445*8/10</f>
        <v>-77.9245817633979</v>
      </c>
      <c r="J446" s="17" t="n">
        <f aca="false">H446-I446</f>
        <v>-3.83136432416755</v>
      </c>
      <c r="K446" s="17" t="n">
        <f aca="false">MAX(B446-B445,0)</f>
        <v>0</v>
      </c>
      <c r="L446" s="17" t="n">
        <f aca="false">MAX(B445-B446,0)</f>
        <v>32.4300000000003</v>
      </c>
      <c r="M446" s="17" t="n">
        <f aca="false">(M445*13+K446)/14</f>
        <v>44.4117160977763</v>
      </c>
      <c r="N446" s="17" t="n">
        <f aca="false">(N445*13+L446)/14</f>
        <v>50.490376315925</v>
      </c>
      <c r="O446" s="17" t="n">
        <f aca="false">IF(N446=0,100,100-100/(1+M446/N446))</f>
        <v>46.7974045336902</v>
      </c>
      <c r="P446" s="17" t="n">
        <f aca="false">AVERAGE(B427:B446)+2*STDEV(B427:B446)</f>
        <v>7091.29586020953</v>
      </c>
      <c r="Q446" s="17" t="n">
        <f aca="false">AVERAGE(B427:B446)-2*STDEV(B427:B446)</f>
        <v>6240.85813979047</v>
      </c>
      <c r="R446" s="19" t="n">
        <f aca="false">B446/B426-1</f>
        <v>-0.0657162198024271</v>
      </c>
      <c r="S446" s="17" t="n">
        <f aca="false">STDEV(C427:C446)*SQRT(252)*100</f>
        <v>30.4297703270405</v>
      </c>
      <c r="T446" s="19" t="n">
        <f aca="false">B425/B195-1</f>
        <v>0.320969176052164</v>
      </c>
      <c r="U446" s="19" t="n">
        <f aca="false">B446/MAX(B195:B446)-1</f>
        <v>-0.0768014000605796</v>
      </c>
      <c r="V446" s="17" t="n">
        <f aca="false">(B446-AVERAGE(B427:B446))/STDEV(B427:B446)</f>
        <v>-0.388679843407134</v>
      </c>
    </row>
    <row r="447" customFormat="false" ht="15" hidden="false" customHeight="false" outlineLevel="0" collapsed="false">
      <c r="A447" s="17" t="s">
        <v>1011</v>
      </c>
      <c r="B447" s="17" t="n">
        <v>6656.26</v>
      </c>
      <c r="C447" s="19" t="n">
        <f aca="false">B447/B446-1</f>
        <v>0.0110610866051792</v>
      </c>
      <c r="D447" s="17" t="n">
        <f aca="false">AVERAGE(B398:B447)</f>
        <v>6736.8476</v>
      </c>
      <c r="E447" s="17" t="n">
        <f aca="false">AVERAGE(B248:B447)</f>
        <v>6302.738</v>
      </c>
      <c r="F447" s="17" t="n">
        <f aca="false">B447*2/13+F446*11/13</f>
        <v>6589.29648969476</v>
      </c>
      <c r="G447" s="17" t="n">
        <f aca="false">B447*2/27+G446*25/27</f>
        <v>6658.68338156524</v>
      </c>
      <c r="H447" s="17" t="n">
        <f aca="false">F447-G447</f>
        <v>-69.3868918704839</v>
      </c>
      <c r="I447" s="17" t="n">
        <f aca="false">H447*2/10+I446*8/10</f>
        <v>-76.2170437848151</v>
      </c>
      <c r="J447" s="17" t="n">
        <f aca="false">H447-I447</f>
        <v>6.83015191433124</v>
      </c>
      <c r="K447" s="17" t="n">
        <f aca="false">MAX(B447-B446,0)</f>
        <v>72.8200000000006</v>
      </c>
      <c r="L447" s="17" t="n">
        <f aca="false">MAX(B446-B447,0)</f>
        <v>0</v>
      </c>
      <c r="M447" s="17" t="n">
        <f aca="false">(M446*13+K447)/14</f>
        <v>46.4408792336495</v>
      </c>
      <c r="N447" s="17" t="n">
        <f aca="false">(N446*13+L447)/14</f>
        <v>46.8839208647875</v>
      </c>
      <c r="O447" s="17" t="n">
        <f aca="false">IF(N447=0,100,100-100/(1+M447/N447))</f>
        <v>49.7626345673011</v>
      </c>
      <c r="P447" s="17" t="n">
        <f aca="false">AVERAGE(B428:B447)+2*STDEV(B428:B447)</f>
        <v>7033.73042137869</v>
      </c>
      <c r="Q447" s="17" t="n">
        <f aca="false">AVERAGE(B428:B447)-2*STDEV(B428:B447)</f>
        <v>6259.95157862131</v>
      </c>
      <c r="R447" s="19" t="n">
        <f aca="false">B447/B427-1</f>
        <v>-0.0546401211195031</v>
      </c>
      <c r="S447" s="17" t="n">
        <f aca="false">STDEV(C428:C447)*SQRT(252)*100</f>
        <v>30.8431251443382</v>
      </c>
      <c r="T447" s="19" t="n">
        <f aca="false">B426/B196-1</f>
        <v>0.310483668493574</v>
      </c>
      <c r="U447" s="19" t="n">
        <f aca="false">B447/MAX(B196:B447)-1</f>
        <v>-0.0665898203928695</v>
      </c>
      <c r="V447" s="17" t="n">
        <f aca="false">(B447-AVERAGE(B428:B447))/STDEV(B428:B447)</f>
        <v>0.0486909151789938</v>
      </c>
    </row>
    <row r="448" customFormat="false" ht="15" hidden="false" customHeight="false" outlineLevel="0" collapsed="false">
      <c r="A448" s="17" t="s">
        <v>1012</v>
      </c>
      <c r="B448" s="17" t="n">
        <v>6628.34</v>
      </c>
      <c r="C448" s="19" t="n">
        <f aca="false">B448/B447-1</f>
        <v>-0.00419454768894245</v>
      </c>
      <c r="D448" s="17" t="n">
        <f aca="false">AVERAGE(B399:B448)</f>
        <v>6730.4146</v>
      </c>
      <c r="E448" s="17" t="n">
        <f aca="false">AVERAGE(B249:B448)</f>
        <v>6307.5217</v>
      </c>
      <c r="F448" s="17" t="n">
        <f aca="false">B448*2/13+F447*11/13</f>
        <v>6595.30318358787</v>
      </c>
      <c r="G448" s="17" t="n">
        <f aca="false">B448*2/27+G447*25/27</f>
        <v>6656.43572367152</v>
      </c>
      <c r="H448" s="17" t="n">
        <f aca="false">F448-G448</f>
        <v>-61.1325400836467</v>
      </c>
      <c r="I448" s="17" t="n">
        <f aca="false">H448*2/10+I447*8/10</f>
        <v>-73.2001430445814</v>
      </c>
      <c r="J448" s="17" t="n">
        <f aca="false">H448-I448</f>
        <v>12.0676029609347</v>
      </c>
      <c r="K448" s="17" t="n">
        <f aca="false">MAX(B448-B447,0)</f>
        <v>0</v>
      </c>
      <c r="L448" s="17" t="n">
        <f aca="false">MAX(B447-B448,0)</f>
        <v>27.9200000000001</v>
      </c>
      <c r="M448" s="17" t="n">
        <f aca="false">(M447*13+K448)/14</f>
        <v>43.1236735741031</v>
      </c>
      <c r="N448" s="17" t="n">
        <f aca="false">(N447*13+L448)/14</f>
        <v>45.5293550887313</v>
      </c>
      <c r="O448" s="17" t="n">
        <f aca="false">IF(N448=0,100,100-100/(1+M448/N448))</f>
        <v>48.6432039881133</v>
      </c>
      <c r="P448" s="17" t="n">
        <f aca="false">AVERAGE(B429:B448)+2*STDEV(B429:B448)</f>
        <v>6968.73994441133</v>
      </c>
      <c r="Q448" s="17" t="n">
        <f aca="false">AVERAGE(B429:B448)-2*STDEV(B429:B448)</f>
        <v>6284.67905558867</v>
      </c>
      <c r="R448" s="19" t="n">
        <f aca="false">B448/B428-1</f>
        <v>-0.0572652137614014</v>
      </c>
      <c r="S448" s="17" t="n">
        <f aca="false">STDEV(C429:C448)*SQRT(252)*100</f>
        <v>30.8444708227809</v>
      </c>
      <c r="T448" s="19" t="n">
        <f aca="false">B427/B197-1</f>
        <v>0.315188499679654</v>
      </c>
      <c r="U448" s="19" t="n">
        <f aca="false">B448/MAX(B197:B448)-1</f>
        <v>-0.070505053904576</v>
      </c>
      <c r="V448" s="17" t="n">
        <f aca="false">(B448-AVERAGE(B429:B448))/STDEV(B429:B448)</f>
        <v>0.00953423899329477</v>
      </c>
    </row>
    <row r="449" customFormat="false" ht="15" hidden="false" customHeight="false" outlineLevel="0" collapsed="false">
      <c r="A449" s="17" t="s">
        <v>1013</v>
      </c>
      <c r="B449" s="17" t="n">
        <v>6675.18</v>
      </c>
      <c r="C449" s="19" t="n">
        <f aca="false">B449/B448-1</f>
        <v>0.00706662603306407</v>
      </c>
      <c r="D449" s="17" t="n">
        <f aca="false">AVERAGE(B400:B449)</f>
        <v>6725.8882</v>
      </c>
      <c r="E449" s="17" t="n">
        <f aca="false">AVERAGE(B250:B449)</f>
        <v>6312.13245</v>
      </c>
      <c r="F449" s="17" t="n">
        <f aca="false">B449*2/13+F448*11/13</f>
        <v>6607.59192457436</v>
      </c>
      <c r="G449" s="17" t="n">
        <f aca="false">B449*2/27+G448*25/27</f>
        <v>6657.82418858474</v>
      </c>
      <c r="H449" s="17" t="n">
        <f aca="false">F449-G449</f>
        <v>-50.2322640103857</v>
      </c>
      <c r="I449" s="17" t="n">
        <f aca="false">H449*2/10+I448*8/10</f>
        <v>-68.6065672377423</v>
      </c>
      <c r="J449" s="17" t="n">
        <f aca="false">H449-I449</f>
        <v>18.3743032273566</v>
      </c>
      <c r="K449" s="17" t="n">
        <f aca="false">MAX(B449-B448,0)</f>
        <v>46.8400000000001</v>
      </c>
      <c r="L449" s="17" t="n">
        <f aca="false">MAX(B448-B449,0)</f>
        <v>0</v>
      </c>
      <c r="M449" s="17" t="n">
        <f aca="false">(M448*13+K449)/14</f>
        <v>43.3891254616672</v>
      </c>
      <c r="N449" s="17" t="n">
        <f aca="false">(N448*13+L449)/14</f>
        <v>42.277258296679</v>
      </c>
      <c r="O449" s="17" t="n">
        <f aca="false">IF(N449=0,100,100-100/(1+M449/N449))</f>
        <v>50.6489518503107</v>
      </c>
      <c r="P449" s="17" t="n">
        <f aca="false">AVERAGE(B430:B449)+2*STDEV(B430:B449)</f>
        <v>6898.73354662503</v>
      </c>
      <c r="Q449" s="17" t="n">
        <f aca="false">AVERAGE(B430:B449)-2*STDEV(B430:B449)</f>
        <v>6320.20845337497</v>
      </c>
      <c r="R449" s="19" t="n">
        <f aca="false">B449/B429-1</f>
        <v>-0.0491128854194117</v>
      </c>
      <c r="S449" s="17" t="n">
        <f aca="false">STDEV(C430:C449)*SQRT(252)*100</f>
        <v>31.0405556779113</v>
      </c>
      <c r="T449" s="19" t="n">
        <f aca="false">B428/B198-1</f>
        <v>0.302224403615351</v>
      </c>
      <c r="U449" s="19" t="n">
        <f aca="false">B449/MAX(B198:B449)-1</f>
        <v>-0.0639366607208965</v>
      </c>
      <c r="V449" s="17" t="n">
        <f aca="false">(B449-AVERAGE(B430:B449))/STDEV(B430:B449)</f>
        <v>0.454320829064519</v>
      </c>
    </row>
    <row r="450" customFormat="false" ht="15" hidden="false" customHeight="false" outlineLevel="0" collapsed="false">
      <c r="A450" s="17" t="s">
        <v>1014</v>
      </c>
      <c r="B450" s="17" t="n">
        <v>6816.37</v>
      </c>
      <c r="C450" s="19" t="n">
        <f aca="false">B450/B449-1</f>
        <v>0.0211514895478473</v>
      </c>
      <c r="D450" s="17" t="n">
        <f aca="false">AVERAGE(B401:B450)</f>
        <v>6727.0098</v>
      </c>
      <c r="E450" s="17" t="n">
        <f aca="false">AVERAGE(B251:B450)</f>
        <v>6317.9492</v>
      </c>
      <c r="F450" s="17" t="n">
        <f aca="false">B450*2/13+F449*11/13</f>
        <v>6639.71162848599</v>
      </c>
      <c r="G450" s="17" t="n">
        <f aca="false">B450*2/27+G449*25/27</f>
        <v>6669.56832276365</v>
      </c>
      <c r="H450" s="17" t="n">
        <f aca="false">F450-G450</f>
        <v>-29.8566942776561</v>
      </c>
      <c r="I450" s="17" t="n">
        <f aca="false">H450*2/10+I449*8/10</f>
        <v>-60.856592645725</v>
      </c>
      <c r="J450" s="17" t="n">
        <f aca="false">H450-I450</f>
        <v>30.999898368069</v>
      </c>
      <c r="K450" s="17" t="n">
        <f aca="false">MAX(B450-B449,0)</f>
        <v>141.19</v>
      </c>
      <c r="L450" s="17" t="n">
        <f aca="false">MAX(B449-B450,0)</f>
        <v>0</v>
      </c>
      <c r="M450" s="17" t="n">
        <f aca="false">(M449*13+K450)/14</f>
        <v>50.3749022144052</v>
      </c>
      <c r="N450" s="17" t="n">
        <f aca="false">(N449*13+L450)/14</f>
        <v>39.2574541326305</v>
      </c>
      <c r="O450" s="17" t="n">
        <f aca="false">IF(N450=0,100,100-100/(1+M450/N450))</f>
        <v>56.2016935261249</v>
      </c>
      <c r="P450" s="17" t="n">
        <f aca="false">AVERAGE(B431:B450)+2*STDEV(B431:B450)</f>
        <v>6887.98440592459</v>
      </c>
      <c r="Q450" s="17" t="n">
        <f aca="false">AVERAGE(B431:B450)-2*STDEV(B431:B450)</f>
        <v>6326.10659407541</v>
      </c>
      <c r="R450" s="19" t="n">
        <f aca="false">B450/B430-1</f>
        <v>-0.00706640174336626</v>
      </c>
      <c r="S450" s="17" t="n">
        <f aca="false">STDEV(C431:C450)*SQRT(252)*100</f>
        <v>31.1848234367904</v>
      </c>
      <c r="T450" s="19" t="n">
        <f aca="false">B429/B199-1</f>
        <v>0.302001609893799</v>
      </c>
      <c r="U450" s="19" t="n">
        <f aca="false">B450/MAX(B199:B450)-1</f>
        <v>-0.0441375267840115</v>
      </c>
      <c r="V450" s="17" t="n">
        <f aca="false">(B450-AVERAGE(B431:B450))/STDEV(B431:B450)</f>
        <v>1.49017808203601</v>
      </c>
    </row>
    <row r="451" customFormat="false" ht="15" hidden="false" customHeight="false" outlineLevel="0" collapsed="false">
      <c r="A451" s="17" t="s">
        <v>1015</v>
      </c>
      <c r="B451" s="17" t="n">
        <v>6833.21</v>
      </c>
      <c r="C451" s="19" t="n">
        <f aca="false">B451/B450-1</f>
        <v>0.00247052316702301</v>
      </c>
      <c r="D451" s="17" t="n">
        <f aca="false">AVERAGE(B402:B451)</f>
        <v>6733.7556</v>
      </c>
      <c r="E451" s="17" t="n">
        <f aca="false">AVERAGE(B252:B451)</f>
        <v>6323.88065</v>
      </c>
      <c r="F451" s="17" t="n">
        <f aca="false">B451*2/13+F450*11/13</f>
        <v>6669.48060871892</v>
      </c>
      <c r="G451" s="17" t="n">
        <f aca="false">B451*2/27+G450*25/27</f>
        <v>6681.68992848486</v>
      </c>
      <c r="H451" s="17" t="n">
        <f aca="false">F451-G451</f>
        <v>-12.2093197659424</v>
      </c>
      <c r="I451" s="17" t="n">
        <f aca="false">H451*2/10+I450*8/10</f>
        <v>-51.1271380697685</v>
      </c>
      <c r="J451" s="17" t="n">
        <f aca="false">H451-I451</f>
        <v>38.9178183038261</v>
      </c>
      <c r="K451" s="17" t="n">
        <f aca="false">MAX(B451-B450,0)</f>
        <v>16.8400000000001</v>
      </c>
      <c r="L451" s="17" t="n">
        <f aca="false">MAX(B450-B451,0)</f>
        <v>0</v>
      </c>
      <c r="M451" s="17" t="n">
        <f aca="false">(M450*13+K451)/14</f>
        <v>47.9795520562334</v>
      </c>
      <c r="N451" s="17" t="n">
        <f aca="false">(N450*13+L451)/14</f>
        <v>36.4533502660141</v>
      </c>
      <c r="O451" s="17" t="n">
        <f aca="false">IF(N451=0,100,100-100/(1+M451/N451))</f>
        <v>56.8256576957572</v>
      </c>
      <c r="P451" s="17" t="n">
        <f aca="false">AVERAGE(B432:B451)+2*STDEV(B432:B451)</f>
        <v>6875.13695671975</v>
      </c>
      <c r="Q451" s="17" t="n">
        <f aca="false">AVERAGE(B432:B451)-2*STDEV(B432:B451)</f>
        <v>6333.68304328025</v>
      </c>
      <c r="R451" s="19" t="n">
        <f aca="false">B451/B431-1</f>
        <v>-0.00765475056346865</v>
      </c>
      <c r="S451" s="17" t="n">
        <f aca="false">STDEV(C432:C451)*SQRT(252)*100</f>
        <v>31.1773569454283</v>
      </c>
      <c r="T451" s="19" t="n">
        <f aca="false">B430/B200-1</f>
        <v>0.271358831329496</v>
      </c>
      <c r="U451" s="19" t="n">
        <f aca="false">B451/MAX(B200:B451)-1</f>
        <v>-0.0417760463994435</v>
      </c>
      <c r="V451" s="17" t="n">
        <f aca="false">(B451-AVERAGE(B432:B451))/STDEV(B432:B451)</f>
        <v>1.69026389371967</v>
      </c>
    </row>
    <row r="452" customFormat="false" ht="15" hidden="false" customHeight="false" outlineLevel="0" collapsed="false">
      <c r="A452" s="17" t="s">
        <v>1016</v>
      </c>
      <c r="B452" s="17" t="n">
        <v>6774.89</v>
      </c>
      <c r="C452" s="19" t="n">
        <f aca="false">B452/B451-1</f>
        <v>-0.00853478818886</v>
      </c>
      <c r="D452" s="17" t="n">
        <f aca="false">AVERAGE(B403:B452)</f>
        <v>6735.9338</v>
      </c>
      <c r="E452" s="17" t="n">
        <f aca="false">AVERAGE(B253:B452)</f>
        <v>6329.7703</v>
      </c>
      <c r="F452" s="17" t="n">
        <f aca="false">B452*2/13+F451*11/13</f>
        <v>6685.69743814678</v>
      </c>
      <c r="G452" s="17" t="n">
        <f aca="false">B452*2/27+G451*25/27</f>
        <v>6688.59363748598</v>
      </c>
      <c r="H452" s="17" t="n">
        <f aca="false">F452-G452</f>
        <v>-2.89619933920585</v>
      </c>
      <c r="I452" s="17" t="n">
        <f aca="false">H452*2/10+I451*8/10</f>
        <v>-41.480950323656</v>
      </c>
      <c r="J452" s="17" t="n">
        <f aca="false">H452-I452</f>
        <v>38.5847509844501</v>
      </c>
      <c r="K452" s="17" t="n">
        <f aca="false">MAX(B452-B451,0)</f>
        <v>0</v>
      </c>
      <c r="L452" s="17" t="n">
        <f aca="false">MAX(B451-B452,0)</f>
        <v>58.3199999999997</v>
      </c>
      <c r="M452" s="17" t="n">
        <f aca="false">(M451*13+K452)/14</f>
        <v>44.5524411950739</v>
      </c>
      <c r="N452" s="17" t="n">
        <f aca="false">(N451*13+L452)/14</f>
        <v>38.0152538184416</v>
      </c>
      <c r="O452" s="17" t="n">
        <f aca="false">IF(N452=0,100,100-100/(1+M452/N452))</f>
        <v>53.9586834630434</v>
      </c>
      <c r="P452" s="17" t="n">
        <f aca="false">AVERAGE(B433:B452)+2*STDEV(B433:B452)</f>
        <v>6857.94986383833</v>
      </c>
      <c r="Q452" s="17" t="n">
        <f aca="false">AVERAGE(B433:B452)-2*STDEV(B433:B452)</f>
        <v>6343.01413616167</v>
      </c>
      <c r="R452" s="19" t="n">
        <f aca="false">B452/B432-1</f>
        <v>-0.0114628398835622</v>
      </c>
      <c r="S452" s="17" t="n">
        <f aca="false">STDEV(C433:C452)*SQRT(252)*100</f>
        <v>31.2800228747338</v>
      </c>
      <c r="T452" s="19" t="n">
        <f aca="false">B431/B201-1</f>
        <v>0.264973280206043</v>
      </c>
      <c r="U452" s="19" t="n">
        <f aca="false">B452/MAX(B201:B452)-1</f>
        <v>-0.0499542848809162</v>
      </c>
      <c r="V452" s="17" t="n">
        <f aca="false">(B452-AVERAGE(B433:B452))/STDEV(B433:B452)</f>
        <v>1.35479432190041</v>
      </c>
    </row>
    <row r="453" customFormat="false" ht="15" hidden="false" customHeight="false" outlineLevel="0" collapsed="false">
      <c r="A453" s="17" t="s">
        <v>1017</v>
      </c>
      <c r="B453" s="17" t="n">
        <v>6667.75</v>
      </c>
      <c r="C453" s="19" t="n">
        <f aca="false">B453/B452-1</f>
        <v>-0.0158142789034214</v>
      </c>
      <c r="D453" s="17" t="n">
        <f aca="false">AVERAGE(B404:B453)</f>
        <v>6737.6484</v>
      </c>
      <c r="E453" s="17" t="n">
        <f aca="false">AVERAGE(B254:B453)</f>
        <v>6334.86495</v>
      </c>
      <c r="F453" s="17" t="n">
        <f aca="false">B453*2/13+F452*11/13</f>
        <v>6682.9362938165</v>
      </c>
      <c r="G453" s="17" t="n">
        <f aca="false">B453*2/27+G452*25/27</f>
        <v>6687.04966433887</v>
      </c>
      <c r="H453" s="17" t="n">
        <f aca="false">F453-G453</f>
        <v>-4.11337052237013</v>
      </c>
      <c r="I453" s="17" t="n">
        <f aca="false">H453*2/10+I452*8/10</f>
        <v>-34.0074343633988</v>
      </c>
      <c r="J453" s="17" t="n">
        <f aca="false">H453-I453</f>
        <v>29.8940638410287</v>
      </c>
      <c r="K453" s="17" t="n">
        <f aca="false">MAX(B453-B452,0)</f>
        <v>0</v>
      </c>
      <c r="L453" s="17" t="n">
        <f aca="false">MAX(B452-B453,0)</f>
        <v>107.14</v>
      </c>
      <c r="M453" s="17" t="n">
        <f aca="false">(M452*13+K453)/14</f>
        <v>41.3701239668543</v>
      </c>
      <c r="N453" s="17" t="n">
        <f aca="false">(N452*13+L453)/14</f>
        <v>42.952735688553</v>
      </c>
      <c r="O453" s="17" t="n">
        <f aca="false">IF(N453=0,100,100-100/(1+M453/N453))</f>
        <v>49.0615761086815</v>
      </c>
      <c r="P453" s="17" t="n">
        <f aca="false">AVERAGE(B434:B453)+2*STDEV(B434:B453)</f>
        <v>6856.33434080182</v>
      </c>
      <c r="Q453" s="17" t="n">
        <f aca="false">AVERAGE(B434:B453)-2*STDEV(B434:B453)</f>
        <v>6343.17865919818</v>
      </c>
      <c r="R453" s="19" t="n">
        <f aca="false">B453/B433-1</f>
        <v>-0.00217142104617307</v>
      </c>
      <c r="S453" s="17" t="n">
        <f aca="false">STDEV(C434:C453)*SQRT(252)*100</f>
        <v>30.4836238051812</v>
      </c>
      <c r="T453" s="19" t="n">
        <f aca="false">B432/B202-1</f>
        <v>0.259350796115434</v>
      </c>
      <c r="U453" s="19" t="n">
        <f aca="false">B453/MAX(B202:B453)-1</f>
        <v>-0.0649785727908099</v>
      </c>
      <c r="V453" s="17" t="n">
        <f aca="false">(B453-AVERAGE(B434:B453))/STDEV(B434:B453)</f>
        <v>0.530002901166484</v>
      </c>
    </row>
    <row r="454" customFormat="false" ht="15" hidden="false" customHeight="false" outlineLevel="0" collapsed="false">
      <c r="A454" s="17" t="s">
        <v>1018</v>
      </c>
      <c r="B454" s="17" t="n">
        <v>6648.8</v>
      </c>
      <c r="C454" s="19" t="n">
        <f aca="false">B454/B453-1</f>
        <v>-0.00284203816879758</v>
      </c>
      <c r="D454" s="17" t="n">
        <f aca="false">AVERAGE(B405:B454)</f>
        <v>6744.5024</v>
      </c>
      <c r="E454" s="17" t="n">
        <f aca="false">AVERAGE(B255:B454)</f>
        <v>6340.11945</v>
      </c>
      <c r="F454" s="17" t="n">
        <f aca="false">B454*2/13+F453*11/13</f>
        <v>6677.68455630627</v>
      </c>
      <c r="G454" s="17" t="n">
        <f aca="false">B454*2/27+G453*25/27</f>
        <v>6684.21635586933</v>
      </c>
      <c r="H454" s="17" t="n">
        <f aca="false">F454-G454</f>
        <v>-6.53179956305576</v>
      </c>
      <c r="I454" s="17" t="n">
        <f aca="false">H454*2/10+I453*8/10</f>
        <v>-28.5123074033302</v>
      </c>
      <c r="J454" s="17" t="n">
        <f aca="false">H454-I454</f>
        <v>21.9805078402744</v>
      </c>
      <c r="K454" s="17" t="n">
        <f aca="false">MAX(B454-B453,0)</f>
        <v>0</v>
      </c>
      <c r="L454" s="17" t="n">
        <f aca="false">MAX(B453-B454,0)</f>
        <v>18.9499999999998</v>
      </c>
      <c r="M454" s="17" t="n">
        <f aca="false">(M453*13+K454)/14</f>
        <v>38.415115112079</v>
      </c>
      <c r="N454" s="17" t="n">
        <f aca="false">(N453*13+L454)/14</f>
        <v>41.238254567942</v>
      </c>
      <c r="O454" s="17" t="n">
        <f aca="false">IF(N454=0,100,100-100/(1+M454/N454))</f>
        <v>48.2278593691617</v>
      </c>
      <c r="P454" s="17" t="n">
        <f aca="false">AVERAGE(B435:B454)+2*STDEV(B435:B454)</f>
        <v>6860.48698773963</v>
      </c>
      <c r="Q454" s="17" t="n">
        <f aca="false">AVERAGE(B435:B454)-2*STDEV(B435:B454)</f>
        <v>6353.09701226037</v>
      </c>
      <c r="R454" s="19" t="n">
        <f aca="false">B454/B434-1</f>
        <v>0.0216207827488557</v>
      </c>
      <c r="S454" s="17" t="n">
        <f aca="false">STDEV(C435:C454)*SQRT(252)*100</f>
        <v>28.9176534668844</v>
      </c>
      <c r="T454" s="19" t="n">
        <f aca="false">B433/B203-1</f>
        <v>0.213185113370842</v>
      </c>
      <c r="U454" s="19" t="n">
        <f aca="false">B454/MAX(B203:B454)-1</f>
        <v>-0.0676359393755819</v>
      </c>
      <c r="V454" s="17" t="n">
        <f aca="false">(B454-AVERAGE(B435:B454))/STDEV(B435:B454)</f>
        <v>0.331169333492029</v>
      </c>
    </row>
    <row r="455" customFormat="false" ht="15" hidden="false" customHeight="false" outlineLevel="0" collapsed="false">
      <c r="A455" s="17" t="s">
        <v>1019</v>
      </c>
      <c r="B455" s="17" t="n">
        <v>6509.05</v>
      </c>
      <c r="C455" s="19" t="n">
        <f aca="false">B455/B454-1</f>
        <v>-0.0210188304656479</v>
      </c>
      <c r="D455" s="17" t="n">
        <f aca="false">AVERAGE(B406:B455)</f>
        <v>6746.4298</v>
      </c>
      <c r="E455" s="17" t="n">
        <f aca="false">AVERAGE(B256:B455)</f>
        <v>6344.38235</v>
      </c>
      <c r="F455" s="17" t="n">
        <f aca="false">B455*2/13+F454*11/13</f>
        <v>6651.740778413</v>
      </c>
      <c r="G455" s="17" t="n">
        <f aca="false">B455*2/27+G454*25/27</f>
        <v>6671.24107024938</v>
      </c>
      <c r="H455" s="17" t="n">
        <f aca="false">F455-G455</f>
        <v>-19.500291836378</v>
      </c>
      <c r="I455" s="17" t="n">
        <f aca="false">H455*2/10+I454*8/10</f>
        <v>-26.7099042899398</v>
      </c>
      <c r="J455" s="17" t="n">
        <f aca="false">H455-I455</f>
        <v>7.20961245356178</v>
      </c>
      <c r="K455" s="17" t="n">
        <f aca="false">MAX(B455-B454,0)</f>
        <v>0</v>
      </c>
      <c r="L455" s="17" t="n">
        <f aca="false">MAX(B454-B455,0)</f>
        <v>139.75</v>
      </c>
      <c r="M455" s="17" t="n">
        <f aca="false">(M454*13+K455)/14</f>
        <v>35.6711783183591</v>
      </c>
      <c r="N455" s="17" t="n">
        <f aca="false">(N454*13+L455)/14</f>
        <v>48.274807813089</v>
      </c>
      <c r="O455" s="17" t="n">
        <f aca="false">IF(N455=0,100,100-100/(1+M455/N455))</f>
        <v>42.4930124264701</v>
      </c>
      <c r="P455" s="17" t="n">
        <f aca="false">AVERAGE(B436:B455)+2*STDEV(B436:B455)</f>
        <v>6841.91929988743</v>
      </c>
      <c r="Q455" s="17" t="n">
        <f aca="false">AVERAGE(B436:B455)-2*STDEV(B436:B455)</f>
        <v>6347.18670011257</v>
      </c>
      <c r="R455" s="19" t="n">
        <f aca="false">B455/B435-1</f>
        <v>-0.036243139078123</v>
      </c>
      <c r="S455" s="17" t="n">
        <f aca="false">STDEV(C436:C455)*SQRT(252)*100</f>
        <v>26.4945128474852</v>
      </c>
      <c r="T455" s="19" t="n">
        <f aca="false">B434/B204-1</f>
        <v>0.173011378485596</v>
      </c>
      <c r="U455" s="19" t="n">
        <f aca="false">B455/MAX(B204:B455)-1</f>
        <v>-0.0872331414981097</v>
      </c>
      <c r="V455" s="17" t="n">
        <f aca="false">(B455-AVERAGE(B436:B455))/STDEV(B436:B455)</f>
        <v>-0.691306778966322</v>
      </c>
    </row>
    <row r="456" customFormat="false" ht="15" hidden="false" customHeight="false" outlineLevel="0" collapsed="false">
      <c r="A456" s="17" t="s">
        <v>1020</v>
      </c>
      <c r="B456" s="17" t="n">
        <v>6513.94</v>
      </c>
      <c r="C456" s="19" t="n">
        <f aca="false">B456/B455-1</f>
        <v>0.000751261704857065</v>
      </c>
      <c r="D456" s="17" t="n">
        <f aca="false">AVERAGE(B407:B456)</f>
        <v>6746.2316</v>
      </c>
      <c r="E456" s="17" t="n">
        <f aca="false">AVERAGE(B257:B456)</f>
        <v>6348.4813</v>
      </c>
      <c r="F456" s="17" t="n">
        <f aca="false">B456*2/13+F455*11/13</f>
        <v>6630.54065865715</v>
      </c>
      <c r="G456" s="17" t="n">
        <f aca="false">B456*2/27+G455*25/27</f>
        <v>6659.58913911979</v>
      </c>
      <c r="H456" s="17" t="n">
        <f aca="false">F456-G456</f>
        <v>-29.0484804626403</v>
      </c>
      <c r="I456" s="17" t="n">
        <f aca="false">H456*2/10+I455*8/10</f>
        <v>-27.1776195244799</v>
      </c>
      <c r="J456" s="17" t="n">
        <f aca="false">H456-I456</f>
        <v>-1.87086093816045</v>
      </c>
      <c r="K456" s="17" t="n">
        <f aca="false">MAX(B456-B455,0)</f>
        <v>4.88999999999942</v>
      </c>
      <c r="L456" s="17" t="n">
        <f aca="false">MAX(B455-B456,0)</f>
        <v>0</v>
      </c>
      <c r="M456" s="17" t="n">
        <f aca="false">(M455*13+K456)/14</f>
        <v>33.4725227241905</v>
      </c>
      <c r="N456" s="17" t="n">
        <f aca="false">(N455*13+L456)/14</f>
        <v>44.8266072550112</v>
      </c>
      <c r="O456" s="17" t="n">
        <f aca="false">IF(N456=0,100,100-100/(1+M456/N456))</f>
        <v>42.7495461738613</v>
      </c>
      <c r="P456" s="17" t="n">
        <f aca="false">AVERAGE(B437:B456)+2*STDEV(B437:B456)</f>
        <v>6842.10027353647</v>
      </c>
      <c r="Q456" s="17" t="n">
        <f aca="false">AVERAGE(B437:B456)-2*STDEV(B437:B456)</f>
        <v>6345.41572646353</v>
      </c>
      <c r="R456" s="19" t="n">
        <f aca="false">B456/B436-1</f>
        <v>-0.00243497543584537</v>
      </c>
      <c r="S456" s="17" t="n">
        <f aca="false">STDEV(C437:C456)*SQRT(252)*100</f>
        <v>23.7469320195496</v>
      </c>
      <c r="T456" s="19" t="n">
        <f aca="false">B435/B205-1</f>
        <v>0.218863075676446</v>
      </c>
      <c r="U456" s="19" t="n">
        <f aca="false">B456/MAX(B205:B456)-1</f>
        <v>-0.0865474147118546</v>
      </c>
      <c r="V456" s="17" t="n">
        <f aca="false">(B456-AVERAGE(B437:B456))/STDEV(B437:B456)</f>
        <v>-0.642806388645536</v>
      </c>
    </row>
    <row r="457" customFormat="false" ht="15" hidden="false" customHeight="false" outlineLevel="0" collapsed="false">
      <c r="A457" s="17" t="s">
        <v>1021</v>
      </c>
      <c r="B457" s="17" t="n">
        <v>6649.65</v>
      </c>
      <c r="C457" s="19" t="n">
        <f aca="false">B457/B456-1</f>
        <v>0.020833781091014</v>
      </c>
      <c r="D457" s="17" t="n">
        <f aca="false">AVERAGE(B408:B457)</f>
        <v>6748.1474</v>
      </c>
      <c r="E457" s="17" t="n">
        <f aca="false">AVERAGE(B258:B457)</f>
        <v>6353.18055</v>
      </c>
      <c r="F457" s="17" t="n">
        <f aca="false">B457*2/13+F456*11/13</f>
        <v>6633.48055732528</v>
      </c>
      <c r="G457" s="17" t="n">
        <f aca="false">B457*2/27+G456*25/27</f>
        <v>6658.8529065924</v>
      </c>
      <c r="H457" s="17" t="n">
        <f aca="false">F457-G457</f>
        <v>-25.3723492671188</v>
      </c>
      <c r="I457" s="17" t="n">
        <f aca="false">H457*2/10+I456*8/10</f>
        <v>-26.8165654730077</v>
      </c>
      <c r="J457" s="17" t="n">
        <f aca="false">H457-I457</f>
        <v>1.44421620588885</v>
      </c>
      <c r="K457" s="17" t="n">
        <f aca="false">MAX(B457-B456,0)</f>
        <v>135.71</v>
      </c>
      <c r="L457" s="17" t="n">
        <f aca="false">MAX(B456-B457,0)</f>
        <v>0</v>
      </c>
      <c r="M457" s="17" t="n">
        <f aca="false">(M456*13+K457)/14</f>
        <v>40.7751996724626</v>
      </c>
      <c r="N457" s="17" t="n">
        <f aca="false">(N456*13+L457)/14</f>
        <v>41.6247067367962</v>
      </c>
      <c r="O457" s="17" t="n">
        <f aca="false">IF(N457=0,100,100-100/(1+M457/N457))</f>
        <v>49.4845218269337</v>
      </c>
      <c r="P457" s="17" t="n">
        <f aca="false">AVERAGE(B438:B457)+2*STDEV(B438:B457)</f>
        <v>6844.5194740326</v>
      </c>
      <c r="Q457" s="17" t="n">
        <f aca="false">AVERAGE(B438:B457)-2*STDEV(B438:B457)</f>
        <v>6361.8805259674</v>
      </c>
      <c r="R457" s="19" t="n">
        <f aca="false">B457/B437-1</f>
        <v>0.0292285332644049</v>
      </c>
      <c r="S457" s="17" t="n">
        <f aca="false">STDEV(C438:C457)*SQRT(252)*100</f>
        <v>24.4999794397331</v>
      </c>
      <c r="T457" s="19" t="n">
        <f aca="false">B436/B206-1</f>
        <v>0.172053818871067</v>
      </c>
      <c r="U457" s="19" t="n">
        <f aca="false">B457/MAX(B206:B457)-1</f>
        <v>-0.0675167435129405</v>
      </c>
      <c r="V457" s="17" t="n">
        <f aca="false">(B457-AVERAGE(B438:B457))/STDEV(B438:B457)</f>
        <v>0.384966859274074</v>
      </c>
    </row>
    <row r="458" customFormat="false" ht="15" hidden="false" customHeight="false" outlineLevel="0" collapsed="false">
      <c r="A458" s="17" t="s">
        <v>1022</v>
      </c>
      <c r="B458" s="17" t="n">
        <v>6656.35</v>
      </c>
      <c r="C458" s="19" t="n">
        <f aca="false">B458/B457-1</f>
        <v>0.00100757182708877</v>
      </c>
      <c r="D458" s="17" t="n">
        <f aca="false">AVERAGE(B409:B458)</f>
        <v>6747.7738</v>
      </c>
      <c r="E458" s="17" t="n">
        <f aca="false">AVERAGE(B259:B458)</f>
        <v>6357.56755</v>
      </c>
      <c r="F458" s="17" t="n">
        <f aca="false">B458*2/13+F457*11/13</f>
        <v>6636.99893312139</v>
      </c>
      <c r="G458" s="17" t="n">
        <f aca="false">B458*2/27+G457*25/27</f>
        <v>6658.66750610408</v>
      </c>
      <c r="H458" s="17" t="n">
        <f aca="false">F458-G458</f>
        <v>-21.6685729826813</v>
      </c>
      <c r="I458" s="17" t="n">
        <f aca="false">H458*2/10+I457*8/10</f>
        <v>-25.7869669749424</v>
      </c>
      <c r="J458" s="17" t="n">
        <f aca="false">H458-I458</f>
        <v>4.11839399226107</v>
      </c>
      <c r="K458" s="17" t="n">
        <f aca="false">MAX(B458-B457,0)</f>
        <v>6.70000000000073</v>
      </c>
      <c r="L458" s="17" t="n">
        <f aca="false">MAX(B457-B458,0)</f>
        <v>0</v>
      </c>
      <c r="M458" s="17" t="n">
        <f aca="false">(M457*13+K458)/14</f>
        <v>38.3412568387154</v>
      </c>
      <c r="N458" s="17" t="n">
        <f aca="false">(N457*13+L458)/14</f>
        <v>38.6515133984536</v>
      </c>
      <c r="O458" s="17" t="n">
        <f aca="false">IF(N458=0,100,100-100/(1+M458/N458))</f>
        <v>49.7985157835064</v>
      </c>
      <c r="P458" s="17" t="n">
        <f aca="false">AVERAGE(B439:B458)+2*STDEV(B439:B458)</f>
        <v>6849.17517481229</v>
      </c>
      <c r="Q458" s="17" t="n">
        <f aca="false">AVERAGE(B439:B458)-2*STDEV(B439:B458)</f>
        <v>6364.74682518771</v>
      </c>
      <c r="R458" s="19" t="n">
        <f aca="false">B458/B438-1</f>
        <v>0.0114296480999465</v>
      </c>
      <c r="S458" s="17" t="n">
        <f aca="false">STDEV(C439:C458)*SQRT(252)*100</f>
        <v>23.6557182028744</v>
      </c>
      <c r="T458" s="19" t="n">
        <f aca="false">B437/B207-1</f>
        <v>0.157119241769992</v>
      </c>
      <c r="U458" s="19" t="n">
        <f aca="false">B458/MAX(B207:B458)-1</f>
        <v>-0.0665771996544722</v>
      </c>
      <c r="V458" s="17" t="n">
        <f aca="false">(B458-AVERAGE(B439:B458))/STDEV(B439:B458)</f>
        <v>0.407812631430632</v>
      </c>
    </row>
    <row r="459" customFormat="false" ht="15" hidden="false" customHeight="false" outlineLevel="0" collapsed="false">
      <c r="A459" s="17" t="s">
        <v>1023</v>
      </c>
      <c r="B459" s="17" t="n">
        <v>6605.57</v>
      </c>
      <c r="C459" s="19" t="n">
        <f aca="false">B459/B458-1</f>
        <v>-0.00762880557662993</v>
      </c>
      <c r="D459" s="17" t="n">
        <f aca="false">AVERAGE(B410:B459)</f>
        <v>6743.9868</v>
      </c>
      <c r="E459" s="17" t="n">
        <f aca="false">AVERAGE(B260:B459)</f>
        <v>6361.6286</v>
      </c>
      <c r="F459" s="17" t="n">
        <f aca="false">B459*2/13+F458*11/13</f>
        <v>6632.16371264118</v>
      </c>
      <c r="G459" s="17" t="n">
        <f aca="false">B459*2/27+G458*25/27</f>
        <v>6654.73435750377</v>
      </c>
      <c r="H459" s="17" t="n">
        <f aca="false">F459-G459</f>
        <v>-22.5706448625942</v>
      </c>
      <c r="I459" s="17" t="n">
        <f aca="false">H459*2/10+I458*8/10</f>
        <v>-25.1437025524728</v>
      </c>
      <c r="J459" s="17" t="n">
        <f aca="false">H459-I459</f>
        <v>2.57305768987852</v>
      </c>
      <c r="K459" s="17" t="n">
        <f aca="false">MAX(B459-B458,0)</f>
        <v>0</v>
      </c>
      <c r="L459" s="17" t="n">
        <f aca="false">MAX(B458-B459,0)</f>
        <v>50.7800000000007</v>
      </c>
      <c r="M459" s="17" t="n">
        <f aca="false">(M458*13+K459)/14</f>
        <v>35.60259563595</v>
      </c>
      <c r="N459" s="17" t="n">
        <f aca="false">(N458*13+L459)/14</f>
        <v>39.5178338699927</v>
      </c>
      <c r="O459" s="17" t="n">
        <f aca="false">IF(N459=0,100,100-100/(1+M459/N459))</f>
        <v>47.3940256600018</v>
      </c>
      <c r="P459" s="17" t="n">
        <f aca="false">AVERAGE(B440:B459)+2*STDEV(B440:B459)</f>
        <v>6837.58254430844</v>
      </c>
      <c r="Q459" s="17" t="n">
        <f aca="false">AVERAGE(B440:B459)-2*STDEV(B440:B459)</f>
        <v>6397.81245569156</v>
      </c>
      <c r="R459" s="19" t="n">
        <f aca="false">B459/B439-1</f>
        <v>0.0335996520019277</v>
      </c>
      <c r="S459" s="17" t="n">
        <f aca="false">STDEV(C440:C459)*SQRT(252)*100</f>
        <v>21.2041041936703</v>
      </c>
      <c r="T459" s="19" t="n">
        <f aca="false">B438/B208-1</f>
        <v>0.169016436248919</v>
      </c>
      <c r="U459" s="19" t="n">
        <f aca="false">B459/MAX(B208:B459)-1</f>
        <v>-0.0736981007191017</v>
      </c>
      <c r="V459" s="17" t="n">
        <f aca="false">(B459-AVERAGE(B440:B459))/STDEV(B440:B459)</f>
        <v>-0.110307638594907</v>
      </c>
    </row>
    <row r="460" customFormat="false" ht="15" hidden="false" customHeight="false" outlineLevel="0" collapsed="false">
      <c r="A460" s="17" t="s">
        <v>1024</v>
      </c>
      <c r="B460" s="17" t="n">
        <v>6681.96</v>
      </c>
      <c r="C460" s="19" t="n">
        <f aca="false">B460/B459-1</f>
        <v>0.0115644827017201</v>
      </c>
      <c r="D460" s="17" t="n">
        <f aca="false">AVERAGE(B411:B460)</f>
        <v>6742.2128</v>
      </c>
      <c r="E460" s="17" t="n">
        <f aca="false">AVERAGE(B261:B460)</f>
        <v>6365.848</v>
      </c>
      <c r="F460" s="17" t="n">
        <f aca="false">B460*2/13+F459*11/13</f>
        <v>6639.82467992715</v>
      </c>
      <c r="G460" s="17" t="n">
        <f aca="false">B460*2/27+G459*25/27</f>
        <v>6656.75107176275</v>
      </c>
      <c r="H460" s="17" t="n">
        <f aca="false">F460-G460</f>
        <v>-16.9263918356028</v>
      </c>
      <c r="I460" s="17" t="n">
        <f aca="false">H460*2/10+I459*8/10</f>
        <v>-23.5002404090988</v>
      </c>
      <c r="J460" s="17" t="n">
        <f aca="false">H460-I460</f>
        <v>6.57384857349599</v>
      </c>
      <c r="K460" s="17" t="n">
        <f aca="false">MAX(B460-B459,0)</f>
        <v>76.3900000000003</v>
      </c>
      <c r="L460" s="17" t="n">
        <f aca="false">MAX(B459-B460,0)</f>
        <v>0</v>
      </c>
      <c r="M460" s="17" t="n">
        <f aca="false">(M459*13+K460)/14</f>
        <v>38.5159816619536</v>
      </c>
      <c r="N460" s="17" t="n">
        <f aca="false">(N459*13+L460)/14</f>
        <v>36.6951314507075</v>
      </c>
      <c r="O460" s="17" t="n">
        <f aca="false">IF(N460=0,100,100-100/(1+M460/N460))</f>
        <v>51.210492795472</v>
      </c>
      <c r="P460" s="17" t="n">
        <f aca="false">AVERAGE(B441:B460)+2*STDEV(B441:B460)</f>
        <v>6837.13581408851</v>
      </c>
      <c r="Q460" s="17" t="n">
        <f aca="false">AVERAGE(B441:B460)-2*STDEV(B441:B460)</f>
        <v>6420.57218591149</v>
      </c>
      <c r="R460" s="19" t="n">
        <f aca="false">B460/B440-1</f>
        <v>0.0345465045526823</v>
      </c>
      <c r="S460" s="17" t="n">
        <f aca="false">STDEV(C441:C460)*SQRT(252)*100</f>
        <v>21.2581226507699</v>
      </c>
      <c r="T460" s="19" t="n">
        <f aca="false">B439/B209-1</f>
        <v>0.132310548947834</v>
      </c>
      <c r="U460" s="19" t="n">
        <f aca="false">B460/MAX(B209:B460)-1</f>
        <v>-0.0629858984282974</v>
      </c>
      <c r="V460" s="17" t="n">
        <f aca="false">(B460-AVERAGE(B441:B460))/STDEV(B441:B460)</f>
        <v>0.50994370519006</v>
      </c>
    </row>
    <row r="461" customFormat="false" ht="15" hidden="false" customHeight="false" outlineLevel="0" collapsed="false">
      <c r="A461" s="17" t="s">
        <v>1025</v>
      </c>
      <c r="B461" s="17" t="n">
        <v>6644.48</v>
      </c>
      <c r="C461" s="19" t="n">
        <f aca="false">B461/B460-1</f>
        <v>-0.00560913264970164</v>
      </c>
      <c r="D461" s="17" t="n">
        <f aca="false">AVERAGE(B412:B461)</f>
        <v>6739.5086</v>
      </c>
      <c r="E461" s="17" t="n">
        <f aca="false">AVERAGE(B262:B461)</f>
        <v>6369.8717</v>
      </c>
      <c r="F461" s="17" t="n">
        <f aca="false">B461*2/13+F460*11/13</f>
        <v>6640.54088301528</v>
      </c>
      <c r="G461" s="17" t="n">
        <f aca="false">B461*2/27+G460*25/27</f>
        <v>6655.84210348403</v>
      </c>
      <c r="H461" s="17" t="n">
        <f aca="false">F461-G461</f>
        <v>-15.3012204687493</v>
      </c>
      <c r="I461" s="17" t="n">
        <f aca="false">H461*2/10+I460*8/10</f>
        <v>-21.8604364210289</v>
      </c>
      <c r="J461" s="17" t="n">
        <f aca="false">H461-I461</f>
        <v>6.55921595227957</v>
      </c>
      <c r="K461" s="17" t="n">
        <f aca="false">MAX(B461-B460,0)</f>
        <v>0</v>
      </c>
      <c r="L461" s="17" t="n">
        <f aca="false">MAX(B460-B461,0)</f>
        <v>37.4800000000005</v>
      </c>
      <c r="M461" s="17" t="n">
        <f aca="false">(M460*13+K461)/14</f>
        <v>35.7648401146712</v>
      </c>
      <c r="N461" s="17" t="n">
        <f aca="false">(N460*13+L461)/14</f>
        <v>36.7511934899427</v>
      </c>
      <c r="O461" s="17" t="n">
        <f aca="false">IF(N461=0,100,100-100/(1+M461/N461))</f>
        <v>49.3199066977039</v>
      </c>
      <c r="P461" s="17" t="n">
        <f aca="false">AVERAGE(B442:B461)+2*STDEV(B442:B461)</f>
        <v>6838.89375649784</v>
      </c>
      <c r="Q461" s="17" t="n">
        <f aca="false">AVERAGE(B442:B461)-2*STDEV(B442:B461)</f>
        <v>6427.25624350216</v>
      </c>
      <c r="R461" s="19" t="n">
        <f aca="false">B461/B441-1</f>
        <v>0.0128687847367248</v>
      </c>
      <c r="S461" s="17" t="n">
        <f aca="false">STDEV(C442:C461)*SQRT(252)*100</f>
        <v>20.7502419963293</v>
      </c>
      <c r="T461" s="19" t="n">
        <f aca="false">B440/B210-1</f>
        <v>0.148203784425687</v>
      </c>
      <c r="U461" s="19" t="n">
        <f aca="false">B461/MAX(B210:B461)-1</f>
        <v>-0.068241734818654</v>
      </c>
      <c r="V461" s="17" t="n">
        <f aca="false">(B461-AVERAGE(B442:B461))/STDEV(B442:B461)</f>
        <v>0.110825662287194</v>
      </c>
    </row>
    <row r="462" customFormat="false" ht="15" hidden="false" customHeight="false" outlineLevel="0" collapsed="false">
      <c r="A462" s="17" t="s">
        <v>1026</v>
      </c>
      <c r="B462" s="17" t="n">
        <v>6643.48</v>
      </c>
      <c r="C462" s="19" t="n">
        <f aca="false">B462/B461-1</f>
        <v>-0.000150500866884951</v>
      </c>
      <c r="D462" s="17" t="n">
        <f aca="false">AVERAGE(B413:B462)</f>
        <v>6737.193</v>
      </c>
      <c r="E462" s="17" t="n">
        <f aca="false">AVERAGE(B263:B462)</f>
        <v>6373.6886</v>
      </c>
      <c r="F462" s="17" t="n">
        <f aca="false">B462*2/13+F461*11/13</f>
        <v>6640.99305485908</v>
      </c>
      <c r="G462" s="17" t="n">
        <f aca="false">B462*2/27+G461*25/27</f>
        <v>6654.92639211484</v>
      </c>
      <c r="H462" s="17" t="n">
        <f aca="false">F462-G462</f>
        <v>-13.9333372557594</v>
      </c>
      <c r="I462" s="17" t="n">
        <f aca="false">H462*2/10+I461*8/10</f>
        <v>-20.275016587975</v>
      </c>
      <c r="J462" s="17" t="n">
        <f aca="false">H462-I462</f>
        <v>6.34167933221558</v>
      </c>
      <c r="K462" s="17" t="n">
        <f aca="false">MAX(B462-B461,0)</f>
        <v>0</v>
      </c>
      <c r="L462" s="17" t="n">
        <f aca="false">MAX(B461-B462,0)</f>
        <v>1</v>
      </c>
      <c r="M462" s="17" t="n">
        <f aca="false">(M461*13+K462)/14</f>
        <v>33.2102086779089</v>
      </c>
      <c r="N462" s="17" t="n">
        <f aca="false">(N461*13+L462)/14</f>
        <v>34.1975368120896</v>
      </c>
      <c r="O462" s="17" t="n">
        <f aca="false">IF(N462=0,100,100-100/(1+M462/N462))</f>
        <v>49.2676448922868</v>
      </c>
      <c r="P462" s="17" t="n">
        <f aca="false">AVERAGE(B443:B462)+2*STDEV(B443:B462)</f>
        <v>6840.57156945635</v>
      </c>
      <c r="Q462" s="17" t="n">
        <f aca="false">AVERAGE(B443:B462)-2*STDEV(B443:B462)</f>
        <v>6430.44243054366</v>
      </c>
      <c r="R462" s="19" t="n">
        <f aca="false">B462/B442-1</f>
        <v>0.00737546324095795</v>
      </c>
      <c r="S462" s="17" t="n">
        <f aca="false">STDEV(C443:C462)*SQRT(252)*100</f>
        <v>20.6807310457746</v>
      </c>
      <c r="T462" s="19" t="n">
        <f aca="false">B441/B211-1</f>
        <v>0.16595927711186</v>
      </c>
      <c r="U462" s="19" t="n">
        <f aca="false">B462/MAX(B211:B462)-1</f>
        <v>-0.0683819652452911</v>
      </c>
      <c r="V462" s="17" t="n">
        <f aca="false">(B462-AVERAGE(B443:B462))/STDEV(B443:B462)</f>
        <v>0.0777608732813925</v>
      </c>
    </row>
    <row r="463" customFormat="false" ht="15" hidden="false" customHeight="false" outlineLevel="0" collapsed="false">
      <c r="A463" s="17" t="s">
        <v>1027</v>
      </c>
      <c r="B463" s="17" t="n">
        <v>6769.12</v>
      </c>
      <c r="C463" s="19" t="n">
        <f aca="false">B463/B462-1</f>
        <v>0.0189117751539856</v>
      </c>
      <c r="D463" s="17" t="n">
        <f aca="false">AVERAGE(B414:B463)</f>
        <v>6737.3384</v>
      </c>
      <c r="E463" s="17" t="n">
        <f aca="false">AVERAGE(B264:B463)</f>
        <v>6377.9534</v>
      </c>
      <c r="F463" s="17" t="n">
        <f aca="false">B463*2/13+F462*11/13</f>
        <v>6660.70489257307</v>
      </c>
      <c r="G463" s="17" t="n">
        <f aca="false">B463*2/27+G462*25/27</f>
        <v>6663.38517788411</v>
      </c>
      <c r="H463" s="17" t="n">
        <f aca="false">F463-G463</f>
        <v>-2.68028531104392</v>
      </c>
      <c r="I463" s="17" t="n">
        <f aca="false">H463*2/10+I462*8/10</f>
        <v>-16.7560703325888</v>
      </c>
      <c r="J463" s="17" t="n">
        <f aca="false">H463-I463</f>
        <v>14.0757850215449</v>
      </c>
      <c r="K463" s="17" t="n">
        <f aca="false">MAX(B463-B462,0)</f>
        <v>125.64</v>
      </c>
      <c r="L463" s="17" t="n">
        <f aca="false">MAX(B462-B463,0)</f>
        <v>0</v>
      </c>
      <c r="M463" s="17" t="n">
        <f aca="false">(M462*13+K463)/14</f>
        <v>39.8123366294869</v>
      </c>
      <c r="N463" s="17" t="n">
        <f aca="false">(N462*13+L463)/14</f>
        <v>31.7548556112261</v>
      </c>
      <c r="O463" s="17" t="n">
        <f aca="false">IF(N463=0,100,100-100/(1+M463/N463))</f>
        <v>55.6293119556513</v>
      </c>
      <c r="P463" s="17" t="n">
        <f aca="false">AVERAGE(B444:B463)+2*STDEV(B444:B463)</f>
        <v>6842.05641264255</v>
      </c>
      <c r="Q463" s="17" t="n">
        <f aca="false">AVERAGE(B444:B463)-2*STDEV(B444:B463)</f>
        <v>6462.54858735745</v>
      </c>
      <c r="R463" s="19" t="n">
        <f aca="false">B463/B443-1</f>
        <v>0.0522149906500797</v>
      </c>
      <c r="S463" s="17" t="n">
        <f aca="false">STDEV(C444:C463)*SQRT(252)*100</f>
        <v>19.4370147824326</v>
      </c>
      <c r="T463" s="19" t="n">
        <f aca="false">B442/B212-1</f>
        <v>0.168036641286271</v>
      </c>
      <c r="U463" s="19" t="n">
        <f aca="false">B463/MAX(B212:B463)-1</f>
        <v>-0.0507634144426121</v>
      </c>
      <c r="V463" s="17" t="n">
        <f aca="false">(B463-AVERAGE(B444:B463))/STDEV(B444:B463)</f>
        <v>1.23125260895203</v>
      </c>
    </row>
    <row r="464" customFormat="false" ht="15" hidden="false" customHeight="false" outlineLevel="0" collapsed="false">
      <c r="A464" s="17" t="s">
        <v>1028</v>
      </c>
      <c r="B464" s="17" t="n">
        <v>6821.87</v>
      </c>
      <c r="C464" s="19" t="n">
        <f aca="false">B464/B463-1</f>
        <v>0.00779274115394624</v>
      </c>
      <c r="D464" s="17" t="n">
        <f aca="false">AVERAGE(B415:B464)</f>
        <v>6735.8438</v>
      </c>
      <c r="E464" s="17" t="n">
        <f aca="false">AVERAGE(B265:B464)</f>
        <v>6382.45665</v>
      </c>
      <c r="F464" s="17" t="n">
        <f aca="false">B464*2/13+F463*11/13</f>
        <v>6685.49952448491</v>
      </c>
      <c r="G464" s="17" t="n">
        <f aca="false">B464*2/27+G463*25/27</f>
        <v>6675.12479433714</v>
      </c>
      <c r="H464" s="17" t="n">
        <f aca="false">F464-G464</f>
        <v>10.3747301477633</v>
      </c>
      <c r="I464" s="17" t="n">
        <f aca="false">H464*2/10+I463*8/10</f>
        <v>-11.3299102365183</v>
      </c>
      <c r="J464" s="17" t="n">
        <f aca="false">H464-I464</f>
        <v>21.7046403842817</v>
      </c>
      <c r="K464" s="17" t="n">
        <f aca="false">MAX(B464-B463,0)</f>
        <v>52.75</v>
      </c>
      <c r="L464" s="17" t="n">
        <f aca="false">MAX(B463-B464,0)</f>
        <v>0</v>
      </c>
      <c r="M464" s="17" t="n">
        <f aca="false">(M463*13+K464)/14</f>
        <v>40.7364554416664</v>
      </c>
      <c r="N464" s="17" t="n">
        <f aca="false">(N463*13+L464)/14</f>
        <v>29.4866516389957</v>
      </c>
      <c r="O464" s="17" t="n">
        <f aca="false">IF(N464=0,100,100-100/(1+M464/N464))</f>
        <v>58.0100441794384</v>
      </c>
      <c r="P464" s="17" t="n">
        <f aca="false">AVERAGE(B445:B464)+2*STDEV(B445:B464)</f>
        <v>6854.04949601348</v>
      </c>
      <c r="Q464" s="17" t="n">
        <f aca="false">AVERAGE(B445:B464)-2*STDEV(B445:B464)</f>
        <v>6485.50850398652</v>
      </c>
      <c r="R464" s="19" t="n">
        <f aca="false">B464/B444-1</f>
        <v>0.0540036524657233</v>
      </c>
      <c r="S464" s="17" t="n">
        <f aca="false">STDEV(C445:C464)*SQRT(252)*100</f>
        <v>19.4868493785128</v>
      </c>
      <c r="T464" s="19" t="n">
        <f aca="false">B443/B213-1</f>
        <v>0.136796328725391</v>
      </c>
      <c r="U464" s="19" t="n">
        <f aca="false">B464/MAX(B213:B464)-1</f>
        <v>-0.0433662594375077</v>
      </c>
      <c r="V464" s="17" t="n">
        <f aca="false">(B464-AVERAGE(B445:B464))/STDEV(B445:B464)</f>
        <v>1.65073631742845</v>
      </c>
    </row>
    <row r="465" customFormat="false" ht="15" hidden="false" customHeight="false" outlineLevel="0" collapsed="false">
      <c r="A465" s="17" t="s">
        <v>1029</v>
      </c>
      <c r="B465" s="17" t="n">
        <v>6815.48</v>
      </c>
      <c r="C465" s="19" t="n">
        <f aca="false">B465/B464-1</f>
        <v>-0.000936693311364811</v>
      </c>
      <c r="D465" s="17" t="n">
        <f aca="false">AVERAGE(B416:B465)</f>
        <v>6732.3714</v>
      </c>
      <c r="E465" s="17" t="n">
        <f aca="false">AVERAGE(B266:B465)</f>
        <v>6386.9264</v>
      </c>
      <c r="F465" s="17" t="n">
        <f aca="false">B465*2/13+F464*11/13</f>
        <v>6705.496520718</v>
      </c>
      <c r="G465" s="17" t="n">
        <f aca="false">B465*2/27+G464*25/27</f>
        <v>6685.5214762381</v>
      </c>
      <c r="H465" s="17" t="n">
        <f aca="false">F465-G465</f>
        <v>19.9750444799029</v>
      </c>
      <c r="I465" s="17" t="n">
        <f aca="false">H465*2/10+I464*8/10</f>
        <v>-5.06891929323411</v>
      </c>
      <c r="J465" s="17" t="n">
        <f aca="false">H465-I465</f>
        <v>25.043963773137</v>
      </c>
      <c r="K465" s="17" t="n">
        <f aca="false">MAX(B465-B464,0)</f>
        <v>0</v>
      </c>
      <c r="L465" s="17" t="n">
        <f aca="false">MAX(B464-B465,0)</f>
        <v>6.39000000000033</v>
      </c>
      <c r="M465" s="17" t="n">
        <f aca="false">(M464*13+K465)/14</f>
        <v>37.8267086244045</v>
      </c>
      <c r="N465" s="17" t="n">
        <f aca="false">(N464*13+L465)/14</f>
        <v>27.8368908076388</v>
      </c>
      <c r="O465" s="17" t="n">
        <f aca="false">IF(N465=0,100,100-100/(1+M465/N465))</f>
        <v>57.6068155745135</v>
      </c>
      <c r="P465" s="17" t="n">
        <f aca="false">AVERAGE(B446:B465)+2*STDEV(B446:B465)</f>
        <v>6873.13373117664</v>
      </c>
      <c r="Q465" s="17" t="n">
        <f aca="false">AVERAGE(B446:B465)-2*STDEV(B446:B465)</f>
        <v>6486.38526882336</v>
      </c>
      <c r="R465" s="19" t="n">
        <f aca="false">B465/B445-1</f>
        <v>0.0301713909130621</v>
      </c>
      <c r="S465" s="17" t="n">
        <f aca="false">STDEV(C446:C465)*SQRT(252)*100</f>
        <v>18.1016195155056</v>
      </c>
      <c r="T465" s="19" t="n">
        <f aca="false">B444/B214-1</f>
        <v>0.139835620105278</v>
      </c>
      <c r="U465" s="19" t="n">
        <f aca="false">B465/MAX(B214:B465)-1</f>
        <v>-0.0442623318637185</v>
      </c>
      <c r="V465" s="17" t="n">
        <f aca="false">(B465-AVERAGE(B446:B465))/STDEV(B446:B465)</f>
        <v>1.40370823117607</v>
      </c>
    </row>
    <row r="466" customFormat="false" ht="15" hidden="false" customHeight="false" outlineLevel="0" collapsed="false">
      <c r="A466" s="17" t="s">
        <v>1030</v>
      </c>
      <c r="B466" s="17" t="n">
        <v>6893.21</v>
      </c>
      <c r="C466" s="19" t="n">
        <f aca="false">B466/B465-1</f>
        <v>0.0114049193893901</v>
      </c>
      <c r="D466" s="17" t="n">
        <f aca="false">AVERAGE(B417:B466)</f>
        <v>6732.2286</v>
      </c>
      <c r="E466" s="17" t="n">
        <f aca="false">AVERAGE(B267:B466)</f>
        <v>6391.6856</v>
      </c>
      <c r="F466" s="17" t="n">
        <f aca="false">B466*2/13+F465*11/13</f>
        <v>6734.37551753061</v>
      </c>
      <c r="G466" s="17" t="n">
        <f aca="false">B466*2/27+G465*25/27</f>
        <v>6700.90581133157</v>
      </c>
      <c r="H466" s="17" t="n">
        <f aca="false">F466-G466</f>
        <v>33.4697061990437</v>
      </c>
      <c r="I466" s="17" t="n">
        <f aca="false">H466*2/10+I465*8/10</f>
        <v>2.63880580522145</v>
      </c>
      <c r="J466" s="17" t="n">
        <f aca="false">H466-I466</f>
        <v>30.8309003938222</v>
      </c>
      <c r="K466" s="17" t="n">
        <f aca="false">MAX(B466-B465,0)</f>
        <v>77.7300000000005</v>
      </c>
      <c r="L466" s="17" t="n">
        <f aca="false">MAX(B465-B466,0)</f>
        <v>0</v>
      </c>
      <c r="M466" s="17" t="n">
        <f aca="false">(M465*13+K466)/14</f>
        <v>40.6769437226614</v>
      </c>
      <c r="N466" s="17" t="n">
        <f aca="false">(N465*13+L466)/14</f>
        <v>25.8485414642361</v>
      </c>
      <c r="O466" s="17" t="n">
        <f aca="false">IF(N466=0,100,100-100/(1+M466/N466))</f>
        <v>61.1449035033463</v>
      </c>
      <c r="P466" s="17" t="n">
        <f aca="false">AVERAGE(B447:B466)+2*STDEV(B447:B466)</f>
        <v>6905.06263765103</v>
      </c>
      <c r="Q466" s="17" t="n">
        <f aca="false">AVERAGE(B447:B466)-2*STDEV(B447:B466)</f>
        <v>6485.43336234897</v>
      </c>
      <c r="R466" s="19" t="n">
        <f aca="false">B466/B446-1</f>
        <v>0.0470529085098368</v>
      </c>
      <c r="S466" s="17" t="n">
        <f aca="false">STDEV(C447:C466)*SQRT(252)*100</f>
        <v>18.2556760467053</v>
      </c>
      <c r="T466" s="19" t="n">
        <f aca="false">B445/B215-1</f>
        <v>0.16442143872939</v>
      </c>
      <c r="U466" s="19" t="n">
        <f aca="false">B466/MAX(B215:B466)-1</f>
        <v>-0.0333622208012205</v>
      </c>
      <c r="V466" s="17" t="n">
        <f aca="false">(B466-AVERAGE(B447:B466))/STDEV(B447:B466)</f>
        <v>1.88701800995658</v>
      </c>
    </row>
    <row r="467" customFormat="false" ht="15" hidden="false" customHeight="false" outlineLevel="0" collapsed="false">
      <c r="A467" s="17" t="s">
        <v>1031</v>
      </c>
      <c r="B467" s="17" t="n">
        <v>6963.55</v>
      </c>
      <c r="C467" s="19" t="n">
        <f aca="false">B467/B466-1</f>
        <v>0.0102042444666564</v>
      </c>
      <c r="D467" s="17" t="n">
        <f aca="false">AVERAGE(B418:B467)</f>
        <v>6734.4112</v>
      </c>
      <c r="E467" s="17" t="n">
        <f aca="false">AVERAGE(B268:B467)</f>
        <v>6396.8501</v>
      </c>
      <c r="F467" s="17" t="n">
        <f aca="false">B467*2/13+F466*11/13</f>
        <v>6769.63313021821</v>
      </c>
      <c r="G467" s="17" t="n">
        <f aca="false">B467*2/27+G466*25/27</f>
        <v>6720.36093641812</v>
      </c>
      <c r="H467" s="17" t="n">
        <f aca="false">F467-G467</f>
        <v>49.2721938000905</v>
      </c>
      <c r="I467" s="17" t="n">
        <f aca="false">H467*2/10+I466*8/10</f>
        <v>11.9654834041953</v>
      </c>
      <c r="J467" s="17" t="n">
        <f aca="false">H467-I467</f>
        <v>37.3067103958952</v>
      </c>
      <c r="K467" s="17" t="n">
        <f aca="false">MAX(B467-B466,0)</f>
        <v>70.3400000000002</v>
      </c>
      <c r="L467" s="17" t="n">
        <f aca="false">MAX(B466-B467,0)</f>
        <v>0</v>
      </c>
      <c r="M467" s="17" t="n">
        <f aca="false">(M466*13+K467)/14</f>
        <v>42.795733456757</v>
      </c>
      <c r="N467" s="17" t="n">
        <f aca="false">(N466*13+L467)/14</f>
        <v>24.0022170739335</v>
      </c>
      <c r="O467" s="17" t="n">
        <f aca="false">IF(N467=0,100,100-100/(1+M467/N467))</f>
        <v>64.0674348790004</v>
      </c>
      <c r="P467" s="17" t="n">
        <f aca="false">AVERAGE(B448:B467)+2*STDEV(B448:B467)</f>
        <v>6951.1600802261</v>
      </c>
      <c r="Q467" s="17" t="n">
        <f aca="false">AVERAGE(B448:B467)-2*STDEV(B448:B467)</f>
        <v>6470.0649197739</v>
      </c>
      <c r="R467" s="19" t="n">
        <f aca="false">B467/B447-1</f>
        <v>0.0461655644461003</v>
      </c>
      <c r="S467" s="17" t="n">
        <f aca="false">STDEV(C448:C467)*SQRT(252)*100</f>
        <v>18.2039979347821</v>
      </c>
      <c r="T467" s="19" t="n">
        <f aca="false">B446/B216-1</f>
        <v>0.160237001737684</v>
      </c>
      <c r="U467" s="19" t="n">
        <f aca="false">B467/MAX(B216:B467)-1</f>
        <v>-0.0234984125915705</v>
      </c>
      <c r="V467" s="17" t="n">
        <f aca="false">(B467-AVERAGE(B448:B467))/STDEV(B448:B467)</f>
        <v>2.10301429565207</v>
      </c>
    </row>
    <row r="468" customFormat="false" ht="15" hidden="false" customHeight="false" outlineLevel="0" collapsed="false">
      <c r="A468" s="17" t="s">
        <v>1032</v>
      </c>
      <c r="B468" s="17" t="n">
        <v>6952.56</v>
      </c>
      <c r="C468" s="19" t="n">
        <f aca="false">B468/B467-1</f>
        <v>-0.00157821800662017</v>
      </c>
      <c r="D468" s="17" t="n">
        <f aca="false">AVERAGE(B419:B468)</f>
        <v>6738.4516</v>
      </c>
      <c r="E468" s="17" t="n">
        <f aca="false">AVERAGE(B269:B468)</f>
        <v>6401.85925</v>
      </c>
      <c r="F468" s="17" t="n">
        <f aca="false">B468*2/13+F467*11/13</f>
        <v>6797.77572556926</v>
      </c>
      <c r="G468" s="17" t="n">
        <f aca="false">B468*2/27+G467*25/27</f>
        <v>6737.56086705382</v>
      </c>
      <c r="H468" s="17" t="n">
        <f aca="false">F468-G468</f>
        <v>60.2148585154409</v>
      </c>
      <c r="I468" s="17" t="n">
        <f aca="false">H468*2/10+I467*8/10</f>
        <v>21.6153584264444</v>
      </c>
      <c r="J468" s="17" t="n">
        <f aca="false">H468-I468</f>
        <v>38.5995000889966</v>
      </c>
      <c r="K468" s="17" t="n">
        <f aca="false">MAX(B468-B467,0)</f>
        <v>0</v>
      </c>
      <c r="L468" s="17" t="n">
        <f aca="false">MAX(B467-B468,0)</f>
        <v>10.9899999999998</v>
      </c>
      <c r="M468" s="17" t="n">
        <f aca="false">(M467*13+K468)/14</f>
        <v>39.738895352703</v>
      </c>
      <c r="N468" s="17" t="n">
        <f aca="false">(N467*13+L468)/14</f>
        <v>23.0727729972239</v>
      </c>
      <c r="O468" s="17" t="n">
        <f aca="false">IF(N468=0,100,100-100/(1+M468/N468))</f>
        <v>63.2667407133904</v>
      </c>
      <c r="P468" s="17" t="n">
        <f aca="false">AVERAGE(B449:B468)+2*STDEV(B449:B468)</f>
        <v>6986.93028181936</v>
      </c>
      <c r="Q468" s="17" t="n">
        <f aca="false">AVERAGE(B449:B468)-2*STDEV(B449:B468)</f>
        <v>6466.71671818065</v>
      </c>
      <c r="R468" s="19" t="n">
        <f aca="false">B468/B448-1</f>
        <v>0.0489142077805302</v>
      </c>
      <c r="S468" s="17" t="n">
        <f aca="false">STDEV(C449:C468)*SQRT(252)*100</f>
        <v>18.1031986127496</v>
      </c>
      <c r="T468" s="19" t="n">
        <f aca="false">B447/B217-1</f>
        <v>0.170473428864337</v>
      </c>
      <c r="U468" s="19" t="n">
        <f aca="false">B468/MAX(B217:B468)-1</f>
        <v>-0.0250395449803116</v>
      </c>
      <c r="V468" s="17" t="n">
        <f aca="false">(B468-AVERAGE(B449:B468))/STDEV(B449:B468)</f>
        <v>1.73572175566553</v>
      </c>
    </row>
    <row r="469" customFormat="false" ht="15" hidden="false" customHeight="false" outlineLevel="0" collapsed="false">
      <c r="A469" s="17" t="s">
        <v>1033</v>
      </c>
      <c r="B469" s="17" t="n">
        <v>6964.37</v>
      </c>
      <c r="C469" s="19" t="n">
        <f aca="false">B469/B468-1</f>
        <v>0.00169865488395637</v>
      </c>
      <c r="D469" s="17" t="n">
        <f aca="false">AVERAGE(B420:B469)</f>
        <v>6741.5182</v>
      </c>
      <c r="E469" s="17" t="n">
        <f aca="false">AVERAGE(B270:B469)</f>
        <v>6407.09595</v>
      </c>
      <c r="F469" s="17" t="n">
        <f aca="false">B469*2/13+F468*11/13</f>
        <v>6823.40561394322</v>
      </c>
      <c r="G469" s="17" t="n">
        <f aca="false">B469*2/27+G468*25/27</f>
        <v>6754.36154356835</v>
      </c>
      <c r="H469" s="17" t="n">
        <f aca="false">F469-G469</f>
        <v>69.04407037487</v>
      </c>
      <c r="I469" s="17" t="n">
        <f aca="false">H469*2/10+I468*8/10</f>
        <v>31.1011008161295</v>
      </c>
      <c r="J469" s="17" t="n">
        <f aca="false">H469-I469</f>
        <v>37.9429695587405</v>
      </c>
      <c r="K469" s="17" t="n">
        <f aca="false">MAX(B469-B468,0)</f>
        <v>11.8099999999995</v>
      </c>
      <c r="L469" s="17" t="n">
        <f aca="false">MAX(B468-B469,0)</f>
        <v>0</v>
      </c>
      <c r="M469" s="17" t="n">
        <f aca="false">(M468*13+K469)/14</f>
        <v>37.7439742560813</v>
      </c>
      <c r="N469" s="17" t="n">
        <f aca="false">(N468*13+L469)/14</f>
        <v>21.4247177831365</v>
      </c>
      <c r="O469" s="17" t="n">
        <f aca="false">IF(N469=0,100,100-100/(1+M469/N469))</f>
        <v>63.7904488932493</v>
      </c>
      <c r="P469" s="17" t="n">
        <f aca="false">AVERAGE(B450:B469)+2*STDEV(B450:B469)</f>
        <v>7020.73492638825</v>
      </c>
      <c r="Q469" s="17" t="n">
        <f aca="false">AVERAGE(B450:B469)-2*STDEV(B450:B469)</f>
        <v>6461.83107361175</v>
      </c>
      <c r="R469" s="19" t="n">
        <f aca="false">B469/B449-1</f>
        <v>0.04332317630386</v>
      </c>
      <c r="S469" s="17" t="n">
        <f aca="false">STDEV(C450:C469)*SQRT(252)*100</f>
        <v>18.0218217606943</v>
      </c>
      <c r="T469" s="19" t="n">
        <f aca="false">B448/B218-1</f>
        <v>0.161953412055087</v>
      </c>
      <c r="U469" s="19" t="n">
        <f aca="false">B469/MAX(B218:B469)-1</f>
        <v>-0.0233834236417281</v>
      </c>
      <c r="V469" s="17" t="n">
        <f aca="false">(B469-AVERAGE(B450:B469))/STDEV(B450:B469)</f>
        <v>1.59660377284397</v>
      </c>
    </row>
    <row r="470" customFormat="false" ht="15" hidden="false" customHeight="false" outlineLevel="0" collapsed="false">
      <c r="A470" s="17" t="s">
        <v>1034</v>
      </c>
      <c r="B470" s="17" t="n">
        <v>6888.54</v>
      </c>
      <c r="C470" s="19" t="n">
        <f aca="false">B470/B469-1</f>
        <v>-0.0108882784803219</v>
      </c>
      <c r="D470" s="17" t="n">
        <f aca="false">AVERAGE(B421:B470)</f>
        <v>6741.6634</v>
      </c>
      <c r="E470" s="17" t="n">
        <f aca="false">AVERAGE(B271:B470)</f>
        <v>6411.99405</v>
      </c>
      <c r="F470" s="17" t="n">
        <f aca="false">B470*2/13+F469*11/13</f>
        <v>6833.42628872118</v>
      </c>
      <c r="G470" s="17" t="n">
        <f aca="false">B470*2/27+G469*25/27</f>
        <v>6764.30068848921</v>
      </c>
      <c r="H470" s="17" t="n">
        <f aca="false">F470-G470</f>
        <v>69.1256002319733</v>
      </c>
      <c r="I470" s="17" t="n">
        <f aca="false">H470*2/10+I469*8/10</f>
        <v>38.7060006992983</v>
      </c>
      <c r="J470" s="17" t="n">
        <f aca="false">H470-I470</f>
        <v>30.419599532675</v>
      </c>
      <c r="K470" s="17" t="n">
        <f aca="false">MAX(B470-B469,0)</f>
        <v>0</v>
      </c>
      <c r="L470" s="17" t="n">
        <f aca="false">MAX(B469-B470,0)</f>
        <v>75.8299999999999</v>
      </c>
      <c r="M470" s="17" t="n">
        <f aca="false">(M469*13+K470)/14</f>
        <v>35.0479760949326</v>
      </c>
      <c r="N470" s="17" t="n">
        <f aca="false">(N469*13+L470)/14</f>
        <v>25.3108093700553</v>
      </c>
      <c r="O470" s="17" t="n">
        <f aca="false">IF(N470=0,100,100-100/(1+M470/N470))</f>
        <v>58.0660724448519</v>
      </c>
      <c r="P470" s="17" t="n">
        <f aca="false">AVERAGE(B451:B470)+2*STDEV(B451:B470)</f>
        <v>7030.22775299765</v>
      </c>
      <c r="Q470" s="17" t="n">
        <f aca="false">AVERAGE(B451:B470)-2*STDEV(B451:B470)</f>
        <v>6459.55524700235</v>
      </c>
      <c r="R470" s="19" t="n">
        <f aca="false">B470/B450-1</f>
        <v>0.0105877468505964</v>
      </c>
      <c r="S470" s="17" t="n">
        <f aca="false">STDEV(C451:C470)*SQRT(252)*100</f>
        <v>17.1150822483359</v>
      </c>
      <c r="T470" s="19" t="n">
        <f aca="false">B449/B219-1</f>
        <v>0.166084368077926</v>
      </c>
      <c r="U470" s="19" t="n">
        <f aca="false">B470/MAX(B219:B470)-1</f>
        <v>-0.0340170968936155</v>
      </c>
      <c r="V470" s="17" t="n">
        <f aca="false">(B470-AVERAGE(B451:B470))/STDEV(B451:B470)</f>
        <v>1.00687170656289</v>
      </c>
    </row>
    <row r="471" customFormat="false" ht="15" hidden="false" customHeight="false" outlineLevel="0" collapsed="false">
      <c r="A471" s="17" t="s">
        <v>1035</v>
      </c>
      <c r="B471" s="17" t="n">
        <v>6929.97</v>
      </c>
      <c r="C471" s="19" t="n">
        <f aca="false">B471/B470-1</f>
        <v>0.00601433685512465</v>
      </c>
      <c r="D471" s="17" t="n">
        <f aca="false">AVERAGE(B422:B471)</f>
        <v>6742.0024</v>
      </c>
      <c r="E471" s="17" t="n">
        <f aca="false">AVERAGE(B272:B471)</f>
        <v>6417.24225</v>
      </c>
      <c r="F471" s="17" t="n">
        <f aca="false">B471*2/13+F470*11/13</f>
        <v>6848.27916737946</v>
      </c>
      <c r="G471" s="17" t="n">
        <f aca="false">B471*2/27+G470*25/27</f>
        <v>6776.57248934186</v>
      </c>
      <c r="H471" s="17" t="n">
        <f aca="false">F471-G471</f>
        <v>71.7066780376008</v>
      </c>
      <c r="I471" s="17" t="n">
        <f aca="false">H471*2/10+I470*8/10</f>
        <v>45.3061361669588</v>
      </c>
      <c r="J471" s="17" t="n">
        <f aca="false">H471-I471</f>
        <v>26.400541870642</v>
      </c>
      <c r="K471" s="17" t="n">
        <f aca="false">MAX(B471-B470,0)</f>
        <v>41.4300000000003</v>
      </c>
      <c r="L471" s="17" t="n">
        <f aca="false">MAX(B470-B471,0)</f>
        <v>0</v>
      </c>
      <c r="M471" s="17" t="n">
        <f aca="false">(M470*13+K471)/14</f>
        <v>35.5038349452946</v>
      </c>
      <c r="N471" s="17" t="n">
        <f aca="false">(N470*13+L471)/14</f>
        <v>23.5028944150514</v>
      </c>
      <c r="O471" s="17" t="n">
        <f aca="false">IF(N471=0,100,100-100/(1+M471/N471))</f>
        <v>60.1691287250943</v>
      </c>
      <c r="P471" s="17" t="n">
        <f aca="false">AVERAGE(B452:B471)+2*STDEV(B452:B471)</f>
        <v>7044.49629842136</v>
      </c>
      <c r="Q471" s="17" t="n">
        <f aca="false">AVERAGE(B452:B471)-2*STDEV(B452:B471)</f>
        <v>6454.96270157864</v>
      </c>
      <c r="R471" s="19" t="n">
        <f aca="false">B471/B451-1</f>
        <v>0.0141602555753446</v>
      </c>
      <c r="S471" s="17" t="n">
        <f aca="false">STDEV(C452:C471)*SQRT(252)*100</f>
        <v>17.2128961806205</v>
      </c>
      <c r="T471" s="19" t="n">
        <f aca="false">B450/B220-1</f>
        <v>0.221451290643395</v>
      </c>
      <c r="U471" s="19" t="n">
        <f aca="false">B471/MAX(B220:B471)-1</f>
        <v>-0.0282073503180426</v>
      </c>
      <c r="V471" s="17" t="n">
        <f aca="false">(B471-AVERAGE(B452:B471))/STDEV(B452:B471)</f>
        <v>1.22293623953097</v>
      </c>
    </row>
    <row r="472" customFormat="false" ht="15" hidden="false" customHeight="false" outlineLevel="0" collapsed="false">
      <c r="A472" s="17" t="s">
        <v>1036</v>
      </c>
      <c r="B472" s="17" t="n">
        <v>6901.63</v>
      </c>
      <c r="C472" s="19" t="n">
        <f aca="false">B472/B471-1</f>
        <v>-0.00408948379285912</v>
      </c>
      <c r="D472" s="17" t="n">
        <f aca="false">AVERAGE(B423:B472)</f>
        <v>6741.4472</v>
      </c>
      <c r="E472" s="17" t="n">
        <f aca="false">AVERAGE(B273:B472)</f>
        <v>6422.27455</v>
      </c>
      <c r="F472" s="17" t="n">
        <f aca="false">B472*2/13+F471*11/13</f>
        <v>6856.48698778262</v>
      </c>
      <c r="G472" s="17" t="n">
        <f aca="false">B472*2/27+G471*25/27</f>
        <v>6785.83600864987</v>
      </c>
      <c r="H472" s="17" t="n">
        <f aca="false">F472-G472</f>
        <v>70.6509791327517</v>
      </c>
      <c r="I472" s="17" t="n">
        <f aca="false">H472*2/10+I471*8/10</f>
        <v>50.3751047601174</v>
      </c>
      <c r="J472" s="17" t="n">
        <f aca="false">H472-I472</f>
        <v>20.2758743726343</v>
      </c>
      <c r="K472" s="17" t="n">
        <f aca="false">MAX(B472-B471,0)</f>
        <v>0</v>
      </c>
      <c r="L472" s="17" t="n">
        <f aca="false">MAX(B471-B472,0)</f>
        <v>28.3400000000001</v>
      </c>
      <c r="M472" s="17" t="n">
        <f aca="false">(M471*13+K472)/14</f>
        <v>32.9678467349164</v>
      </c>
      <c r="N472" s="17" t="n">
        <f aca="false">(N471*13+L472)/14</f>
        <v>23.8484019568334</v>
      </c>
      <c r="O472" s="17" t="n">
        <f aca="false">IF(N472=0,100,100-100/(1+M472/N472))</f>
        <v>58.0253844525705</v>
      </c>
      <c r="P472" s="17" t="n">
        <f aca="false">AVERAGE(B453:B472)+2*STDEV(B453:B472)</f>
        <v>7058.46150854102</v>
      </c>
      <c r="Q472" s="17" t="n">
        <f aca="false">AVERAGE(B453:B472)-2*STDEV(B453:B472)</f>
        <v>6453.67149145897</v>
      </c>
      <c r="R472" s="19" t="n">
        <f aca="false">B472/B452-1</f>
        <v>0.0187073148051111</v>
      </c>
      <c r="S472" s="17" t="n">
        <f aca="false">STDEV(C453:C472)*SQRT(252)*100</f>
        <v>16.965096813912</v>
      </c>
      <c r="T472" s="19" t="n">
        <f aca="false">B451/B221-1</f>
        <v>0.214510042994432</v>
      </c>
      <c r="U472" s="19" t="n">
        <f aca="false">B472/MAX(B221:B472)-1</f>
        <v>-0.0321814806089366</v>
      </c>
      <c r="V472" s="17" t="n">
        <f aca="false">(B472-AVERAGE(B453:B472))/STDEV(B453:B472)</f>
        <v>0.962737451932862</v>
      </c>
    </row>
    <row r="473" customFormat="false" ht="15" hidden="false" customHeight="false" outlineLevel="0" collapsed="false">
      <c r="A473" s="17" t="s">
        <v>1037</v>
      </c>
      <c r="B473" s="17" t="n">
        <v>6866.25</v>
      </c>
      <c r="C473" s="19" t="n">
        <f aca="false">B473/B472-1</f>
        <v>-0.00512632523041656</v>
      </c>
      <c r="D473" s="17" t="n">
        <f aca="false">AVERAGE(B424:B473)</f>
        <v>6739.4436</v>
      </c>
      <c r="E473" s="17" t="n">
        <f aca="false">AVERAGE(B274:B473)</f>
        <v>6427.03465</v>
      </c>
      <c r="F473" s="17" t="n">
        <f aca="false">B473*2/13+F472*11/13</f>
        <v>6857.98898966222</v>
      </c>
      <c r="G473" s="17" t="n">
        <f aca="false">B473*2/27+G472*25/27</f>
        <v>6791.79260060173</v>
      </c>
      <c r="H473" s="17" t="n">
        <f aca="false">F473-G473</f>
        <v>66.1963890604866</v>
      </c>
      <c r="I473" s="17" t="n">
        <f aca="false">H473*2/10+I472*8/10</f>
        <v>53.5393616201912</v>
      </c>
      <c r="J473" s="17" t="n">
        <f aca="false">H473-I473</f>
        <v>12.6570274402954</v>
      </c>
      <c r="K473" s="17" t="n">
        <f aca="false">MAX(B473-B472,0)</f>
        <v>0</v>
      </c>
      <c r="L473" s="17" t="n">
        <f aca="false">MAX(B472-B473,0)</f>
        <v>35.3800000000001</v>
      </c>
      <c r="M473" s="17" t="n">
        <f aca="false">(M472*13+K473)/14</f>
        <v>30.6130005395652</v>
      </c>
      <c r="N473" s="17" t="n">
        <f aca="false">(N472*13+L473)/14</f>
        <v>24.6720875313453</v>
      </c>
      <c r="O473" s="17" t="n">
        <f aca="false">IF(N473=0,100,100-100/(1+M473/N473))</f>
        <v>55.3729796003941</v>
      </c>
      <c r="P473" s="17" t="n">
        <f aca="false">AVERAGE(B454:B473)+2*STDEV(B454:B473)</f>
        <v>7069.21054802513</v>
      </c>
      <c r="Q473" s="17" t="n">
        <f aca="false">AVERAGE(B454:B473)-2*STDEV(B454:B473)</f>
        <v>6462.77245197487</v>
      </c>
      <c r="R473" s="19" t="n">
        <f aca="false">B473/B453-1</f>
        <v>0.0297701623486184</v>
      </c>
      <c r="S473" s="17" t="n">
        <f aca="false">STDEV(C454:C473)*SQRT(252)*100</f>
        <v>15.9558793285099</v>
      </c>
      <c r="T473" s="19" t="n">
        <f aca="false">B452/B222-1</f>
        <v>0.19876458889227</v>
      </c>
      <c r="U473" s="19" t="n">
        <f aca="false">B473/MAX(B222:B473)-1</f>
        <v>-0.0371428331033554</v>
      </c>
      <c r="V473" s="17" t="n">
        <f aca="false">(B473-AVERAGE(B454:B473))/STDEV(B454:B473)</f>
        <v>0.661294207293291</v>
      </c>
    </row>
    <row r="474" customFormat="false" ht="15" hidden="false" customHeight="false" outlineLevel="0" collapsed="false">
      <c r="A474" s="17" t="s">
        <v>1038</v>
      </c>
      <c r="B474" s="17" t="n">
        <v>6905.53</v>
      </c>
      <c r="C474" s="19" t="n">
        <f aca="false">B474/B473-1</f>
        <v>0.00572073548152186</v>
      </c>
      <c r="D474" s="17" t="n">
        <f aca="false">AVERAGE(B425:B474)</f>
        <v>6735.5306</v>
      </c>
      <c r="E474" s="17" t="n">
        <f aca="false">AVERAGE(B275:B474)</f>
        <v>6432.1063</v>
      </c>
      <c r="F474" s="17" t="n">
        <f aca="false">B474*2/13+F473*11/13</f>
        <v>6865.30299125265</v>
      </c>
      <c r="G474" s="17" t="n">
        <f aca="false">B474*2/27+G473*25/27</f>
        <v>6800.21759314975</v>
      </c>
      <c r="H474" s="17" t="n">
        <f aca="false">F474-G474</f>
        <v>65.0853981028931</v>
      </c>
      <c r="I474" s="17" t="n">
        <f aca="false">H474*2/10+I473*8/10</f>
        <v>55.8485689167316</v>
      </c>
      <c r="J474" s="17" t="n">
        <f aca="false">H474-I474</f>
        <v>9.23682918616154</v>
      </c>
      <c r="K474" s="17" t="n">
        <f aca="false">MAX(B474-B473,0)</f>
        <v>39.2799999999997</v>
      </c>
      <c r="L474" s="17" t="n">
        <f aca="false">MAX(B473-B474,0)</f>
        <v>0</v>
      </c>
      <c r="M474" s="17" t="n">
        <f aca="false">(M473*13+K474)/14</f>
        <v>31.2320719295963</v>
      </c>
      <c r="N474" s="17" t="n">
        <f aca="false">(N473*13+L474)/14</f>
        <v>22.9097955648207</v>
      </c>
      <c r="O474" s="17" t="n">
        <f aca="false">IF(N474=0,100,100-100/(1+M474/N474))</f>
        <v>57.6856199738897</v>
      </c>
      <c r="P474" s="17" t="n">
        <f aca="false">AVERAGE(B455:B474)+2*STDEV(B455:B474)</f>
        <v>7082.89348405514</v>
      </c>
      <c r="Q474" s="17" t="n">
        <f aca="false">AVERAGE(B455:B474)-2*STDEV(B455:B474)</f>
        <v>6474.76251594486</v>
      </c>
      <c r="R474" s="19" t="n">
        <f aca="false">B474/B454-1</f>
        <v>0.0386129827938875</v>
      </c>
      <c r="S474" s="17" t="n">
        <f aca="false">STDEV(C455:C474)*SQRT(252)*100</f>
        <v>15.9351893889524</v>
      </c>
      <c r="T474" s="19" t="n">
        <f aca="false">B453/B223-1</f>
        <v>0.169903849528021</v>
      </c>
      <c r="U474" s="19" t="n">
        <f aca="false">B474/MAX(B223:B474)-1</f>
        <v>-0.0316345819450521</v>
      </c>
      <c r="V474" s="17" t="n">
        <f aca="false">(B474-AVERAGE(B455:B474))/STDEV(B455:B474)</f>
        <v>0.833386271340323</v>
      </c>
    </row>
    <row r="475" customFormat="false" ht="15" hidden="false" customHeight="false" outlineLevel="0" collapsed="false">
      <c r="A475" s="17" t="s">
        <v>1039</v>
      </c>
      <c r="B475" s="17" t="n">
        <v>6893.62</v>
      </c>
      <c r="C475" s="19" t="n">
        <f aca="false">B475/B474-1</f>
        <v>-0.00172470469319519</v>
      </c>
      <c r="D475" s="17" t="n">
        <f aca="false">AVERAGE(B426:B475)</f>
        <v>6730.7806</v>
      </c>
      <c r="E475" s="17" t="n">
        <f aca="false">AVERAGE(B276:B475)</f>
        <v>6437.07485</v>
      </c>
      <c r="F475" s="17" t="n">
        <f aca="false">B475*2/13+F474*11/13</f>
        <v>6869.65945413686</v>
      </c>
      <c r="G475" s="17" t="n">
        <f aca="false">B475*2/27+G474*25/27</f>
        <v>6807.13628995348</v>
      </c>
      <c r="H475" s="17" t="n">
        <f aca="false">F475-G475</f>
        <v>62.5231641833798</v>
      </c>
      <c r="I475" s="17" t="n">
        <f aca="false">H475*2/10+I474*8/10</f>
        <v>57.1834879700612</v>
      </c>
      <c r="J475" s="17" t="n">
        <f aca="false">H475-I475</f>
        <v>5.33967621331856</v>
      </c>
      <c r="K475" s="17" t="n">
        <f aca="false">MAX(B475-B474,0)</f>
        <v>0</v>
      </c>
      <c r="L475" s="17" t="n">
        <f aca="false">MAX(B474-B475,0)</f>
        <v>11.9099999999999</v>
      </c>
      <c r="M475" s="17" t="n">
        <f aca="false">(M474*13+K475)/14</f>
        <v>29.0012096489108</v>
      </c>
      <c r="N475" s="17" t="n">
        <f aca="false">(N474*13+L475)/14</f>
        <v>22.1240958816192</v>
      </c>
      <c r="O475" s="17" t="n">
        <f aca="false">IF(N475=0,100,100-100/(1+M475/N475))</f>
        <v>56.7257434414596</v>
      </c>
      <c r="P475" s="17" t="n">
        <f aca="false">AVERAGE(B456:B475)+2*STDEV(B456:B475)</f>
        <v>7077.96906832503</v>
      </c>
      <c r="Q475" s="17" t="n">
        <f aca="false">AVERAGE(B456:B475)-2*STDEV(B456:B475)</f>
        <v>6518.14393167497</v>
      </c>
      <c r="R475" s="19" t="n">
        <f aca="false">B475/B455-1</f>
        <v>0.0590823545678709</v>
      </c>
      <c r="S475" s="17" t="n">
        <f aca="false">STDEV(C456:C475)*SQRT(252)*100</f>
        <v>13.5392630623361</v>
      </c>
      <c r="T475" s="19" t="n">
        <f aca="false">B454/B224-1</f>
        <v>0.165770994240227</v>
      </c>
      <c r="U475" s="19" t="n">
        <f aca="false">B475/MAX(B224:B475)-1</f>
        <v>-0.0333047263262993</v>
      </c>
      <c r="V475" s="17" t="n">
        <f aca="false">(B475-AVERAGE(B456:B475))/STDEV(B456:B475)</f>
        <v>0.682809639966089</v>
      </c>
    </row>
    <row r="476" customFormat="false" ht="15" hidden="false" customHeight="false" outlineLevel="0" collapsed="false">
      <c r="A476" s="17" t="s">
        <v>1040</v>
      </c>
      <c r="B476" s="17" t="n">
        <v>6953.63</v>
      </c>
      <c r="C476" s="19" t="n">
        <f aca="false">B476/B475-1</f>
        <v>0.00870515055950283</v>
      </c>
      <c r="D476" s="17" t="n">
        <f aca="false">AVERAGE(B427:B476)</f>
        <v>6728.923</v>
      </c>
      <c r="E476" s="17" t="n">
        <f aca="false">AVERAGE(B277:B476)</f>
        <v>6442.16935</v>
      </c>
      <c r="F476" s="17" t="n">
        <f aca="false">B476*2/13+F475*11/13</f>
        <v>6882.57799965426</v>
      </c>
      <c r="G476" s="17" t="n">
        <f aca="false">B476*2/27+G475*25/27</f>
        <v>6817.98767588285</v>
      </c>
      <c r="H476" s="17" t="n">
        <f aca="false">F476-G476</f>
        <v>64.5903237714147</v>
      </c>
      <c r="I476" s="17" t="n">
        <f aca="false">H476*2/10+I475*8/10</f>
        <v>58.6648551303319</v>
      </c>
      <c r="J476" s="17" t="n">
        <f aca="false">H476-I476</f>
        <v>5.92546864108275</v>
      </c>
      <c r="K476" s="17" t="n">
        <f aca="false">MAX(B476-B475,0)</f>
        <v>60.0100000000002</v>
      </c>
      <c r="L476" s="17" t="n">
        <f aca="false">MAX(B475-B476,0)</f>
        <v>0</v>
      </c>
      <c r="M476" s="17" t="n">
        <f aca="false">(M475*13+K476)/14</f>
        <v>31.2161232454172</v>
      </c>
      <c r="N476" s="17" t="n">
        <f aca="false">(N475*13+L476)/14</f>
        <v>20.5438033186464</v>
      </c>
      <c r="O476" s="17" t="n">
        <f aca="false">IF(N476=0,100,100-100/(1+M476/N476))</f>
        <v>60.3094426858987</v>
      </c>
      <c r="P476" s="17" t="n">
        <f aca="false">AVERAGE(B457:B476)+2*STDEV(B457:B476)</f>
        <v>7073.84657481331</v>
      </c>
      <c r="Q476" s="17" t="n">
        <f aca="false">AVERAGE(B457:B476)-2*STDEV(B457:B476)</f>
        <v>6566.23542518669</v>
      </c>
      <c r="R476" s="19" t="n">
        <f aca="false">B476/B456-1</f>
        <v>0.0674998541589269</v>
      </c>
      <c r="S476" s="17" t="n">
        <f aca="false">STDEV(C457:C476)*SQRT(252)*100</f>
        <v>13.6649625916574</v>
      </c>
      <c r="T476" s="19" t="n">
        <f aca="false">B455/B225-1</f>
        <v>0.135900389159381</v>
      </c>
      <c r="U476" s="19" t="n">
        <f aca="false">B476/MAX(B225:B476)-1</f>
        <v>-0.0248894984238099</v>
      </c>
      <c r="V476" s="17" t="n">
        <f aca="false">(B476-AVERAGE(B457:B476))/STDEV(B457:B476)</f>
        <v>1.05268767321807</v>
      </c>
    </row>
    <row r="477" customFormat="false" ht="15" hidden="false" customHeight="false" outlineLevel="0" collapsed="false">
      <c r="A477" s="17" t="s">
        <v>1041</v>
      </c>
      <c r="B477" s="17" t="n">
        <v>6949.7</v>
      </c>
      <c r="C477" s="19" t="n">
        <f aca="false">B477/B476-1</f>
        <v>-0.000565172435116668</v>
      </c>
      <c r="D477" s="17" t="n">
        <f aca="false">AVERAGE(B428:B477)</f>
        <v>6727.0974</v>
      </c>
      <c r="E477" s="17" t="n">
        <f aca="false">AVERAGE(B278:B477)</f>
        <v>6447.2861</v>
      </c>
      <c r="F477" s="17" t="n">
        <f aca="false">B477*2/13+F476*11/13</f>
        <v>6892.90446124592</v>
      </c>
      <c r="G477" s="17" t="n">
        <f aca="false">B477*2/27+G476*25/27</f>
        <v>6827.74414433597</v>
      </c>
      <c r="H477" s="17" t="n">
        <f aca="false">F477-G477</f>
        <v>65.1603169099444</v>
      </c>
      <c r="I477" s="17" t="n">
        <f aca="false">H477*2/10+I476*8/10</f>
        <v>59.9639474862544</v>
      </c>
      <c r="J477" s="17" t="n">
        <f aca="false">H477-I477</f>
        <v>5.19636942369</v>
      </c>
      <c r="K477" s="17" t="n">
        <f aca="false">MAX(B477-B476,0)</f>
        <v>0</v>
      </c>
      <c r="L477" s="17" t="n">
        <f aca="false">MAX(B476-B477,0)</f>
        <v>3.93000000000029</v>
      </c>
      <c r="M477" s="17" t="n">
        <f aca="false">(M476*13+K477)/14</f>
        <v>28.9864001564588</v>
      </c>
      <c r="N477" s="17" t="n">
        <f aca="false">(N476*13+L477)/14</f>
        <v>19.3571030816002</v>
      </c>
      <c r="O477" s="17" t="n">
        <f aca="false">IF(N477=0,100,100-100/(1+M477/N477))</f>
        <v>59.9592462584278</v>
      </c>
      <c r="P477" s="17" t="n">
        <f aca="false">AVERAGE(B458:B477)+2*STDEV(B458:B477)</f>
        <v>7081.81588387461</v>
      </c>
      <c r="Q477" s="17" t="n">
        <f aca="false">AVERAGE(B458:B477)-2*STDEV(B458:B477)</f>
        <v>6588.27111612539</v>
      </c>
      <c r="R477" s="19" t="n">
        <f aca="false">B477/B457-1</f>
        <v>0.0451226756295444</v>
      </c>
      <c r="S477" s="17" t="n">
        <f aca="false">STDEV(C458:C477)*SQRT(252)*100</f>
        <v>12.0389535832867</v>
      </c>
      <c r="T477" s="19" t="n">
        <f aca="false">B456/B226-1</f>
        <v>0.127297144350396</v>
      </c>
      <c r="U477" s="19" t="n">
        <f aca="false">B477/MAX(B226:B477)-1</f>
        <v>-0.0254406040004936</v>
      </c>
      <c r="V477" s="17" t="n">
        <f aca="false">(B477-AVERAGE(B458:B477))/STDEV(B458:B477)</f>
        <v>0.929249036701442</v>
      </c>
    </row>
    <row r="478" customFormat="false" ht="15" hidden="false" customHeight="false" outlineLevel="0" collapsed="false">
      <c r="A478" s="17" t="s">
        <v>1042</v>
      </c>
      <c r="B478" s="17" t="n">
        <v>6960.92</v>
      </c>
      <c r="C478" s="19" t="n">
        <f aca="false">B478/B477-1</f>
        <v>0.00161445817805084</v>
      </c>
      <c r="D478" s="17" t="n">
        <f aca="false">AVERAGE(B429:B478)</f>
        <v>6725.6964</v>
      </c>
      <c r="E478" s="17" t="n">
        <f aca="false">AVERAGE(B279:B478)</f>
        <v>6452.49375</v>
      </c>
      <c r="F478" s="17" t="n">
        <f aca="false">B478*2/13+F477*11/13</f>
        <v>6903.368390285</v>
      </c>
      <c r="G478" s="17" t="n">
        <f aca="false">B478*2/27+G477*25/27</f>
        <v>6837.60902253331</v>
      </c>
      <c r="H478" s="17" t="n">
        <f aca="false">F478-G478</f>
        <v>65.7593677516989</v>
      </c>
      <c r="I478" s="17" t="n">
        <f aca="false">H478*2/10+I477*8/10</f>
        <v>61.1230315393433</v>
      </c>
      <c r="J478" s="17" t="n">
        <f aca="false">H478-I478</f>
        <v>4.63633621235555</v>
      </c>
      <c r="K478" s="17" t="n">
        <f aca="false">MAX(B478-B477,0)</f>
        <v>11.2200000000003</v>
      </c>
      <c r="L478" s="17" t="n">
        <f aca="false">MAX(B477-B478,0)</f>
        <v>0</v>
      </c>
      <c r="M478" s="17" t="n">
        <f aca="false">(M477*13+K478)/14</f>
        <v>27.7173715738547</v>
      </c>
      <c r="N478" s="17" t="n">
        <f aca="false">(N477*13+L478)/14</f>
        <v>17.9744528614859</v>
      </c>
      <c r="O478" s="17" t="n">
        <f aca="false">IF(N478=0,100,100-100/(1+M478/N478))</f>
        <v>60.6615557955626</v>
      </c>
      <c r="P478" s="17" t="n">
        <f aca="false">AVERAGE(B459:B478)+2*STDEV(B459:B478)</f>
        <v>7088.0398110745</v>
      </c>
      <c r="Q478" s="17" t="n">
        <f aca="false">AVERAGE(B459:B478)-2*STDEV(B459:B478)</f>
        <v>6612.5041889255</v>
      </c>
      <c r="R478" s="19" t="n">
        <f aca="false">B478/B458-1</f>
        <v>0.0457563078864542</v>
      </c>
      <c r="S478" s="17" t="n">
        <f aca="false">STDEV(C459:C478)*SQRT(252)*100</f>
        <v>12.0326636214753</v>
      </c>
      <c r="T478" s="19" t="n">
        <f aca="false">B457/B227-1</f>
        <v>0.148796895839236</v>
      </c>
      <c r="U478" s="19" t="n">
        <f aca="false">B478/MAX(B227:B478)-1</f>
        <v>-0.0238672186136258</v>
      </c>
      <c r="V478" s="17" t="n">
        <f aca="false">(B478-AVERAGE(B459:B478))/STDEV(B459:B478)</f>
        <v>0.930723124378949</v>
      </c>
    </row>
    <row r="479" customFormat="false" ht="15" hidden="false" customHeight="false" outlineLevel="0" collapsed="false">
      <c r="A479" s="17" t="s">
        <v>1043</v>
      </c>
      <c r="B479" s="17" t="n">
        <v>6926.54</v>
      </c>
      <c r="C479" s="19" t="n">
        <f aca="false">B479/B478-1</f>
        <v>-0.00493900231578581</v>
      </c>
      <c r="D479" s="17" t="n">
        <f aca="false">AVERAGE(B430:B479)</f>
        <v>6723.8282</v>
      </c>
      <c r="E479" s="17" t="n">
        <f aca="false">AVERAGE(B280:B479)</f>
        <v>6458.1855</v>
      </c>
      <c r="F479" s="17" t="n">
        <f aca="false">B479*2/13+F478*11/13</f>
        <v>6906.93325331808</v>
      </c>
      <c r="G479" s="17" t="n">
        <f aca="false">B479*2/27+G478*25/27</f>
        <v>6844.19650234565</v>
      </c>
      <c r="H479" s="17" t="n">
        <f aca="false">F479-G479</f>
        <v>62.7367509724263</v>
      </c>
      <c r="I479" s="17" t="n">
        <f aca="false">H479*2/10+I478*8/10</f>
        <v>61.4457754259599</v>
      </c>
      <c r="J479" s="17" t="n">
        <f aca="false">H479-I479</f>
        <v>1.29097554646641</v>
      </c>
      <c r="K479" s="17" t="n">
        <f aca="false">MAX(B479-B478,0)</f>
        <v>0</v>
      </c>
      <c r="L479" s="17" t="n">
        <f aca="false">MAX(B478-B479,0)</f>
        <v>34.3800000000001</v>
      </c>
      <c r="M479" s="17" t="n">
        <f aca="false">(M478*13+K479)/14</f>
        <v>25.7375593185793</v>
      </c>
      <c r="N479" s="17" t="n">
        <f aca="false">(N478*13+L479)/14</f>
        <v>19.1462776570941</v>
      </c>
      <c r="O479" s="17" t="n">
        <f aca="false">IF(N479=0,100,100-100/(1+M479/N479))</f>
        <v>57.3426004833963</v>
      </c>
      <c r="P479" s="17" t="n">
        <f aca="false">AVERAGE(B460:B479)+2*STDEV(B460:B479)</f>
        <v>7076.2432571701</v>
      </c>
      <c r="Q479" s="17" t="n">
        <f aca="false">AVERAGE(B460:B479)-2*STDEV(B460:B479)</f>
        <v>6656.3977428299</v>
      </c>
      <c r="R479" s="19" t="n">
        <f aca="false">B479/B459-1</f>
        <v>0.0485908104826684</v>
      </c>
      <c r="S479" s="17" t="n">
        <f aca="false">STDEV(C460:C479)*SQRT(252)*100</f>
        <v>11.7743833302235</v>
      </c>
      <c r="T479" s="19" t="n">
        <f aca="false">B458/B228-1</f>
        <v>0.148710098832885</v>
      </c>
      <c r="U479" s="19" t="n">
        <f aca="false">B479/MAX(B228:B479)-1</f>
        <v>-0.0286883406814077</v>
      </c>
      <c r="V479" s="17" t="n">
        <f aca="false">(B479-AVERAGE(B460:B479))/STDEV(B460:B479)</f>
        <v>0.57373007873754</v>
      </c>
    </row>
    <row r="480" customFormat="false" ht="15" hidden="false" customHeight="false" outlineLevel="0" collapsed="false">
      <c r="A480" s="17" t="s">
        <v>1044</v>
      </c>
      <c r="B480" s="17" t="n">
        <v>6976.37</v>
      </c>
      <c r="C480" s="19" t="n">
        <f aca="false">B480/B479-1</f>
        <v>0.00719406803396794</v>
      </c>
      <c r="D480" s="17" t="n">
        <f aca="false">AVERAGE(B431:B480)</f>
        <v>6726.058</v>
      </c>
      <c r="E480" s="17" t="n">
        <f aca="false">AVERAGE(B281:B480)</f>
        <v>6463.9097</v>
      </c>
      <c r="F480" s="17" t="n">
        <f aca="false">B480*2/13+F479*11/13</f>
        <v>6917.61582973068</v>
      </c>
      <c r="G480" s="17" t="n">
        <f aca="false">B480*2/27+G479*25/27</f>
        <v>6853.98713180153</v>
      </c>
      <c r="H480" s="17" t="n">
        <f aca="false">F480-G480</f>
        <v>63.6286979291508</v>
      </c>
      <c r="I480" s="17" t="n">
        <f aca="false">H480*2/10+I479*8/10</f>
        <v>61.8823599265981</v>
      </c>
      <c r="J480" s="17" t="n">
        <f aca="false">H480-I480</f>
        <v>1.74633800255272</v>
      </c>
      <c r="K480" s="17" t="n">
        <f aca="false">MAX(B480-B479,0)</f>
        <v>49.8299999999999</v>
      </c>
      <c r="L480" s="17" t="n">
        <f aca="false">MAX(B479-B480,0)</f>
        <v>0</v>
      </c>
      <c r="M480" s="17" t="n">
        <f aca="false">(M479*13+K480)/14</f>
        <v>27.4584479386808</v>
      </c>
      <c r="N480" s="17" t="n">
        <f aca="false">(N479*13+L480)/14</f>
        <v>17.7786863958731</v>
      </c>
      <c r="O480" s="17" t="n">
        <f aca="false">IF(N480=0,100,100-100/(1+M480/N480))</f>
        <v>60.6989110663161</v>
      </c>
      <c r="P480" s="17" t="n">
        <f aca="false">AVERAGE(B461:B480)+2*STDEV(B461:B480)</f>
        <v>7077.38075117262</v>
      </c>
      <c r="Q480" s="17" t="n">
        <f aca="false">AVERAGE(B461:B480)-2*STDEV(B461:B480)</f>
        <v>6684.70124882738</v>
      </c>
      <c r="R480" s="19" t="n">
        <f aca="false">B480/B460-1</f>
        <v>0.0440604253841688</v>
      </c>
      <c r="S480" s="17" t="n">
        <f aca="false">STDEV(C461:C480)*SQRT(252)*100</f>
        <v>11.4201437334781</v>
      </c>
      <c r="T480" s="19" t="n">
        <f aca="false">B459/B229-1</f>
        <v>0.141094872857932</v>
      </c>
      <c r="U480" s="19" t="n">
        <f aca="false">B480/MAX(B229:B480)-1</f>
        <v>-0.0217006585220835</v>
      </c>
      <c r="V480" s="17" t="n">
        <f aca="false">(B480-AVERAGE(B461:B480))/STDEV(B461:B480)</f>
        <v>0.971061636073759</v>
      </c>
    </row>
    <row r="481" customFormat="false" ht="15" hidden="false" customHeight="false" outlineLevel="0" collapsed="false">
      <c r="A481" s="17" t="s">
        <v>1045</v>
      </c>
      <c r="B481" s="17" t="n">
        <v>6967.73</v>
      </c>
      <c r="C481" s="19" t="n">
        <f aca="false">B481/B480-1</f>
        <v>-0.00123846642308256</v>
      </c>
      <c r="D481" s="17" t="n">
        <f aca="false">AVERAGE(B432:B481)</f>
        <v>6727.6942</v>
      </c>
      <c r="E481" s="17" t="n">
        <f aca="false">AVERAGE(B282:B481)</f>
        <v>6469.2075</v>
      </c>
      <c r="F481" s="17" t="n">
        <f aca="false">B481*2/13+F480*11/13</f>
        <v>6925.32570207981</v>
      </c>
      <c r="G481" s="17" t="n">
        <f aca="false">B481*2/27+G480*25/27</f>
        <v>6862.41252944586</v>
      </c>
      <c r="H481" s="17" t="n">
        <f aca="false">F481-G481</f>
        <v>62.9131726339456</v>
      </c>
      <c r="I481" s="17" t="n">
        <f aca="false">H481*2/10+I480*8/10</f>
        <v>62.0885224680676</v>
      </c>
      <c r="J481" s="17" t="n">
        <f aca="false">H481-I481</f>
        <v>0.824650165877998</v>
      </c>
      <c r="K481" s="17" t="n">
        <f aca="false">MAX(B481-B480,0)</f>
        <v>0</v>
      </c>
      <c r="L481" s="17" t="n">
        <f aca="false">MAX(B480-B481,0)</f>
        <v>8.64000000000033</v>
      </c>
      <c r="M481" s="17" t="n">
        <f aca="false">(M480*13+K481)/14</f>
        <v>25.497130228775</v>
      </c>
      <c r="N481" s="17" t="n">
        <f aca="false">(N480*13+L481)/14</f>
        <v>17.1259230818822</v>
      </c>
      <c r="O481" s="17" t="n">
        <f aca="false">IF(N481=0,100,100-100/(1+M481/N481))</f>
        <v>59.8200463090707</v>
      </c>
      <c r="P481" s="17" t="n">
        <f aca="false">AVERAGE(B462:B481)+2*STDEV(B462:B481)</f>
        <v>7062.27988605395</v>
      </c>
      <c r="Q481" s="17" t="n">
        <f aca="false">AVERAGE(B462:B481)-2*STDEV(B462:B481)</f>
        <v>6732.12711394605</v>
      </c>
      <c r="R481" s="19" t="n">
        <f aca="false">B481/B461-1</f>
        <v>0.0486494052205742</v>
      </c>
      <c r="S481" s="17" t="n">
        <f aca="false">STDEV(C462:C481)*SQRT(252)*100</f>
        <v>11.1262294328098</v>
      </c>
      <c r="T481" s="19" t="n">
        <f aca="false">B460/B230-1</f>
        <v>0.148791973193547</v>
      </c>
      <c r="U481" s="19" t="n">
        <f aca="false">B481/MAX(B230:B481)-1</f>
        <v>-0.0229122494082277</v>
      </c>
      <c r="V481" s="17" t="n">
        <f aca="false">(B481-AVERAGE(B462:B481))/STDEV(B462:B481)</f>
        <v>0.854471092878797</v>
      </c>
    </row>
    <row r="482" customFormat="false" ht="15" hidden="false" customHeight="false" outlineLevel="0" collapsed="false">
      <c r="A482" s="17" t="s">
        <v>1046</v>
      </c>
      <c r="B482" s="17" t="n">
        <v>7083.93</v>
      </c>
      <c r="C482" s="19" t="n">
        <f aca="false">B482/B481-1</f>
        <v>0.0166768804187305</v>
      </c>
      <c r="D482" s="17" t="n">
        <f aca="false">AVERAGE(B433:B482)</f>
        <v>6732.3038</v>
      </c>
      <c r="E482" s="17" t="n">
        <f aca="false">AVERAGE(B283:B482)</f>
        <v>6475.0885</v>
      </c>
      <c r="F482" s="17" t="n">
        <f aca="false">B482*2/13+F481*11/13</f>
        <v>6949.7263632983</v>
      </c>
      <c r="G482" s="17" t="n">
        <f aca="false">B482*2/27+G481*25/27</f>
        <v>6878.82123096839</v>
      </c>
      <c r="H482" s="17" t="n">
        <f aca="false">F482-G482</f>
        <v>70.9051323299082</v>
      </c>
      <c r="I482" s="17" t="n">
        <f aca="false">H482*2/10+I481*8/10</f>
        <v>63.8518444404357</v>
      </c>
      <c r="J482" s="17" t="n">
        <f aca="false">H482-I482</f>
        <v>7.05328788947246</v>
      </c>
      <c r="K482" s="17" t="n">
        <f aca="false">MAX(B482-B481,0)</f>
        <v>116.200000000001</v>
      </c>
      <c r="L482" s="17" t="n">
        <f aca="false">MAX(B481-B482,0)</f>
        <v>0</v>
      </c>
      <c r="M482" s="17" t="n">
        <f aca="false">(M481*13+K482)/14</f>
        <v>31.9759066410054</v>
      </c>
      <c r="N482" s="17" t="n">
        <f aca="false">(N481*13+L482)/14</f>
        <v>15.9026428617477</v>
      </c>
      <c r="O482" s="17" t="n">
        <f aca="false">IF(N482=0,100,100-100/(1+M482/N482))</f>
        <v>66.7854539727999</v>
      </c>
      <c r="P482" s="17" t="n">
        <f aca="false">AVERAGE(B463:B482)+2*STDEV(B463:B482)</f>
        <v>7057.05111731978</v>
      </c>
      <c r="Q482" s="17" t="n">
        <f aca="false">AVERAGE(B463:B482)-2*STDEV(B463:B482)</f>
        <v>6781.40088268022</v>
      </c>
      <c r="R482" s="19" t="n">
        <f aca="false">B482/B462-1</f>
        <v>0.0662980847387213</v>
      </c>
      <c r="S482" s="17" t="n">
        <f aca="false">STDEV(C463:C482)*SQRT(252)*100</f>
        <v>12.1688617759417</v>
      </c>
      <c r="T482" s="19" t="n">
        <f aca="false">B461/B231-1</f>
        <v>0.129733093483591</v>
      </c>
      <c r="U482" s="19" t="n">
        <f aca="false">B482/MAX(B231:B482)-1</f>
        <v>-0.00661747383300237</v>
      </c>
      <c r="V482" s="17" t="n">
        <f aca="false">(B482-AVERAGE(B463:B482))/STDEV(B463:B482)</f>
        <v>2.39004331290151</v>
      </c>
    </row>
    <row r="483" customFormat="false" ht="15" hidden="false" customHeight="false" outlineLevel="0" collapsed="false">
      <c r="A483" s="17" t="s">
        <v>1047</v>
      </c>
      <c r="B483" s="17" t="n">
        <v>7143.57</v>
      </c>
      <c r="C483" s="19" t="n">
        <f aca="false">B483/B482-1</f>
        <v>0.00841905552426403</v>
      </c>
      <c r="D483" s="17" t="n">
        <f aca="false">AVERAGE(B434:B483)</f>
        <v>6741.53</v>
      </c>
      <c r="E483" s="17" t="n">
        <f aca="false">AVERAGE(B284:B483)</f>
        <v>6481.21925</v>
      </c>
      <c r="F483" s="17" t="n">
        <f aca="false">B483*2/13+F482*11/13</f>
        <v>6979.54846125241</v>
      </c>
      <c r="G483" s="17" t="n">
        <f aca="false">B483*2/27+G482*25/27</f>
        <v>6898.43225089666</v>
      </c>
      <c r="H483" s="17" t="n">
        <f aca="false">F483-G483</f>
        <v>81.1162103557472</v>
      </c>
      <c r="I483" s="17" t="n">
        <f aca="false">H483*2/10+I482*8/10</f>
        <v>67.304717623498</v>
      </c>
      <c r="J483" s="17" t="n">
        <f aca="false">H483-I483</f>
        <v>13.8114927322492</v>
      </c>
      <c r="K483" s="17" t="n">
        <f aca="false">MAX(B483-B482,0)</f>
        <v>59.6399999999994</v>
      </c>
      <c r="L483" s="17" t="n">
        <f aca="false">MAX(B482-B483,0)</f>
        <v>0</v>
      </c>
      <c r="M483" s="17" t="n">
        <f aca="false">(M482*13+K483)/14</f>
        <v>33.951913309505</v>
      </c>
      <c r="N483" s="17" t="n">
        <f aca="false">(N482*13+L483)/14</f>
        <v>14.7667398001943</v>
      </c>
      <c r="O483" s="17" t="n">
        <f aca="false">IF(N483=0,100,100-100/(1+M483/N483))</f>
        <v>69.6897618106474</v>
      </c>
      <c r="P483" s="17" t="n">
        <f aca="false">AVERAGE(B464:B483)+2*STDEV(B464:B483)</f>
        <v>7090.82798680338</v>
      </c>
      <c r="Q483" s="17" t="n">
        <f aca="false">AVERAGE(B464:B483)-2*STDEV(B464:B483)</f>
        <v>6785.06901319663</v>
      </c>
      <c r="R483" s="19" t="n">
        <f aca="false">B483/B463-1</f>
        <v>0.0553173824662585</v>
      </c>
      <c r="S483" s="17" t="n">
        <f aca="false">STDEV(C464:C483)*SQRT(252)*100</f>
        <v>10.8784590407434</v>
      </c>
      <c r="T483" s="19" t="n">
        <f aca="false">B462/B232-1</f>
        <v>0.130204895442761</v>
      </c>
      <c r="U483" s="19" t="n">
        <f aca="false">B483/MAX(B232:B483)-1</f>
        <v>0</v>
      </c>
      <c r="V483" s="17" t="n">
        <f aca="false">(B483-AVERAGE(B464:B483))/STDEV(B464:B483)</f>
        <v>2.6899815573617</v>
      </c>
    </row>
    <row r="484" customFormat="false" ht="15" hidden="false" customHeight="false" outlineLevel="0" collapsed="false">
      <c r="A484" s="17" t="s">
        <v>1048</v>
      </c>
      <c r="B484" s="17" t="n">
        <v>7166.75</v>
      </c>
      <c r="C484" s="19" t="n">
        <f aca="false">B484/B483-1</f>
        <v>0.00324487616135905</v>
      </c>
      <c r="D484" s="17" t="n">
        <f aca="false">AVERAGE(B435:B484)</f>
        <v>6754.7032</v>
      </c>
      <c r="E484" s="17" t="n">
        <f aca="false">AVERAGE(B285:B484)</f>
        <v>6488.0714</v>
      </c>
      <c r="F484" s="17" t="n">
        <f aca="false">B484*2/13+F483*11/13</f>
        <v>7008.34869798281</v>
      </c>
      <c r="G484" s="17" t="n">
        <f aca="false">B484*2/27+G483*25/27</f>
        <v>6918.30763971913</v>
      </c>
      <c r="H484" s="17" t="n">
        <f aca="false">F484-G484</f>
        <v>90.041058263676</v>
      </c>
      <c r="I484" s="17" t="n">
        <f aca="false">H484*2/10+I483*8/10</f>
        <v>71.8519857515336</v>
      </c>
      <c r="J484" s="17" t="n">
        <f aca="false">H484-I484</f>
        <v>18.1890725121424</v>
      </c>
      <c r="K484" s="17" t="n">
        <f aca="false">MAX(B484-B483,0)</f>
        <v>23.1800000000003</v>
      </c>
      <c r="L484" s="17" t="n">
        <f aca="false">MAX(B483-B484,0)</f>
        <v>0</v>
      </c>
      <c r="M484" s="17" t="n">
        <f aca="false">(M483*13+K484)/14</f>
        <v>33.1824909302547</v>
      </c>
      <c r="N484" s="17" t="n">
        <f aca="false">(N483*13+L484)/14</f>
        <v>13.711972671609</v>
      </c>
      <c r="O484" s="17" t="n">
        <f aca="false">IF(N484=0,100,100-100/(1+M484/N484))</f>
        <v>70.7599327971329</v>
      </c>
      <c r="P484" s="17" t="n">
        <f aca="false">AVERAGE(B465:B484)+2*STDEV(B465:B484)</f>
        <v>7129.27442298607</v>
      </c>
      <c r="Q484" s="17" t="n">
        <f aca="false">AVERAGE(B465:B484)-2*STDEV(B465:B484)</f>
        <v>6781.11057701394</v>
      </c>
      <c r="R484" s="19" t="n">
        <f aca="false">B484/B464-1</f>
        <v>0.050555053086617</v>
      </c>
      <c r="S484" s="17" t="n">
        <f aca="false">STDEV(C465:C484)*SQRT(252)*100</f>
        <v>10.7156334802084</v>
      </c>
      <c r="T484" s="19" t="n">
        <f aca="false">B463/B233-1</f>
        <v>0.15577698970593</v>
      </c>
      <c r="U484" s="19" t="n">
        <f aca="false">B484/MAX(B233:B484)-1</f>
        <v>0</v>
      </c>
      <c r="V484" s="17" t="n">
        <f aca="false">(B484-AVERAGE(B465:B484))/STDEV(B465:B484)</f>
        <v>2.43055104598005</v>
      </c>
    </row>
    <row r="485" customFormat="false" ht="15" hidden="false" customHeight="false" outlineLevel="0" collapsed="false">
      <c r="A485" s="17" t="s">
        <v>1049</v>
      </c>
      <c r="B485" s="17" t="n">
        <v>7210.08</v>
      </c>
      <c r="C485" s="19" t="n">
        <f aca="false">B485/B484-1</f>
        <v>0.00604597620957903</v>
      </c>
      <c r="D485" s="17" t="n">
        <f aca="false">AVERAGE(B436:B485)</f>
        <v>6763.8282</v>
      </c>
      <c r="E485" s="17" t="n">
        <f aca="false">AVERAGE(B286:B485)</f>
        <v>6495.16725</v>
      </c>
      <c r="F485" s="17" t="n">
        <f aca="false">B485*2/13+F484*11/13</f>
        <v>7039.38428290853</v>
      </c>
      <c r="G485" s="17" t="n">
        <f aca="false">B485*2/27+G484*25/27</f>
        <v>6939.92040714734</v>
      </c>
      <c r="H485" s="17" t="n">
        <f aca="false">F485-G485</f>
        <v>99.4638757611847</v>
      </c>
      <c r="I485" s="17" t="n">
        <f aca="false">H485*2/10+I484*8/10</f>
        <v>77.3743637534638</v>
      </c>
      <c r="J485" s="17" t="n">
        <f aca="false">H485-I485</f>
        <v>22.0895120077209</v>
      </c>
      <c r="K485" s="17" t="n">
        <f aca="false">MAX(B485-B484,0)</f>
        <v>43.3299999999999</v>
      </c>
      <c r="L485" s="17" t="n">
        <f aca="false">MAX(B484-B485,0)</f>
        <v>0</v>
      </c>
      <c r="M485" s="17" t="n">
        <f aca="false">(M484*13+K485)/14</f>
        <v>33.907313006665</v>
      </c>
      <c r="N485" s="17" t="n">
        <f aca="false">(N484*13+L485)/14</f>
        <v>12.7325460522084</v>
      </c>
      <c r="O485" s="17" t="n">
        <f aca="false">IF(N485=0,100,100-100/(1+M485/N485))</f>
        <v>72.700290461564</v>
      </c>
      <c r="P485" s="17" t="n">
        <f aca="false">AVERAGE(B466:B485)+2*STDEV(B466:B485)</f>
        <v>7170.4563428508</v>
      </c>
      <c r="Q485" s="17" t="n">
        <f aca="false">AVERAGE(B466:B485)-2*STDEV(B466:B485)</f>
        <v>6779.3886571492</v>
      </c>
      <c r="R485" s="19" t="n">
        <f aca="false">B485/B465-1</f>
        <v>0.0578976095594148</v>
      </c>
      <c r="S485" s="17" t="n">
        <f aca="false">STDEV(C466:C485)*SQRT(252)*100</f>
        <v>10.7060809971885</v>
      </c>
      <c r="T485" s="19" t="n">
        <f aca="false">B464/B234-1</f>
        <v>0.160657684527162</v>
      </c>
      <c r="U485" s="19" t="n">
        <f aca="false">B485/MAX(B234:B485)-1</f>
        <v>0</v>
      </c>
      <c r="V485" s="17" t="n">
        <f aca="false">(B485-AVERAGE(B466:B485))/STDEV(B466:B485)</f>
        <v>2.4052869474819</v>
      </c>
    </row>
    <row r="486" customFormat="false" ht="15" hidden="false" customHeight="false" outlineLevel="0" collapsed="false">
      <c r="A486" s="17" t="s">
        <v>1050</v>
      </c>
      <c r="B486" s="17" t="n">
        <v>7152.83</v>
      </c>
      <c r="C486" s="19" t="n">
        <f aca="false">B486/B485-1</f>
        <v>-0.00794027250737861</v>
      </c>
      <c r="D486" s="17" t="n">
        <f aca="false">AVERAGE(B437:B486)</f>
        <v>6776.288</v>
      </c>
      <c r="E486" s="17" t="n">
        <f aca="false">AVERAGE(B287:B486)</f>
        <v>6501.9987</v>
      </c>
      <c r="F486" s="17" t="n">
        <f aca="false">B486*2/13+F485*11/13</f>
        <v>7056.83747015337</v>
      </c>
      <c r="G486" s="17" t="n">
        <f aca="false">B486*2/27+G485*25/27</f>
        <v>6955.69148809939</v>
      </c>
      <c r="H486" s="17" t="n">
        <f aca="false">F486-G486</f>
        <v>101.145982053978</v>
      </c>
      <c r="I486" s="17" t="n">
        <f aca="false">H486*2/10+I485*8/10</f>
        <v>82.1286874135666</v>
      </c>
      <c r="J486" s="17" t="n">
        <f aca="false">H486-I486</f>
        <v>19.017294640411</v>
      </c>
      <c r="K486" s="17" t="n">
        <f aca="false">MAX(B486-B485,0)</f>
        <v>0</v>
      </c>
      <c r="L486" s="17" t="n">
        <f aca="false">MAX(B485-B486,0)</f>
        <v>57.25</v>
      </c>
      <c r="M486" s="17" t="n">
        <f aca="false">(M485*13+K486)/14</f>
        <v>31.4853620776175</v>
      </c>
      <c r="N486" s="17" t="n">
        <f aca="false">(N485*13+L486)/14</f>
        <v>15.9123641913363</v>
      </c>
      <c r="O486" s="17" t="n">
        <f aca="false">IF(N486=0,100,100-100/(1+M486/N486))</f>
        <v>66.4280009951466</v>
      </c>
      <c r="P486" s="17" t="n">
        <f aca="false">AVERAGE(B467:B486)+2*STDEV(B467:B486)</f>
        <v>7194.74087128224</v>
      </c>
      <c r="Q486" s="17" t="n">
        <f aca="false">AVERAGE(B467:B486)-2*STDEV(B467:B486)</f>
        <v>6781.06612871776</v>
      </c>
      <c r="R486" s="19" t="n">
        <f aca="false">B486/B466-1</f>
        <v>0.0376631496791771</v>
      </c>
      <c r="S486" s="17" t="n">
        <f aca="false">STDEV(C467:C486)*SQRT(252)*100</f>
        <v>10.8545332777987</v>
      </c>
      <c r="T486" s="19" t="n">
        <f aca="false">B465/B235-1</f>
        <v>0.158051416240463</v>
      </c>
      <c r="U486" s="19" t="n">
        <f aca="false">B486/MAX(B235:B486)-1</f>
        <v>-0.00794027250737861</v>
      </c>
      <c r="V486" s="17" t="n">
        <f aca="false">(B486-AVERAGE(B467:B486))/STDEV(B467:B486)</f>
        <v>1.59474565913864</v>
      </c>
    </row>
    <row r="487" customFormat="false" ht="15" hidden="false" customHeight="false" outlineLevel="0" collapsed="false">
      <c r="A487" s="17" t="s">
        <v>1051</v>
      </c>
      <c r="B487" s="17" t="n">
        <v>7152.62</v>
      </c>
      <c r="C487" s="19" t="n">
        <f aca="false">B487/B486-1</f>
        <v>-2.93590089517348E-005</v>
      </c>
      <c r="D487" s="17" t="n">
        <f aca="false">AVERAGE(B438:B487)</f>
        <v>6790.1242</v>
      </c>
      <c r="E487" s="17" t="n">
        <f aca="false">AVERAGE(B288:B487)</f>
        <v>6508.39515</v>
      </c>
      <c r="F487" s="17" t="n">
        <f aca="false">B487*2/13+F486*11/13</f>
        <v>7071.57324397593</v>
      </c>
      <c r="G487" s="17" t="n">
        <f aca="false">B487*2/27+G486*25/27</f>
        <v>6970.27878527721</v>
      </c>
      <c r="H487" s="17" t="n">
        <f aca="false">F487-G487</f>
        <v>101.294458698714</v>
      </c>
      <c r="I487" s="17" t="n">
        <f aca="false">H487*2/10+I486*8/10</f>
        <v>85.9618416705961</v>
      </c>
      <c r="J487" s="17" t="n">
        <f aca="false">H487-I487</f>
        <v>15.3326170281181</v>
      </c>
      <c r="K487" s="17" t="n">
        <f aca="false">MAX(B487-B486,0)</f>
        <v>0</v>
      </c>
      <c r="L487" s="17" t="n">
        <f aca="false">MAX(B486-B487,0)</f>
        <v>0.210000000000036</v>
      </c>
      <c r="M487" s="17" t="n">
        <f aca="false">(M486*13+K487)/14</f>
        <v>29.236407643502</v>
      </c>
      <c r="N487" s="17" t="n">
        <f aca="false">(N486*13+L487)/14</f>
        <v>14.790766749098</v>
      </c>
      <c r="O487" s="17" t="n">
        <f aca="false">IF(N487=0,100,100-100/(1+M487/N487))</f>
        <v>66.4053690631938</v>
      </c>
      <c r="P487" s="17" t="n">
        <f aca="false">AVERAGE(B468:B487)+2*STDEV(B468:B487)</f>
        <v>7216.42878608128</v>
      </c>
      <c r="Q487" s="17" t="n">
        <f aca="false">AVERAGE(B468:B487)-2*STDEV(B468:B487)</f>
        <v>6778.28521391872</v>
      </c>
      <c r="R487" s="19" t="n">
        <f aca="false">B487/B467-1</f>
        <v>0.0271513811202619</v>
      </c>
      <c r="S487" s="17" t="n">
        <f aca="false">STDEV(C468:C487)*SQRT(252)*100</f>
        <v>10.4114797618513</v>
      </c>
      <c r="T487" s="19" t="n">
        <f aca="false">B466/B236-1</f>
        <v>0.200501920953545</v>
      </c>
      <c r="U487" s="19" t="n">
        <f aca="false">B487/MAX(B236:B487)-1</f>
        <v>-0.00796939839779864</v>
      </c>
      <c r="V487" s="17" t="n">
        <f aca="false">(B487-AVERAGE(B468:B487))/STDEV(B468:B487)</f>
        <v>1.41746231020724</v>
      </c>
    </row>
    <row r="488" customFormat="false" ht="15" hidden="false" customHeight="false" outlineLevel="0" collapsed="false">
      <c r="A488" s="17" t="s">
        <v>1052</v>
      </c>
      <c r="B488" s="17" t="n">
        <v>7168.48</v>
      </c>
      <c r="C488" s="19" t="n">
        <f aca="false">B488/B487-1</f>
        <v>0.00221736929964123</v>
      </c>
      <c r="D488" s="17" t="n">
        <f aca="false">AVERAGE(B439:B488)</f>
        <v>6801.8712</v>
      </c>
      <c r="E488" s="17" t="n">
        <f aca="false">AVERAGE(B289:B488)</f>
        <v>6514.97865</v>
      </c>
      <c r="F488" s="17" t="n">
        <f aca="false">B488*2/13+F487*11/13</f>
        <v>7086.48197567194</v>
      </c>
      <c r="G488" s="17" t="n">
        <f aca="false">B488*2/27+G487*25/27</f>
        <v>6984.96035673816</v>
      </c>
      <c r="H488" s="17" t="n">
        <f aca="false">F488-G488</f>
        <v>101.521618933777</v>
      </c>
      <c r="I488" s="17" t="n">
        <f aca="false">H488*2/10+I487*8/10</f>
        <v>89.0737971232323</v>
      </c>
      <c r="J488" s="17" t="n">
        <f aca="false">H488-I488</f>
        <v>12.4478218105448</v>
      </c>
      <c r="K488" s="17" t="n">
        <f aca="false">MAX(B488-B487,0)</f>
        <v>15.8599999999997</v>
      </c>
      <c r="L488" s="17" t="n">
        <f aca="false">MAX(B487-B488,0)</f>
        <v>0</v>
      </c>
      <c r="M488" s="17" t="n">
        <f aca="false">(M487*13+K488)/14</f>
        <v>28.2809499546804</v>
      </c>
      <c r="N488" s="17" t="n">
        <f aca="false">(N487*13+L488)/14</f>
        <v>13.7342834098768</v>
      </c>
      <c r="O488" s="17" t="n">
        <f aca="false">IF(N488=0,100,100-100/(1+M488/N488))</f>
        <v>67.3111814214922</v>
      </c>
      <c r="P488" s="17" t="n">
        <f aca="false">AVERAGE(B469:B488)+2*STDEV(B469:B488)</f>
        <v>7238.89977988059</v>
      </c>
      <c r="Q488" s="17" t="n">
        <f aca="false">AVERAGE(B469:B488)-2*STDEV(B469:B488)</f>
        <v>6777.40622011941</v>
      </c>
      <c r="R488" s="19" t="n">
        <f aca="false">B488/B468-1</f>
        <v>0.0310561864982106</v>
      </c>
      <c r="S488" s="17" t="n">
        <f aca="false">STDEV(C469:C488)*SQRT(252)*100</f>
        <v>10.3564034604086</v>
      </c>
      <c r="T488" s="19" t="n">
        <f aca="false">B467/B237-1</f>
        <v>0.219924739584246</v>
      </c>
      <c r="U488" s="19" t="n">
        <f aca="false">B488/MAX(B237:B488)-1</f>
        <v>-0.00576970019750134</v>
      </c>
      <c r="V488" s="17" t="n">
        <f aca="false">(B488-AVERAGE(B469:B488))/STDEV(B469:B488)</f>
        <v>1.38963586042644</v>
      </c>
    </row>
    <row r="489" customFormat="false" ht="15" hidden="false" customHeight="false" outlineLevel="0" collapsed="false">
      <c r="A489" s="17" t="s">
        <v>1053</v>
      </c>
      <c r="B489" s="17" t="n">
        <v>7209.18</v>
      </c>
      <c r="C489" s="19" t="n">
        <f aca="false">B489/B488-1</f>
        <v>0.00567763319420589</v>
      </c>
      <c r="D489" s="17" t="n">
        <f aca="false">AVERAGE(B440:B489)</f>
        <v>6818.238</v>
      </c>
      <c r="E489" s="17" t="n">
        <f aca="false">AVERAGE(B290:B489)</f>
        <v>6521.85235</v>
      </c>
      <c r="F489" s="17" t="n">
        <f aca="false">B489*2/13+F488*11/13</f>
        <v>7105.35859479933</v>
      </c>
      <c r="G489" s="17" t="n">
        <f aca="false">B489*2/27+G488*25/27</f>
        <v>7001.569219202</v>
      </c>
      <c r="H489" s="17" t="n">
        <f aca="false">F489-G489</f>
        <v>103.789375597332</v>
      </c>
      <c r="I489" s="17" t="n">
        <f aca="false">H489*2/10+I488*8/10</f>
        <v>92.0169128180522</v>
      </c>
      <c r="J489" s="17" t="n">
        <f aca="false">H489-I489</f>
        <v>11.7724627792797</v>
      </c>
      <c r="K489" s="17" t="n">
        <f aca="false">MAX(B489-B488,0)</f>
        <v>40.7000000000007</v>
      </c>
      <c r="L489" s="17" t="n">
        <f aca="false">MAX(B488-B489,0)</f>
        <v>0</v>
      </c>
      <c r="M489" s="17" t="n">
        <f aca="false">(M488*13+K489)/14</f>
        <v>29.1680249579176</v>
      </c>
      <c r="N489" s="17" t="n">
        <f aca="false">(N488*13+L489)/14</f>
        <v>12.7532631663141</v>
      </c>
      <c r="O489" s="17" t="n">
        <f aca="false">IF(N489=0,100,100-100/(1+M489/N489))</f>
        <v>69.5780742029671</v>
      </c>
      <c r="P489" s="17" t="n">
        <f aca="false">AVERAGE(B470:B489)+2*STDEV(B470:B489)</f>
        <v>7266.80251805738</v>
      </c>
      <c r="Q489" s="17" t="n">
        <f aca="false">AVERAGE(B470:B489)-2*STDEV(B470:B489)</f>
        <v>6773.98448194262</v>
      </c>
      <c r="R489" s="19" t="n">
        <f aca="false">B489/B469-1</f>
        <v>0.0351517797015379</v>
      </c>
      <c r="S489" s="17" t="n">
        <f aca="false">STDEV(C470:C489)*SQRT(252)*100</f>
        <v>10.4597469479436</v>
      </c>
      <c r="T489" s="19" t="n">
        <f aca="false">B468/B238-1</f>
        <v>0.208758271294999</v>
      </c>
      <c r="U489" s="19" t="n">
        <f aca="false">B489/MAX(B238:B489)-1</f>
        <v>-0.000124825244657401</v>
      </c>
      <c r="V489" s="17" t="n">
        <f aca="false">(B489-AVERAGE(B470:B489))/STDEV(B470:B489)</f>
        <v>1.53230187343259</v>
      </c>
    </row>
    <row r="490" customFormat="false" ht="15" hidden="false" customHeight="false" outlineLevel="0" collapsed="false">
      <c r="A490" s="17" t="s">
        <v>1054</v>
      </c>
      <c r="B490" s="17" t="n">
        <v>7205.26</v>
      </c>
      <c r="C490" s="19" t="n">
        <f aca="false">B490/B489-1</f>
        <v>-0.000543751161713235</v>
      </c>
      <c r="D490" s="17" t="n">
        <f aca="false">AVERAGE(B441:B490)</f>
        <v>6833.1666</v>
      </c>
      <c r="E490" s="17" t="n">
        <f aca="false">AVERAGE(B291:B490)</f>
        <v>6528.766</v>
      </c>
      <c r="F490" s="17" t="n">
        <f aca="false">B490*2/13+F489*11/13</f>
        <v>7120.72804175328</v>
      </c>
      <c r="G490" s="17" t="n">
        <f aca="false">B490*2/27+G489*25/27</f>
        <v>7016.65742518704</v>
      </c>
      <c r="H490" s="17" t="n">
        <f aca="false">F490-G490</f>
        <v>104.070616566243</v>
      </c>
      <c r="I490" s="17" t="n">
        <f aca="false">H490*2/10+I489*8/10</f>
        <v>94.4276535676904</v>
      </c>
      <c r="J490" s="17" t="n">
        <f aca="false">H490-I490</f>
        <v>9.6429629985528</v>
      </c>
      <c r="K490" s="17" t="n">
        <f aca="false">MAX(B490-B489,0)</f>
        <v>0</v>
      </c>
      <c r="L490" s="17" t="n">
        <f aca="false">MAX(B489-B490,0)</f>
        <v>3.92000000000007</v>
      </c>
      <c r="M490" s="17" t="n">
        <f aca="false">(M489*13+K490)/14</f>
        <v>27.0845946037806</v>
      </c>
      <c r="N490" s="17" t="n">
        <f aca="false">(N489*13+L490)/14</f>
        <v>12.1223157972917</v>
      </c>
      <c r="O490" s="17" t="n">
        <f aca="false">IF(N490=0,100,100-100/(1+M490/N490))</f>
        <v>69.0811755548069</v>
      </c>
      <c r="P490" s="17" t="n">
        <f aca="false">AVERAGE(B471:B490)+2*STDEV(B471:B490)</f>
        <v>7287.61821946178</v>
      </c>
      <c r="Q490" s="17" t="n">
        <f aca="false">AVERAGE(B471:B490)-2*STDEV(B471:B490)</f>
        <v>6784.84078053822</v>
      </c>
      <c r="R490" s="19" t="n">
        <f aca="false">B490/B470-1</f>
        <v>0.0459778124246939</v>
      </c>
      <c r="S490" s="17" t="n">
        <f aca="false">STDEV(C471:C490)*SQRT(252)*100</f>
        <v>9.39208183501549</v>
      </c>
      <c r="T490" s="19" t="n">
        <f aca="false">B469/B239-1</f>
        <v>0.216044155213748</v>
      </c>
      <c r="U490" s="19" t="n">
        <f aca="false">B490/MAX(B239:B490)-1</f>
        <v>-0.00066850853249889</v>
      </c>
      <c r="V490" s="17" t="n">
        <f aca="false">(B490-AVERAGE(B471:B490))/STDEV(B471:B490)</f>
        <v>1.34477394500354</v>
      </c>
    </row>
    <row r="491" customFormat="false" ht="15" hidden="false" customHeight="false" outlineLevel="0" collapsed="false">
      <c r="A491" s="17" t="s">
        <v>1055</v>
      </c>
      <c r="B491" s="17" t="n">
        <v>7279.59</v>
      </c>
      <c r="C491" s="19" t="n">
        <f aca="false">B491/B490-1</f>
        <v>0.0103160746454674</v>
      </c>
      <c r="D491" s="17" t="n">
        <f aca="false">AVERAGE(B442:B491)</f>
        <v>6847.5572</v>
      </c>
      <c r="E491" s="17" t="n">
        <f aca="false">AVERAGE(B292:B491)</f>
        <v>6535.97355</v>
      </c>
      <c r="F491" s="17" t="n">
        <f aca="false">B491*2/13+F490*11/13</f>
        <v>7145.16834302201</v>
      </c>
      <c r="G491" s="17" t="n">
        <f aca="false">B491*2/27+G490*25/27</f>
        <v>7036.13391221022</v>
      </c>
      <c r="H491" s="17" t="n">
        <f aca="false">F491-G491</f>
        <v>109.034430811786</v>
      </c>
      <c r="I491" s="17" t="n">
        <f aca="false">H491*2/10+I490*8/10</f>
        <v>97.3490090165096</v>
      </c>
      <c r="J491" s="17" t="n">
        <f aca="false">H491-I491</f>
        <v>11.6854217952769</v>
      </c>
      <c r="K491" s="17" t="n">
        <f aca="false">MAX(B491-B490,0)</f>
        <v>74.3299999999999</v>
      </c>
      <c r="L491" s="17" t="n">
        <f aca="false">MAX(B490-B491,0)</f>
        <v>0</v>
      </c>
      <c r="M491" s="17" t="n">
        <f aca="false">(M490*13+K491)/14</f>
        <v>30.4592664177963</v>
      </c>
      <c r="N491" s="17" t="n">
        <f aca="false">(N490*13+L491)/14</f>
        <v>11.2564360974851</v>
      </c>
      <c r="O491" s="17" t="n">
        <f aca="false">IF(N491=0,100,100-100/(1+M491/N491))</f>
        <v>73.0163094020491</v>
      </c>
      <c r="P491" s="17" t="n">
        <f aca="false">AVERAGE(B472:B491)+2*STDEV(B472:B491)</f>
        <v>7322.04019260928</v>
      </c>
      <c r="Q491" s="17" t="n">
        <f aca="false">AVERAGE(B472:B491)-2*STDEV(B472:B491)</f>
        <v>6785.38080739072</v>
      </c>
      <c r="R491" s="19" t="n">
        <f aca="false">B491/B471-1</f>
        <v>0.0504504348503674</v>
      </c>
      <c r="S491" s="17" t="n">
        <f aca="false">STDEV(C472:C491)*SQRT(252)*100</f>
        <v>9.73751636763383</v>
      </c>
      <c r="T491" s="19" t="n">
        <f aca="false">B470/B240-1</f>
        <v>0.20832712085306</v>
      </c>
      <c r="U491" s="19" t="n">
        <f aca="false">B491/MAX(B240:B491)-1</f>
        <v>0</v>
      </c>
      <c r="V491" s="17" t="n">
        <f aca="false">(B491-AVERAGE(B472:B491))/STDEV(B472:B491)</f>
        <v>1.6835967559424</v>
      </c>
    </row>
    <row r="492" customFormat="false" ht="15" hidden="false" customHeight="false" outlineLevel="0" collapsed="false">
      <c r="A492" s="17" t="s">
        <v>1056</v>
      </c>
      <c r="B492" s="17" t="n">
        <v>7255.76</v>
      </c>
      <c r="C492" s="19" t="n">
        <f aca="false">B492/B491-1</f>
        <v>-0.00327353600958291</v>
      </c>
      <c r="D492" s="17" t="n">
        <f aca="false">AVERAGE(B443:B492)</f>
        <v>6860.7756</v>
      </c>
      <c r="E492" s="17" t="n">
        <f aca="false">AVERAGE(B293:B492)</f>
        <v>6542.94165</v>
      </c>
      <c r="F492" s="17" t="n">
        <f aca="false">B492*2/13+F491*11/13</f>
        <v>7162.18244409554</v>
      </c>
      <c r="G492" s="17" t="n">
        <f aca="false">B492*2/27+G491*25/27</f>
        <v>7052.40251130576</v>
      </c>
      <c r="H492" s="17" t="n">
        <f aca="false">F492-G492</f>
        <v>109.779932789786</v>
      </c>
      <c r="I492" s="17" t="n">
        <f aca="false">H492*2/10+I491*8/10</f>
        <v>99.8351937711648</v>
      </c>
      <c r="J492" s="17" t="n">
        <f aca="false">H492-I492</f>
        <v>9.94473901862077</v>
      </c>
      <c r="K492" s="17" t="n">
        <f aca="false">MAX(B492-B491,0)</f>
        <v>0</v>
      </c>
      <c r="L492" s="17" t="n">
        <f aca="false">MAX(B491-B492,0)</f>
        <v>23.8299999999999</v>
      </c>
      <c r="M492" s="17" t="n">
        <f aca="false">(M491*13+K492)/14</f>
        <v>28.2836045308108</v>
      </c>
      <c r="N492" s="17" t="n">
        <f aca="false">(N491*13+L492)/14</f>
        <v>12.1545478048076</v>
      </c>
      <c r="O492" s="17" t="n">
        <f aca="false">IF(N492=0,100,100-100/(1+M492/N492))</f>
        <v>69.9428705250172</v>
      </c>
      <c r="P492" s="17" t="n">
        <f aca="false">AVERAGE(B473:B492)+2*STDEV(B473:B492)</f>
        <v>7344.19183786565</v>
      </c>
      <c r="Q492" s="17" t="n">
        <f aca="false">AVERAGE(B473:B492)-2*STDEV(B473:B492)</f>
        <v>6798.64216213435</v>
      </c>
      <c r="R492" s="19" t="n">
        <f aca="false">B492/B472-1</f>
        <v>0.051311067095744</v>
      </c>
      <c r="S492" s="17" t="n">
        <f aca="false">STDEV(C473:C492)*SQRT(252)*100</f>
        <v>9.66854800148306</v>
      </c>
      <c r="T492" s="19" t="n">
        <f aca="false">B471/B241-1</f>
        <v>0.219747319360448</v>
      </c>
      <c r="U492" s="19" t="n">
        <f aca="false">B492/MAX(B241:B492)-1</f>
        <v>-0.00327353600958291</v>
      </c>
      <c r="V492" s="17" t="n">
        <f aca="false">(B492-AVERAGE(B473:B492))/STDEV(B473:B492)</f>
        <v>1.35161293792645</v>
      </c>
    </row>
    <row r="493" customFormat="false" ht="15" hidden="false" customHeight="false" outlineLevel="0" collapsed="false">
      <c r="A493" s="17" t="s">
        <v>1057</v>
      </c>
      <c r="B493" s="17" t="n">
        <v>7251.41</v>
      </c>
      <c r="C493" s="19" t="n">
        <f aca="false">B493/B492-1</f>
        <v>-0.000599523688765924</v>
      </c>
      <c r="D493" s="17" t="n">
        <f aca="false">AVERAGE(B444:B493)</f>
        <v>6877.1396</v>
      </c>
      <c r="E493" s="17" t="n">
        <f aca="false">AVERAGE(B294:B493)</f>
        <v>6549.5342</v>
      </c>
      <c r="F493" s="17" t="n">
        <f aca="false">B493*2/13+F492*11/13</f>
        <v>7175.90976038854</v>
      </c>
      <c r="G493" s="17" t="n">
        <f aca="false">B493*2/27+G492*25/27</f>
        <v>7067.14380676459</v>
      </c>
      <c r="H493" s="17" t="n">
        <f aca="false">F493-G493</f>
        <v>108.765953623946</v>
      </c>
      <c r="I493" s="17" t="n">
        <f aca="false">H493*2/10+I492*8/10</f>
        <v>101.621345741721</v>
      </c>
      <c r="J493" s="17" t="n">
        <f aca="false">H493-I493</f>
        <v>7.14460788222512</v>
      </c>
      <c r="K493" s="17" t="n">
        <f aca="false">MAX(B493-B492,0)</f>
        <v>0</v>
      </c>
      <c r="L493" s="17" t="n">
        <f aca="false">MAX(B492-B493,0)</f>
        <v>4.35000000000036</v>
      </c>
      <c r="M493" s="17" t="n">
        <f aca="false">(M492*13+K493)/14</f>
        <v>26.2633470643243</v>
      </c>
      <c r="N493" s="17" t="n">
        <f aca="false">(N492*13+L493)/14</f>
        <v>11.5970801044643</v>
      </c>
      <c r="O493" s="17" t="n">
        <f aca="false">IF(N493=0,100,100-100/(1+M493/N493))</f>
        <v>69.3688609144255</v>
      </c>
      <c r="P493" s="17" t="n">
        <f aca="false">AVERAGE(B474:B493)+2*STDEV(B474:B493)</f>
        <v>7356.76386671463</v>
      </c>
      <c r="Q493" s="17" t="n">
        <f aca="false">AVERAGE(B474:B493)-2*STDEV(B474:B493)</f>
        <v>6824.58613328538</v>
      </c>
      <c r="R493" s="19" t="n">
        <f aca="false">B493/B473-1</f>
        <v>0.0560946659384671</v>
      </c>
      <c r="S493" s="17" t="n">
        <f aca="false">STDEV(C474:C493)*SQRT(252)*100</f>
        <v>9.32083910578486</v>
      </c>
      <c r="T493" s="19" t="n">
        <f aca="false">B472/B242-1</f>
        <v>0.195663020466995</v>
      </c>
      <c r="U493" s="19" t="n">
        <f aca="false">B493/MAX(B242:B493)-1</f>
        <v>-0.00387109713596512</v>
      </c>
      <c r="V493" s="17" t="n">
        <f aca="false">(B493-AVERAGE(B474:B493))/STDEV(B474:B493)</f>
        <v>1.20813021592808</v>
      </c>
    </row>
    <row r="494" customFormat="false" ht="15" hidden="false" customHeight="false" outlineLevel="0" collapsed="false">
      <c r="A494" s="17" t="s">
        <v>1058</v>
      </c>
      <c r="B494" s="17" t="n">
        <v>7228.04</v>
      </c>
      <c r="C494" s="19" t="n">
        <f aca="false">B494/B493-1</f>
        <v>-0.00322282149264763</v>
      </c>
      <c r="D494" s="17" t="n">
        <f aca="false">AVERAGE(B445:B494)</f>
        <v>6892.2536</v>
      </c>
      <c r="E494" s="17" t="n">
        <f aca="false">AVERAGE(B295:B494)</f>
        <v>6555.7314</v>
      </c>
      <c r="F494" s="17" t="n">
        <f aca="false">B494*2/13+F493*11/13</f>
        <v>7183.92979725184</v>
      </c>
      <c r="G494" s="17" t="n">
        <f aca="false">B494*2/27+G493*25/27</f>
        <v>7079.06204330055</v>
      </c>
      <c r="H494" s="17" t="n">
        <f aca="false">F494-G494</f>
        <v>104.867753951292</v>
      </c>
      <c r="I494" s="17" t="n">
        <f aca="false">H494*2/10+I493*8/10</f>
        <v>102.270627383635</v>
      </c>
      <c r="J494" s="17" t="n">
        <f aca="false">H494-I494</f>
        <v>2.59712656765666</v>
      </c>
      <c r="K494" s="17" t="n">
        <f aca="false">MAX(B494-B493,0)</f>
        <v>0</v>
      </c>
      <c r="L494" s="17" t="n">
        <f aca="false">MAX(B493-B494,0)</f>
        <v>23.3699999999999</v>
      </c>
      <c r="M494" s="17" t="n">
        <f aca="false">(M493*13+K494)/14</f>
        <v>24.3873937025869</v>
      </c>
      <c r="N494" s="17" t="n">
        <f aca="false">(N493*13+L494)/14</f>
        <v>12.4380029541454</v>
      </c>
      <c r="O494" s="17" t="n">
        <f aca="false">IF(N494=0,100,100-100/(1+M494/N494))</f>
        <v>66.2243883749952</v>
      </c>
      <c r="P494" s="17" t="n">
        <f aca="false">AVERAGE(B475:B494)+2*STDEV(B475:B494)</f>
        <v>7364.60721703103</v>
      </c>
      <c r="Q494" s="17" t="n">
        <f aca="false">AVERAGE(B475:B494)-2*STDEV(B475:B494)</f>
        <v>6848.99378296897</v>
      </c>
      <c r="R494" s="19" t="n">
        <f aca="false">B494/B474-1</f>
        <v>0.0467031495048171</v>
      </c>
      <c r="S494" s="17" t="n">
        <f aca="false">STDEV(C475:C494)*SQRT(252)*100</f>
        <v>9.48188363271448</v>
      </c>
      <c r="T494" s="19" t="n">
        <f aca="false">B473/B243-1</f>
        <v>0.199070605678002</v>
      </c>
      <c r="U494" s="19" t="n">
        <f aca="false">B494/MAX(B243:B494)-1</f>
        <v>-0.00708144277356282</v>
      </c>
      <c r="V494" s="17" t="n">
        <f aca="false">(B494-AVERAGE(B475:B494))/STDEV(B475:B494)</f>
        <v>0.940545703356586</v>
      </c>
    </row>
    <row r="495" customFormat="false" ht="15" hidden="false" customHeight="false" outlineLevel="0" collapsed="false">
      <c r="A495" s="17" t="s">
        <v>1059</v>
      </c>
      <c r="B495" s="17" t="n">
        <v>7280.7</v>
      </c>
      <c r="C495" s="19" t="n">
        <f aca="false">B495/B494-1</f>
        <v>0.00728551585215365</v>
      </c>
      <c r="D495" s="17" t="n">
        <f aca="false">AVERAGE(B446:B495)</f>
        <v>6905.5502</v>
      </c>
      <c r="E495" s="17" t="n">
        <f aca="false">AVERAGE(B296:B495)</f>
        <v>6562.1954</v>
      </c>
      <c r="F495" s="17" t="n">
        <f aca="false">B495*2/13+F494*11/13</f>
        <v>7198.81752075156</v>
      </c>
      <c r="G495" s="17" t="n">
        <f aca="false">B495*2/27+G494*25/27</f>
        <v>7093.99818824125</v>
      </c>
      <c r="H495" s="17" t="n">
        <f aca="false">F495-G495</f>
        <v>104.819332510308</v>
      </c>
      <c r="I495" s="17" t="n">
        <f aca="false">H495*2/10+I494*8/10</f>
        <v>102.78036840897</v>
      </c>
      <c r="J495" s="17" t="n">
        <f aca="false">H495-I495</f>
        <v>2.03896410133854</v>
      </c>
      <c r="K495" s="17" t="n">
        <f aca="false">MAX(B495-B494,0)</f>
        <v>52.6599999999999</v>
      </c>
      <c r="L495" s="17" t="n">
        <f aca="false">MAX(B494-B495,0)</f>
        <v>0</v>
      </c>
      <c r="M495" s="17" t="n">
        <f aca="false">(M494*13+K495)/14</f>
        <v>26.4068655809735</v>
      </c>
      <c r="N495" s="17" t="n">
        <f aca="false">(N494*13+L495)/14</f>
        <v>11.5495741717064</v>
      </c>
      <c r="O495" s="17" t="n">
        <f aca="false">IF(N495=0,100,100-100/(1+M495/N495))</f>
        <v>69.5715028939432</v>
      </c>
      <c r="P495" s="17" t="n">
        <f aca="false">AVERAGE(B476:B495)+2*STDEV(B476:B495)</f>
        <v>7374.52137849991</v>
      </c>
      <c r="Q495" s="17" t="n">
        <f aca="false">AVERAGE(B476:B495)-2*STDEV(B476:B495)</f>
        <v>6877.78762150009</v>
      </c>
      <c r="R495" s="19" t="n">
        <f aca="false">B495/B475-1</f>
        <v>0.056150469564612</v>
      </c>
      <c r="S495" s="17" t="n">
        <f aca="false">STDEV(C476:C495)*SQRT(252)*100</f>
        <v>9.51376747712946</v>
      </c>
      <c r="T495" s="19" t="n">
        <f aca="false">B474/B244-1</f>
        <v>0.194234563908695</v>
      </c>
      <c r="U495" s="19" t="n">
        <f aca="false">B495/MAX(B244:B495)-1</f>
        <v>0</v>
      </c>
      <c r="V495" s="17" t="n">
        <f aca="false">(B495-AVERAGE(B476:B495))/STDEV(B476:B495)</f>
        <v>1.24449363726295</v>
      </c>
    </row>
    <row r="496" customFormat="false" ht="15" hidden="false" customHeight="false" outlineLevel="0" collapsed="false">
      <c r="A496" s="17" t="s">
        <v>1060</v>
      </c>
      <c r="B496" s="17" t="n">
        <v>7217.49</v>
      </c>
      <c r="C496" s="19" t="n">
        <f aca="false">B496/B495-1</f>
        <v>-0.00868185751370065</v>
      </c>
      <c r="D496" s="17" t="n">
        <f aca="false">AVERAGE(B447:B496)</f>
        <v>6918.2312</v>
      </c>
      <c r="E496" s="17" t="n">
        <f aca="false">AVERAGE(B297:B496)</f>
        <v>6568.6192</v>
      </c>
      <c r="F496" s="17" t="n">
        <f aca="false">B496*2/13+F495*11/13</f>
        <v>7201.6902098667</v>
      </c>
      <c r="G496" s="17" t="n">
        <f aca="false">B496*2/27+G495*25/27</f>
        <v>7103.14572985301</v>
      </c>
      <c r="H496" s="17" t="n">
        <f aca="false">F496-G496</f>
        <v>98.5444800136938</v>
      </c>
      <c r="I496" s="17" t="n">
        <f aca="false">H496*2/10+I495*8/10</f>
        <v>101.933190729915</v>
      </c>
      <c r="J496" s="17" t="n">
        <f aca="false">H496-I496</f>
        <v>-3.38871071622084</v>
      </c>
      <c r="K496" s="17" t="n">
        <f aca="false">MAX(B496-B495,0)</f>
        <v>0</v>
      </c>
      <c r="L496" s="17" t="n">
        <f aca="false">MAX(B495-B496,0)</f>
        <v>63.21</v>
      </c>
      <c r="M496" s="17" t="n">
        <f aca="false">(M495*13+K496)/14</f>
        <v>24.5206608966183</v>
      </c>
      <c r="N496" s="17" t="n">
        <f aca="false">(N495*13+L496)/14</f>
        <v>15.2396045880131</v>
      </c>
      <c r="O496" s="17" t="n">
        <f aca="false">IF(N496=0,100,100-100/(1+M496/N496))</f>
        <v>61.6712705454552</v>
      </c>
      <c r="P496" s="17" t="n">
        <f aca="false">AVERAGE(B477:B496)+2*STDEV(B477:B496)</f>
        <v>7376.92535231483</v>
      </c>
      <c r="Q496" s="17" t="n">
        <f aca="false">AVERAGE(B477:B496)-2*STDEV(B477:B496)</f>
        <v>6901.76964768517</v>
      </c>
      <c r="R496" s="19" t="n">
        <f aca="false">B496/B476-1</f>
        <v>0.037945648531774</v>
      </c>
      <c r="S496" s="17" t="n">
        <f aca="false">STDEV(C477:C496)*SQRT(252)*100</f>
        <v>10.0571891713132</v>
      </c>
      <c r="T496" s="19" t="n">
        <f aca="false">B475/B245-1</f>
        <v>0.192694645381297</v>
      </c>
      <c r="U496" s="19" t="n">
        <f aca="false">B496/MAX(B245:B496)-1</f>
        <v>-0.00868185751370065</v>
      </c>
      <c r="V496" s="17" t="n">
        <f aca="false">(B496-AVERAGE(B477:B496))/STDEV(B477:B496)</f>
        <v>0.657826470259087</v>
      </c>
    </row>
    <row r="497" customFormat="false" ht="15" hidden="false" customHeight="false" outlineLevel="0" collapsed="false">
      <c r="A497" s="17" t="s">
        <v>1061</v>
      </c>
      <c r="B497" s="17" t="n">
        <v>7197.51</v>
      </c>
      <c r="C497" s="19" t="n">
        <f aca="false">B497/B496-1</f>
        <v>-0.00276827539767976</v>
      </c>
      <c r="D497" s="17" t="n">
        <f aca="false">AVERAGE(B448:B497)</f>
        <v>6929.0562</v>
      </c>
      <c r="E497" s="17" t="n">
        <f aca="false">AVERAGE(B298:B497)</f>
        <v>6574.8511</v>
      </c>
      <c r="F497" s="17" t="n">
        <f aca="false">B497*2/13+F496*11/13</f>
        <v>7201.04710065644</v>
      </c>
      <c r="G497" s="17" t="n">
        <f aca="false">B497*2/27+G496*25/27</f>
        <v>7110.13567578982</v>
      </c>
      <c r="H497" s="17" t="n">
        <f aca="false">F497-G497</f>
        <v>90.9114248666183</v>
      </c>
      <c r="I497" s="17" t="n">
        <f aca="false">H497*2/10+I496*8/10</f>
        <v>99.7288375572554</v>
      </c>
      <c r="J497" s="17" t="n">
        <f aca="false">H497-I497</f>
        <v>-8.81741269063711</v>
      </c>
      <c r="K497" s="17" t="n">
        <f aca="false">MAX(B497-B496,0)</f>
        <v>0</v>
      </c>
      <c r="L497" s="17" t="n">
        <f aca="false">MAX(B496-B497,0)</f>
        <v>19.9799999999996</v>
      </c>
      <c r="M497" s="17" t="n">
        <f aca="false">(M496*13+K497)/14</f>
        <v>22.7691851182884</v>
      </c>
      <c r="N497" s="17" t="n">
        <f aca="false">(N496*13+L497)/14</f>
        <v>15.5782042602979</v>
      </c>
      <c r="O497" s="17" t="n">
        <f aca="false">IF(N497=0,100,100-100/(1+M497/N497))</f>
        <v>59.3761022256265</v>
      </c>
      <c r="P497" s="17" t="n">
        <f aca="false">AVERAGE(B478:B497)+2*STDEV(B478:B497)</f>
        <v>7372.95548428092</v>
      </c>
      <c r="Q497" s="17" t="n">
        <f aca="false">AVERAGE(B478:B497)-2*STDEV(B478:B497)</f>
        <v>6930.52051571908</v>
      </c>
      <c r="R497" s="19" t="n">
        <f aca="false">B497/B477-1</f>
        <v>0.0356576542872356</v>
      </c>
      <c r="S497" s="17" t="n">
        <f aca="false">STDEV(C478:C497)*SQRT(252)*100</f>
        <v>10.1582123578014</v>
      </c>
      <c r="T497" s="19" t="n">
        <f aca="false">B476/B246-1</f>
        <v>0.198259209286055</v>
      </c>
      <c r="U497" s="19" t="n">
        <f aca="false">B497/MAX(B246:B497)-1</f>
        <v>-0.011426099138819</v>
      </c>
      <c r="V497" s="17" t="n">
        <f aca="false">(B497-AVERAGE(B478:B497))/STDEV(B478:B497)</f>
        <v>0.413819008463861</v>
      </c>
    </row>
    <row r="498" customFormat="false" ht="15" hidden="false" customHeight="false" outlineLevel="0" collapsed="false">
      <c r="A498" s="17" t="s">
        <v>1062</v>
      </c>
      <c r="B498" s="17" t="n">
        <v>7038.17</v>
      </c>
      <c r="C498" s="19" t="n">
        <f aca="false">B498/B497-1</f>
        <v>-0.0221382116870974</v>
      </c>
      <c r="D498" s="17" t="n">
        <f aca="false">AVERAGE(B449:B498)</f>
        <v>6937.2528</v>
      </c>
      <c r="E498" s="17" t="n">
        <f aca="false">AVERAGE(B299:B498)</f>
        <v>6580.2204</v>
      </c>
      <c r="F498" s="17" t="n">
        <f aca="false">B498*2/13+F497*11/13</f>
        <v>7175.98908517084</v>
      </c>
      <c r="G498" s="17" t="n">
        <f aca="false">B498*2/27+G497*25/27</f>
        <v>7104.80488499058</v>
      </c>
      <c r="H498" s="17" t="n">
        <f aca="false">F498-G498</f>
        <v>71.1842001802588</v>
      </c>
      <c r="I498" s="17" t="n">
        <f aca="false">H498*2/10+I497*8/10</f>
        <v>94.0199100818561</v>
      </c>
      <c r="J498" s="17" t="n">
        <f aca="false">H498-I498</f>
        <v>-22.8357099015973</v>
      </c>
      <c r="K498" s="17" t="n">
        <f aca="false">MAX(B498-B497,0)</f>
        <v>0</v>
      </c>
      <c r="L498" s="17" t="n">
        <f aca="false">MAX(B497-B498,0)</f>
        <v>159.34</v>
      </c>
      <c r="M498" s="17" t="n">
        <f aca="false">(M497*13+K498)/14</f>
        <v>21.1428147526964</v>
      </c>
      <c r="N498" s="17" t="n">
        <f aca="false">(N497*13+L498)/14</f>
        <v>25.8469039559909</v>
      </c>
      <c r="O498" s="17" t="n">
        <f aca="false">IF(N498=0,100,100-100/(1+M498/N498))</f>
        <v>44.9945548382003</v>
      </c>
      <c r="P498" s="17" t="n">
        <f aca="false">AVERAGE(B479:B498)+2*STDEV(B479:B498)</f>
        <v>7365.1812274662</v>
      </c>
      <c r="Q498" s="17" t="n">
        <f aca="false">AVERAGE(B479:B498)-2*STDEV(B479:B498)</f>
        <v>6946.0197725338</v>
      </c>
      <c r="R498" s="19" t="n">
        <f aca="false">B498/B478-1</f>
        <v>0.0110976709975119</v>
      </c>
      <c r="S498" s="17" t="n">
        <f aca="false">STDEV(C479:C498)*SQRT(252)*100</f>
        <v>13.2391275075576</v>
      </c>
      <c r="T498" s="19" t="n">
        <f aca="false">B477/B247-1</f>
        <v>0.202871785640726</v>
      </c>
      <c r="U498" s="19" t="n">
        <f aca="false">B498/MAX(B247:B498)-1</f>
        <v>-0.0333113574244235</v>
      </c>
      <c r="V498" s="17" t="n">
        <f aca="false">(B498-AVERAGE(B479:B498))/STDEV(B479:B498)</f>
        <v>-1.12062307846447</v>
      </c>
    </row>
    <row r="499" customFormat="false" ht="15" hidden="false" customHeight="false" outlineLevel="0" collapsed="false">
      <c r="A499" s="17" t="s">
        <v>1063</v>
      </c>
      <c r="B499" s="17" t="n">
        <v>7068.2</v>
      </c>
      <c r="C499" s="19" t="n">
        <f aca="false">B499/B498-1</f>
        <v>0.00426673410844014</v>
      </c>
      <c r="D499" s="17" t="n">
        <f aca="false">AVERAGE(B450:B499)</f>
        <v>6945.1132</v>
      </c>
      <c r="E499" s="17" t="n">
        <f aca="false">AVERAGE(B300:B499)</f>
        <v>6585.99455</v>
      </c>
      <c r="F499" s="17" t="n">
        <f aca="false">B499*2/13+F498*11/13</f>
        <v>7159.40614899071</v>
      </c>
      <c r="G499" s="17" t="n">
        <f aca="false">B499*2/27+G498*25/27</f>
        <v>7102.09341202831</v>
      </c>
      <c r="H499" s="17" t="n">
        <f aca="false">F499-G499</f>
        <v>57.3127369623944</v>
      </c>
      <c r="I499" s="17" t="n">
        <f aca="false">H499*2/10+I498*8/10</f>
        <v>86.6784754579637</v>
      </c>
      <c r="J499" s="17" t="n">
        <f aca="false">H499-I499</f>
        <v>-29.3657384955693</v>
      </c>
      <c r="K499" s="17" t="n">
        <f aca="false">MAX(B499-B498,0)</f>
        <v>30.0299999999997</v>
      </c>
      <c r="L499" s="17" t="n">
        <f aca="false">MAX(B498-B499,0)</f>
        <v>0</v>
      </c>
      <c r="M499" s="17" t="n">
        <f aca="false">(M498*13+K499)/14</f>
        <v>21.7776136989323</v>
      </c>
      <c r="N499" s="17" t="n">
        <f aca="false">(N498*13+L499)/14</f>
        <v>24.000696530563</v>
      </c>
      <c r="O499" s="17" t="n">
        <f aca="false">IF(N499=0,100,100-100/(1+M499/N499))</f>
        <v>47.5719037897141</v>
      </c>
      <c r="P499" s="17" t="n">
        <f aca="false">AVERAGE(B480:B499)+2*STDEV(B480:B499)</f>
        <v>7347.8185251232</v>
      </c>
      <c r="Q499" s="17" t="n">
        <f aca="false">AVERAGE(B480:B499)-2*STDEV(B480:B499)</f>
        <v>6977.5484748768</v>
      </c>
      <c r="R499" s="19" t="n">
        <f aca="false">B499/B479-1</f>
        <v>0.0204517695703772</v>
      </c>
      <c r="S499" s="17" t="n">
        <f aca="false">STDEV(C480:C499)*SQRT(252)*100</f>
        <v>13.132511328463</v>
      </c>
      <c r="T499" s="19" t="n">
        <f aca="false">B478/B248-1</f>
        <v>0.227329148741096</v>
      </c>
      <c r="U499" s="19" t="n">
        <f aca="false">B499/MAX(B248:B499)-1</f>
        <v>-0.0291867540209045</v>
      </c>
      <c r="V499" s="17" t="n">
        <f aca="false">(B499-AVERAGE(B480:B499))/STDEV(B480:B499)</f>
        <v>-1.02069827075806</v>
      </c>
    </row>
    <row r="500" customFormat="false" ht="15" hidden="false" customHeight="false" outlineLevel="0" collapsed="false">
      <c r="A500" s="17" t="s">
        <v>1064</v>
      </c>
      <c r="B500" s="17" t="n">
        <v>6969.67</v>
      </c>
      <c r="C500" s="19" t="n">
        <f aca="false">B500/B499-1</f>
        <v>-0.0139398998330551</v>
      </c>
      <c r="D500" s="17" t="n">
        <f aca="false">AVERAGE(B451:B500)</f>
        <v>6948.1792</v>
      </c>
      <c r="E500" s="17" t="n">
        <f aca="false">AVERAGE(B301:B500)</f>
        <v>6590.94025</v>
      </c>
      <c r="F500" s="17" t="n">
        <f aca="false">B500*2/13+F499*11/13</f>
        <v>7130.2159722229</v>
      </c>
      <c r="G500" s="17" t="n">
        <f aca="false">B500*2/27+G499*25/27</f>
        <v>7092.28427039659</v>
      </c>
      <c r="H500" s="17" t="n">
        <f aca="false">F500-G500</f>
        <v>37.9317018263191</v>
      </c>
      <c r="I500" s="17" t="n">
        <f aca="false">H500*2/10+I499*8/10</f>
        <v>76.9291207316348</v>
      </c>
      <c r="J500" s="17" t="n">
        <f aca="false">H500-I500</f>
        <v>-38.9974189053157</v>
      </c>
      <c r="K500" s="17" t="n">
        <f aca="false">MAX(B500-B499,0)</f>
        <v>0</v>
      </c>
      <c r="L500" s="17" t="n">
        <f aca="false">MAX(B499-B500,0)</f>
        <v>98.5299999999998</v>
      </c>
      <c r="M500" s="17" t="n">
        <f aca="false">(M499*13+K500)/14</f>
        <v>20.2220698632943</v>
      </c>
      <c r="N500" s="17" t="n">
        <f aca="false">(N499*13+L500)/14</f>
        <v>29.3242182069513</v>
      </c>
      <c r="O500" s="17" t="n">
        <f aca="false">IF(N500=0,100,100-100/(1+M500/N500))</f>
        <v>40.8145002399048</v>
      </c>
      <c r="P500" s="17" t="n">
        <f aca="false">AVERAGE(B481:B500)+2*STDEV(B481:B500)</f>
        <v>7348.92169131334</v>
      </c>
      <c r="Q500" s="17" t="n">
        <f aca="false">AVERAGE(B481:B500)-2*STDEV(B481:B500)</f>
        <v>6975.77530868667</v>
      </c>
      <c r="R500" s="19" t="n">
        <f aca="false">B500/B480-1</f>
        <v>-0.000960384841973694</v>
      </c>
      <c r="S500" s="17" t="n">
        <f aca="false">STDEV(C481:C500)*SQRT(252)*100</f>
        <v>13.9380874886136</v>
      </c>
      <c r="T500" s="19" t="n">
        <f aca="false">B479/B249-1</f>
        <v>0.203981206425136</v>
      </c>
      <c r="U500" s="19" t="n">
        <f aca="false">B500/MAX(B249:B500)-1</f>
        <v>-0.0427197934264563</v>
      </c>
      <c r="V500" s="17" t="n">
        <f aca="false">(B500-AVERAGE(B481:B500))/STDEV(B481:B500)</f>
        <v>-2.06544679483358</v>
      </c>
    </row>
    <row r="501" customFormat="false" ht="15" hidden="false" customHeight="false" outlineLevel="0" collapsed="false">
      <c r="A501" s="17" t="s">
        <v>1065</v>
      </c>
      <c r="B501" s="17" t="n">
        <v>7031.6</v>
      </c>
      <c r="C501" s="19" t="n">
        <f aca="false">B501/B500-1</f>
        <v>0.00888564307922768</v>
      </c>
      <c r="D501" s="17" t="n">
        <f aca="false">AVERAGE(B452:B501)</f>
        <v>6952.147</v>
      </c>
      <c r="E501" s="17" t="n">
        <f aca="false">AVERAGE(B302:B501)</f>
        <v>6596.12005</v>
      </c>
      <c r="F501" s="17" t="n">
        <f aca="false">B501*2/13+F500*11/13</f>
        <v>7115.04428418861</v>
      </c>
      <c r="G501" s="17" t="n">
        <f aca="false">B501*2/27+G500*25/27</f>
        <v>7087.7891392561</v>
      </c>
      <c r="H501" s="17" t="n">
        <f aca="false">F501-G501</f>
        <v>27.2551449325129</v>
      </c>
      <c r="I501" s="17" t="n">
        <f aca="false">H501*2/10+I500*8/10</f>
        <v>66.9943255718104</v>
      </c>
      <c r="J501" s="17" t="n">
        <f aca="false">H501-I501</f>
        <v>-39.7391806392976</v>
      </c>
      <c r="K501" s="17" t="n">
        <f aca="false">MAX(B501-B500,0)</f>
        <v>61.9300000000003</v>
      </c>
      <c r="L501" s="17" t="n">
        <f aca="false">MAX(B500-B501,0)</f>
        <v>0</v>
      </c>
      <c r="M501" s="17" t="n">
        <f aca="false">(M500*13+K501)/14</f>
        <v>23.2012077302019</v>
      </c>
      <c r="N501" s="17" t="n">
        <f aca="false">(N500*13+L501)/14</f>
        <v>27.2296311921691</v>
      </c>
      <c r="O501" s="17" t="n">
        <f aca="false">IF(N501=0,100,100-100/(1+M501/N501))</f>
        <v>46.0059920199144</v>
      </c>
      <c r="P501" s="17" t="n">
        <f aca="false">AVERAGE(B482:B501)+2*STDEV(B482:B501)</f>
        <v>7339.87394623446</v>
      </c>
      <c r="Q501" s="17" t="n">
        <f aca="false">AVERAGE(B482:B501)-2*STDEV(B482:B501)</f>
        <v>6991.21005376554</v>
      </c>
      <c r="R501" s="19" t="n">
        <f aca="false">B501/B481-1</f>
        <v>0.00916654347972745</v>
      </c>
      <c r="S501" s="17" t="n">
        <f aca="false">STDEV(C482:C501)*SQRT(252)*100</f>
        <v>14.2789824535507</v>
      </c>
      <c r="T501" s="19" t="n">
        <f aca="false">B480/B250-1</f>
        <v>0.234096111459008</v>
      </c>
      <c r="U501" s="19" t="n">
        <f aca="false">B501/MAX(B250:B501)-1</f>
        <v>-0.0342137431840345</v>
      </c>
      <c r="V501" s="17" t="n">
        <f aca="false">(B501-AVERAGE(B482:B501))/STDEV(B482:B501)</f>
        <v>-1.53663172921685</v>
      </c>
    </row>
    <row r="502" customFormat="false" ht="15" hidden="false" customHeight="false" outlineLevel="0" collapsed="false">
      <c r="A502" s="17" t="s">
        <v>1066</v>
      </c>
      <c r="B502" s="17" t="n">
        <v>7040.8</v>
      </c>
      <c r="C502" s="19" t="n">
        <f aca="false">B502/B501-1</f>
        <v>0.00130837931622962</v>
      </c>
      <c r="D502" s="17" t="n">
        <f aca="false">AVERAGE(B453:B502)</f>
        <v>6957.4652</v>
      </c>
      <c r="E502" s="17" t="n">
        <f aca="false">AVERAGE(B303:B502)</f>
        <v>6601.30215</v>
      </c>
      <c r="F502" s="17" t="n">
        <f aca="false">B502*2/13+F501*11/13</f>
        <v>7103.62208662113</v>
      </c>
      <c r="G502" s="17" t="n">
        <f aca="false">B502*2/27+G501*25/27</f>
        <v>7084.30846227417</v>
      </c>
      <c r="H502" s="17" t="n">
        <f aca="false">F502-G502</f>
        <v>19.3136243469662</v>
      </c>
      <c r="I502" s="17" t="n">
        <f aca="false">H502*2/10+I501*8/10</f>
        <v>57.4581853268416</v>
      </c>
      <c r="J502" s="17" t="n">
        <f aca="false">H502-I502</f>
        <v>-38.1445609798754</v>
      </c>
      <c r="K502" s="17" t="n">
        <f aca="false">MAX(B502-B501,0)</f>
        <v>9.19999999999982</v>
      </c>
      <c r="L502" s="17" t="n">
        <f aca="false">MAX(B501-B502,0)</f>
        <v>0</v>
      </c>
      <c r="M502" s="17" t="n">
        <f aca="false">(M501*13+K502)/14</f>
        <v>22.2011214637589</v>
      </c>
      <c r="N502" s="17" t="n">
        <f aca="false">(N501*13+L502)/14</f>
        <v>25.2846575355856</v>
      </c>
      <c r="O502" s="17" t="n">
        <f aca="false">IF(N502=0,100,100-100/(1+M502/N502))</f>
        <v>46.7532004983331</v>
      </c>
      <c r="P502" s="17" t="n">
        <f aca="false">AVERAGE(B483:B502)+2*STDEV(B483:B502)</f>
        <v>7342.95649091416</v>
      </c>
      <c r="Q502" s="17" t="n">
        <f aca="false">AVERAGE(B483:B502)-2*STDEV(B483:B502)</f>
        <v>6983.81450908584</v>
      </c>
      <c r="R502" s="19" t="n">
        <f aca="false">B502/B482-1</f>
        <v>-0.00608842831592071</v>
      </c>
      <c r="S502" s="17" t="n">
        <f aca="false">STDEV(C483:C502)*SQRT(252)*100</f>
        <v>12.9491467593653</v>
      </c>
      <c r="T502" s="19" t="n">
        <f aca="false">B481/B251-1</f>
        <v>0.233899187521693</v>
      </c>
      <c r="U502" s="19" t="n">
        <f aca="false">B502/MAX(B251:B502)-1</f>
        <v>-0.0329501284217176</v>
      </c>
      <c r="V502" s="17" t="n">
        <f aca="false">(B502-AVERAGE(B483:B502))/STDEV(B483:B502)</f>
        <v>-1.36531518120982</v>
      </c>
    </row>
    <row r="503" customFormat="false" ht="15" hidden="false" customHeight="false" outlineLevel="0" collapsed="false">
      <c r="A503" s="17" t="s">
        <v>1067</v>
      </c>
      <c r="B503" s="17" t="n">
        <v>7097.82</v>
      </c>
      <c r="C503" s="19" t="n">
        <f aca="false">B503/B502-1</f>
        <v>0.0080985115327803</v>
      </c>
      <c r="D503" s="17" t="n">
        <f aca="false">AVERAGE(B454:B503)</f>
        <v>6966.0666</v>
      </c>
      <c r="E503" s="17" t="n">
        <f aca="false">AVERAGE(B304:B503)</f>
        <v>6606.94715</v>
      </c>
      <c r="F503" s="17" t="n">
        <f aca="false">B503*2/13+F502*11/13</f>
        <v>7102.72945791019</v>
      </c>
      <c r="G503" s="17" t="n">
        <f aca="false">B503*2/27+G502*25/27</f>
        <v>7085.30931692052</v>
      </c>
      <c r="H503" s="17" t="n">
        <f aca="false">F503-G503</f>
        <v>17.420140989665</v>
      </c>
      <c r="I503" s="17" t="n">
        <f aca="false">H503*2/10+I502*8/10</f>
        <v>49.4505764594063</v>
      </c>
      <c r="J503" s="17" t="n">
        <f aca="false">H503-I503</f>
        <v>-32.0304354697413</v>
      </c>
      <c r="K503" s="17" t="n">
        <f aca="false">MAX(B503-B502,0)</f>
        <v>57.0199999999995</v>
      </c>
      <c r="L503" s="17" t="n">
        <f aca="false">MAX(B502-B503,0)</f>
        <v>0</v>
      </c>
      <c r="M503" s="17" t="n">
        <f aca="false">(M502*13+K503)/14</f>
        <v>24.6881842163475</v>
      </c>
      <c r="N503" s="17" t="n">
        <f aca="false">(N502*13+L503)/14</f>
        <v>23.478610568758</v>
      </c>
      <c r="O503" s="17" t="n">
        <f aca="false">IF(N503=0,100,100-100/(1+M503/N503))</f>
        <v>51.2556094431713</v>
      </c>
      <c r="P503" s="17" t="n">
        <f aca="false">AVERAGE(B484:B503)+2*STDEV(B484:B503)</f>
        <v>7342.88375957197</v>
      </c>
      <c r="Q503" s="17" t="n">
        <f aca="false">AVERAGE(B484:B503)-2*STDEV(B484:B503)</f>
        <v>6979.31224042803</v>
      </c>
      <c r="R503" s="19" t="n">
        <f aca="false">B503/B483-1</f>
        <v>-0.00640436084478768</v>
      </c>
      <c r="S503" s="17" t="n">
        <f aca="false">STDEV(C484:C503)*SQRT(252)*100</f>
        <v>12.921077043997</v>
      </c>
      <c r="T503" s="19" t="n">
        <f aca="false">B482/B252-1</f>
        <v>0.26567458048655</v>
      </c>
      <c r="U503" s="19" t="n">
        <f aca="false">B503/MAX(B252:B503)-1</f>
        <v>-0.0251184638839672</v>
      </c>
      <c r="V503" s="17" t="n">
        <f aca="false">(B503-AVERAGE(B484:B503))/STDEV(B484:B503)</f>
        <v>-0.696182144839</v>
      </c>
    </row>
    <row r="504" customFormat="false" ht="15" hidden="false" customHeight="false" outlineLevel="0" collapsed="false">
      <c r="A504" s="17" t="s">
        <v>1068</v>
      </c>
      <c r="B504" s="17" t="n">
        <v>7014.55</v>
      </c>
      <c r="C504" s="19" t="n">
        <f aca="false">B504/B503-1</f>
        <v>-0.0117317711635403</v>
      </c>
      <c r="D504" s="17" t="n">
        <f aca="false">AVERAGE(B455:B504)</f>
        <v>6973.3816</v>
      </c>
      <c r="E504" s="17" t="n">
        <f aca="false">AVERAGE(B305:B504)</f>
        <v>6612.0799</v>
      </c>
      <c r="F504" s="17" t="n">
        <f aca="false">B504*2/13+F503*11/13</f>
        <v>7089.16338746247</v>
      </c>
      <c r="G504" s="17" t="n">
        <f aca="false">B504*2/27+G503*25/27</f>
        <v>7080.06788603752</v>
      </c>
      <c r="H504" s="17" t="n">
        <f aca="false">F504-G504</f>
        <v>9.09550142494663</v>
      </c>
      <c r="I504" s="17" t="n">
        <f aca="false">H504*2/10+I503*8/10</f>
        <v>41.3795614525143</v>
      </c>
      <c r="J504" s="17" t="n">
        <f aca="false">H504-I504</f>
        <v>-32.2840600275677</v>
      </c>
      <c r="K504" s="17" t="n">
        <f aca="false">MAX(B504-B503,0)</f>
        <v>0</v>
      </c>
      <c r="L504" s="17" t="n">
        <f aca="false">MAX(B503-B504,0)</f>
        <v>83.2699999999995</v>
      </c>
      <c r="M504" s="17" t="n">
        <f aca="false">(M503*13+K504)/14</f>
        <v>22.9247424866084</v>
      </c>
      <c r="N504" s="17" t="n">
        <f aca="false">(N503*13+L504)/14</f>
        <v>27.749424099561</v>
      </c>
      <c r="O504" s="17" t="n">
        <f aca="false">IF(N504=0,100,100-100/(1+M504/N504))</f>
        <v>45.2395057107171</v>
      </c>
      <c r="P504" s="17" t="n">
        <f aca="false">AVERAGE(B485:B504)+2*STDEV(B485:B504)</f>
        <v>7346.66363621032</v>
      </c>
      <c r="Q504" s="17" t="n">
        <f aca="false">AVERAGE(B485:B504)-2*STDEV(B485:B504)</f>
        <v>6960.31236378968</v>
      </c>
      <c r="R504" s="19" t="n">
        <f aca="false">B504/B484-1</f>
        <v>-0.0212369623609028</v>
      </c>
      <c r="S504" s="17" t="n">
        <f aca="false">STDEV(C485:C504)*SQRT(252)*100</f>
        <v>13.4601139303171</v>
      </c>
      <c r="T504" s="19" t="n">
        <f aca="false">B483/B253-1</f>
        <v>0.264612786387245</v>
      </c>
      <c r="U504" s="19" t="n">
        <f aca="false">B504/MAX(B253:B504)-1</f>
        <v>-0.0365555509772412</v>
      </c>
      <c r="V504" s="17" t="n">
        <f aca="false">(B504-AVERAGE(B485:B504))/STDEV(B485:B504)</f>
        <v>-1.43846297313321</v>
      </c>
    </row>
    <row r="505" customFormat="false" ht="15" hidden="false" customHeight="false" outlineLevel="0" collapsed="false">
      <c r="A505" s="17" t="s">
        <v>1069</v>
      </c>
      <c r="B505" s="17" t="n">
        <v>7101.05</v>
      </c>
      <c r="C505" s="19" t="n">
        <f aca="false">B505/B504-1</f>
        <v>0.0123315109308508</v>
      </c>
      <c r="D505" s="17" t="n">
        <f aca="false">AVERAGE(B456:B505)</f>
        <v>6985.2216</v>
      </c>
      <c r="E505" s="17" t="n">
        <f aca="false">AVERAGE(B306:B505)</f>
        <v>6617.67955</v>
      </c>
      <c r="F505" s="17" t="n">
        <f aca="false">B505*2/13+F504*11/13</f>
        <v>7090.99209708363</v>
      </c>
      <c r="G505" s="17" t="n">
        <f aca="false">B505*2/27+G504*25/27</f>
        <v>7081.62211670141</v>
      </c>
      <c r="H505" s="17" t="n">
        <f aca="false">F505-G505</f>
        <v>9.36998038221736</v>
      </c>
      <c r="I505" s="17" t="n">
        <f aca="false">H505*2/10+I504*8/10</f>
        <v>34.977645238455</v>
      </c>
      <c r="J505" s="17" t="n">
        <f aca="false">H505-I505</f>
        <v>-25.6076648562376</v>
      </c>
      <c r="K505" s="17" t="n">
        <f aca="false">MAX(B505-B504,0)</f>
        <v>86.5</v>
      </c>
      <c r="L505" s="17" t="n">
        <f aca="false">MAX(B504-B505,0)</f>
        <v>0</v>
      </c>
      <c r="M505" s="17" t="n">
        <f aca="false">(M504*13+K505)/14</f>
        <v>27.4658323089935</v>
      </c>
      <c r="N505" s="17" t="n">
        <f aca="false">(N504*13+L505)/14</f>
        <v>25.7673223781638</v>
      </c>
      <c r="O505" s="17" t="n">
        <f aca="false">IF(N505=0,100,100-100/(1+M505/N505))</f>
        <v>51.59534968462</v>
      </c>
      <c r="P505" s="17" t="n">
        <f aca="false">AVERAGE(B486:B505)+2*STDEV(B486:B505)</f>
        <v>7340.64061421249</v>
      </c>
      <c r="Q505" s="17" t="n">
        <f aca="false">AVERAGE(B486:B505)-2*STDEV(B486:B505)</f>
        <v>6955.43238578751</v>
      </c>
      <c r="R505" s="19" t="n">
        <f aca="false">B505/B485-1</f>
        <v>-0.0151218849166722</v>
      </c>
      <c r="S505" s="17" t="n">
        <f aca="false">STDEV(C486:C505)*SQRT(252)*100</f>
        <v>14.0699875457979</v>
      </c>
      <c r="T505" s="19" t="n">
        <f aca="false">B484/B254-1</f>
        <v>0.280256882045053</v>
      </c>
      <c r="U505" s="19" t="n">
        <f aca="false">B505/MAX(B254:B505)-1</f>
        <v>-0.0246748252228494</v>
      </c>
      <c r="V505" s="17" t="n">
        <f aca="false">(B505-AVERAGE(B486:B505))/STDEV(B486:B505)</f>
        <v>-0.487907542288132</v>
      </c>
    </row>
    <row r="506" customFormat="false" ht="15" hidden="false" customHeight="false" outlineLevel="0" collapsed="false">
      <c r="A506" s="17" t="s">
        <v>1070</v>
      </c>
      <c r="B506" s="17" t="n">
        <v>7207.33</v>
      </c>
      <c r="C506" s="19" t="n">
        <f aca="false">B506/B505-1</f>
        <v>0.0149668006844057</v>
      </c>
      <c r="D506" s="17" t="n">
        <f aca="false">AVERAGE(B457:B506)</f>
        <v>6999.0894</v>
      </c>
      <c r="E506" s="17" t="n">
        <f aca="false">AVERAGE(B307:B506)</f>
        <v>6623.7608</v>
      </c>
      <c r="F506" s="17" t="n">
        <f aca="false">B506*2/13+F505*11/13</f>
        <v>7108.89023599384</v>
      </c>
      <c r="G506" s="17" t="n">
        <f aca="false">B506*2/27+G505*25/27</f>
        <v>7090.93381176057</v>
      </c>
      <c r="H506" s="17" t="n">
        <f aca="false">F506-G506</f>
        <v>17.9564242332726</v>
      </c>
      <c r="I506" s="17" t="n">
        <f aca="false">H506*2/10+I505*8/10</f>
        <v>31.5734010374185</v>
      </c>
      <c r="J506" s="17" t="n">
        <f aca="false">H506-I506</f>
        <v>-13.6169768041459</v>
      </c>
      <c r="K506" s="17" t="n">
        <f aca="false">MAX(B506-B505,0)</f>
        <v>106.28</v>
      </c>
      <c r="L506" s="17" t="n">
        <f aca="false">MAX(B505-B506,0)</f>
        <v>0</v>
      </c>
      <c r="M506" s="17" t="n">
        <f aca="false">(M505*13+K506)/14</f>
        <v>33.0954157154939</v>
      </c>
      <c r="N506" s="17" t="n">
        <f aca="false">(N505*13+L506)/14</f>
        <v>23.9267993511521</v>
      </c>
      <c r="O506" s="17" t="n">
        <f aca="false">IF(N506=0,100,100-100/(1+M506/N506))</f>
        <v>58.0395126299687</v>
      </c>
      <c r="P506" s="17" t="n">
        <f aca="false">AVERAGE(B487:B506)+2*STDEV(B487:B506)</f>
        <v>7345.1847316934</v>
      </c>
      <c r="Q506" s="17" t="n">
        <f aca="false">AVERAGE(B487:B506)-2*STDEV(B487:B506)</f>
        <v>6956.3382683066</v>
      </c>
      <c r="R506" s="19" t="n">
        <f aca="false">B506/B486-1</f>
        <v>0.0076193618469893</v>
      </c>
      <c r="S506" s="17" t="n">
        <f aca="false">STDEV(C487:C506)*SQRT(252)*100</f>
        <v>14.8402370777943</v>
      </c>
      <c r="T506" s="19" t="n">
        <f aca="false">B485/B255-1</f>
        <v>0.274660698280023</v>
      </c>
      <c r="U506" s="19" t="n">
        <f aca="false">B506/MAX(B255:B506)-1</f>
        <v>-0.0100773277294766</v>
      </c>
      <c r="V506" s="17" t="n">
        <f aca="false">(B506-AVERAGE(B487:B506))/STDEV(B487:B506)</f>
        <v>0.581910911646676</v>
      </c>
    </row>
    <row r="507" customFormat="false" ht="15" hidden="false" customHeight="false" outlineLevel="0" collapsed="false">
      <c r="A507" s="17" t="s">
        <v>1071</v>
      </c>
      <c r="B507" s="17" t="n">
        <v>7276</v>
      </c>
      <c r="C507" s="19" t="n">
        <f aca="false">B507/B506-1</f>
        <v>0.00952780017010468</v>
      </c>
      <c r="D507" s="17" t="n">
        <f aca="false">AVERAGE(B458:B507)</f>
        <v>7011.6164</v>
      </c>
      <c r="E507" s="17" t="n">
        <f aca="false">AVERAGE(B308:B507)</f>
        <v>6630.27275</v>
      </c>
      <c r="F507" s="17" t="n">
        <f aca="false">B507*2/13+F506*11/13</f>
        <v>7134.59943045633</v>
      </c>
      <c r="G507" s="17" t="n">
        <f aca="false">B507*2/27+G506*25/27</f>
        <v>7104.64241829682</v>
      </c>
      <c r="H507" s="17" t="n">
        <f aca="false">F507-G507</f>
        <v>29.9570121595061</v>
      </c>
      <c r="I507" s="17" t="n">
        <f aca="false">H507*2/10+I506*8/10</f>
        <v>31.250123261836</v>
      </c>
      <c r="J507" s="17" t="n">
        <f aca="false">H507-I507</f>
        <v>-1.29311110232989</v>
      </c>
      <c r="K507" s="17" t="n">
        <f aca="false">MAX(B507-B506,0)</f>
        <v>68.6700000000001</v>
      </c>
      <c r="L507" s="17" t="n">
        <f aca="false">MAX(B506-B507,0)</f>
        <v>0</v>
      </c>
      <c r="M507" s="17" t="n">
        <f aca="false">(M506*13+K507)/14</f>
        <v>35.6364574501015</v>
      </c>
      <c r="N507" s="17" t="n">
        <f aca="false">(N506*13+L507)/14</f>
        <v>22.2177422546412</v>
      </c>
      <c r="O507" s="17" t="n">
        <f aca="false">IF(N507=0,100,100-100/(1+M507/N507))</f>
        <v>61.5970104711001</v>
      </c>
      <c r="P507" s="17" t="n">
        <f aca="false">AVERAGE(B488:B507)+2*STDEV(B488:B507)</f>
        <v>7359.27047627495</v>
      </c>
      <c r="Q507" s="17" t="n">
        <f aca="false">AVERAGE(B488:B507)-2*STDEV(B488:B507)</f>
        <v>6954.59052372505</v>
      </c>
      <c r="R507" s="19" t="n">
        <f aca="false">B507/B487-1</f>
        <v>0.0172496232149897</v>
      </c>
      <c r="S507" s="17" t="n">
        <f aca="false">STDEV(C488:C507)*SQRT(252)*100</f>
        <v>15.1854864697801</v>
      </c>
      <c r="T507" s="19" t="n">
        <f aca="false">B486/B256-1</f>
        <v>0.256171684974931</v>
      </c>
      <c r="U507" s="19" t="n">
        <f aca="false">B507/MAX(B256:B507)-1</f>
        <v>-0.000645542324227089</v>
      </c>
      <c r="V507" s="17" t="n">
        <f aca="false">(B507-AVERAGE(B488:B507))/STDEV(B488:B507)</f>
        <v>1.17692511575866</v>
      </c>
    </row>
    <row r="508" customFormat="false" ht="15" hidden="false" customHeight="false" outlineLevel="0" collapsed="false">
      <c r="A508" s="17" t="s">
        <v>1072</v>
      </c>
      <c r="B508" s="17" t="n">
        <v>7282.6</v>
      </c>
      <c r="C508" s="19" t="n">
        <f aca="false">B508/B507-1</f>
        <v>0.0009070918086862</v>
      </c>
      <c r="D508" s="17" t="n">
        <f aca="false">AVERAGE(B459:B508)</f>
        <v>7024.1414</v>
      </c>
      <c r="E508" s="17" t="n">
        <f aca="false">AVERAGE(B309:B508)</f>
        <v>6637.0112</v>
      </c>
      <c r="F508" s="17" t="n">
        <f aca="false">B508*2/13+F507*11/13</f>
        <v>7157.36874884766</v>
      </c>
      <c r="G508" s="17" t="n">
        <f aca="false">B508*2/27+G507*25/27</f>
        <v>7117.82446138594</v>
      </c>
      <c r="H508" s="17" t="n">
        <f aca="false">F508-G508</f>
        <v>39.5442874617156</v>
      </c>
      <c r="I508" s="17" t="n">
        <f aca="false">H508*2/10+I507*8/10</f>
        <v>32.9089561018119</v>
      </c>
      <c r="J508" s="17" t="n">
        <f aca="false">H508-I508</f>
        <v>6.63533135990368</v>
      </c>
      <c r="K508" s="17" t="n">
        <f aca="false">MAX(B508-B507,0)</f>
        <v>6.60000000000036</v>
      </c>
      <c r="L508" s="17" t="n">
        <f aca="false">MAX(B507-B508,0)</f>
        <v>0</v>
      </c>
      <c r="M508" s="17" t="n">
        <f aca="false">(M507*13+K508)/14</f>
        <v>33.5624247750943</v>
      </c>
      <c r="N508" s="17" t="n">
        <f aca="false">(N507*13+L508)/14</f>
        <v>20.630760665024</v>
      </c>
      <c r="O508" s="17" t="n">
        <f aca="false">IF(N508=0,100,100-100/(1+M508/N508))</f>
        <v>61.9310795306168</v>
      </c>
      <c r="P508" s="17" t="n">
        <f aca="false">AVERAGE(B489:B508)+2*STDEV(B489:B508)</f>
        <v>7372.63912006135</v>
      </c>
      <c r="Q508" s="17" t="n">
        <f aca="false">AVERAGE(B489:B508)-2*STDEV(B489:B508)</f>
        <v>6952.63387993865</v>
      </c>
      <c r="R508" s="19" t="n">
        <f aca="false">B508/B488-1</f>
        <v>0.0159196928777092</v>
      </c>
      <c r="S508" s="17" t="n">
        <f aca="false">STDEV(C489:C508)*SQRT(252)*100</f>
        <v>15.1775207628203</v>
      </c>
      <c r="T508" s="19" t="n">
        <f aca="false">B487/B257-1</f>
        <v>0.252691863112543</v>
      </c>
      <c r="U508" s="19" t="n">
        <f aca="false">B508/MAX(B257:B508)-1</f>
        <v>0</v>
      </c>
      <c r="V508" s="17" t="n">
        <f aca="false">(B508-AVERAGE(B489:B508))/STDEV(B489:B508)</f>
        <v>1.14249526948715</v>
      </c>
    </row>
    <row r="509" customFormat="false" ht="15" hidden="false" customHeight="false" outlineLevel="0" collapsed="false">
      <c r="A509" s="17" t="s">
        <v>1073</v>
      </c>
      <c r="B509" s="17" t="n">
        <v>7243.98</v>
      </c>
      <c r="C509" s="19" t="n">
        <f aca="false">B509/B508-1</f>
        <v>-0.00530305110812079</v>
      </c>
      <c r="D509" s="17" t="n">
        <f aca="false">AVERAGE(B460:B509)</f>
        <v>7036.9096</v>
      </c>
      <c r="E509" s="17" t="n">
        <f aca="false">AVERAGE(B310:B509)</f>
        <v>6643.5695</v>
      </c>
      <c r="F509" s="17" t="n">
        <f aca="false">B509*2/13+F508*11/13</f>
        <v>7170.69355671725</v>
      </c>
      <c r="G509" s="17" t="n">
        <f aca="false">B509*2/27+G508*25/27</f>
        <v>7127.1693160981</v>
      </c>
      <c r="H509" s="17" t="n">
        <f aca="false">F509-G509</f>
        <v>43.5242406191546</v>
      </c>
      <c r="I509" s="17" t="n">
        <f aca="false">H509*2/10+I508*8/10</f>
        <v>35.0320130052805</v>
      </c>
      <c r="J509" s="17" t="n">
        <f aca="false">H509-I509</f>
        <v>8.49222761387416</v>
      </c>
      <c r="K509" s="17" t="n">
        <f aca="false">MAX(B509-B508,0)</f>
        <v>0</v>
      </c>
      <c r="L509" s="17" t="n">
        <f aca="false">MAX(B508-B509,0)</f>
        <v>38.6200000000008</v>
      </c>
      <c r="M509" s="17" t="n">
        <f aca="false">(M508*13+K509)/14</f>
        <v>31.1651087197304</v>
      </c>
      <c r="N509" s="17" t="n">
        <f aca="false">(N508*13+L509)/14</f>
        <v>21.915706331808</v>
      </c>
      <c r="O509" s="17" t="n">
        <f aca="false">IF(N509=0,100,100-100/(1+M509/N509))</f>
        <v>58.71256628119</v>
      </c>
      <c r="P509" s="17" t="n">
        <f aca="false">AVERAGE(B490:B509)+2*STDEV(B490:B509)</f>
        <v>7376.56814260292</v>
      </c>
      <c r="Q509" s="17" t="n">
        <f aca="false">AVERAGE(B490:B509)-2*STDEV(B490:B509)</f>
        <v>6952.18485739708</v>
      </c>
      <c r="R509" s="19" t="n">
        <f aca="false">B509/B489-1</f>
        <v>0.00482717868051563</v>
      </c>
      <c r="S509" s="17" t="n">
        <f aca="false">STDEV(C490:C509)*SQRT(252)*100</f>
        <v>15.2131550941981</v>
      </c>
      <c r="T509" s="19" t="n">
        <f aca="false">B488/B258-1</f>
        <v>0.240446793967762</v>
      </c>
      <c r="U509" s="19" t="n">
        <f aca="false">B509/MAX(B258:B509)-1</f>
        <v>-0.00530305110812079</v>
      </c>
      <c r="V509" s="17" t="n">
        <f aca="false">(B509-AVERAGE(B490:B509))/STDEV(B490:B509)</f>
        <v>0.750298164654511</v>
      </c>
    </row>
    <row r="510" customFormat="false" ht="15" hidden="false" customHeight="false" outlineLevel="0" collapsed="false">
      <c r="A510" s="17" t="s">
        <v>1074</v>
      </c>
      <c r="B510" s="17" t="n">
        <v>7366.25</v>
      </c>
      <c r="C510" s="19" t="n">
        <f aca="false">B510/B509-1</f>
        <v>0.0168788428460598</v>
      </c>
      <c r="D510" s="17" t="n">
        <f aca="false">AVERAGE(B461:B510)</f>
        <v>7050.5954</v>
      </c>
      <c r="E510" s="17" t="n">
        <f aca="false">AVERAGE(B311:B510)</f>
        <v>6651.064</v>
      </c>
      <c r="F510" s="17" t="n">
        <f aca="false">B510*2/13+F509*11/13</f>
        <v>7200.77916337613</v>
      </c>
      <c r="G510" s="17" t="n">
        <f aca="false">B510*2/27+G509*25/27</f>
        <v>7144.87899638713</v>
      </c>
      <c r="H510" s="17" t="n">
        <f aca="false">F510-G510</f>
        <v>55.9001669890085</v>
      </c>
      <c r="I510" s="17" t="n">
        <f aca="false">H510*2/10+I509*8/10</f>
        <v>39.2056438020261</v>
      </c>
      <c r="J510" s="17" t="n">
        <f aca="false">H510-I510</f>
        <v>16.6945231869825</v>
      </c>
      <c r="K510" s="17" t="n">
        <f aca="false">MAX(B510-B509,0)</f>
        <v>122.27</v>
      </c>
      <c r="L510" s="17" t="n">
        <f aca="false">MAX(B509-B510,0)</f>
        <v>0</v>
      </c>
      <c r="M510" s="17" t="n">
        <f aca="false">(M509*13+K510)/14</f>
        <v>37.6726009540354</v>
      </c>
      <c r="N510" s="17" t="n">
        <f aca="false">(N509*13+L510)/14</f>
        <v>20.3502987366789</v>
      </c>
      <c r="O510" s="17" t="n">
        <f aca="false">IF(N510=0,100,100-100/(1+M510/N510))</f>
        <v>64.9271255915263</v>
      </c>
      <c r="P510" s="17" t="n">
        <f aca="false">AVERAGE(B491:B510)+2*STDEV(B491:B510)</f>
        <v>7402.60016887401</v>
      </c>
      <c r="Q510" s="17" t="n">
        <f aca="false">AVERAGE(B491:B510)-2*STDEV(B491:B510)</f>
        <v>6942.25183112599</v>
      </c>
      <c r="R510" s="19" t="n">
        <f aca="false">B510/B490-1</f>
        <v>0.0223433991278594</v>
      </c>
      <c r="S510" s="17" t="n">
        <f aca="false">STDEV(C491:C510)*SQRT(252)*100</f>
        <v>16.3051784669599</v>
      </c>
      <c r="T510" s="19" t="n">
        <f aca="false">B489/B259-1</f>
        <v>0.24438667716144</v>
      </c>
      <c r="U510" s="19" t="n">
        <f aca="false">B510/MAX(B259:B510)-1</f>
        <v>0</v>
      </c>
      <c r="V510" s="17" t="n">
        <f aca="false">(B510-AVERAGE(B491:B510))/STDEV(B491:B510)</f>
        <v>1.6841507537372</v>
      </c>
    </row>
    <row r="511" customFormat="false" ht="15" hidden="false" customHeight="false" outlineLevel="0" collapsed="false">
      <c r="A511" s="17" t="s">
        <v>1075</v>
      </c>
      <c r="B511" s="17" t="n">
        <v>7375.82</v>
      </c>
      <c r="C511" s="19" t="n">
        <f aca="false">B511/B510-1</f>
        <v>0.00129916850500589</v>
      </c>
      <c r="D511" s="17" t="n">
        <f aca="false">AVERAGE(B462:B511)</f>
        <v>7065.2222</v>
      </c>
      <c r="E511" s="17" t="n">
        <f aca="false">AVERAGE(B312:B511)</f>
        <v>6658.5364</v>
      </c>
      <c r="F511" s="17" t="n">
        <f aca="false">B511*2/13+F510*11/13</f>
        <v>7227.70852285673</v>
      </c>
      <c r="G511" s="17" t="n">
        <f aca="false">B511*2/27+G510*25/27</f>
        <v>7161.98573739549</v>
      </c>
      <c r="H511" s="17" t="n">
        <f aca="false">F511-G511</f>
        <v>65.722785461242</v>
      </c>
      <c r="I511" s="17" t="n">
        <f aca="false">H511*2/10+I510*8/10</f>
        <v>44.5090721338693</v>
      </c>
      <c r="J511" s="17" t="n">
        <f aca="false">H511-I511</f>
        <v>21.2137133273727</v>
      </c>
      <c r="K511" s="17" t="n">
        <f aca="false">MAX(B511-B510,0)</f>
        <v>9.56999999999971</v>
      </c>
      <c r="L511" s="17" t="n">
        <f aca="false">MAX(B510-B511,0)</f>
        <v>0</v>
      </c>
      <c r="M511" s="17" t="n">
        <f aca="false">(M510*13+K511)/14</f>
        <v>35.6652723144614</v>
      </c>
      <c r="N511" s="17" t="n">
        <f aca="false">(N510*13+L511)/14</f>
        <v>18.8967059697733</v>
      </c>
      <c r="O511" s="17" t="n">
        <f aca="false">IF(N511=0,100,100-100/(1+M511/N511))</f>
        <v>65.3665307527287</v>
      </c>
      <c r="P511" s="17" t="n">
        <f aca="false">AVERAGE(B492:B511)+2*STDEV(B492:B511)</f>
        <v>7420.4950800842</v>
      </c>
      <c r="Q511" s="17" t="n">
        <f aca="false">AVERAGE(B492:B511)-2*STDEV(B492:B511)</f>
        <v>6933.9799199158</v>
      </c>
      <c r="R511" s="19" t="n">
        <f aca="false">B511/B491-1</f>
        <v>0.0132191510785635</v>
      </c>
      <c r="S511" s="17" t="n">
        <f aca="false">STDEV(C492:C511)*SQRT(252)*100</f>
        <v>15.9434296590892</v>
      </c>
      <c r="T511" s="19" t="n">
        <f aca="false">B490/B260-1</f>
        <v>0.234183156106117</v>
      </c>
      <c r="U511" s="19" t="n">
        <f aca="false">B511/MAX(B260:B511)-1</f>
        <v>0</v>
      </c>
      <c r="V511" s="17" t="n">
        <f aca="false">(B511-AVERAGE(B492:B511))/STDEV(B492:B511)</f>
        <v>1.6326932129413</v>
      </c>
    </row>
    <row r="512" customFormat="false" ht="15" hidden="false" customHeight="false" outlineLevel="0" collapsed="false">
      <c r="A512" s="17" t="s">
        <v>1076</v>
      </c>
      <c r="B512" s="17" t="n">
        <v>7357.9</v>
      </c>
      <c r="C512" s="19" t="n">
        <f aca="false">B512/B511-1</f>
        <v>-0.0024295603743042</v>
      </c>
      <c r="D512" s="17" t="n">
        <f aca="false">AVERAGE(B463:B512)</f>
        <v>7079.5106</v>
      </c>
      <c r="E512" s="17" t="n">
        <f aca="false">AVERAGE(B313:B512)</f>
        <v>6665.63695</v>
      </c>
      <c r="F512" s="17" t="n">
        <f aca="false">B512*2/13+F511*11/13</f>
        <v>7247.73798087877</v>
      </c>
      <c r="G512" s="17" t="n">
        <f aca="false">B512*2/27+G511*25/27</f>
        <v>7176.49790499582</v>
      </c>
      <c r="H512" s="17" t="n">
        <f aca="false">F512-G512</f>
        <v>71.240075882949</v>
      </c>
      <c r="I512" s="17" t="n">
        <f aca="false">H512*2/10+I511*8/10</f>
        <v>49.8552728836852</v>
      </c>
      <c r="J512" s="17" t="n">
        <f aca="false">H512-I512</f>
        <v>21.3848029992638</v>
      </c>
      <c r="K512" s="17" t="n">
        <f aca="false">MAX(B512-B511,0)</f>
        <v>0</v>
      </c>
      <c r="L512" s="17" t="n">
        <f aca="false">MAX(B511-B512,0)</f>
        <v>17.9200000000001</v>
      </c>
      <c r="M512" s="17" t="n">
        <f aca="false">(M511*13+K512)/14</f>
        <v>33.1177528634285</v>
      </c>
      <c r="N512" s="17" t="n">
        <f aca="false">(N511*13+L512)/14</f>
        <v>18.8269412576466</v>
      </c>
      <c r="O512" s="17" t="n">
        <f aca="false">IF(N512=0,100,100-100/(1+M512/N512))</f>
        <v>63.7557953199919</v>
      </c>
      <c r="P512" s="17" t="n">
        <f aca="false">AVERAGE(B493:B512)+2*STDEV(B493:B512)</f>
        <v>7436.58401231074</v>
      </c>
      <c r="Q512" s="17" t="n">
        <f aca="false">AVERAGE(B493:B512)-2*STDEV(B493:B512)</f>
        <v>6928.10498768927</v>
      </c>
      <c r="R512" s="19" t="n">
        <f aca="false">B512/B492-1</f>
        <v>0.0140770918552984</v>
      </c>
      <c r="S512" s="17" t="n">
        <f aca="false">STDEV(C493:C512)*SQRT(252)*100</f>
        <v>15.9182924384273</v>
      </c>
      <c r="T512" s="19" t="n">
        <f aca="false">B491/B261-1</f>
        <v>0.246560634548799</v>
      </c>
      <c r="U512" s="19" t="n">
        <f aca="false">B512/MAX(B261:B512)-1</f>
        <v>-0.0024295603743042</v>
      </c>
      <c r="V512" s="17" t="n">
        <f aca="false">(B512-AVERAGE(B493:B512))/STDEV(B493:B512)</f>
        <v>1.38102451821441</v>
      </c>
    </row>
    <row r="513" customFormat="false" ht="15" hidden="false" customHeight="false" outlineLevel="0" collapsed="false">
      <c r="A513" s="17" t="s">
        <v>1077</v>
      </c>
      <c r="B513" s="17" t="n">
        <v>7403.89</v>
      </c>
      <c r="C513" s="19" t="n">
        <f aca="false">B513/B512-1</f>
        <v>0.00625042471357329</v>
      </c>
      <c r="D513" s="17" t="n">
        <f aca="false">AVERAGE(B464:B513)</f>
        <v>7092.206</v>
      </c>
      <c r="E513" s="17" t="n">
        <f aca="false">AVERAGE(B314:B513)</f>
        <v>6672.99105</v>
      </c>
      <c r="F513" s="17" t="n">
        <f aca="false">B513*2/13+F512*11/13</f>
        <v>7271.76136843588</v>
      </c>
      <c r="G513" s="17" t="n">
        <f aca="false">B513*2/27+G512*25/27</f>
        <v>7193.34176388502</v>
      </c>
      <c r="H513" s="17" t="n">
        <f aca="false">F513-G513</f>
        <v>78.4196045508625</v>
      </c>
      <c r="I513" s="17" t="n">
        <f aca="false">H513*2/10+I512*8/10</f>
        <v>55.5681392171207</v>
      </c>
      <c r="J513" s="17" t="n">
        <f aca="false">H513-I513</f>
        <v>22.8514653337418</v>
      </c>
      <c r="K513" s="17" t="n">
        <f aca="false">MAX(B513-B512,0)</f>
        <v>45.9900000000007</v>
      </c>
      <c r="L513" s="17" t="n">
        <f aca="false">MAX(B512-B513,0)</f>
        <v>0</v>
      </c>
      <c r="M513" s="17" t="n">
        <f aca="false">(M512*13+K513)/14</f>
        <v>34.0371990874694</v>
      </c>
      <c r="N513" s="17" t="n">
        <f aca="false">(N512*13+L513)/14</f>
        <v>17.4821597392433</v>
      </c>
      <c r="O513" s="17" t="n">
        <f aca="false">IF(N513=0,100,100-100/(1+M513/N513))</f>
        <v>66.0668142279387</v>
      </c>
      <c r="P513" s="17" t="n">
        <f aca="false">AVERAGE(B494:B513)+2*STDEV(B494:B513)</f>
        <v>7461.48628984268</v>
      </c>
      <c r="Q513" s="17" t="n">
        <f aca="false">AVERAGE(B494:B513)-2*STDEV(B494:B513)</f>
        <v>6918.45071015732</v>
      </c>
      <c r="R513" s="19" t="n">
        <f aca="false">B513/B493-1</f>
        <v>0.0210276346255418</v>
      </c>
      <c r="S513" s="17" t="n">
        <f aca="false">STDEV(C494:C513)*SQRT(252)*100</f>
        <v>16.0267713791351</v>
      </c>
      <c r="T513" s="19" t="n">
        <f aca="false">B492/B262-1</f>
        <v>0.233951803540756</v>
      </c>
      <c r="U513" s="19" t="n">
        <f aca="false">B513/MAX(B262:B513)-1</f>
        <v>0</v>
      </c>
      <c r="V513" s="17" t="n">
        <f aca="false">(B513-AVERAGE(B494:B513))/STDEV(B494:B513)</f>
        <v>1.57574573749993</v>
      </c>
    </row>
    <row r="514" customFormat="false" ht="15" hidden="false" customHeight="false" outlineLevel="0" collapsed="false">
      <c r="A514" s="17" t="s">
        <v>1078</v>
      </c>
      <c r="B514" s="17" t="n">
        <v>7390.13</v>
      </c>
      <c r="C514" s="19" t="n">
        <f aca="false">B514/B513-1</f>
        <v>-0.00185848250041532</v>
      </c>
      <c r="D514" s="17" t="n">
        <f aca="false">AVERAGE(B465:B514)</f>
        <v>7103.5712</v>
      </c>
      <c r="E514" s="17" t="n">
        <f aca="false">AVERAGE(B315:B514)</f>
        <v>6680.0452</v>
      </c>
      <c r="F514" s="17" t="n">
        <f aca="false">B514*2/13+F513*11/13</f>
        <v>7289.97192713805</v>
      </c>
      <c r="G514" s="17" t="n">
        <f aca="false">B514*2/27+G513*25/27</f>
        <v>7207.91867026391</v>
      </c>
      <c r="H514" s="17" t="n">
        <f aca="false">F514-G514</f>
        <v>82.0532568741464</v>
      </c>
      <c r="I514" s="17" t="n">
        <f aca="false">H514*2/10+I513*8/10</f>
        <v>60.8651627485258</v>
      </c>
      <c r="J514" s="17" t="n">
        <f aca="false">H514-I514</f>
        <v>21.1880941256206</v>
      </c>
      <c r="K514" s="17" t="n">
        <f aca="false">MAX(B514-B513,0)</f>
        <v>0</v>
      </c>
      <c r="L514" s="17" t="n">
        <f aca="false">MAX(B513-B514,0)</f>
        <v>13.7600000000002</v>
      </c>
      <c r="M514" s="17" t="n">
        <f aca="false">(M513*13+K514)/14</f>
        <v>31.6059705812215</v>
      </c>
      <c r="N514" s="17" t="n">
        <f aca="false">(N513*13+L514)/14</f>
        <v>17.2162911864402</v>
      </c>
      <c r="O514" s="17" t="n">
        <f aca="false">IF(N514=0,100,100-100/(1+M514/N514))</f>
        <v>64.7368012805918</v>
      </c>
      <c r="P514" s="17" t="n">
        <f aca="false">AVERAGE(B495:B514)+2*STDEV(B495:B514)</f>
        <v>7483.68613622303</v>
      </c>
      <c r="Q514" s="17" t="n">
        <f aca="false">AVERAGE(B495:B514)-2*STDEV(B495:B514)</f>
        <v>6912.45986377697</v>
      </c>
      <c r="R514" s="19" t="n">
        <f aca="false">B514/B494-1</f>
        <v>0.0224251664351609</v>
      </c>
      <c r="S514" s="17" t="n">
        <f aca="false">STDEV(C495:C514)*SQRT(252)*100</f>
        <v>15.9853450019577</v>
      </c>
      <c r="T514" s="19" t="n">
        <f aca="false">B493/B263-1</f>
        <v>0.225695383491995</v>
      </c>
      <c r="U514" s="19" t="n">
        <f aca="false">B514/MAX(B263:B514)-1</f>
        <v>-0.00185848250041532</v>
      </c>
      <c r="V514" s="17" t="n">
        <f aca="false">(B514-AVERAGE(B495:B514))/STDEV(B495:B514)</f>
        <v>1.34487511701859</v>
      </c>
    </row>
    <row r="515" customFormat="false" ht="15" hidden="false" customHeight="false" outlineLevel="0" collapsed="false">
      <c r="A515" s="17" t="s">
        <v>1079</v>
      </c>
      <c r="B515" s="17" t="n">
        <v>7352.36</v>
      </c>
      <c r="C515" s="19" t="n">
        <f aca="false">B515/B514-1</f>
        <v>-0.00511087085071582</v>
      </c>
      <c r="D515" s="17" t="n">
        <f aca="false">AVERAGE(B466:B515)</f>
        <v>7114.3088</v>
      </c>
      <c r="E515" s="17" t="n">
        <f aca="false">AVERAGE(B316:B515)</f>
        <v>6686.8974</v>
      </c>
      <c r="F515" s="17" t="n">
        <f aca="false">B515*2/13+F514*11/13</f>
        <v>7299.57009219374</v>
      </c>
      <c r="G515" s="17" t="n">
        <f aca="false">B515*2/27+G514*25/27</f>
        <v>7218.61802802214</v>
      </c>
      <c r="H515" s="17" t="n">
        <f aca="false">F515-G515</f>
        <v>80.9520641716008</v>
      </c>
      <c r="I515" s="17" t="n">
        <f aca="false">H515*2/10+I514*8/10</f>
        <v>64.8825430331408</v>
      </c>
      <c r="J515" s="17" t="n">
        <f aca="false">H515-I515</f>
        <v>16.06952113846</v>
      </c>
      <c r="K515" s="17" t="n">
        <f aca="false">MAX(B515-B514,0)</f>
        <v>0</v>
      </c>
      <c r="L515" s="17" t="n">
        <f aca="false">MAX(B514-B515,0)</f>
        <v>37.7700000000004</v>
      </c>
      <c r="M515" s="17" t="n">
        <f aca="false">(M514*13+K515)/14</f>
        <v>29.3484012539914</v>
      </c>
      <c r="N515" s="17" t="n">
        <f aca="false">(N514*13+L515)/14</f>
        <v>18.6844132445516</v>
      </c>
      <c r="O515" s="17" t="n">
        <f aca="false">IF(N515=0,100,100-100/(1+M515/N515))</f>
        <v>61.1007319899641</v>
      </c>
      <c r="P515" s="17" t="n">
        <f aca="false">AVERAGE(B496:B515)+2*STDEV(B496:B515)</f>
        <v>7493.36641930763</v>
      </c>
      <c r="Q515" s="17" t="n">
        <f aca="false">AVERAGE(B496:B515)-2*STDEV(B496:B515)</f>
        <v>6909.94558069237</v>
      </c>
      <c r="R515" s="19" t="n">
        <f aca="false">B515/B495-1</f>
        <v>0.0098424602030025</v>
      </c>
      <c r="S515" s="17" t="n">
        <f aca="false">STDEV(C496:C515)*SQRT(252)*100</f>
        <v>15.9606959784793</v>
      </c>
      <c r="T515" s="19" t="n">
        <f aca="false">B494/B264-1</f>
        <v>0.22070113929224</v>
      </c>
      <c r="U515" s="19" t="n">
        <f aca="false">B515/MAX(B264:B515)-1</f>
        <v>-0.00695985488709328</v>
      </c>
      <c r="V515" s="17" t="n">
        <f aca="false">(B515-AVERAGE(B496:B515))/STDEV(B496:B515)</f>
        <v>1.03324386120794</v>
      </c>
    </row>
    <row r="516" customFormat="false" ht="15" hidden="false" customHeight="false" outlineLevel="0" collapsed="false">
      <c r="A516" s="17" t="s">
        <v>1080</v>
      </c>
      <c r="B516" s="17" t="n">
        <v>7350.23</v>
      </c>
      <c r="C516" s="19" t="n">
        <f aca="false">B516/B515-1</f>
        <v>-0.000289702898117028</v>
      </c>
      <c r="D516" s="17" t="n">
        <f aca="false">AVERAGE(B467:B516)</f>
        <v>7123.4492</v>
      </c>
      <c r="E516" s="17" t="n">
        <f aca="false">AVERAGE(B317:B516)</f>
        <v>6693.67325</v>
      </c>
      <c r="F516" s="17" t="n">
        <f aca="false">B516*2/13+F515*11/13</f>
        <v>7307.36392416393</v>
      </c>
      <c r="G516" s="17" t="n">
        <f aca="false">B516*2/27+G515*25/27</f>
        <v>7228.36706298346</v>
      </c>
      <c r="H516" s="17" t="n">
        <f aca="false">F516-G516</f>
        <v>78.9968611804725</v>
      </c>
      <c r="I516" s="17" t="n">
        <f aca="false">H516*2/10+I515*8/10</f>
        <v>67.7054066626072</v>
      </c>
      <c r="J516" s="17" t="n">
        <f aca="false">H516-I516</f>
        <v>11.2914545178653</v>
      </c>
      <c r="K516" s="17" t="n">
        <f aca="false">MAX(B516-B515,0)</f>
        <v>0</v>
      </c>
      <c r="L516" s="17" t="n">
        <f aca="false">MAX(B515-B516,0)</f>
        <v>2.13000000000011</v>
      </c>
      <c r="M516" s="17" t="n">
        <f aca="false">(M515*13+K516)/14</f>
        <v>27.2520868787063</v>
      </c>
      <c r="N516" s="17" t="n">
        <f aca="false">(N515*13+L516)/14</f>
        <v>17.5019551556551</v>
      </c>
      <c r="O516" s="17" t="n">
        <f aca="false">IF(N516=0,100,100-100/(1+M516/N516))</f>
        <v>60.89301801563</v>
      </c>
      <c r="P516" s="17" t="n">
        <f aca="false">AVERAGE(B497:B516)+2*STDEV(B497:B516)</f>
        <v>7507.46505893318</v>
      </c>
      <c r="Q516" s="17" t="n">
        <f aca="false">AVERAGE(B497:B516)-2*STDEV(B497:B516)</f>
        <v>6909.12094106682</v>
      </c>
      <c r="R516" s="19" t="n">
        <f aca="false">B516/B496-1</f>
        <v>0.0183914352496504</v>
      </c>
      <c r="S516" s="17" t="n">
        <f aca="false">STDEV(C497:C516)*SQRT(252)*100</f>
        <v>15.5914495788112</v>
      </c>
      <c r="T516" s="19" t="n">
        <f aca="false">B495/B265-1</f>
        <v>0.229530205875846</v>
      </c>
      <c r="U516" s="19" t="n">
        <f aca="false">B516/MAX(B265:B516)-1</f>
        <v>-0.007247541495079</v>
      </c>
      <c r="V516" s="17" t="n">
        <f aca="false">(B516-AVERAGE(B497:B516))/STDEV(B497:B516)</f>
        <v>0.948865348630057</v>
      </c>
    </row>
    <row r="517" customFormat="false" ht="15" hidden="false" customHeight="false" outlineLevel="0" collapsed="false">
      <c r="A517" s="17" t="s">
        <v>1081</v>
      </c>
      <c r="B517" s="17" t="n">
        <v>7371.78</v>
      </c>
      <c r="C517" s="19" t="n">
        <f aca="false">B517/B516-1</f>
        <v>0.00293188104317821</v>
      </c>
      <c r="D517" s="17" t="n">
        <f aca="false">AVERAGE(B468:B517)</f>
        <v>7131.6138</v>
      </c>
      <c r="E517" s="17" t="n">
        <f aca="false">AVERAGE(B318:B517)</f>
        <v>6700.53795</v>
      </c>
      <c r="F517" s="17" t="n">
        <f aca="false">B517*2/13+F516*11/13</f>
        <v>7317.27408967717</v>
      </c>
      <c r="G517" s="17" t="n">
        <f aca="false">B517*2/27+G516*25/27</f>
        <v>7238.9902435032</v>
      </c>
      <c r="H517" s="17" t="n">
        <f aca="false">F517-G517</f>
        <v>78.2838461739693</v>
      </c>
      <c r="I517" s="17" t="n">
        <f aca="false">H517*2/10+I516*8/10</f>
        <v>69.8210945648796</v>
      </c>
      <c r="J517" s="17" t="n">
        <f aca="false">H517-I517</f>
        <v>8.46275160908974</v>
      </c>
      <c r="K517" s="17" t="n">
        <f aca="false">MAX(B517-B516,0)</f>
        <v>21.5500000000002</v>
      </c>
      <c r="L517" s="17" t="n">
        <f aca="false">MAX(B516-B517,0)</f>
        <v>0</v>
      </c>
      <c r="M517" s="17" t="n">
        <f aca="false">(M516*13+K517)/14</f>
        <v>26.8447949587987</v>
      </c>
      <c r="N517" s="17" t="n">
        <f aca="false">(N516*13+L517)/14</f>
        <v>16.2518155016797</v>
      </c>
      <c r="O517" s="17" t="n">
        <f aca="false">IF(N517=0,100,100-100/(1+M517/N517))</f>
        <v>62.2898057920741</v>
      </c>
      <c r="P517" s="17" t="n">
        <f aca="false">AVERAGE(B498:B517)+2*STDEV(B498:B517)</f>
        <v>7524.88099543263</v>
      </c>
      <c r="Q517" s="17" t="n">
        <f aca="false">AVERAGE(B498:B517)-2*STDEV(B498:B517)</f>
        <v>6909.13200456737</v>
      </c>
      <c r="R517" s="19" t="n">
        <f aca="false">B517/B497-1</f>
        <v>0.0242125401701421</v>
      </c>
      <c r="S517" s="17" t="n">
        <f aca="false">STDEV(C498:C517)*SQRT(252)*100</f>
        <v>15.5419965215957</v>
      </c>
      <c r="T517" s="19" t="n">
        <f aca="false">B496/B266-1</f>
        <v>0.214785478770048</v>
      </c>
      <c r="U517" s="19" t="n">
        <f aca="false">B517/MAX(B266:B517)-1</f>
        <v>-0.00433690938141984</v>
      </c>
      <c r="V517" s="17" t="n">
        <f aca="false">(B517-AVERAGE(B498:B517))/STDEV(B498:B517)</f>
        <v>1.00543242325098</v>
      </c>
    </row>
    <row r="518" customFormat="false" ht="15" hidden="false" customHeight="false" outlineLevel="0" collapsed="false">
      <c r="A518" s="17" t="s">
        <v>1082</v>
      </c>
      <c r="B518" s="17" t="n">
        <v>7406.25</v>
      </c>
      <c r="C518" s="19" t="n">
        <f aca="false">B518/B517-1</f>
        <v>0.00467593986798298</v>
      </c>
      <c r="D518" s="17" t="n">
        <f aca="false">AVERAGE(B469:B518)</f>
        <v>7140.6876</v>
      </c>
      <c r="E518" s="17" t="n">
        <f aca="false">AVERAGE(B319:B518)</f>
        <v>6707.2835</v>
      </c>
      <c r="F518" s="17" t="n">
        <f aca="false">B518*2/13+F517*11/13</f>
        <v>7330.9626912653</v>
      </c>
      <c r="G518" s="17" t="n">
        <f aca="false">B518*2/27+G517*25/27</f>
        <v>7251.37985509556</v>
      </c>
      <c r="H518" s="17" t="n">
        <f aca="false">F518-G518</f>
        <v>79.5828361697413</v>
      </c>
      <c r="I518" s="17" t="n">
        <f aca="false">H518*2/10+I517*8/10</f>
        <v>71.7734428858519</v>
      </c>
      <c r="J518" s="17" t="n">
        <f aca="false">H518-I518</f>
        <v>7.80939328388938</v>
      </c>
      <c r="K518" s="17" t="n">
        <f aca="false">MAX(B518-B517,0)</f>
        <v>34.4700000000003</v>
      </c>
      <c r="L518" s="17" t="n">
        <f aca="false">MAX(B517-B518,0)</f>
        <v>0</v>
      </c>
      <c r="M518" s="17" t="n">
        <f aca="false">(M517*13+K518)/14</f>
        <v>27.3894524617417</v>
      </c>
      <c r="N518" s="17" t="n">
        <f aca="false">(N517*13+L518)/14</f>
        <v>15.090971537274</v>
      </c>
      <c r="O518" s="17" t="n">
        <f aca="false">IF(N518=0,100,100-100/(1+M518/N518))</f>
        <v>64.4754686591083</v>
      </c>
      <c r="P518" s="17" t="n">
        <f aca="false">AVERAGE(B499:B518)+2*STDEV(B499:B518)</f>
        <v>7542.27694195635</v>
      </c>
      <c r="Q518" s="17" t="n">
        <f aca="false">AVERAGE(B499:B518)-2*STDEV(B499:B518)</f>
        <v>6928.54405804365</v>
      </c>
      <c r="R518" s="19" t="n">
        <f aca="false">B518/B498-1</f>
        <v>0.0522976853358188</v>
      </c>
      <c r="S518" s="17" t="n">
        <f aca="false">STDEV(C499:C518)*SQRT(252)*100</f>
        <v>12.8780657001566</v>
      </c>
      <c r="T518" s="19" t="n">
        <f aca="false">B497/B267-1</f>
        <v>0.213612335915962</v>
      </c>
      <c r="U518" s="19" t="n">
        <f aca="false">B518/MAX(B267:B518)-1</f>
        <v>0</v>
      </c>
      <c r="V518" s="17" t="n">
        <f aca="false">(B518-AVERAGE(B499:B518))/STDEV(B499:B518)</f>
        <v>1.11344530806861</v>
      </c>
    </row>
    <row r="519" customFormat="false" ht="15" hidden="false" customHeight="false" outlineLevel="0" collapsed="false">
      <c r="A519" s="17" t="s">
        <v>1083</v>
      </c>
      <c r="B519" s="17" t="n">
        <v>7508.59</v>
      </c>
      <c r="C519" s="19" t="n">
        <f aca="false">B519/B518-1</f>
        <v>0.0138180590717301</v>
      </c>
      <c r="D519" s="17" t="n">
        <f aca="false">AVERAGE(B470:B519)</f>
        <v>7151.572</v>
      </c>
      <c r="E519" s="17" t="n">
        <f aca="false">AVERAGE(B320:B519)</f>
        <v>6714.5036</v>
      </c>
      <c r="F519" s="17" t="n">
        <f aca="false">B519*2/13+F518*11/13</f>
        <v>7358.28996953218</v>
      </c>
      <c r="G519" s="17" t="n">
        <f aca="false">B519*2/27+G518*25/27</f>
        <v>7270.43245842181</v>
      </c>
      <c r="H519" s="17" t="n">
        <f aca="false">F519-G519</f>
        <v>87.8575111103646</v>
      </c>
      <c r="I519" s="17" t="n">
        <f aca="false">H519*2/10+I518*8/10</f>
        <v>74.9902565307545</v>
      </c>
      <c r="J519" s="17" t="n">
        <f aca="false">H519-I519</f>
        <v>12.8672545796101</v>
      </c>
      <c r="K519" s="17" t="n">
        <f aca="false">MAX(B519-B518,0)</f>
        <v>102.34</v>
      </c>
      <c r="L519" s="17" t="n">
        <f aca="false">MAX(B518-B519,0)</f>
        <v>0</v>
      </c>
      <c r="M519" s="17" t="n">
        <f aca="false">(M518*13+K519)/14</f>
        <v>32.7430630001887</v>
      </c>
      <c r="N519" s="17" t="n">
        <f aca="false">(N518*13+L519)/14</f>
        <v>14.0130449988973</v>
      </c>
      <c r="O519" s="17" t="n">
        <f aca="false">IF(N519=0,100,100-100/(1+M519/N519))</f>
        <v>70.0294879138117</v>
      </c>
      <c r="P519" s="17" t="n">
        <f aca="false">AVERAGE(B500:B519)+2*STDEV(B500:B519)</f>
        <v>7576.72654027499</v>
      </c>
      <c r="Q519" s="17" t="n">
        <f aca="false">AVERAGE(B500:B519)-2*STDEV(B500:B519)</f>
        <v>6938.13345972501</v>
      </c>
      <c r="R519" s="19" t="n">
        <f aca="false">B519/B499-1</f>
        <v>0.0623058204351887</v>
      </c>
      <c r="S519" s="17" t="n">
        <f aca="false">STDEV(C500:C519)*SQRT(252)*100</f>
        <v>13.4760725219968</v>
      </c>
      <c r="T519" s="19" t="n">
        <f aca="false">B498/B268-1</f>
        <v>0.182740604934185</v>
      </c>
      <c r="U519" s="19" t="n">
        <f aca="false">B519/MAX(B268:B519)-1</f>
        <v>0</v>
      </c>
      <c r="V519" s="17" t="n">
        <f aca="false">(B519-AVERAGE(B500:B519))/STDEV(B500:B519)</f>
        <v>1.57320840234405</v>
      </c>
    </row>
    <row r="520" customFormat="false" ht="15" hidden="false" customHeight="false" outlineLevel="0" collapsed="false">
      <c r="A520" s="17" t="s">
        <v>1084</v>
      </c>
      <c r="B520" s="17" t="n">
        <v>7400.75</v>
      </c>
      <c r="C520" s="19" t="n">
        <f aca="false">B520/B519-1</f>
        <v>-0.0143622171406349</v>
      </c>
      <c r="D520" s="17" t="n">
        <f aca="false">AVERAGE(B471:B520)</f>
        <v>7161.8162</v>
      </c>
      <c r="E520" s="17" t="n">
        <f aca="false">AVERAGE(B321:B520)</f>
        <v>6721.2147</v>
      </c>
      <c r="F520" s="17" t="n">
        <f aca="false">B520*2/13+F519*11/13</f>
        <v>7364.82228191184</v>
      </c>
      <c r="G520" s="17" t="n">
        <f aca="false">B520*2/27+G519*25/27</f>
        <v>7280.08560964983</v>
      </c>
      <c r="H520" s="17" t="n">
        <f aca="false">F520-G520</f>
        <v>84.7366722620154</v>
      </c>
      <c r="I520" s="17" t="n">
        <f aca="false">H520*2/10+I519*8/10</f>
        <v>76.9395396770067</v>
      </c>
      <c r="J520" s="17" t="n">
        <f aca="false">H520-I520</f>
        <v>7.79713258500877</v>
      </c>
      <c r="K520" s="17" t="n">
        <f aca="false">MAX(B520-B519,0)</f>
        <v>0</v>
      </c>
      <c r="L520" s="17" t="n">
        <f aca="false">MAX(B519-B520,0)</f>
        <v>107.84</v>
      </c>
      <c r="M520" s="17" t="n">
        <f aca="false">(M519*13+K520)/14</f>
        <v>30.4042727858895</v>
      </c>
      <c r="N520" s="17" t="n">
        <f aca="false">(N519*13+L520)/14</f>
        <v>20.714970356119</v>
      </c>
      <c r="O520" s="17" t="n">
        <f aca="false">IF(N520=0,100,100-100/(1+M520/N520))</f>
        <v>59.4771575577262</v>
      </c>
      <c r="P520" s="17" t="n">
        <f aca="false">AVERAGE(B501:B520)+2*STDEV(B501:B520)</f>
        <v>7573.74782677448</v>
      </c>
      <c r="Q520" s="17" t="n">
        <f aca="false">AVERAGE(B501:B520)-2*STDEV(B501:B520)</f>
        <v>6984.22017322552</v>
      </c>
      <c r="R520" s="19" t="n">
        <f aca="false">B520/B500-1</f>
        <v>0.0618508480315423</v>
      </c>
      <c r="S520" s="17" t="n">
        <f aca="false">STDEV(C501:C520)*SQRT(252)*100</f>
        <v>13.5473803425772</v>
      </c>
      <c r="T520" s="19" t="n">
        <f aca="false">B499/B269-1</f>
        <v>0.194551996525284</v>
      </c>
      <c r="U520" s="19" t="n">
        <f aca="false">B520/MAX(B269:B520)-1</f>
        <v>-0.0143622171406349</v>
      </c>
      <c r="V520" s="17" t="n">
        <f aca="false">(B520-AVERAGE(B501:B520))/STDEV(B501:B520)</f>
        <v>0.826193643449753</v>
      </c>
    </row>
    <row r="521" customFormat="false" ht="15" hidden="false" customHeight="false" outlineLevel="0" collapsed="false">
      <c r="A521" s="17" t="s">
        <v>1085</v>
      </c>
      <c r="B521" s="17" t="n">
        <v>7296.78</v>
      </c>
      <c r="C521" s="19" t="n">
        <f aca="false">B521/B520-1</f>
        <v>-0.0140485761578218</v>
      </c>
      <c r="D521" s="17" t="n">
        <f aca="false">AVERAGE(B472:B521)</f>
        <v>7169.1524</v>
      </c>
      <c r="E521" s="17" t="n">
        <f aca="false">AVERAGE(B322:B521)</f>
        <v>6727.381</v>
      </c>
      <c r="F521" s="17" t="n">
        <f aca="false">B521*2/13+F520*11/13</f>
        <v>7354.35423854079</v>
      </c>
      <c r="G521" s="17" t="n">
        <f aca="false">B521*2/27+G520*25/27</f>
        <v>7281.32223115725</v>
      </c>
      <c r="H521" s="17" t="n">
        <f aca="false">F521-G521</f>
        <v>73.0320073835428</v>
      </c>
      <c r="I521" s="17" t="n">
        <f aca="false">H521*2/10+I520*8/10</f>
        <v>76.1580332183139</v>
      </c>
      <c r="J521" s="17" t="n">
        <f aca="false">H521-I521</f>
        <v>-3.12602583477107</v>
      </c>
      <c r="K521" s="17" t="n">
        <f aca="false">MAX(B521-B520,0)</f>
        <v>0</v>
      </c>
      <c r="L521" s="17" t="n">
        <f aca="false">MAX(B520-B521,0)</f>
        <v>103.97</v>
      </c>
      <c r="M521" s="17" t="n">
        <f aca="false">(M520*13+K521)/14</f>
        <v>28.2325390154689</v>
      </c>
      <c r="N521" s="17" t="n">
        <f aca="false">(N520*13+L521)/14</f>
        <v>26.6617581878248</v>
      </c>
      <c r="O521" s="17" t="n">
        <f aca="false">IF(N521=0,100,100-100/(1+M521/N521))</f>
        <v>51.4307322505896</v>
      </c>
      <c r="P521" s="17" t="n">
        <f aca="false">AVERAGE(B502:B521)+2*STDEV(B502:B521)</f>
        <v>7563.03481050355</v>
      </c>
      <c r="Q521" s="17" t="n">
        <f aca="false">AVERAGE(B502:B521)-2*STDEV(B502:B521)</f>
        <v>7021.45118949645</v>
      </c>
      <c r="R521" s="19" t="n">
        <f aca="false">B521/B501-1</f>
        <v>0.0377126116388873</v>
      </c>
      <c r="S521" s="17" t="n">
        <f aca="false">STDEV(C502:C521)*SQRT(252)*100</f>
        <v>14.636957186516</v>
      </c>
      <c r="T521" s="19" t="n">
        <f aca="false">B500/B270-1</f>
        <v>0.179516730637748</v>
      </c>
      <c r="U521" s="19" t="n">
        <f aca="false">B521/MAX(B270:B521)-1</f>
        <v>-0.0282090245971615</v>
      </c>
      <c r="V521" s="17" t="n">
        <f aca="false">(B521-AVERAGE(B502:B521))/STDEV(B502:B521)</f>
        <v>0.0335091374555496</v>
      </c>
    </row>
    <row r="522" customFormat="false" ht="15" hidden="false" customHeight="false" outlineLevel="0" collapsed="false">
      <c r="A522" s="17" t="s">
        <v>1086</v>
      </c>
      <c r="B522" s="17" t="n">
        <v>7193.1</v>
      </c>
      <c r="C522" s="19" t="n">
        <f aca="false">B522/B521-1</f>
        <v>-0.0142090072607368</v>
      </c>
      <c r="D522" s="17" t="n">
        <f aca="false">AVERAGE(B473:B522)</f>
        <v>7174.9818</v>
      </c>
      <c r="E522" s="17" t="n">
        <f aca="false">AVERAGE(B323:B522)</f>
        <v>6732.94025</v>
      </c>
      <c r="F522" s="17" t="n">
        <f aca="false">B522*2/13+F521*11/13</f>
        <v>7329.5458941499</v>
      </c>
      <c r="G522" s="17" t="n">
        <f aca="false">B522*2/27+G521*25/27</f>
        <v>7274.78725107152</v>
      </c>
      <c r="H522" s="17" t="n">
        <f aca="false">F522-G522</f>
        <v>54.758643078374</v>
      </c>
      <c r="I522" s="17" t="n">
        <f aca="false">H522*2/10+I521*8/10</f>
        <v>71.8781551903259</v>
      </c>
      <c r="J522" s="17" t="n">
        <f aca="false">H522-I522</f>
        <v>-17.1195121119519</v>
      </c>
      <c r="K522" s="17" t="n">
        <f aca="false">MAX(B522-B521,0)</f>
        <v>0</v>
      </c>
      <c r="L522" s="17" t="n">
        <f aca="false">MAX(B521-B522,0)</f>
        <v>103.679999999999</v>
      </c>
      <c r="M522" s="17" t="n">
        <f aca="false">(M521*13+K522)/14</f>
        <v>26.2159290857925</v>
      </c>
      <c r="N522" s="17" t="n">
        <f aca="false">(N521*13+L522)/14</f>
        <v>32.1630611744087</v>
      </c>
      <c r="O522" s="17" t="n">
        <f aca="false">IF(N522=0,100,100-100/(1+M522/N522))</f>
        <v>44.9064448853011</v>
      </c>
      <c r="P522" s="17" t="n">
        <f aca="false">AVERAGE(B503:B522)+2*STDEV(B503:B522)</f>
        <v>7548.54082895033</v>
      </c>
      <c r="Q522" s="17" t="n">
        <f aca="false">AVERAGE(B503:B522)-2*STDEV(B503:B522)</f>
        <v>7051.17517104968</v>
      </c>
      <c r="R522" s="19" t="n">
        <f aca="false">B522/B502-1</f>
        <v>0.0216310646517441</v>
      </c>
      <c r="S522" s="17" t="n">
        <f aca="false">STDEV(C503:C522)*SQRT(252)*100</f>
        <v>15.715801373476</v>
      </c>
      <c r="T522" s="19" t="n">
        <f aca="false">B501/B271-1</f>
        <v>0.195783229852746</v>
      </c>
      <c r="U522" s="19" t="n">
        <f aca="false">B522/MAX(B271:B522)-1</f>
        <v>-0.0420172096225789</v>
      </c>
      <c r="V522" s="17" t="n">
        <f aca="false">(B522-AVERAGE(B503:B522))/STDEV(B503:B522)</f>
        <v>-0.858587627063908</v>
      </c>
    </row>
    <row r="523" customFormat="false" ht="15" hidden="false" customHeight="false" outlineLevel="0" collapsed="false">
      <c r="A523" s="17" t="s">
        <v>1087</v>
      </c>
      <c r="B523" s="17" t="n">
        <v>7231.98</v>
      </c>
      <c r="C523" s="19" t="n">
        <f aca="false">B523/B522-1</f>
        <v>0.00540517996413215</v>
      </c>
      <c r="D523" s="17" t="n">
        <f aca="false">AVERAGE(B474:B523)</f>
        <v>7182.2964</v>
      </c>
      <c r="E523" s="17" t="n">
        <f aca="false">AVERAGE(B324:B523)</f>
        <v>6738.7502</v>
      </c>
      <c r="F523" s="17" t="n">
        <f aca="false">B523*2/13+F522*11/13</f>
        <v>7314.53575658838</v>
      </c>
      <c r="G523" s="17" t="n">
        <f aca="false">B523*2/27+G522*25/27</f>
        <v>7271.61634358475</v>
      </c>
      <c r="H523" s="17" t="n">
        <f aca="false">F523-G523</f>
        <v>42.9194130036312</v>
      </c>
      <c r="I523" s="17" t="n">
        <f aca="false">H523*2/10+I522*8/10</f>
        <v>66.086406752987</v>
      </c>
      <c r="J523" s="17" t="n">
        <f aca="false">H523-I523</f>
        <v>-23.1669937493557</v>
      </c>
      <c r="K523" s="17" t="n">
        <f aca="false">MAX(B523-B522,0)</f>
        <v>38.8799999999992</v>
      </c>
      <c r="L523" s="17" t="n">
        <f aca="false">MAX(B522-B523,0)</f>
        <v>0</v>
      </c>
      <c r="M523" s="17" t="n">
        <f aca="false">(M522*13+K523)/14</f>
        <v>27.1205055796644</v>
      </c>
      <c r="N523" s="17" t="n">
        <f aca="false">(N522*13+L523)/14</f>
        <v>29.8656996619509</v>
      </c>
      <c r="O523" s="17" t="n">
        <f aca="false">IF(N523=0,100,100-100/(1+M523/N523))</f>
        <v>47.5913520906971</v>
      </c>
      <c r="P523" s="17" t="n">
        <f aca="false">AVERAGE(B504:B523)+2*STDEV(B504:B523)</f>
        <v>7539.0098059448</v>
      </c>
      <c r="Q523" s="17" t="n">
        <f aca="false">AVERAGE(B504:B523)-2*STDEV(B504:B523)</f>
        <v>7074.1221940552</v>
      </c>
      <c r="R523" s="19" t="n">
        <f aca="false">B523/B503-1</f>
        <v>0.0189015782310624</v>
      </c>
      <c r="S523" s="17" t="n">
        <f aca="false">STDEV(C504:C523)*SQRT(252)*100</f>
        <v>15.585654891905</v>
      </c>
      <c r="T523" s="19" t="n">
        <f aca="false">B502/B272-1</f>
        <v>0.194333666374337</v>
      </c>
      <c r="U523" s="19" t="n">
        <f aca="false">B523/MAX(B272:B523)-1</f>
        <v>-0.0368391402380475</v>
      </c>
      <c r="V523" s="17" t="n">
        <f aca="false">(B523-AVERAGE(B504:B523))/STDEV(B504:B523)</f>
        <v>-0.641755108911895</v>
      </c>
    </row>
    <row r="524" customFormat="false" ht="15" hidden="false" customHeight="false" outlineLevel="0" collapsed="false">
      <c r="A524" s="17" t="s">
        <v>1088</v>
      </c>
      <c r="B524" s="17" t="n">
        <v>7272.89</v>
      </c>
      <c r="C524" s="19" t="n">
        <f aca="false">B524/B523-1</f>
        <v>0.00565681874120227</v>
      </c>
      <c r="D524" s="17" t="n">
        <f aca="false">AVERAGE(B475:B524)</f>
        <v>7189.6436</v>
      </c>
      <c r="E524" s="17" t="n">
        <f aca="false">AVERAGE(B325:B524)</f>
        <v>6744.6524</v>
      </c>
      <c r="F524" s="17" t="n">
        <f aca="false">B524*2/13+F523*11/13</f>
        <v>7308.12871711324</v>
      </c>
      <c r="G524" s="17" t="n">
        <f aca="false">B524*2/27+G523*25/27</f>
        <v>7271.71068850439</v>
      </c>
      <c r="H524" s="17" t="n">
        <f aca="false">F524-G524</f>
        <v>36.4180286088485</v>
      </c>
      <c r="I524" s="17" t="n">
        <f aca="false">H524*2/10+I523*8/10</f>
        <v>60.1527311241593</v>
      </c>
      <c r="J524" s="17" t="n">
        <f aca="false">H524-I524</f>
        <v>-23.7347025153107</v>
      </c>
      <c r="K524" s="17" t="n">
        <f aca="false">MAX(B524-B523,0)</f>
        <v>40.9100000000008</v>
      </c>
      <c r="L524" s="17" t="n">
        <f aca="false">MAX(B523-B524,0)</f>
        <v>0</v>
      </c>
      <c r="M524" s="17" t="n">
        <f aca="false">(M523*13+K524)/14</f>
        <v>28.1054694668313</v>
      </c>
      <c r="N524" s="17" t="n">
        <f aca="false">(N523*13+L524)/14</f>
        <v>27.732435400383</v>
      </c>
      <c r="O524" s="17" t="n">
        <f aca="false">IF(N524=0,100,100-100/(1+M524/N524))</f>
        <v>50.3340330079857</v>
      </c>
      <c r="P524" s="17" t="n">
        <f aca="false">AVERAGE(B505:B524)+2*STDEV(B505:B524)</f>
        <v>7508.19990567732</v>
      </c>
      <c r="Q524" s="17" t="n">
        <f aca="false">AVERAGE(B505:B524)-2*STDEV(B505:B524)</f>
        <v>7130.76609432268</v>
      </c>
      <c r="R524" s="19" t="n">
        <f aca="false">B524/B504-1</f>
        <v>0.0368291622413413</v>
      </c>
      <c r="S524" s="17" t="n">
        <f aca="false">STDEV(C505:C524)*SQRT(252)*100</f>
        <v>14.911916980115</v>
      </c>
      <c r="T524" s="19" t="n">
        <f aca="false">B503/B273-1</f>
        <v>0.200125798286506</v>
      </c>
      <c r="U524" s="19" t="n">
        <f aca="false">B524/MAX(B273:B524)-1</f>
        <v>-0.0313907138357534</v>
      </c>
      <c r="V524" s="17" t="n">
        <f aca="false">(B524-AVERAGE(B505:B524))/STDEV(B505:B524)</f>
        <v>-0.49378724002256</v>
      </c>
    </row>
    <row r="525" customFormat="false" ht="15" hidden="false" customHeight="false" outlineLevel="0" collapsed="false">
      <c r="A525" s="17" t="s">
        <v>1089</v>
      </c>
      <c r="B525" s="17" t="n">
        <v>7372.15</v>
      </c>
      <c r="C525" s="19" t="n">
        <f aca="false">B525/B524-1</f>
        <v>0.0136479446272388</v>
      </c>
      <c r="D525" s="17" t="n">
        <f aca="false">AVERAGE(B476:B525)</f>
        <v>7199.2142</v>
      </c>
      <c r="E525" s="17" t="n">
        <f aca="false">AVERAGE(B326:B525)</f>
        <v>6750.9405</v>
      </c>
      <c r="F525" s="17" t="n">
        <f aca="false">B525*2/13+F524*11/13</f>
        <v>7317.97814524967</v>
      </c>
      <c r="G525" s="17" t="n">
        <f aca="false">B525*2/27+G524*25/27</f>
        <v>7279.15063750407</v>
      </c>
      <c r="H525" s="17" t="n">
        <f aca="false">F525-G525</f>
        <v>38.8275077455983</v>
      </c>
      <c r="I525" s="17" t="n">
        <f aca="false">H525*2/10+I524*8/10</f>
        <v>55.8876864484471</v>
      </c>
      <c r="J525" s="17" t="n">
        <f aca="false">H525-I525</f>
        <v>-17.0601787028488</v>
      </c>
      <c r="K525" s="17" t="n">
        <f aca="false">MAX(B525-B524,0)</f>
        <v>99.2599999999993</v>
      </c>
      <c r="L525" s="17" t="n">
        <f aca="false">MAX(B524-B525,0)</f>
        <v>0</v>
      </c>
      <c r="M525" s="17" t="n">
        <f aca="false">(M524*13+K525)/14</f>
        <v>33.1879359334862</v>
      </c>
      <c r="N525" s="17" t="n">
        <f aca="false">(N524*13+L525)/14</f>
        <v>25.7515471574985</v>
      </c>
      <c r="O525" s="17" t="n">
        <f aca="false">IF(N525=0,100,100-100/(1+M525/N525))</f>
        <v>56.3084950749467</v>
      </c>
      <c r="P525" s="17" t="n">
        <f aca="false">AVERAGE(B506:B525)+2*STDEV(B506:B525)</f>
        <v>7492.34763675216</v>
      </c>
      <c r="Q525" s="17" t="n">
        <f aca="false">AVERAGE(B506:B525)-2*STDEV(B506:B525)</f>
        <v>7173.72836324784</v>
      </c>
      <c r="R525" s="19" t="n">
        <f aca="false">B525/B505-1</f>
        <v>0.0381774526302447</v>
      </c>
      <c r="S525" s="17" t="n">
        <f aca="false">STDEV(C506:C525)*SQRT(252)*100</f>
        <v>15.0413802305126</v>
      </c>
      <c r="T525" s="19" t="n">
        <f aca="false">B504/B274-1</f>
        <v>0.190682713199348</v>
      </c>
      <c r="U525" s="19" t="n">
        <f aca="false">B525/MAX(B274:B525)-1</f>
        <v>-0.0181711879327544</v>
      </c>
      <c r="V525" s="17" t="n">
        <f aca="false">(B525-AVERAGE(B506:B525))/STDEV(B506:B525)</f>
        <v>0.49101863261224</v>
      </c>
    </row>
    <row r="526" customFormat="false" ht="15" hidden="false" customHeight="false" outlineLevel="0" collapsed="false">
      <c r="A526" s="17" t="s">
        <v>1090</v>
      </c>
      <c r="B526" s="17" t="n">
        <v>7395.49</v>
      </c>
      <c r="C526" s="19" t="n">
        <f aca="false">B526/B525-1</f>
        <v>0.00316596922200452</v>
      </c>
      <c r="D526" s="17" t="n">
        <f aca="false">AVERAGE(B477:B526)</f>
        <v>7208.0514</v>
      </c>
      <c r="E526" s="17" t="n">
        <f aca="false">AVERAGE(B327:B526)</f>
        <v>6757.3049</v>
      </c>
      <c r="F526" s="17" t="n">
        <f aca="false">B526*2/13+F525*11/13</f>
        <v>7329.90304598049</v>
      </c>
      <c r="G526" s="17" t="n">
        <f aca="false">B526*2/27+G525*25/27</f>
        <v>7287.76836805932</v>
      </c>
      <c r="H526" s="17" t="n">
        <f aca="false">F526-G526</f>
        <v>42.1346779211654</v>
      </c>
      <c r="I526" s="17" t="n">
        <f aca="false">H526*2/10+I525*8/10</f>
        <v>53.1370847429907</v>
      </c>
      <c r="J526" s="17" t="n">
        <f aca="false">H526-I526</f>
        <v>-11.0024068218254</v>
      </c>
      <c r="K526" s="17" t="n">
        <f aca="false">MAX(B526-B525,0)</f>
        <v>23.3400000000001</v>
      </c>
      <c r="L526" s="17" t="n">
        <f aca="false">MAX(B525-B526,0)</f>
        <v>0</v>
      </c>
      <c r="M526" s="17" t="n">
        <f aca="false">(M525*13+K526)/14</f>
        <v>32.4845119382372</v>
      </c>
      <c r="N526" s="17" t="n">
        <f aca="false">(N525*13+L526)/14</f>
        <v>23.9121509319629</v>
      </c>
      <c r="O526" s="17" t="n">
        <f aca="false">IF(N526=0,100,100-100/(1+M526/N526))</f>
        <v>57.6000605089028</v>
      </c>
      <c r="P526" s="17" t="n">
        <f aca="false">AVERAGE(B507:B526)+2*STDEV(B507:B526)</f>
        <v>7492.44982695469</v>
      </c>
      <c r="Q526" s="17" t="n">
        <f aca="false">AVERAGE(B507:B526)-2*STDEV(B507:B526)</f>
        <v>7192.44217304531</v>
      </c>
      <c r="R526" s="19" t="n">
        <f aca="false">B526/B506-1</f>
        <v>0.0261067552061582</v>
      </c>
      <c r="S526" s="17" t="n">
        <f aca="false">STDEV(C507:C526)*SQRT(252)*100</f>
        <v>14.2457702734546</v>
      </c>
      <c r="T526" s="19" t="n">
        <f aca="false">B505/B275-1</f>
        <v>0.203586156398996</v>
      </c>
      <c r="U526" s="19" t="n">
        <f aca="false">B526/MAX(B275:B526)-1</f>
        <v>-0.0150627481324723</v>
      </c>
      <c r="V526" s="17" t="n">
        <f aca="false">(B526-AVERAGE(B507:B526))/STDEV(B507:B526)</f>
        <v>0.707235289617286</v>
      </c>
    </row>
    <row r="527" customFormat="false" ht="15" hidden="false" customHeight="false" outlineLevel="0" collapsed="false">
      <c r="A527" s="17" t="s">
        <v>1091</v>
      </c>
      <c r="B527" s="17" t="n">
        <v>7438.99</v>
      </c>
      <c r="C527" s="19" t="n">
        <f aca="false">B527/B526-1</f>
        <v>0.00588196319648859</v>
      </c>
      <c r="D527" s="17" t="n">
        <f aca="false">AVERAGE(B478:B527)</f>
        <v>7217.8372</v>
      </c>
      <c r="E527" s="17" t="n">
        <f aca="false">AVERAGE(B328:B527)</f>
        <v>6763.9281</v>
      </c>
      <c r="F527" s="17" t="n">
        <f aca="false">B527*2/13+F526*11/13</f>
        <v>7346.68565429118</v>
      </c>
      <c r="G527" s="17" t="n">
        <f aca="false">B527*2/27+G526*25/27</f>
        <v>7298.9699704253</v>
      </c>
      <c r="H527" s="17" t="n">
        <f aca="false">F527-G527</f>
        <v>47.715683865883</v>
      </c>
      <c r="I527" s="17" t="n">
        <f aca="false">H527*2/10+I526*8/10</f>
        <v>52.0528045675692</v>
      </c>
      <c r="J527" s="17" t="n">
        <f aca="false">H527-I527</f>
        <v>-4.33712070168621</v>
      </c>
      <c r="K527" s="17" t="n">
        <f aca="false">MAX(B527-B526,0)</f>
        <v>43.5</v>
      </c>
      <c r="L527" s="17" t="n">
        <f aca="false">MAX(B526-B527,0)</f>
        <v>0</v>
      </c>
      <c r="M527" s="17" t="n">
        <f aca="false">(M526*13+K527)/14</f>
        <v>33.2713325140774</v>
      </c>
      <c r="N527" s="17" t="n">
        <f aca="false">(N526*13+L527)/14</f>
        <v>22.2041401511084</v>
      </c>
      <c r="O527" s="17" t="n">
        <f aca="false">IF(N527=0,100,100-100/(1+M527/N527))</f>
        <v>59.9748517960031</v>
      </c>
      <c r="P527" s="17" t="n">
        <f aca="false">AVERAGE(B508:B527)+2*STDEV(B508:B527)</f>
        <v>7503.08904740102</v>
      </c>
      <c r="Q527" s="17" t="n">
        <f aca="false">AVERAGE(B508:B527)-2*STDEV(B508:B527)</f>
        <v>7198.10195259898</v>
      </c>
      <c r="R527" s="19" t="n">
        <f aca="false">B527/B507-1</f>
        <v>0.0224010445299614</v>
      </c>
      <c r="S527" s="17" t="n">
        <f aca="false">STDEV(C508:C527)*SQRT(252)*100</f>
        <v>14.0244926450555</v>
      </c>
      <c r="T527" s="19" t="n">
        <f aca="false">B506/B276-1</f>
        <v>0.214432670062497</v>
      </c>
      <c r="U527" s="19" t="n">
        <f aca="false">B527/MAX(B276:B527)-1</f>
        <v>-0.00926938346613682</v>
      </c>
      <c r="V527" s="17" t="n">
        <f aca="false">(B527-AVERAGE(B508:B527))/STDEV(B508:B527)</f>
        <v>1.15932118448977</v>
      </c>
    </row>
    <row r="528" customFormat="false" ht="15" hidden="false" customHeight="false" outlineLevel="0" collapsed="false">
      <c r="A528" s="17" t="s">
        <v>1092</v>
      </c>
      <c r="B528" s="17" t="n">
        <v>7462.65</v>
      </c>
      <c r="C528" s="19" t="n">
        <f aca="false">B528/B527-1</f>
        <v>0.00318053929364059</v>
      </c>
      <c r="D528" s="17" t="n">
        <f aca="false">AVERAGE(B479:B528)</f>
        <v>7227.8718</v>
      </c>
      <c r="E528" s="17" t="n">
        <f aca="false">AVERAGE(B329:B528)</f>
        <v>6770.77825</v>
      </c>
      <c r="F528" s="17" t="n">
        <f aca="false">B528*2/13+F527*11/13</f>
        <v>7364.52632286177</v>
      </c>
      <c r="G528" s="17" t="n">
        <f aca="false">B528*2/27+G527*25/27</f>
        <v>7311.09441706046</v>
      </c>
      <c r="H528" s="17" t="n">
        <f aca="false">F528-G528</f>
        <v>53.431905801307</v>
      </c>
      <c r="I528" s="17" t="n">
        <f aca="false">H528*2/10+I527*8/10</f>
        <v>52.3286248143168</v>
      </c>
      <c r="J528" s="17" t="n">
        <f aca="false">H528-I528</f>
        <v>1.10328098699028</v>
      </c>
      <c r="K528" s="17" t="n">
        <f aca="false">MAX(B528-B527,0)</f>
        <v>23.6599999999999</v>
      </c>
      <c r="L528" s="17" t="n">
        <f aca="false">MAX(B527-B528,0)</f>
        <v>0</v>
      </c>
      <c r="M528" s="17" t="n">
        <f aca="false">(M527*13+K528)/14</f>
        <v>32.5848087630718</v>
      </c>
      <c r="N528" s="17" t="n">
        <f aca="false">(N527*13+L528)/14</f>
        <v>20.6181301403149</v>
      </c>
      <c r="O528" s="17" t="n">
        <f aca="false">IF(N528=0,100,100-100/(1+M528/N528))</f>
        <v>61.2462571329825</v>
      </c>
      <c r="P528" s="17" t="n">
        <f aca="false">AVERAGE(B509:B528)+2*STDEV(B509:B528)</f>
        <v>7516.38801198049</v>
      </c>
      <c r="Q528" s="17" t="n">
        <f aca="false">AVERAGE(B509:B528)-2*STDEV(B509:B528)</f>
        <v>7202.80798801951</v>
      </c>
      <c r="R528" s="19" t="n">
        <f aca="false">B528/B508-1</f>
        <v>0.0247233131024633</v>
      </c>
      <c r="S528" s="17" t="n">
        <f aca="false">STDEV(C509:C528)*SQRT(252)*100</f>
        <v>14.042575402536</v>
      </c>
      <c r="T528" s="19" t="n">
        <f aca="false">B507/B277-1</f>
        <v>0.227737140060914</v>
      </c>
      <c r="U528" s="19" t="n">
        <f aca="false">B528/MAX(B277:B528)-1</f>
        <v>-0.00611832581083804</v>
      </c>
      <c r="V528" s="17" t="n">
        <f aca="false">(B528-AVERAGE(B509:B528))/STDEV(B509:B528)</f>
        <v>1.31452250941626</v>
      </c>
    </row>
    <row r="529" customFormat="false" ht="15" hidden="false" customHeight="false" outlineLevel="0" collapsed="false">
      <c r="A529" s="17" t="s">
        <v>1093</v>
      </c>
      <c r="B529" s="17" t="n">
        <v>7469.55</v>
      </c>
      <c r="C529" s="19" t="n">
        <f aca="false">B529/B528-1</f>
        <v>0.000924604530562201</v>
      </c>
      <c r="D529" s="17" t="n">
        <f aca="false">AVERAGE(B480:B529)</f>
        <v>7238.732</v>
      </c>
      <c r="E529" s="17" t="n">
        <f aca="false">AVERAGE(B330:B529)</f>
        <v>6777.5819</v>
      </c>
      <c r="F529" s="17" t="n">
        <f aca="false">B529*2/13+F528*11/13</f>
        <v>7380.68381165227</v>
      </c>
      <c r="G529" s="17" t="n">
        <f aca="false">B529*2/27+G528*25/27</f>
        <v>7322.83186764858</v>
      </c>
      <c r="H529" s="17" t="n">
        <f aca="false">F529-G529</f>
        <v>57.8519440036898</v>
      </c>
      <c r="I529" s="17" t="n">
        <f aca="false">H529*2/10+I528*8/10</f>
        <v>53.4332886521914</v>
      </c>
      <c r="J529" s="17" t="n">
        <f aca="false">H529-I529</f>
        <v>4.41865535149845</v>
      </c>
      <c r="K529" s="17" t="n">
        <f aca="false">MAX(B529-B528,0)</f>
        <v>6.90000000000055</v>
      </c>
      <c r="L529" s="17" t="n">
        <f aca="false">MAX(B528-B529,0)</f>
        <v>0</v>
      </c>
      <c r="M529" s="17" t="n">
        <f aca="false">(M528*13+K529)/14</f>
        <v>30.7501795657096</v>
      </c>
      <c r="N529" s="17" t="n">
        <f aca="false">(N528*13+L529)/14</f>
        <v>19.1454065588639</v>
      </c>
      <c r="O529" s="17" t="n">
        <f aca="false">IF(N529=0,100,100-100/(1+M529/N529))</f>
        <v>61.6290577064996</v>
      </c>
      <c r="P529" s="17" t="n">
        <f aca="false">AVERAGE(B510:B529)+2*STDEV(B510:B529)</f>
        <v>7525.07909500513</v>
      </c>
      <c r="Q529" s="17" t="n">
        <f aca="false">AVERAGE(B510:B529)-2*STDEV(B510:B529)</f>
        <v>7216.67390499487</v>
      </c>
      <c r="R529" s="19" t="n">
        <f aca="false">B529/B509-1</f>
        <v>0.0311389595222518</v>
      </c>
      <c r="S529" s="17" t="n">
        <f aca="false">STDEV(C510:C529)*SQRT(252)*100</f>
        <v>13.8289648688129</v>
      </c>
      <c r="T529" s="19" t="n">
        <f aca="false">B508/B278-1</f>
        <v>0.230295689251764</v>
      </c>
      <c r="U529" s="19" t="n">
        <f aca="false">B529/MAX(B278:B529)-1</f>
        <v>-0.00519937831203998</v>
      </c>
      <c r="V529" s="17" t="n">
        <f aca="false">(B529-AVERAGE(B510:B529))/STDEV(B510:B529)</f>
        <v>1.27979039518392</v>
      </c>
    </row>
    <row r="530" customFormat="false" ht="15" hidden="false" customHeight="false" outlineLevel="0" collapsed="false">
      <c r="A530" s="17" t="s">
        <v>1094</v>
      </c>
      <c r="B530" s="17" t="n">
        <v>7466.96</v>
      </c>
      <c r="C530" s="19" t="n">
        <f aca="false">B530/B529-1</f>
        <v>-0.000346741102208337</v>
      </c>
      <c r="D530" s="17" t="n">
        <f aca="false">AVERAGE(B481:B530)</f>
        <v>7248.5438</v>
      </c>
      <c r="E530" s="17" t="n">
        <f aca="false">AVERAGE(B331:B530)</f>
        <v>6784.57755</v>
      </c>
      <c r="F530" s="17" t="n">
        <f aca="false">B530*2/13+F529*11/13</f>
        <v>7393.95707139807</v>
      </c>
      <c r="G530" s="17" t="n">
        <f aca="false">B530*2/27+G529*25/27</f>
        <v>7333.50802560053</v>
      </c>
      <c r="H530" s="17" t="n">
        <f aca="false">F530-G530</f>
        <v>60.449045797538</v>
      </c>
      <c r="I530" s="17" t="n">
        <f aca="false">H530*2/10+I529*8/10</f>
        <v>54.8364400812607</v>
      </c>
      <c r="J530" s="17" t="n">
        <f aca="false">H530-I530</f>
        <v>5.61260571627732</v>
      </c>
      <c r="K530" s="17" t="n">
        <f aca="false">MAX(B530-B529,0)</f>
        <v>0</v>
      </c>
      <c r="L530" s="17" t="n">
        <f aca="false">MAX(B529-B530,0)</f>
        <v>2.59000000000015</v>
      </c>
      <c r="M530" s="17" t="n">
        <f aca="false">(M529*13+K530)/14</f>
        <v>28.5537381681589</v>
      </c>
      <c r="N530" s="17" t="n">
        <f aca="false">(N529*13+L530)/14</f>
        <v>17.962877518945</v>
      </c>
      <c r="O530" s="17" t="n">
        <f aca="false">IF(N530=0,100,100-100/(1+M530/N530))</f>
        <v>61.3839544136807</v>
      </c>
      <c r="P530" s="17" t="n">
        <f aca="false">AVERAGE(B511:B530)+2*STDEV(B511:B530)</f>
        <v>7535.94561536351</v>
      </c>
      <c r="Q530" s="17" t="n">
        <f aca="false">AVERAGE(B511:B530)-2*STDEV(B511:B530)</f>
        <v>7215.87838463649</v>
      </c>
      <c r="R530" s="19" t="n">
        <f aca="false">B530/B510-1</f>
        <v>0.0136718140166299</v>
      </c>
      <c r="S530" s="17" t="n">
        <f aca="false">STDEV(C511:C530)*SQRT(252)*100</f>
        <v>12.5967546990745</v>
      </c>
      <c r="T530" s="19" t="n">
        <f aca="false">B509/B279-1</f>
        <v>0.251510403079374</v>
      </c>
      <c r="U530" s="19" t="n">
        <f aca="false">B530/MAX(B279:B530)-1</f>
        <v>-0.00554431657608157</v>
      </c>
      <c r="V530" s="17" t="n">
        <f aca="false">(B530-AVERAGE(B511:B530))/STDEV(B511:B530)</f>
        <v>1.13786093994301</v>
      </c>
    </row>
    <row r="531" customFormat="false" ht="15" hidden="false" customHeight="false" outlineLevel="0" collapsed="false">
      <c r="A531" s="17" t="s">
        <v>1095</v>
      </c>
      <c r="B531" s="17" t="n">
        <v>7408.3</v>
      </c>
      <c r="C531" s="19" t="n">
        <f aca="false">B531/B530-1</f>
        <v>-0.00785594137373169</v>
      </c>
      <c r="D531" s="17" t="n">
        <f aca="false">AVERAGE(B482:B531)</f>
        <v>7257.3552</v>
      </c>
      <c r="E531" s="17" t="n">
        <f aca="false">AVERAGE(B332:B531)</f>
        <v>6791.21795</v>
      </c>
      <c r="F531" s="17" t="n">
        <f aca="false">B531*2/13+F530*11/13</f>
        <v>7396.16367579837</v>
      </c>
      <c r="G531" s="17" t="n">
        <f aca="false">B531*2/27+G530*25/27</f>
        <v>7339.04817185234</v>
      </c>
      <c r="H531" s="17" t="n">
        <f aca="false">F531-G531</f>
        <v>57.1155039460227</v>
      </c>
      <c r="I531" s="17" t="n">
        <f aca="false">H531*2/10+I530*8/10</f>
        <v>55.2922528542131</v>
      </c>
      <c r="J531" s="17" t="n">
        <f aca="false">H531-I531</f>
        <v>1.82325109180962</v>
      </c>
      <c r="K531" s="17" t="n">
        <f aca="false">MAX(B531-B530,0)</f>
        <v>0</v>
      </c>
      <c r="L531" s="17" t="n">
        <f aca="false">MAX(B530-B531,0)</f>
        <v>58.6599999999999</v>
      </c>
      <c r="M531" s="17" t="n">
        <f aca="false">(M530*13+K531)/14</f>
        <v>26.5141854418618</v>
      </c>
      <c r="N531" s="17" t="n">
        <f aca="false">(N530*13+L531)/14</f>
        <v>20.8698148390204</v>
      </c>
      <c r="O531" s="17" t="n">
        <f aca="false">IF(N531=0,100,100-100/(1+M531/N531))</f>
        <v>55.9559878538988</v>
      </c>
      <c r="P531" s="17" t="n">
        <f aca="false">AVERAGE(B512:B531)+2*STDEV(B512:B531)</f>
        <v>7538.2235538232</v>
      </c>
      <c r="Q531" s="17" t="n">
        <f aca="false">AVERAGE(B512:B531)-2*STDEV(B512:B531)</f>
        <v>7216.8484461768</v>
      </c>
      <c r="R531" s="19" t="n">
        <f aca="false">B531/B511-1</f>
        <v>0.0044035781784264</v>
      </c>
      <c r="S531" s="17" t="n">
        <f aca="false">STDEV(C512:C531)*SQRT(252)*100</f>
        <v>12.9540041065472</v>
      </c>
      <c r="T531" s="19" t="n">
        <f aca="false">B510/B280-1</f>
        <v>0.263176216190262</v>
      </c>
      <c r="U531" s="19" t="n">
        <f aca="false">B531/MAX(B280:B531)-1</f>
        <v>-0.0133567021238342</v>
      </c>
      <c r="V531" s="17" t="n">
        <f aca="false">(B531-AVERAGE(B512:B531))/STDEV(B512:B531)</f>
        <v>0.382904578083859</v>
      </c>
    </row>
    <row r="532" customFormat="false" ht="15" hidden="false" customHeight="false" outlineLevel="0" collapsed="false">
      <c r="A532" s="17" t="s">
        <v>1096</v>
      </c>
      <c r="B532" s="17" t="n">
        <v>7401.17</v>
      </c>
      <c r="C532" s="19" t="n">
        <f aca="false">B532/B531-1</f>
        <v>-0.000962434026699821</v>
      </c>
      <c r="D532" s="17" t="n">
        <f aca="false">AVERAGE(B483:B532)</f>
        <v>7263.7</v>
      </c>
      <c r="E532" s="17" t="n">
        <f aca="false">AVERAGE(B333:B532)</f>
        <v>6797.9486</v>
      </c>
      <c r="F532" s="17" t="n">
        <f aca="false">B532*2/13+F531*11/13</f>
        <v>7396.93387952169</v>
      </c>
      <c r="G532" s="17" t="n">
        <f aca="false">B532*2/27+G531*25/27</f>
        <v>7343.64978875217</v>
      </c>
      <c r="H532" s="17" t="n">
        <f aca="false">F532-G532</f>
        <v>53.2840907695245</v>
      </c>
      <c r="I532" s="17" t="n">
        <f aca="false">H532*2/10+I531*8/10</f>
        <v>54.8906204372754</v>
      </c>
      <c r="J532" s="17" t="n">
        <f aca="false">H532-I532</f>
        <v>-1.60652966775089</v>
      </c>
      <c r="K532" s="17" t="n">
        <f aca="false">MAX(B532-B531,0)</f>
        <v>0</v>
      </c>
      <c r="L532" s="17" t="n">
        <f aca="false">MAX(B531-B532,0)</f>
        <v>7.13000000000011</v>
      </c>
      <c r="M532" s="17" t="n">
        <f aca="false">(M531*13+K532)/14</f>
        <v>24.6203150531574</v>
      </c>
      <c r="N532" s="17" t="n">
        <f aca="false">(N531*13+L532)/14</f>
        <v>19.8883994933761</v>
      </c>
      <c r="O532" s="17" t="n">
        <f aca="false">IF(N532=0,100,100-100/(1+M532/N532))</f>
        <v>55.3157180655422</v>
      </c>
      <c r="P532" s="17" t="n">
        <f aca="false">AVERAGE(B513:B532)+2*STDEV(B513:B532)</f>
        <v>7540.43904486422</v>
      </c>
      <c r="Q532" s="17" t="n">
        <f aca="false">AVERAGE(B513:B532)-2*STDEV(B513:B532)</f>
        <v>7218.95995513578</v>
      </c>
      <c r="R532" s="19" t="n">
        <f aca="false">B532/B512-1</f>
        <v>0.0058807540194894</v>
      </c>
      <c r="S532" s="17" t="n">
        <f aca="false">STDEV(C513:C532)*SQRT(252)*100</f>
        <v>12.9241659828003</v>
      </c>
      <c r="T532" s="19" t="n">
        <f aca="false">B511/B281-1</f>
        <v>0.248410252243927</v>
      </c>
      <c r="U532" s="19" t="n">
        <f aca="false">B532/MAX(B281:B532)-1</f>
        <v>-0.0143062812059255</v>
      </c>
      <c r="V532" s="17" t="n">
        <f aca="false">(B532-AVERAGE(B513:B532))/STDEV(B513:B532)</f>
        <v>0.267146457558237</v>
      </c>
    </row>
    <row r="533" customFormat="false" ht="15" hidden="false" customHeight="false" outlineLevel="0" collapsed="false">
      <c r="A533" s="17" t="s">
        <v>1097</v>
      </c>
      <c r="B533" s="17" t="n">
        <v>7447.17</v>
      </c>
      <c r="C533" s="19" t="n">
        <f aca="false">B533/B532-1</f>
        <v>0.00621523353740017</v>
      </c>
      <c r="D533" s="17" t="n">
        <f aca="false">AVERAGE(B484:B533)</f>
        <v>7269.772</v>
      </c>
      <c r="E533" s="17" t="n">
        <f aca="false">AVERAGE(B334:B533)</f>
        <v>6804.9951</v>
      </c>
      <c r="F533" s="17" t="n">
        <f aca="false">B533*2/13+F532*11/13</f>
        <v>7404.66251344143</v>
      </c>
      <c r="G533" s="17" t="n">
        <f aca="false">B533*2/27+G532*25/27</f>
        <v>7351.31795254831</v>
      </c>
      <c r="H533" s="17" t="n">
        <f aca="false">F533-G533</f>
        <v>53.344560893127</v>
      </c>
      <c r="I533" s="17" t="n">
        <f aca="false">H533*2/10+I532*8/10</f>
        <v>54.5814085284457</v>
      </c>
      <c r="J533" s="17" t="n">
        <f aca="false">H533-I533</f>
        <v>-1.23684763531872</v>
      </c>
      <c r="K533" s="17" t="n">
        <f aca="false">MAX(B533-B532,0)</f>
        <v>46</v>
      </c>
      <c r="L533" s="17" t="n">
        <f aca="false">MAX(B532-B533,0)</f>
        <v>0</v>
      </c>
      <c r="M533" s="17" t="n">
        <f aca="false">(M532*13+K533)/14</f>
        <v>26.1474354065033</v>
      </c>
      <c r="N533" s="17" t="n">
        <f aca="false">(N532*13+L533)/14</f>
        <v>18.4677995295635</v>
      </c>
      <c r="O533" s="17" t="n">
        <f aca="false">IF(N533=0,100,100-100/(1+M533/N533))</f>
        <v>58.6065173566212</v>
      </c>
      <c r="P533" s="17" t="n">
        <f aca="false">AVERAGE(B514:B533)+2*STDEV(B514:B533)</f>
        <v>7545.11992487881</v>
      </c>
      <c r="Q533" s="17" t="n">
        <f aca="false">AVERAGE(B514:B533)-2*STDEV(B514:B533)</f>
        <v>7218.60707512119</v>
      </c>
      <c r="R533" s="19" t="n">
        <f aca="false">B533/B513-1</f>
        <v>0.00584557577165512</v>
      </c>
      <c r="S533" s="17" t="n">
        <f aca="false">STDEV(C514:C533)*SQRT(252)*100</f>
        <v>12.9220318387326</v>
      </c>
      <c r="T533" s="19" t="n">
        <f aca="false">B512/B282-1</f>
        <v>0.245469918225782</v>
      </c>
      <c r="U533" s="19" t="n">
        <f aca="false">B533/MAX(B282:B533)-1</f>
        <v>-0.00817996454727188</v>
      </c>
      <c r="V533" s="17" t="n">
        <f aca="false">(B533-AVERAGE(B514:B533))/STDEV(B514:B533)</f>
        <v>0.80004814571285</v>
      </c>
    </row>
    <row r="534" customFormat="false" ht="15" hidden="false" customHeight="false" outlineLevel="0" collapsed="false">
      <c r="A534" s="17" t="s">
        <v>1098</v>
      </c>
      <c r="B534" s="17" t="n">
        <v>7354.66</v>
      </c>
      <c r="C534" s="19" t="n">
        <f aca="false">B534/B533-1</f>
        <v>-0.0124221684210244</v>
      </c>
      <c r="D534" s="17" t="n">
        <f aca="false">AVERAGE(B485:B534)</f>
        <v>7273.5302</v>
      </c>
      <c r="E534" s="17" t="n">
        <f aca="false">AVERAGE(B335:B534)</f>
        <v>6810.70105</v>
      </c>
      <c r="F534" s="17" t="n">
        <f aca="false">B534*2/13+F533*11/13</f>
        <v>7396.96981906583</v>
      </c>
      <c r="G534" s="17" t="n">
        <f aca="false">B534*2/27+G533*25/27</f>
        <v>7351.5655116188</v>
      </c>
      <c r="H534" s="17" t="n">
        <f aca="false">F534-G534</f>
        <v>45.4043074470264</v>
      </c>
      <c r="I534" s="17" t="n">
        <f aca="false">H534*2/10+I533*8/10</f>
        <v>52.7459883121619</v>
      </c>
      <c r="J534" s="17" t="n">
        <f aca="false">H534-I534</f>
        <v>-7.34168086513541</v>
      </c>
      <c r="K534" s="17" t="n">
        <f aca="false">MAX(B534-B533,0)</f>
        <v>0</v>
      </c>
      <c r="L534" s="17" t="n">
        <f aca="false">MAX(B533-B534,0)</f>
        <v>92.5100000000002</v>
      </c>
      <c r="M534" s="17" t="n">
        <f aca="false">(M533*13+K534)/14</f>
        <v>24.2797614488959</v>
      </c>
      <c r="N534" s="17" t="n">
        <f aca="false">(N533*13+L534)/14</f>
        <v>23.7565281345947</v>
      </c>
      <c r="O534" s="17" t="n">
        <f aca="false">IF(N534=0,100,100-100/(1+M534/N534))</f>
        <v>50.5446229494806</v>
      </c>
      <c r="P534" s="17" t="n">
        <f aca="false">AVERAGE(B515:B534)+2*STDEV(B515:B534)</f>
        <v>7543.73848438683</v>
      </c>
      <c r="Q534" s="17" t="n">
        <f aca="false">AVERAGE(B515:B534)-2*STDEV(B515:B534)</f>
        <v>7216.44151561317</v>
      </c>
      <c r="R534" s="19" t="n">
        <f aca="false">B534/B514-1</f>
        <v>-0.00479964493182128</v>
      </c>
      <c r="S534" s="17" t="n">
        <f aca="false">STDEV(C515:C534)*SQRT(252)*100</f>
        <v>13.6803621659578</v>
      </c>
      <c r="T534" s="19" t="n">
        <f aca="false">B513/B283-1</f>
        <v>0.251202382119234</v>
      </c>
      <c r="U534" s="19" t="n">
        <f aca="false">B534/MAX(B283:B534)-1</f>
        <v>-0.020500520071012</v>
      </c>
      <c r="V534" s="17" t="n">
        <f aca="false">(B534-AVERAGE(B515:B534))/STDEV(B515:B534)</f>
        <v>-0.310788090647866</v>
      </c>
    </row>
    <row r="535" customFormat="false" ht="15" hidden="false" customHeight="false" outlineLevel="0" collapsed="false">
      <c r="A535" s="17" t="s">
        <v>1099</v>
      </c>
      <c r="B535" s="17" t="n">
        <v>7374.29</v>
      </c>
      <c r="C535" s="19" t="n">
        <f aca="false">B535/B534-1</f>
        <v>0.00266905608145041</v>
      </c>
      <c r="D535" s="17" t="n">
        <f aca="false">AVERAGE(B486:B535)</f>
        <v>7276.8144</v>
      </c>
      <c r="E535" s="17" t="n">
        <f aca="false">AVERAGE(B336:B535)</f>
        <v>6816.43455</v>
      </c>
      <c r="F535" s="17" t="n">
        <f aca="false">B535*2/13+F534*11/13</f>
        <v>7393.48061613262</v>
      </c>
      <c r="G535" s="17" t="n">
        <f aca="false">B535*2/27+G534*25/27</f>
        <v>7353.24880705445</v>
      </c>
      <c r="H535" s="17" t="n">
        <f aca="false">F535-G535</f>
        <v>40.2318090781782</v>
      </c>
      <c r="I535" s="17" t="n">
        <f aca="false">H535*2/10+I534*8/10</f>
        <v>50.2431524653651</v>
      </c>
      <c r="J535" s="17" t="n">
        <f aca="false">H535-I535</f>
        <v>-10.0113433871869</v>
      </c>
      <c r="K535" s="17" t="n">
        <f aca="false">MAX(B535-B534,0)</f>
        <v>19.6300000000001</v>
      </c>
      <c r="L535" s="17" t="n">
        <f aca="false">MAX(B534-B535,0)</f>
        <v>0</v>
      </c>
      <c r="M535" s="17" t="n">
        <f aca="false">(M534*13+K535)/14</f>
        <v>23.9476356311177</v>
      </c>
      <c r="N535" s="17" t="n">
        <f aca="false">(N534*13+L535)/14</f>
        <v>22.0596332678379</v>
      </c>
      <c r="O535" s="17" t="n">
        <f aca="false">IF(N535=0,100,100-100/(1+M535/N535))</f>
        <v>52.0518522490721</v>
      </c>
      <c r="P535" s="17" t="n">
        <f aca="false">AVERAGE(B516:B535)+2*STDEV(B516:B535)</f>
        <v>7544.3458128171</v>
      </c>
      <c r="Q535" s="17" t="n">
        <f aca="false">AVERAGE(B516:B535)-2*STDEV(B516:B535)</f>
        <v>7218.0271871829</v>
      </c>
      <c r="R535" s="19" t="n">
        <f aca="false">B535/B515-1</f>
        <v>0.00298271575385312</v>
      </c>
      <c r="S535" s="17" t="n">
        <f aca="false">STDEV(C516:C535)*SQRT(252)*100</f>
        <v>13.5887720201818</v>
      </c>
      <c r="T535" s="19" t="n">
        <f aca="false">B514/B284-1</f>
        <v>0.274969290860408</v>
      </c>
      <c r="U535" s="19" t="n">
        <f aca="false">B535/MAX(B284:B535)-1</f>
        <v>-0.0178861810273301</v>
      </c>
      <c r="V535" s="17" t="n">
        <f aca="false">(B535-AVERAGE(B516:B535))/STDEV(B516:B535)</f>
        <v>-0.084537007185508</v>
      </c>
    </row>
    <row r="536" customFormat="false" ht="15" hidden="false" customHeight="false" outlineLevel="0" collapsed="false">
      <c r="A536" s="17" t="s">
        <v>1100</v>
      </c>
      <c r="B536" s="17" t="n">
        <v>7377.54</v>
      </c>
      <c r="C536" s="19" t="n">
        <f aca="false">B536/B535-1</f>
        <v>0.000440720394776939</v>
      </c>
      <c r="D536" s="17" t="n">
        <f aca="false">AVERAGE(B487:B536)</f>
        <v>7281.3086</v>
      </c>
      <c r="E536" s="17" t="n">
        <f aca="false">AVERAGE(B337:B536)</f>
        <v>6822.07945</v>
      </c>
      <c r="F536" s="17" t="n">
        <f aca="false">B536*2/13+F535*11/13</f>
        <v>7391.02821365068</v>
      </c>
      <c r="G536" s="17" t="n">
        <f aca="false">B536*2/27+G535*25/27</f>
        <v>7355.04815468004</v>
      </c>
      <c r="H536" s="17" t="n">
        <f aca="false">F536-G536</f>
        <v>35.9800589706401</v>
      </c>
      <c r="I536" s="17" t="n">
        <f aca="false">H536*2/10+I535*8/10</f>
        <v>47.3905337664201</v>
      </c>
      <c r="J536" s="17" t="n">
        <f aca="false">H536-I536</f>
        <v>-11.41047479578</v>
      </c>
      <c r="K536" s="17" t="n">
        <f aca="false">MAX(B536-B535,0)</f>
        <v>3.25</v>
      </c>
      <c r="L536" s="17" t="n">
        <f aca="false">MAX(B535-B536,0)</f>
        <v>0</v>
      </c>
      <c r="M536" s="17" t="n">
        <f aca="false">(M535*13+K536)/14</f>
        <v>22.4692330860378</v>
      </c>
      <c r="N536" s="17" t="n">
        <f aca="false">(N535*13+L536)/14</f>
        <v>20.4839451772781</v>
      </c>
      <c r="O536" s="17" t="n">
        <f aca="false">IF(N536=0,100,100-100/(1+M536/N536))</f>
        <v>52.3109906985105</v>
      </c>
      <c r="P536" s="17" t="n">
        <f aca="false">AVERAGE(B517:B536)+2*STDEV(B517:B536)</f>
        <v>7545.07634099155</v>
      </c>
      <c r="Q536" s="17" t="n">
        <f aca="false">AVERAGE(B517:B536)-2*STDEV(B517:B536)</f>
        <v>7220.02765900845</v>
      </c>
      <c r="R536" s="19" t="n">
        <f aca="false">B536/B516-1</f>
        <v>0.00371552999021807</v>
      </c>
      <c r="S536" s="17" t="n">
        <f aca="false">STDEV(C517:C536)*SQRT(252)*100</f>
        <v>13.5878696328883</v>
      </c>
      <c r="T536" s="19" t="n">
        <f aca="false">B515/B285-1</f>
        <v>0.269638105237346</v>
      </c>
      <c r="U536" s="19" t="n">
        <f aca="false">B536/MAX(B285:B536)-1</f>
        <v>-0.0174533434373165</v>
      </c>
      <c r="V536" s="17" t="n">
        <f aca="false">(B536-AVERAGE(B517:B536))/STDEV(B517:B536)</f>
        <v>-0.0616769152167956</v>
      </c>
    </row>
    <row r="537" customFormat="false" ht="15" hidden="false" customHeight="false" outlineLevel="0" collapsed="false">
      <c r="A537" s="17" t="s">
        <v>1101</v>
      </c>
      <c r="B537" s="17" t="n">
        <v>7371.42</v>
      </c>
      <c r="C537" s="19" t="n">
        <f aca="false">B537/B536-1</f>
        <v>-0.000829544807618765</v>
      </c>
      <c r="D537" s="17" t="n">
        <f aca="false">AVERAGE(B488:B537)</f>
        <v>7285.6846</v>
      </c>
      <c r="E537" s="17" t="n">
        <f aca="false">AVERAGE(B338:B537)</f>
        <v>6827.6933</v>
      </c>
      <c r="F537" s="17" t="n">
        <f aca="false">B537*2/13+F536*11/13</f>
        <v>7388.01156539673</v>
      </c>
      <c r="G537" s="17" t="n">
        <f aca="false">B537*2/27+G536*25/27</f>
        <v>7356.260883963</v>
      </c>
      <c r="H537" s="17" t="n">
        <f aca="false">F537-G537</f>
        <v>31.7506814337294</v>
      </c>
      <c r="I537" s="17" t="n">
        <f aca="false">H537*2/10+I536*8/10</f>
        <v>44.262563299882</v>
      </c>
      <c r="J537" s="17" t="n">
        <f aca="false">H537-I537</f>
        <v>-12.5118818661526</v>
      </c>
      <c r="K537" s="17" t="n">
        <f aca="false">MAX(B537-B536,0)</f>
        <v>0</v>
      </c>
      <c r="L537" s="17" t="n">
        <f aca="false">MAX(B536-B537,0)</f>
        <v>6.11999999999989</v>
      </c>
      <c r="M537" s="17" t="n">
        <f aca="false">(M536*13+K537)/14</f>
        <v>20.8642878656066</v>
      </c>
      <c r="N537" s="17" t="n">
        <f aca="false">(N536*13+L537)/14</f>
        <v>19.4579490931868</v>
      </c>
      <c r="O537" s="17" t="n">
        <f aca="false">IF(N537=0,100,100-100/(1+M537/N537))</f>
        <v>51.7438749415825</v>
      </c>
      <c r="P537" s="17" t="n">
        <f aca="false">AVERAGE(B518:B537)+2*STDEV(B518:B537)</f>
        <v>7545.06344392681</v>
      </c>
      <c r="Q537" s="17" t="n">
        <f aca="false">AVERAGE(B518:B537)-2*STDEV(B518:B537)</f>
        <v>7220.00455607319</v>
      </c>
      <c r="R537" s="19" t="n">
        <f aca="false">B537/B517-1</f>
        <v>-4.88348811277239E-005</v>
      </c>
      <c r="S537" s="17" t="n">
        <f aca="false">STDEV(C518:C537)*SQRT(252)*100</f>
        <v>13.5538704129869</v>
      </c>
      <c r="T537" s="19" t="n">
        <f aca="false">B516/B286-1</f>
        <v>0.270228841414731</v>
      </c>
      <c r="U537" s="19" t="n">
        <f aca="false">B537/MAX(B286:B537)-1</f>
        <v>-0.0182684099145113</v>
      </c>
      <c r="V537" s="17" t="n">
        <f aca="false">(B537-AVERAGE(B518:B537))/STDEV(B518:B537)</f>
        <v>-0.136762911771291</v>
      </c>
    </row>
    <row r="538" customFormat="false" ht="15" hidden="false" customHeight="false" outlineLevel="0" collapsed="false">
      <c r="A538" s="17" t="s">
        <v>1102</v>
      </c>
      <c r="B538" s="17" t="n">
        <v>7397.23</v>
      </c>
      <c r="C538" s="19" t="n">
        <f aca="false">B538/B537-1</f>
        <v>0.00350136066049678</v>
      </c>
      <c r="D538" s="17" t="n">
        <f aca="false">AVERAGE(B489:B538)</f>
        <v>7290.2596</v>
      </c>
      <c r="E538" s="17" t="n">
        <f aca="false">AVERAGE(B339:B538)</f>
        <v>6833.4975</v>
      </c>
      <c r="F538" s="17" t="n">
        <f aca="false">B538*2/13+F537*11/13</f>
        <v>7389.42978610493</v>
      </c>
      <c r="G538" s="17" t="n">
        <f aca="false">B538*2/27+G537*25/27</f>
        <v>7359.29563329908</v>
      </c>
      <c r="H538" s="17" t="n">
        <f aca="false">F538-G538</f>
        <v>30.1341528058501</v>
      </c>
      <c r="I538" s="17" t="n">
        <f aca="false">H538*2/10+I537*8/10</f>
        <v>41.4368812010756</v>
      </c>
      <c r="J538" s="17" t="n">
        <f aca="false">H538-I538</f>
        <v>-11.3027283952255</v>
      </c>
      <c r="K538" s="17" t="n">
        <f aca="false">MAX(B538-B537,0)</f>
        <v>25.8099999999995</v>
      </c>
      <c r="L538" s="17" t="n">
        <f aca="false">MAX(B537-B538,0)</f>
        <v>0</v>
      </c>
      <c r="M538" s="17" t="n">
        <f aca="false">(M537*13+K538)/14</f>
        <v>21.2175530180632</v>
      </c>
      <c r="N538" s="17" t="n">
        <f aca="false">(N537*13+L538)/14</f>
        <v>18.0680955865306</v>
      </c>
      <c r="O538" s="17" t="n">
        <f aca="false">IF(N538=0,100,100-100/(1+M538/N538))</f>
        <v>54.0084070689931</v>
      </c>
      <c r="P538" s="17" t="n">
        <f aca="false">AVERAGE(B519:B538)+2*STDEV(B519:B538)</f>
        <v>7544.38525306994</v>
      </c>
      <c r="Q538" s="17" t="n">
        <f aca="false">AVERAGE(B519:B538)-2*STDEV(B519:B538)</f>
        <v>7219.78074693006</v>
      </c>
      <c r="R538" s="19" t="n">
        <f aca="false">B538/B518-1</f>
        <v>-0.00121789029535868</v>
      </c>
      <c r="S538" s="17" t="n">
        <f aca="false">STDEV(C519:C538)*SQRT(252)*100</f>
        <v>13.506827794616</v>
      </c>
      <c r="T538" s="19" t="n">
        <f aca="false">B517/B287-1</f>
        <v>0.255127840594688</v>
      </c>
      <c r="U538" s="19" t="n">
        <f aca="false">B538/MAX(B287:B538)-1</f>
        <v>-0.014831013545819</v>
      </c>
      <c r="V538" s="17" t="n">
        <f aca="false">(B538-AVERAGE(B519:B538))/STDEV(B519:B538)</f>
        <v>0.186651752683578</v>
      </c>
    </row>
    <row r="539" customFormat="false" ht="15" hidden="false" customHeight="false" outlineLevel="0" collapsed="false">
      <c r="A539" s="17" t="s">
        <v>1103</v>
      </c>
      <c r="B539" s="17" t="n">
        <v>7424.6</v>
      </c>
      <c r="C539" s="19" t="n">
        <f aca="false">B539/B538-1</f>
        <v>0.00370003366124894</v>
      </c>
      <c r="D539" s="17" t="n">
        <f aca="false">AVERAGE(B490:B539)</f>
        <v>7294.568</v>
      </c>
      <c r="E539" s="17" t="n">
        <f aca="false">AVERAGE(B340:B539)</f>
        <v>6839.1426</v>
      </c>
      <c r="F539" s="17" t="n">
        <f aca="false">B539*2/13+F538*11/13</f>
        <v>7394.84058824263</v>
      </c>
      <c r="G539" s="17" t="n">
        <f aca="false">B539*2/27+G538*25/27</f>
        <v>7364.13299379544</v>
      </c>
      <c r="H539" s="17" t="n">
        <f aca="false">F539-G539</f>
        <v>30.7075944471899</v>
      </c>
      <c r="I539" s="17" t="n">
        <f aca="false">H539*2/10+I538*8/10</f>
        <v>39.2910238502985</v>
      </c>
      <c r="J539" s="17" t="n">
        <f aca="false">H539-I539</f>
        <v>-8.58342940310858</v>
      </c>
      <c r="K539" s="17" t="n">
        <f aca="false">MAX(B539-B538,0)</f>
        <v>27.3700000000008</v>
      </c>
      <c r="L539" s="17" t="n">
        <f aca="false">MAX(B538-B539,0)</f>
        <v>0</v>
      </c>
      <c r="M539" s="17" t="n">
        <f aca="false">(M538*13+K539)/14</f>
        <v>21.657013516773</v>
      </c>
      <c r="N539" s="17" t="n">
        <f aca="false">(N538*13+L539)/14</f>
        <v>16.7775173303498</v>
      </c>
      <c r="O539" s="17" t="n">
        <f aca="false">IF(N539=0,100,100-100/(1+M539/N539))</f>
        <v>56.3478024563795</v>
      </c>
      <c r="P539" s="17" t="n">
        <f aca="false">AVERAGE(B520:B539)+2*STDEV(B520:B539)</f>
        <v>7530.45828556605</v>
      </c>
      <c r="Q539" s="17" t="n">
        <f aca="false">AVERAGE(B520:B539)-2*STDEV(B520:B539)</f>
        <v>7225.30871443395</v>
      </c>
      <c r="R539" s="19" t="n">
        <f aca="false">B539/B519-1</f>
        <v>-0.0111858551339199</v>
      </c>
      <c r="S539" s="17" t="n">
        <f aca="false">STDEV(C520:C539)*SQRT(252)*100</f>
        <v>12.5767932724421</v>
      </c>
      <c r="T539" s="19" t="n">
        <f aca="false">B518/B288-1</f>
        <v>0.265640540143341</v>
      </c>
      <c r="U539" s="19" t="n">
        <f aca="false">B539/MAX(B288:B539)-1</f>
        <v>-0.0111858551339199</v>
      </c>
      <c r="V539" s="17" t="n">
        <f aca="false">(B539-AVERAGE(B520:B539))/STDEV(B520:B539)</f>
        <v>0.612375102828189</v>
      </c>
    </row>
    <row r="540" customFormat="false" ht="15" hidden="false" customHeight="false" outlineLevel="0" collapsed="false">
      <c r="A540" s="17" t="s">
        <v>1104</v>
      </c>
      <c r="B540" s="17" t="n">
        <v>7413.84</v>
      </c>
      <c r="C540" s="19" t="n">
        <f aca="false">B540/B539-1</f>
        <v>-0.0014492363224955</v>
      </c>
      <c r="D540" s="17" t="n">
        <f aca="false">AVERAGE(B491:B540)</f>
        <v>7298.7396</v>
      </c>
      <c r="E540" s="17" t="n">
        <f aca="false">AVERAGE(B341:B540)</f>
        <v>6844.64375</v>
      </c>
      <c r="F540" s="17" t="n">
        <f aca="false">B540*2/13+F539*11/13</f>
        <v>7397.76357466684</v>
      </c>
      <c r="G540" s="17" t="n">
        <f aca="false">B540*2/27+G539*25/27</f>
        <v>7367.81499425504</v>
      </c>
      <c r="H540" s="17" t="n">
        <f aca="false">F540-G540</f>
        <v>29.9485804118031</v>
      </c>
      <c r="I540" s="17" t="n">
        <f aca="false">H540*2/10+I539*8/10</f>
        <v>37.4225351625994</v>
      </c>
      <c r="J540" s="17" t="n">
        <f aca="false">H540-I540</f>
        <v>-7.47395475079632</v>
      </c>
      <c r="K540" s="17" t="n">
        <f aca="false">MAX(B540-B539,0)</f>
        <v>0</v>
      </c>
      <c r="L540" s="17" t="n">
        <f aca="false">MAX(B539-B540,0)</f>
        <v>10.7600000000002</v>
      </c>
      <c r="M540" s="17" t="n">
        <f aca="false">(M539*13+K540)/14</f>
        <v>20.1100839798607</v>
      </c>
      <c r="N540" s="17" t="n">
        <f aca="false">(N539*13+L540)/14</f>
        <v>16.3476946638963</v>
      </c>
      <c r="O540" s="17" t="n">
        <f aca="false">IF(N540=0,100,100-100/(1+M540/N540))</f>
        <v>55.1599267096443</v>
      </c>
      <c r="P540" s="17" t="n">
        <f aca="false">AVERAGE(B521:B540)+2*STDEV(B521:B540)</f>
        <v>7531.63720094673</v>
      </c>
      <c r="Q540" s="17" t="n">
        <f aca="false">AVERAGE(B521:B540)-2*STDEV(B521:B540)</f>
        <v>7225.43879905327</v>
      </c>
      <c r="R540" s="19" t="n">
        <f aca="false">B540/B520-1</f>
        <v>0.00176873965476476</v>
      </c>
      <c r="S540" s="17" t="n">
        <f aca="false">STDEV(C521:C540)*SQRT(252)*100</f>
        <v>11.481013597393</v>
      </c>
      <c r="T540" s="19" t="n">
        <f aca="false">B519/B289-1</f>
        <v>0.286942705726685</v>
      </c>
      <c r="U540" s="19" t="n">
        <f aca="false">B540/MAX(B289:B540)-1</f>
        <v>-0.0126188805088572</v>
      </c>
      <c r="V540" s="17" t="n">
        <f aca="false">(B540-AVERAGE(B521:B540))/STDEV(B521:B540)</f>
        <v>0.461165045691956</v>
      </c>
    </row>
    <row r="541" customFormat="false" ht="15" hidden="false" customHeight="false" outlineLevel="0" collapsed="false">
      <c r="A541" s="17" t="s">
        <v>1105</v>
      </c>
      <c r="B541" s="17" t="n">
        <v>7485.4</v>
      </c>
      <c r="C541" s="19" t="n">
        <f aca="false">B541/B540-1</f>
        <v>0.00965221801387672</v>
      </c>
      <c r="D541" s="17" t="n">
        <f aca="false">AVERAGE(B492:B541)</f>
        <v>7302.8558</v>
      </c>
      <c r="E541" s="17" t="n">
        <f aca="false">AVERAGE(B342:B541)</f>
        <v>6850.46685</v>
      </c>
      <c r="F541" s="17" t="n">
        <f aca="false">B541*2/13+F540*11/13</f>
        <v>7411.24610164117</v>
      </c>
      <c r="G541" s="17" t="n">
        <f aca="false">B541*2/27+G540*25/27</f>
        <v>7376.52499468059</v>
      </c>
      <c r="H541" s="17" t="n">
        <f aca="false">F541-G541</f>
        <v>34.7211069605837</v>
      </c>
      <c r="I541" s="17" t="n">
        <f aca="false">H541*2/10+I540*8/10</f>
        <v>36.8822495221962</v>
      </c>
      <c r="J541" s="17" t="n">
        <f aca="false">H541-I541</f>
        <v>-2.16114256161253</v>
      </c>
      <c r="K541" s="17" t="n">
        <f aca="false">MAX(B541-B540,0)</f>
        <v>71.5599999999995</v>
      </c>
      <c r="L541" s="17" t="n">
        <f aca="false">MAX(B540-B541,0)</f>
        <v>0</v>
      </c>
      <c r="M541" s="17" t="n">
        <f aca="false">(M540*13+K541)/14</f>
        <v>23.7850779812992</v>
      </c>
      <c r="N541" s="17" t="n">
        <f aca="false">(N540*13+L541)/14</f>
        <v>15.1800021879037</v>
      </c>
      <c r="O541" s="17" t="n">
        <f aca="false">IF(N541=0,100,100-100/(1+M541/N541))</f>
        <v>61.0420352736715</v>
      </c>
      <c r="P541" s="17" t="n">
        <f aca="false">AVERAGE(B522:B541)+2*STDEV(B522:B541)</f>
        <v>7543.08744478198</v>
      </c>
      <c r="Q541" s="17" t="n">
        <f aca="false">AVERAGE(B522:B541)-2*STDEV(B522:B541)</f>
        <v>7232.85055521802</v>
      </c>
      <c r="R541" s="19" t="n">
        <f aca="false">B541/B521-1</f>
        <v>0.025849758386576</v>
      </c>
      <c r="S541" s="17" t="n">
        <f aca="false">STDEV(C522:C541)*SQRT(252)*100</f>
        <v>10.6562871263683</v>
      </c>
      <c r="T541" s="19" t="n">
        <f aca="false">B520/B290-1</f>
        <v>0.271053991993171</v>
      </c>
      <c r="U541" s="19" t="n">
        <f aca="false">B541/MAX(B290:B541)-1</f>
        <v>-0.00308846268074303</v>
      </c>
      <c r="V541" s="17" t="n">
        <f aca="false">(B541-AVERAGE(B522:B541))/STDEV(B522:B541)</f>
        <v>1.25621424501699</v>
      </c>
    </row>
    <row r="542" customFormat="false" ht="15" hidden="false" customHeight="false" outlineLevel="0" collapsed="false">
      <c r="A542" s="17" t="s">
        <v>1106</v>
      </c>
      <c r="B542" s="17" t="n">
        <v>7559.13</v>
      </c>
      <c r="C542" s="19" t="n">
        <f aca="false">B542/B541-1</f>
        <v>0.00984984102385988</v>
      </c>
      <c r="D542" s="17" t="n">
        <f aca="false">AVERAGE(B493:B542)</f>
        <v>7308.9232</v>
      </c>
      <c r="E542" s="17" t="n">
        <f aca="false">AVERAGE(B343:B542)</f>
        <v>6856.53345</v>
      </c>
      <c r="F542" s="17" t="n">
        <f aca="false">B542*2/13+F541*11/13</f>
        <v>7433.99747061945</v>
      </c>
      <c r="G542" s="17" t="n">
        <f aca="false">B542*2/27+G541*25/27</f>
        <v>7390.05129137092</v>
      </c>
      <c r="H542" s="17" t="n">
        <f aca="false">F542-G542</f>
        <v>43.9461792485372</v>
      </c>
      <c r="I542" s="17" t="n">
        <f aca="false">H542*2/10+I541*8/10</f>
        <v>38.2950354674644</v>
      </c>
      <c r="J542" s="17" t="n">
        <f aca="false">H542-I542</f>
        <v>5.65114378107276</v>
      </c>
      <c r="K542" s="17" t="n">
        <f aca="false">MAX(B542-B541,0)</f>
        <v>73.7300000000005</v>
      </c>
      <c r="L542" s="17" t="n">
        <f aca="false">MAX(B541-B542,0)</f>
        <v>0</v>
      </c>
      <c r="M542" s="17" t="n">
        <f aca="false">(M541*13+K542)/14</f>
        <v>27.3525724112064</v>
      </c>
      <c r="N542" s="17" t="n">
        <f aca="false">(N541*13+L542)/14</f>
        <v>14.0957163173391</v>
      </c>
      <c r="O542" s="17" t="n">
        <f aca="false">IF(N542=0,100,100-100/(1+M542/N542))</f>
        <v>65.9920427362991</v>
      </c>
      <c r="P542" s="17" t="n">
        <f aca="false">AVERAGE(B523:B542)+2*STDEV(B523:B542)</f>
        <v>7550.57754786013</v>
      </c>
      <c r="Q542" s="17" t="n">
        <f aca="false">AVERAGE(B523:B542)-2*STDEV(B523:B542)</f>
        <v>7261.96345213987</v>
      </c>
      <c r="R542" s="19" t="n">
        <f aca="false">B542/B522-1</f>
        <v>0.0508862660049214</v>
      </c>
      <c r="S542" s="17" t="n">
        <f aca="false">STDEV(C523:C542)*SQRT(252)*100</f>
        <v>9.35532661931187</v>
      </c>
      <c r="T542" s="19" t="n">
        <f aca="false">B521/B291-1</f>
        <v>0.249859542863407</v>
      </c>
      <c r="U542" s="19" t="n">
        <f aca="false">B542/MAX(B291:B542)-1</f>
        <v>0</v>
      </c>
      <c r="V542" s="17" t="n">
        <f aca="false">(B542-AVERAGE(B523:B542))/STDEV(B523:B542)</f>
        <v>2.11853131592244</v>
      </c>
    </row>
    <row r="543" customFormat="false" ht="15" hidden="false" customHeight="false" outlineLevel="0" collapsed="false">
      <c r="A543" s="17" t="s">
        <v>1107</v>
      </c>
      <c r="B543" s="17" t="n">
        <v>7570.25</v>
      </c>
      <c r="C543" s="19" t="n">
        <f aca="false">B543/B542-1</f>
        <v>0.00147106876055836</v>
      </c>
      <c r="D543" s="17" t="n">
        <f aca="false">AVERAGE(B494:B543)</f>
        <v>7315.3</v>
      </c>
      <c r="E543" s="17" t="n">
        <f aca="false">AVERAGE(B344:B543)</f>
        <v>6862.82365</v>
      </c>
      <c r="F543" s="17" t="n">
        <f aca="false">B543*2/13+F542*11/13</f>
        <v>7454.95939821646</v>
      </c>
      <c r="G543" s="17" t="n">
        <f aca="false">B543*2/27+G542*25/27</f>
        <v>7403.39934386196</v>
      </c>
      <c r="H543" s="17" t="n">
        <f aca="false">F543-G543</f>
        <v>51.5600543545015</v>
      </c>
      <c r="I543" s="17" t="n">
        <f aca="false">H543*2/10+I542*8/10</f>
        <v>40.9480392448719</v>
      </c>
      <c r="J543" s="17" t="n">
        <f aca="false">H543-I543</f>
        <v>10.6120151096297</v>
      </c>
      <c r="K543" s="17" t="n">
        <f aca="false">MAX(B543-B542,0)</f>
        <v>11.1199999999999</v>
      </c>
      <c r="L543" s="17" t="n">
        <f aca="false">MAX(B542-B543,0)</f>
        <v>0</v>
      </c>
      <c r="M543" s="17" t="n">
        <f aca="false">(M542*13+K543)/14</f>
        <v>26.1931029532631</v>
      </c>
      <c r="N543" s="17" t="n">
        <f aca="false">(N542*13+L543)/14</f>
        <v>13.0888794375292</v>
      </c>
      <c r="O543" s="17" t="n">
        <f aca="false">IF(N543=0,100,100-100/(1+M543/N543))</f>
        <v>66.6796871213983</v>
      </c>
      <c r="P543" s="17" t="n">
        <f aca="false">AVERAGE(B524:B543)+2*STDEV(B524:B543)</f>
        <v>7560.60939233689</v>
      </c>
      <c r="Q543" s="17" t="n">
        <f aca="false">AVERAGE(B524:B543)-2*STDEV(B524:B543)</f>
        <v>7285.75860766311</v>
      </c>
      <c r="R543" s="19" t="n">
        <f aca="false">B543/B523-1</f>
        <v>0.0467741890879123</v>
      </c>
      <c r="S543" s="17" t="n">
        <f aca="false">STDEV(C524:C543)*SQRT(252)*100</f>
        <v>9.2974093697605</v>
      </c>
      <c r="T543" s="19" t="n">
        <f aca="false">B522/B292-1</f>
        <v>0.227043366415677</v>
      </c>
      <c r="U543" s="19" t="n">
        <f aca="false">B543/MAX(B292:B543)-1</f>
        <v>0</v>
      </c>
      <c r="V543" s="17" t="n">
        <f aca="false">(B543-AVERAGE(B524:B543))/STDEV(B524:B543)</f>
        <v>2.14030314920958</v>
      </c>
    </row>
    <row r="544" customFormat="false" ht="15" hidden="false" customHeight="false" outlineLevel="0" collapsed="false">
      <c r="A544" s="17" t="s">
        <v>1108</v>
      </c>
      <c r="B544" s="17" t="n">
        <v>7660.18</v>
      </c>
      <c r="C544" s="19" t="n">
        <f aca="false">B544/B543-1</f>
        <v>0.0118793963211254</v>
      </c>
      <c r="D544" s="17" t="n">
        <f aca="false">AVERAGE(B495:B544)</f>
        <v>7323.9428</v>
      </c>
      <c r="E544" s="17" t="n">
        <f aca="false">AVERAGE(B345:B544)</f>
        <v>6869.5792</v>
      </c>
      <c r="F544" s="17" t="n">
        <f aca="false">B544*2/13+F543*11/13</f>
        <v>7486.53179849085</v>
      </c>
      <c r="G544" s="17" t="n">
        <f aca="false">B544*2/27+G543*25/27</f>
        <v>7422.42013320552</v>
      </c>
      <c r="H544" s="17" t="n">
        <f aca="false">F544-G544</f>
        <v>64.1116652853334</v>
      </c>
      <c r="I544" s="17" t="n">
        <f aca="false">H544*2/10+I543*8/10</f>
        <v>45.5807644529642</v>
      </c>
      <c r="J544" s="17" t="n">
        <f aca="false">H544-I544</f>
        <v>18.5309008323692</v>
      </c>
      <c r="K544" s="17" t="n">
        <f aca="false">MAX(B544-B543,0)</f>
        <v>89.9300000000003</v>
      </c>
      <c r="L544" s="17" t="n">
        <f aca="false">MAX(B543-B544,0)</f>
        <v>0</v>
      </c>
      <c r="M544" s="17" t="n">
        <f aca="false">(M543*13+K544)/14</f>
        <v>30.7457384566014</v>
      </c>
      <c r="N544" s="17" t="n">
        <f aca="false">(N543*13+L544)/14</f>
        <v>12.1539594777057</v>
      </c>
      <c r="O544" s="17" t="n">
        <f aca="false">IF(N544=0,100,100-100/(1+M544/N544))</f>
        <v>71.6688926427473</v>
      </c>
      <c r="P544" s="17" t="n">
        <f aca="false">AVERAGE(B525:B544)+2*STDEV(B525:B544)</f>
        <v>7598.67692086261</v>
      </c>
      <c r="Q544" s="17" t="n">
        <f aca="false">AVERAGE(B525:B544)-2*STDEV(B525:B544)</f>
        <v>7286.42007913739</v>
      </c>
      <c r="R544" s="19" t="n">
        <f aca="false">B544/B524-1</f>
        <v>0.0532511835047691</v>
      </c>
      <c r="S544" s="17" t="n">
        <f aca="false">STDEV(C525:C544)*SQRT(252)*100</f>
        <v>9.8414378507315</v>
      </c>
      <c r="T544" s="19" t="n">
        <f aca="false">B523/B293-1</f>
        <v>0.218962059026783</v>
      </c>
      <c r="U544" s="19" t="n">
        <f aca="false">B544/MAX(B293:B544)-1</f>
        <v>0</v>
      </c>
      <c r="V544" s="17" t="n">
        <f aca="false">(B544-AVERAGE(B525:B544))/STDEV(B525:B544)</f>
        <v>2.78785244605158</v>
      </c>
    </row>
    <row r="545" customFormat="false" ht="15" hidden="false" customHeight="false" outlineLevel="0" collapsed="false">
      <c r="A545" s="17" t="s">
        <v>1109</v>
      </c>
      <c r="B545" s="17" t="n">
        <v>7642.67</v>
      </c>
      <c r="C545" s="19" t="n">
        <f aca="false">B545/B544-1</f>
        <v>-0.00228584706886781</v>
      </c>
      <c r="D545" s="17" t="n">
        <f aca="false">AVERAGE(B496:B545)</f>
        <v>7331.1822</v>
      </c>
      <c r="E545" s="17" t="n">
        <f aca="false">AVERAGE(B346:B545)</f>
        <v>6876.21165</v>
      </c>
      <c r="F545" s="17" t="n">
        <f aca="false">B545*2/13+F544*11/13</f>
        <v>7510.55306026149</v>
      </c>
      <c r="G545" s="17" t="n">
        <f aca="false">B545*2/27+G544*25/27</f>
        <v>7438.73493815326</v>
      </c>
      <c r="H545" s="17" t="n">
        <f aca="false">F545-G545</f>
        <v>71.8181221082314</v>
      </c>
      <c r="I545" s="17" t="n">
        <f aca="false">H545*2/10+I544*8/10</f>
        <v>50.8282359840176</v>
      </c>
      <c r="J545" s="17" t="n">
        <f aca="false">H545-I545</f>
        <v>20.9898861242138</v>
      </c>
      <c r="K545" s="17" t="n">
        <f aca="false">MAX(B545-B544,0)</f>
        <v>0</v>
      </c>
      <c r="L545" s="17" t="n">
        <f aca="false">MAX(B544-B545,0)</f>
        <v>17.5100000000002</v>
      </c>
      <c r="M545" s="17" t="n">
        <f aca="false">(M544*13+K545)/14</f>
        <v>28.5496142811299</v>
      </c>
      <c r="N545" s="17" t="n">
        <f aca="false">(N544*13+L545)/14</f>
        <v>12.5365338007267</v>
      </c>
      <c r="O545" s="17" t="n">
        <f aca="false">IF(N545=0,100,100-100/(1+M545/N545))</f>
        <v>69.4872009521312</v>
      </c>
      <c r="P545" s="17" t="n">
        <f aca="false">AVERAGE(B526:B545)+2*STDEV(B526:B545)</f>
        <v>7632.12473834122</v>
      </c>
      <c r="Q545" s="17" t="n">
        <f aca="false">AVERAGE(B526:B545)-2*STDEV(B526:B545)</f>
        <v>7280.02426165878</v>
      </c>
      <c r="R545" s="19" t="n">
        <f aca="false">B545/B525-1</f>
        <v>0.0366948583520412</v>
      </c>
      <c r="S545" s="17" t="n">
        <f aca="false">STDEV(C526:C545)*SQRT(252)*100</f>
        <v>9.0671969831787</v>
      </c>
      <c r="T545" s="19" t="n">
        <f aca="false">B524/B294-1</f>
        <v>0.214455799352102</v>
      </c>
      <c r="U545" s="19" t="n">
        <f aca="false">B545/MAX(B294:B545)-1</f>
        <v>-0.00228584706886781</v>
      </c>
      <c r="V545" s="17" t="n">
        <f aca="false">(B545-AVERAGE(B526:B545))/STDEV(B526:B545)</f>
        <v>2.11979832300303</v>
      </c>
    </row>
    <row r="546" customFormat="false" ht="15" hidden="false" customHeight="false" outlineLevel="0" collapsed="false">
      <c r="A546" s="17" t="s">
        <v>1110</v>
      </c>
      <c r="B546" s="17" t="n">
        <v>7654.55</v>
      </c>
      <c r="C546" s="19" t="n">
        <f aca="false">B546/B545-1</f>
        <v>0.00155443058512272</v>
      </c>
      <c r="D546" s="17" t="n">
        <f aca="false">AVERAGE(B497:B546)</f>
        <v>7339.9234</v>
      </c>
      <c r="E546" s="17" t="n">
        <f aca="false">AVERAGE(B347:B546)</f>
        <v>6883.0162</v>
      </c>
      <c r="F546" s="17" t="n">
        <f aca="false">B546*2/13+F545*11/13</f>
        <v>7532.70643560588</v>
      </c>
      <c r="G546" s="17" t="n">
        <f aca="false">B546*2/27+G545*25/27</f>
        <v>7454.72123903079</v>
      </c>
      <c r="H546" s="17" t="n">
        <f aca="false">F546-G546</f>
        <v>77.9851965750813</v>
      </c>
      <c r="I546" s="17" t="n">
        <f aca="false">H546*2/10+I545*8/10</f>
        <v>56.2596281022304</v>
      </c>
      <c r="J546" s="17" t="n">
        <f aca="false">H546-I546</f>
        <v>21.725568472851</v>
      </c>
      <c r="K546" s="17" t="n">
        <f aca="false">MAX(B546-B545,0)</f>
        <v>11.8800000000001</v>
      </c>
      <c r="L546" s="17" t="n">
        <f aca="false">MAX(B545-B546,0)</f>
        <v>0</v>
      </c>
      <c r="M546" s="17" t="n">
        <f aca="false">(M545*13+K546)/14</f>
        <v>27.3589275467635</v>
      </c>
      <c r="N546" s="17" t="n">
        <f aca="false">(N545*13+L546)/14</f>
        <v>11.6410671006748</v>
      </c>
      <c r="O546" s="17" t="n">
        <f aca="false">IF(N546=0,100,100-100/(1+M546/N546))</f>
        <v>70.1511059016531</v>
      </c>
      <c r="P546" s="17" t="n">
        <f aca="false">AVERAGE(B527:B546)+2*STDEV(B527:B546)</f>
        <v>7663.46945387394</v>
      </c>
      <c r="Q546" s="17" t="n">
        <f aca="false">AVERAGE(B527:B546)-2*STDEV(B527:B546)</f>
        <v>7274.58554612606</v>
      </c>
      <c r="R546" s="19" t="n">
        <f aca="false">B546/B526-1</f>
        <v>0.0350294571421232</v>
      </c>
      <c r="S546" s="17" t="n">
        <f aca="false">STDEV(C527:C546)*SQRT(252)*100</f>
        <v>9.05347929682342</v>
      </c>
      <c r="T546" s="19" t="n">
        <f aca="false">B525/B295-1</f>
        <v>0.231174535312881</v>
      </c>
      <c r="U546" s="19" t="n">
        <f aca="false">B546/MAX(B295:B546)-1</f>
        <v>-0.000734969674341834</v>
      </c>
      <c r="V546" s="17" t="n">
        <f aca="false">(B546-AVERAGE(B527:B546))/STDEV(B527:B546)</f>
        <v>1.90825587074976</v>
      </c>
    </row>
    <row r="547" customFormat="false" ht="15" hidden="false" customHeight="false" outlineLevel="0" collapsed="false">
      <c r="A547" s="17" t="s">
        <v>1111</v>
      </c>
      <c r="B547" s="17" t="n">
        <v>7622.32</v>
      </c>
      <c r="C547" s="19" t="n">
        <f aca="false">B547/B546-1</f>
        <v>-0.00421056757092198</v>
      </c>
      <c r="D547" s="17" t="n">
        <f aca="false">AVERAGE(B498:B547)</f>
        <v>7348.4196</v>
      </c>
      <c r="E547" s="17" t="n">
        <f aca="false">AVERAGE(B348:B547)</f>
        <v>6889.836</v>
      </c>
      <c r="F547" s="17" t="n">
        <f aca="false">B547*2/13+F546*11/13</f>
        <v>7546.49313782036</v>
      </c>
      <c r="G547" s="17" t="n">
        <f aca="false">B547*2/27+G546*25/27</f>
        <v>7467.13596206555</v>
      </c>
      <c r="H547" s="17" t="n">
        <f aca="false">F547-G547</f>
        <v>79.3571757548061</v>
      </c>
      <c r="I547" s="17" t="n">
        <f aca="false">H547*2/10+I546*8/10</f>
        <v>60.8791376327455</v>
      </c>
      <c r="J547" s="17" t="n">
        <f aca="false">H547-I547</f>
        <v>18.4780381220606</v>
      </c>
      <c r="K547" s="17" t="n">
        <f aca="false">MAX(B547-B546,0)</f>
        <v>0</v>
      </c>
      <c r="L547" s="17" t="n">
        <f aca="false">MAX(B546-B547,0)</f>
        <v>32.2300000000005</v>
      </c>
      <c r="M547" s="17" t="n">
        <f aca="false">(M546*13+K547)/14</f>
        <v>25.4047184362804</v>
      </c>
      <c r="N547" s="17" t="n">
        <f aca="false">(N546*13+L547)/14</f>
        <v>13.1117051649124</v>
      </c>
      <c r="O547" s="17" t="n">
        <f aca="false">IF(N547=0,100,100-100/(1+M547/N547))</f>
        <v>65.9581447626765</v>
      </c>
      <c r="P547" s="17" t="n">
        <f aca="false">AVERAGE(B528:B547)+2*STDEV(B528:B547)</f>
        <v>7683.64717995515</v>
      </c>
      <c r="Q547" s="17" t="n">
        <f aca="false">AVERAGE(B528:B547)-2*STDEV(B528:B547)</f>
        <v>7272.74082004485</v>
      </c>
      <c r="R547" s="19" t="n">
        <f aca="false">B547/B527-1</f>
        <v>0.0246444745859318</v>
      </c>
      <c r="S547" s="17" t="n">
        <f aca="false">STDEV(C528:C547)*SQRT(252)*100</f>
        <v>9.14914025329802</v>
      </c>
      <c r="T547" s="19" t="n">
        <f aca="false">B526/B296-1</f>
        <v>0.246557655581832</v>
      </c>
      <c r="U547" s="19" t="n">
        <f aca="false">B547/MAX(B296:B547)-1</f>
        <v>-0.00494244260578736</v>
      </c>
      <c r="V547" s="17" t="n">
        <f aca="false">(B547-AVERAGE(B528:B547))/STDEV(B528:B547)</f>
        <v>1.40300578488452</v>
      </c>
    </row>
    <row r="548" customFormat="false" ht="15" hidden="false" customHeight="false" outlineLevel="0" collapsed="false">
      <c r="A548" s="17" t="s">
        <v>1112</v>
      </c>
      <c r="B548" s="17" t="n">
        <v>7523.26</v>
      </c>
      <c r="C548" s="19" t="n">
        <f aca="false">B548/B547-1</f>
        <v>-0.0129960431994458</v>
      </c>
      <c r="D548" s="17" t="n">
        <f aca="false">AVERAGE(B499:B548)</f>
        <v>7358.1214</v>
      </c>
      <c r="E548" s="17" t="n">
        <f aca="false">AVERAGE(B349:B548)</f>
        <v>6895.7566</v>
      </c>
      <c r="F548" s="17" t="n">
        <f aca="false">B548*2/13+F547*11/13</f>
        <v>7542.91880892492</v>
      </c>
      <c r="G548" s="17" t="n">
        <f aca="false">B548*2/27+G547*25/27</f>
        <v>7471.29329820884</v>
      </c>
      <c r="H548" s="17" t="n">
        <f aca="false">F548-G548</f>
        <v>71.6255107160741</v>
      </c>
      <c r="I548" s="17" t="n">
        <f aca="false">H548*2/10+I547*8/10</f>
        <v>63.0284122494112</v>
      </c>
      <c r="J548" s="17" t="n">
        <f aca="false">H548-I548</f>
        <v>8.5970984666629</v>
      </c>
      <c r="K548" s="17" t="n">
        <f aca="false">MAX(B548-B547,0)</f>
        <v>0</v>
      </c>
      <c r="L548" s="17" t="n">
        <f aca="false">MAX(B547-B548,0)</f>
        <v>99.0599999999995</v>
      </c>
      <c r="M548" s="17" t="n">
        <f aca="false">(M547*13+K548)/14</f>
        <v>23.5900956908318</v>
      </c>
      <c r="N548" s="17" t="n">
        <f aca="false">(N547*13+L548)/14</f>
        <v>19.2508690817043</v>
      </c>
      <c r="O548" s="17" t="n">
        <f aca="false">IF(N548=0,100,100-100/(1+M548/N548))</f>
        <v>55.0643427758532</v>
      </c>
      <c r="P548" s="17" t="n">
        <f aca="false">AVERAGE(B529:B548)+2*STDEV(B529:B548)</f>
        <v>7687.4986881421</v>
      </c>
      <c r="Q548" s="17" t="n">
        <f aca="false">AVERAGE(B529:B548)-2*STDEV(B529:B548)</f>
        <v>7274.9503118579</v>
      </c>
      <c r="R548" s="19" t="n">
        <f aca="false">B548/B528-1</f>
        <v>0.00812177979672102</v>
      </c>
      <c r="S548" s="17" t="n">
        <f aca="false">STDEV(C529:C548)*SQRT(252)*100</f>
        <v>10.4079355931425</v>
      </c>
      <c r="T548" s="19" t="n">
        <f aca="false">B527/B297-1</f>
        <v>0.250013022736858</v>
      </c>
      <c r="U548" s="19" t="n">
        <f aca="false">B548/MAX(B297:B548)-1</f>
        <v>-0.0178742536076176</v>
      </c>
      <c r="V548" s="17" t="n">
        <f aca="false">(B548-AVERAGE(B529:B548))/STDEV(B529:B548)</f>
        <v>0.407569171679805</v>
      </c>
    </row>
    <row r="549" customFormat="false" ht="15" hidden="false" customHeight="false" outlineLevel="0" collapsed="false">
      <c r="A549" s="17" t="s">
        <v>1113</v>
      </c>
      <c r="B549" s="17" t="n">
        <v>7453.17</v>
      </c>
      <c r="C549" s="19" t="n">
        <f aca="false">B549/B548-1</f>
        <v>-0.00931643994757592</v>
      </c>
      <c r="D549" s="17" t="n">
        <f aca="false">AVERAGE(B500:B549)</f>
        <v>7365.8208</v>
      </c>
      <c r="E549" s="17" t="n">
        <f aca="false">AVERAGE(B350:B549)</f>
        <v>6901.4499</v>
      </c>
      <c r="F549" s="17" t="n">
        <f aca="false">B549*2/13+F548*11/13</f>
        <v>7529.11129985955</v>
      </c>
      <c r="G549" s="17" t="n">
        <f aca="false">B549*2/27+G548*25/27</f>
        <v>7469.95083167486</v>
      </c>
      <c r="H549" s="17" t="n">
        <f aca="false">F549-G549</f>
        <v>59.1604681846911</v>
      </c>
      <c r="I549" s="17" t="n">
        <f aca="false">H549*2/10+I548*8/10</f>
        <v>62.2548234364672</v>
      </c>
      <c r="J549" s="17" t="n">
        <f aca="false">H549-I549</f>
        <v>-3.09435525177609</v>
      </c>
      <c r="K549" s="17" t="n">
        <f aca="false">MAX(B549-B548,0)</f>
        <v>0</v>
      </c>
      <c r="L549" s="17" t="n">
        <f aca="false">MAX(B548-B549,0)</f>
        <v>70.0900000000002</v>
      </c>
      <c r="M549" s="17" t="n">
        <f aca="false">(M548*13+K549)/14</f>
        <v>21.9050888557724</v>
      </c>
      <c r="N549" s="17" t="n">
        <f aca="false">(N548*13+L549)/14</f>
        <v>22.8822355758683</v>
      </c>
      <c r="O549" s="17" t="n">
        <f aca="false">IF(N549=0,100,100-100/(1+M549/N549))</f>
        <v>48.9091258157346</v>
      </c>
      <c r="P549" s="17" t="n">
        <f aca="false">AVERAGE(B530:B549)+2*STDEV(B530:B549)</f>
        <v>7687.00467414366</v>
      </c>
      <c r="Q549" s="17" t="n">
        <f aca="false">AVERAGE(B530:B549)-2*STDEV(B530:B549)</f>
        <v>7273.80632585634</v>
      </c>
      <c r="R549" s="19" t="n">
        <f aca="false">B549/B529-1</f>
        <v>-0.00219290318693899</v>
      </c>
      <c r="S549" s="17" t="n">
        <f aca="false">STDEV(C530:C549)*SQRT(252)*100</f>
        <v>10.9627819743668</v>
      </c>
      <c r="T549" s="19" t="n">
        <f aca="false">B528/B298-1</f>
        <v>0.251217659712523</v>
      </c>
      <c r="U549" s="19" t="n">
        <f aca="false">B549/MAX(B298:B549)-1</f>
        <v>-0.0270241691448504</v>
      </c>
      <c r="V549" s="17" t="n">
        <f aca="false">(B549-AVERAGE(B530:B549))/STDEV(B530:B549)</f>
        <v>-0.263655458574685</v>
      </c>
    </row>
    <row r="550" customFormat="false" ht="15" hidden="false" customHeight="false" outlineLevel="0" collapsed="false">
      <c r="A550" s="17" t="s">
        <v>1114</v>
      </c>
      <c r="B550" s="17" t="n">
        <v>7430.26</v>
      </c>
      <c r="C550" s="19" t="n">
        <f aca="false">B550/B549-1</f>
        <v>-0.00307385984755482</v>
      </c>
      <c r="D550" s="17" t="n">
        <f aca="false">AVERAGE(B501:B550)</f>
        <v>7375.0326</v>
      </c>
      <c r="E550" s="17" t="n">
        <f aca="false">AVERAGE(B351:B550)</f>
        <v>6907.05815</v>
      </c>
      <c r="F550" s="17" t="n">
        <f aca="false">B550*2/13+F549*11/13</f>
        <v>7513.90340757346</v>
      </c>
      <c r="G550" s="17" t="n">
        <f aca="false">B550*2/27+G549*25/27</f>
        <v>7467.01077006931</v>
      </c>
      <c r="H550" s="17" t="n">
        <f aca="false">F550-G550</f>
        <v>46.892637504151</v>
      </c>
      <c r="I550" s="17" t="n">
        <f aca="false">H550*2/10+I549*8/10</f>
        <v>59.182386250004</v>
      </c>
      <c r="J550" s="17" t="n">
        <f aca="false">H550-I550</f>
        <v>-12.2897487458529</v>
      </c>
      <c r="K550" s="17" t="n">
        <f aca="false">MAX(B550-B549,0)</f>
        <v>0</v>
      </c>
      <c r="L550" s="17" t="n">
        <f aca="false">MAX(B549-B550,0)</f>
        <v>22.9099999999999</v>
      </c>
      <c r="M550" s="17" t="n">
        <f aca="false">(M549*13+K550)/14</f>
        <v>20.3404396517886</v>
      </c>
      <c r="N550" s="17" t="n">
        <f aca="false">(N549*13+L550)/14</f>
        <v>22.8842187490205</v>
      </c>
      <c r="O550" s="17" t="n">
        <f aca="false">IF(N550=0,100,100-100/(1+M550/N550))</f>
        <v>47.057490803462</v>
      </c>
      <c r="P550" s="17" t="n">
        <f aca="false">AVERAGE(B531:B550)+2*STDEV(B531:B550)</f>
        <v>7686.32122831337</v>
      </c>
      <c r="Q550" s="17" t="n">
        <f aca="false">AVERAGE(B531:B550)-2*STDEV(B531:B550)</f>
        <v>7270.81977168663</v>
      </c>
      <c r="R550" s="19" t="n">
        <f aca="false">B550/B530-1</f>
        <v>-0.00491498548271319</v>
      </c>
      <c r="S550" s="17" t="n">
        <f aca="false">STDEV(C531:C550)*SQRT(252)*100</f>
        <v>11.0139689765199</v>
      </c>
      <c r="T550" s="19" t="n">
        <f aca="false">B529/B299-1</f>
        <v>0.263162967986106</v>
      </c>
      <c r="U550" s="19" t="n">
        <f aca="false">B550/MAX(B299:B550)-1</f>
        <v>-0.0300149604839574</v>
      </c>
      <c r="V550" s="17" t="n">
        <f aca="false">(B550-AVERAGE(B531:B550))/STDEV(B531:B550)</f>
        <v>-0.465081402045702</v>
      </c>
    </row>
    <row r="551" customFormat="false" ht="15" hidden="false" customHeight="false" outlineLevel="0" collapsed="false">
      <c r="A551" s="17" t="s">
        <v>1115</v>
      </c>
      <c r="B551" s="17" t="n">
        <v>7447.68</v>
      </c>
      <c r="C551" s="19" t="n">
        <f aca="false">B551/B550-1</f>
        <v>0.00234446708459735</v>
      </c>
      <c r="D551" s="17" t="n">
        <f aca="false">AVERAGE(B502:B551)</f>
        <v>7383.3542</v>
      </c>
      <c r="E551" s="17" t="n">
        <f aca="false">AVERAGE(B352:B551)</f>
        <v>6912.4034</v>
      </c>
      <c r="F551" s="17" t="n">
        <f aca="false">B551*2/13+F550*11/13</f>
        <v>7503.7151910237</v>
      </c>
      <c r="G551" s="17" t="n">
        <f aca="false">B551*2/27+G550*25/27</f>
        <v>7465.57886117529</v>
      </c>
      <c r="H551" s="17" t="n">
        <f aca="false">F551-G551</f>
        <v>38.1363298484112</v>
      </c>
      <c r="I551" s="17" t="n">
        <f aca="false">H551*2/10+I550*8/10</f>
        <v>54.9731749696854</v>
      </c>
      <c r="J551" s="17" t="n">
        <f aca="false">H551-I551</f>
        <v>-16.8368451212743</v>
      </c>
      <c r="K551" s="17" t="n">
        <f aca="false">MAX(B551-B550,0)</f>
        <v>17.4200000000001</v>
      </c>
      <c r="L551" s="17" t="n">
        <f aca="false">MAX(B550-B551,0)</f>
        <v>0</v>
      </c>
      <c r="M551" s="17" t="n">
        <f aca="false">(M550*13+K551)/14</f>
        <v>20.131836819518</v>
      </c>
      <c r="N551" s="17" t="n">
        <f aca="false">(N550*13+L551)/14</f>
        <v>21.2496316955191</v>
      </c>
      <c r="O551" s="17" t="n">
        <f aca="false">IF(N551=0,100,100-100/(1+M551/N551))</f>
        <v>48.6494016330101</v>
      </c>
      <c r="P551" s="17" t="n">
        <f aca="false">AVERAGE(B532:B551)+2*STDEV(B532:B551)</f>
        <v>7686.22217582806</v>
      </c>
      <c r="Q551" s="17" t="n">
        <f aca="false">AVERAGE(B532:B551)-2*STDEV(B532:B551)</f>
        <v>7274.85682417194</v>
      </c>
      <c r="R551" s="19" t="n">
        <f aca="false">B551/B531-1</f>
        <v>0.00531565946303481</v>
      </c>
      <c r="S551" s="17" t="n">
        <f aca="false">STDEV(C532:C551)*SQRT(252)*100</f>
        <v>10.6660970728479</v>
      </c>
      <c r="T551" s="19" t="n">
        <f aca="false">B530/B300-1</f>
        <v>0.248544861408604</v>
      </c>
      <c r="U551" s="19" t="n">
        <f aca="false">B551/MAX(B300:B551)-1</f>
        <v>-0.0277408624862601</v>
      </c>
      <c r="V551" s="17" t="n">
        <f aca="false">(B551-AVERAGE(B532:B551))/STDEV(B532:B551)</f>
        <v>-0.319516457744548</v>
      </c>
    </row>
    <row r="552" customFormat="false" ht="15" hidden="false" customHeight="false" outlineLevel="0" collapsed="false">
      <c r="A552" s="17" t="s">
        <v>1116</v>
      </c>
      <c r="B552" s="17" t="n">
        <v>7507.87</v>
      </c>
      <c r="C552" s="19" t="n">
        <f aca="false">B552/B551-1</f>
        <v>0.00808171135172286</v>
      </c>
      <c r="D552" s="17" t="n">
        <f aca="false">AVERAGE(B503:B552)</f>
        <v>7392.6956</v>
      </c>
      <c r="E552" s="17" t="n">
        <f aca="false">AVERAGE(B353:B552)</f>
        <v>6918.01215</v>
      </c>
      <c r="F552" s="17" t="n">
        <f aca="false">B552*2/13+F551*11/13</f>
        <v>7504.35439240467</v>
      </c>
      <c r="G552" s="17" t="n">
        <f aca="false">B552*2/27+G551*25/27</f>
        <v>7468.71153812527</v>
      </c>
      <c r="H552" s="17" t="n">
        <f aca="false">F552-G552</f>
        <v>35.6428542794029</v>
      </c>
      <c r="I552" s="17" t="n">
        <f aca="false">H552*2/10+I551*8/10</f>
        <v>51.1071108316289</v>
      </c>
      <c r="J552" s="17" t="n">
        <f aca="false">H552-I552</f>
        <v>-15.464256552226</v>
      </c>
      <c r="K552" s="17" t="n">
        <f aca="false">MAX(B552-B551,0)</f>
        <v>60.1899999999996</v>
      </c>
      <c r="L552" s="17" t="n">
        <f aca="false">MAX(B551-B552,0)</f>
        <v>0</v>
      </c>
      <c r="M552" s="17" t="n">
        <f aca="false">(M551*13+K552)/14</f>
        <v>22.9931341895524</v>
      </c>
      <c r="N552" s="17" t="n">
        <f aca="false">(N551*13+L552)/14</f>
        <v>19.7318008601249</v>
      </c>
      <c r="O552" s="17" t="n">
        <f aca="false">IF(N552=0,100,100-100/(1+M552/N552))</f>
        <v>53.8166627118749</v>
      </c>
      <c r="P552" s="17" t="n">
        <f aca="false">AVERAGE(B533:B552)+2*STDEV(B533:B552)</f>
        <v>7688.39995991736</v>
      </c>
      <c r="Q552" s="17" t="n">
        <f aca="false">AVERAGE(B533:B552)-2*STDEV(B533:B552)</f>
        <v>7283.34904008264</v>
      </c>
      <c r="R552" s="19" t="n">
        <f aca="false">B552/B532-1</f>
        <v>0.0144166395313172</v>
      </c>
      <c r="S552" s="17" t="n">
        <f aca="false">STDEV(C533:C552)*SQRT(252)*100</f>
        <v>11.0034313318036</v>
      </c>
      <c r="T552" s="19" t="n">
        <f aca="false">B531/B301-1</f>
        <v>0.235614546570508</v>
      </c>
      <c r="U552" s="19" t="n">
        <f aca="false">B552/MAX(B301:B552)-1</f>
        <v>-0.019883344777799</v>
      </c>
      <c r="V552" s="17" t="n">
        <f aca="false">(B552-AVERAGE(B533:B552))/STDEV(B533:B552)</f>
        <v>0.217212196520631</v>
      </c>
    </row>
    <row r="553" customFormat="false" ht="15" hidden="false" customHeight="false" outlineLevel="0" collapsed="false">
      <c r="A553" s="17" t="s">
        <v>1117</v>
      </c>
      <c r="B553" s="17" t="n">
        <v>7488.06</v>
      </c>
      <c r="C553" s="19" t="n">
        <f aca="false">B553/B552-1</f>
        <v>-0.00263856459954681</v>
      </c>
      <c r="D553" s="17" t="n">
        <f aca="false">AVERAGE(B504:B553)</f>
        <v>7400.5004</v>
      </c>
      <c r="E553" s="17" t="n">
        <f aca="false">AVERAGE(B354:B553)</f>
        <v>6923.406</v>
      </c>
      <c r="F553" s="17" t="n">
        <f aca="false">B553*2/13+F552*11/13</f>
        <v>7501.84756280395</v>
      </c>
      <c r="G553" s="17" t="n">
        <f aca="false">B553*2/27+G552*25/27</f>
        <v>7470.14475752339</v>
      </c>
      <c r="H553" s="17" t="n">
        <f aca="false">F553-G553</f>
        <v>31.7028052805563</v>
      </c>
      <c r="I553" s="17" t="n">
        <f aca="false">H553*2/10+I552*8/10</f>
        <v>47.2262497214144</v>
      </c>
      <c r="J553" s="17" t="n">
        <f aca="false">H553-I553</f>
        <v>-15.5234444408581</v>
      </c>
      <c r="K553" s="17" t="n">
        <f aca="false">MAX(B553-B552,0)</f>
        <v>0</v>
      </c>
      <c r="L553" s="17" t="n">
        <f aca="false">MAX(B552-B553,0)</f>
        <v>19.8099999999995</v>
      </c>
      <c r="M553" s="17" t="n">
        <f aca="false">(M552*13+K553)/14</f>
        <v>21.3507674617272</v>
      </c>
      <c r="N553" s="17" t="n">
        <f aca="false">(N552*13+L553)/14</f>
        <v>19.737386512973</v>
      </c>
      <c r="O553" s="17" t="n">
        <f aca="false">IF(N553=0,100,100-100/(1+M553/N553))</f>
        <v>51.9633164217449</v>
      </c>
      <c r="P553" s="17" t="n">
        <f aca="false">AVERAGE(B534:B553)+2*STDEV(B534:B553)</f>
        <v>7689.62321678655</v>
      </c>
      <c r="Q553" s="17" t="n">
        <f aca="false">AVERAGE(B534:B553)-2*STDEV(B534:B553)</f>
        <v>7286.21478321345</v>
      </c>
      <c r="R553" s="19" t="n">
        <f aca="false">B553/B533-1</f>
        <v>0.00549067632402656</v>
      </c>
      <c r="S553" s="17" t="n">
        <f aca="false">STDEV(C534:C553)*SQRT(252)*100</f>
        <v>10.8669549989833</v>
      </c>
      <c r="T553" s="19" t="n">
        <f aca="false">B532/B302-1</f>
        <v>0.232628514517735</v>
      </c>
      <c r="U553" s="19" t="n">
        <f aca="false">B553/MAX(B302:B553)-1</f>
        <v>-0.0224694458876945</v>
      </c>
      <c r="V553" s="17" t="n">
        <f aca="false">(B553-AVERAGE(B534:B553))/STDEV(B534:B553)</f>
        <v>0.0013980867851637</v>
      </c>
    </row>
    <row r="554" customFormat="false" ht="15" hidden="false" customHeight="false" outlineLevel="0" collapsed="false">
      <c r="A554" s="17" t="s">
        <v>1118</v>
      </c>
      <c r="B554" s="17" t="n">
        <v>7561.69</v>
      </c>
      <c r="C554" s="19" t="n">
        <f aca="false">B554/B553-1</f>
        <v>0.00983298744935257</v>
      </c>
      <c r="D554" s="17" t="n">
        <f aca="false">AVERAGE(B505:B554)</f>
        <v>7411.4432</v>
      </c>
      <c r="E554" s="17" t="n">
        <f aca="false">AVERAGE(B355:B554)</f>
        <v>6929.1846</v>
      </c>
      <c r="F554" s="17" t="n">
        <f aca="false">B554*2/13+F553*11/13</f>
        <v>7511.05409160334</v>
      </c>
      <c r="G554" s="17" t="n">
        <f aca="false">B554*2/27+G553*25/27</f>
        <v>7476.92588659574</v>
      </c>
      <c r="H554" s="17" t="n">
        <f aca="false">F554-G554</f>
        <v>34.128205007607</v>
      </c>
      <c r="I554" s="17" t="n">
        <f aca="false">H554*2/10+I553*8/10</f>
        <v>44.6066407786529</v>
      </c>
      <c r="J554" s="17" t="n">
        <f aca="false">H554-I554</f>
        <v>-10.4784357710459</v>
      </c>
      <c r="K554" s="17" t="n">
        <f aca="false">MAX(B554-B553,0)</f>
        <v>73.6299999999992</v>
      </c>
      <c r="L554" s="17" t="n">
        <f aca="false">MAX(B553-B554,0)</f>
        <v>0</v>
      </c>
      <c r="M554" s="17" t="n">
        <f aca="false">(M553*13+K554)/14</f>
        <v>25.0849983573181</v>
      </c>
      <c r="N554" s="17" t="n">
        <f aca="false">(N553*13+L554)/14</f>
        <v>18.3275731906178</v>
      </c>
      <c r="O554" s="17" t="n">
        <f aca="false">IF(N554=0,100,100-100/(1+M554/N554))</f>
        <v>57.7827976157077</v>
      </c>
      <c r="P554" s="17" t="n">
        <f aca="false">AVERAGE(B535:B554)+2*STDEV(B535:B554)</f>
        <v>7692.28240191109</v>
      </c>
      <c r="Q554" s="17" t="n">
        <f aca="false">AVERAGE(B535:B554)-2*STDEV(B535:B554)</f>
        <v>7304.25859808891</v>
      </c>
      <c r="R554" s="19" t="n">
        <f aca="false">B554/B534-1</f>
        <v>0.028149499772933</v>
      </c>
      <c r="S554" s="17" t="n">
        <f aca="false">STDEV(C535:C554)*SQRT(252)*100</f>
        <v>10.267206800752</v>
      </c>
      <c r="T554" s="19" t="n">
        <f aca="false">B533/B303-1</f>
        <v>0.247678770678292</v>
      </c>
      <c r="U554" s="19" t="n">
        <f aca="false">B554/MAX(B303:B554)-1</f>
        <v>-0.0128574002177495</v>
      </c>
      <c r="V554" s="17" t="n">
        <f aca="false">(B554-AVERAGE(B535:B554))/STDEV(B535:B554)</f>
        <v>0.653769169574584</v>
      </c>
    </row>
    <row r="555" customFormat="false" ht="15" hidden="false" customHeight="false" outlineLevel="0" collapsed="false">
      <c r="A555" s="17" t="s">
        <v>1119</v>
      </c>
      <c r="B555" s="17" t="n">
        <v>7545.5</v>
      </c>
      <c r="C555" s="19" t="n">
        <f aca="false">B555/B554-1</f>
        <v>-0.00214105576927903</v>
      </c>
      <c r="D555" s="17" t="n">
        <f aca="false">AVERAGE(B506:B555)</f>
        <v>7420.3322</v>
      </c>
      <c r="E555" s="17" t="n">
        <f aca="false">AVERAGE(B356:B555)</f>
        <v>6934.7993</v>
      </c>
      <c r="F555" s="17" t="n">
        <f aca="false">B555*2/13+F554*11/13</f>
        <v>7516.3534621259</v>
      </c>
      <c r="G555" s="17" t="n">
        <f aca="false">B555*2/27+G554*25/27</f>
        <v>7482.00545055161</v>
      </c>
      <c r="H555" s="17" t="n">
        <f aca="false">F555-G555</f>
        <v>34.3480115742968</v>
      </c>
      <c r="I555" s="17" t="n">
        <f aca="false">H555*2/10+I554*8/10</f>
        <v>42.5549149377817</v>
      </c>
      <c r="J555" s="17" t="n">
        <f aca="false">H555-I555</f>
        <v>-8.20690336348484</v>
      </c>
      <c r="K555" s="17" t="n">
        <f aca="false">MAX(B555-B554,0)</f>
        <v>0</v>
      </c>
      <c r="L555" s="17" t="n">
        <f aca="false">MAX(B554-B555,0)</f>
        <v>16.1899999999996</v>
      </c>
      <c r="M555" s="17" t="n">
        <f aca="false">(M554*13+K555)/14</f>
        <v>23.2932127603668</v>
      </c>
      <c r="N555" s="17" t="n">
        <f aca="false">(N554*13+L555)/14</f>
        <v>18.1748893912879</v>
      </c>
      <c r="O555" s="17" t="n">
        <f aca="false">IF(N555=0,100,100-100/(1+M555/N555))</f>
        <v>56.1713981391775</v>
      </c>
      <c r="P555" s="17" t="n">
        <f aca="false">AVERAGE(B536:B555)+2*STDEV(B536:B555)</f>
        <v>7692.74934879011</v>
      </c>
      <c r="Q555" s="17" t="n">
        <f aca="false">AVERAGE(B536:B555)-2*STDEV(B536:B555)</f>
        <v>7320.91265120989</v>
      </c>
      <c r="R555" s="19" t="n">
        <f aca="false">B555/B535-1</f>
        <v>0.0232171503968517</v>
      </c>
      <c r="S555" s="17" t="n">
        <f aca="false">STDEV(C536:C555)*SQRT(252)*100</f>
        <v>10.330676523609</v>
      </c>
      <c r="T555" s="19" t="n">
        <f aca="false">B534/B304-1</f>
        <v>0.228233132932532</v>
      </c>
      <c r="U555" s="19" t="n">
        <f aca="false">B555/MAX(B304:B555)-1</f>
        <v>-0.0149709275761144</v>
      </c>
      <c r="V555" s="17" t="n">
        <f aca="false">(B555-AVERAGE(B536:B555))/STDEV(B536:B555)</f>
        <v>0.415978307161646</v>
      </c>
    </row>
    <row r="556" customFormat="false" ht="15" hidden="false" customHeight="false" outlineLevel="0" collapsed="false">
      <c r="A556" s="17" t="s">
        <v>1120</v>
      </c>
      <c r="B556" s="17" t="n">
        <v>7434.73</v>
      </c>
      <c r="C556" s="19" t="n">
        <f aca="false">B556/B555-1</f>
        <v>-0.0146802730104036</v>
      </c>
      <c r="D556" s="17" t="n">
        <f aca="false">AVERAGE(B507:B556)</f>
        <v>7424.8802</v>
      </c>
      <c r="E556" s="17" t="n">
        <f aca="false">AVERAGE(B357:B556)</f>
        <v>6940.41605</v>
      </c>
      <c r="F556" s="17" t="n">
        <f aca="false">B556*2/13+F555*11/13</f>
        <v>7503.79600641423</v>
      </c>
      <c r="G556" s="17" t="n">
        <f aca="false">B556*2/27+G555*25/27</f>
        <v>7478.50356532556</v>
      </c>
      <c r="H556" s="17" t="n">
        <f aca="false">F556-G556</f>
        <v>25.2924410886635</v>
      </c>
      <c r="I556" s="17" t="n">
        <f aca="false">H556*2/10+I555*8/10</f>
        <v>39.102420167958</v>
      </c>
      <c r="J556" s="17" t="n">
        <f aca="false">H556-I556</f>
        <v>-13.8099790792945</v>
      </c>
      <c r="K556" s="17" t="n">
        <f aca="false">MAX(B556-B555,0)</f>
        <v>0</v>
      </c>
      <c r="L556" s="17" t="n">
        <f aca="false">MAX(B555-B556,0)</f>
        <v>110.77</v>
      </c>
      <c r="M556" s="17" t="n">
        <f aca="false">(M555*13+K556)/14</f>
        <v>21.629411848912</v>
      </c>
      <c r="N556" s="17" t="n">
        <f aca="false">(N555*13+L556)/14</f>
        <v>24.7888258633388</v>
      </c>
      <c r="O556" s="17" t="n">
        <f aca="false">IF(N556=0,100,100-100/(1+M556/N556))</f>
        <v>46.5967966793438</v>
      </c>
      <c r="P556" s="17" t="n">
        <f aca="false">AVERAGE(B537:B556)+2*STDEV(B537:B556)</f>
        <v>7688.87321221533</v>
      </c>
      <c r="Q556" s="17" t="n">
        <f aca="false">AVERAGE(B537:B556)-2*STDEV(B537:B556)</f>
        <v>7330.50778778467</v>
      </c>
      <c r="R556" s="19" t="n">
        <f aca="false">B556/B536-1</f>
        <v>0.00775190646204549</v>
      </c>
      <c r="S556" s="17" t="n">
        <f aca="false">STDEV(C537:C556)*SQRT(252)*100</f>
        <v>11.7665052412022</v>
      </c>
      <c r="T556" s="19" t="n">
        <f aca="false">B535/B305-1</f>
        <v>0.232927946605318</v>
      </c>
      <c r="U556" s="19" t="n">
        <f aca="false">B556/MAX(B305:B556)-1</f>
        <v>-0.0294314232824817</v>
      </c>
      <c r="V556" s="17" t="n">
        <f aca="false">(B556-AVERAGE(B537:B556))/STDEV(B537:B556)</f>
        <v>-0.836693440714494</v>
      </c>
    </row>
    <row r="557" customFormat="false" ht="15" hidden="false" customHeight="false" outlineLevel="0" collapsed="false">
      <c r="A557" s="17" t="s">
        <v>1121</v>
      </c>
      <c r="B557" s="17" t="n">
        <v>7494.4</v>
      </c>
      <c r="C557" s="19" t="n">
        <f aca="false">B557/B556-1</f>
        <v>0.00802584626476022</v>
      </c>
      <c r="D557" s="17" t="n">
        <f aca="false">AVERAGE(B508:B557)</f>
        <v>7429.2482</v>
      </c>
      <c r="E557" s="17" t="n">
        <f aca="false">AVERAGE(B358:B557)</f>
        <v>6946.06025</v>
      </c>
      <c r="F557" s="17" t="n">
        <f aca="false">B557*2/13+F556*11/13</f>
        <v>7502.35046696588</v>
      </c>
      <c r="G557" s="17" t="n">
        <f aca="false">B557*2/27+G556*25/27</f>
        <v>7479.68107900515</v>
      </c>
      <c r="H557" s="17" t="n">
        <f aca="false">F557-G557</f>
        <v>22.6693879607328</v>
      </c>
      <c r="I557" s="17" t="n">
        <f aca="false">H557*2/10+I556*8/10</f>
        <v>35.815813726513</v>
      </c>
      <c r="J557" s="17" t="n">
        <f aca="false">H557-I557</f>
        <v>-13.1464257657802</v>
      </c>
      <c r="K557" s="17" t="n">
        <f aca="false">MAX(B557-B556,0)</f>
        <v>59.6700000000001</v>
      </c>
      <c r="L557" s="17" t="n">
        <f aca="false">MAX(B556-B557,0)</f>
        <v>0</v>
      </c>
      <c r="M557" s="17" t="n">
        <f aca="false">(M556*13+K557)/14</f>
        <v>24.3465967168469</v>
      </c>
      <c r="N557" s="17" t="n">
        <f aca="false">(N556*13+L557)/14</f>
        <v>23.0181954445289</v>
      </c>
      <c r="O557" s="17" t="n">
        <f aca="false">IF(N557=0,100,100-100/(1+M557/N557))</f>
        <v>51.4023087737744</v>
      </c>
      <c r="P557" s="17" t="n">
        <f aca="false">AVERAGE(B538:B557)+2*STDEV(B538:B557)</f>
        <v>7683.08622911285</v>
      </c>
      <c r="Q557" s="17" t="n">
        <f aca="false">AVERAGE(B538:B557)-2*STDEV(B538:B557)</f>
        <v>7348.59277088715</v>
      </c>
      <c r="R557" s="19" t="n">
        <f aca="false">B557/B537-1</f>
        <v>0.0166833527325807</v>
      </c>
      <c r="S557" s="17" t="n">
        <f aca="false">STDEV(C538:C557)*SQRT(252)*100</f>
        <v>12.0587807456516</v>
      </c>
      <c r="T557" s="19" t="n">
        <f aca="false">B536/B306-1</f>
        <v>0.23142071212536</v>
      </c>
      <c r="U557" s="19" t="n">
        <f aca="false">B557/MAX(B306:B557)-1</f>
        <v>-0.0216417890963398</v>
      </c>
      <c r="V557" s="17" t="n">
        <f aca="false">(B557-AVERAGE(B538:B557))/STDEV(B538:B557)</f>
        <v>-0.25638169563883</v>
      </c>
    </row>
    <row r="558" customFormat="false" ht="15" hidden="false" customHeight="false" outlineLevel="0" collapsed="false">
      <c r="A558" s="17" t="s">
        <v>1122</v>
      </c>
      <c r="B558" s="17" t="n">
        <v>7490.32</v>
      </c>
      <c r="C558" s="19" t="n">
        <f aca="false">B558/B557-1</f>
        <v>-0.000544406490179283</v>
      </c>
      <c r="D558" s="17" t="n">
        <f aca="false">AVERAGE(B509:B558)</f>
        <v>7433.4026</v>
      </c>
      <c r="E558" s="17" t="n">
        <f aca="false">AVERAGE(B359:B558)</f>
        <v>6951.8225</v>
      </c>
      <c r="F558" s="17" t="n">
        <f aca="false">B558*2/13+F557*11/13</f>
        <v>7500.49962589421</v>
      </c>
      <c r="G558" s="17" t="n">
        <f aca="false">B558*2/27+G557*25/27</f>
        <v>7480.46914722699</v>
      </c>
      <c r="H558" s="17" t="n">
        <f aca="false">F558-G558</f>
        <v>20.0304786672168</v>
      </c>
      <c r="I558" s="17" t="n">
        <f aca="false">H558*2/10+I557*8/10</f>
        <v>32.6587467146538</v>
      </c>
      <c r="J558" s="17" t="n">
        <f aca="false">H558-I558</f>
        <v>-12.6282680474369</v>
      </c>
      <c r="K558" s="17" t="n">
        <f aca="false">MAX(B558-B557,0)</f>
        <v>0</v>
      </c>
      <c r="L558" s="17" t="n">
        <f aca="false">MAX(B557-B558,0)</f>
        <v>4.07999999999993</v>
      </c>
      <c r="M558" s="17" t="n">
        <f aca="false">(M557*13+K558)/14</f>
        <v>22.607554094215</v>
      </c>
      <c r="N558" s="17" t="n">
        <f aca="false">(N557*13+L558)/14</f>
        <v>21.6654671984911</v>
      </c>
      <c r="O558" s="17" t="n">
        <f aca="false">IF(N558=0,100,100-100/(1+M558/N558))</f>
        <v>51.0639514406475</v>
      </c>
      <c r="P558" s="17" t="n">
        <f aca="false">AVERAGE(B539:B558)+2*STDEV(B539:B558)</f>
        <v>7678.7836870531</v>
      </c>
      <c r="Q558" s="17" t="n">
        <f aca="false">AVERAGE(B539:B558)-2*STDEV(B539:B558)</f>
        <v>7362.2043129469</v>
      </c>
      <c r="R558" s="19" t="n">
        <f aca="false">B558/B538-1</f>
        <v>0.0125844403918765</v>
      </c>
      <c r="S558" s="17" t="n">
        <f aca="false">STDEV(C539:C558)*SQRT(252)*100</f>
        <v>12.026496318993</v>
      </c>
      <c r="T558" s="19" t="n">
        <f aca="false">B537/B307-1</f>
        <v>0.23399753248036</v>
      </c>
      <c r="U558" s="19" t="n">
        <f aca="false">B558/MAX(B307:B558)-1</f>
        <v>-0.0221744136560761</v>
      </c>
      <c r="V558" s="17" t="n">
        <f aca="false">(B558-AVERAGE(B539:B558))/STDEV(B539:B558)</f>
        <v>-0.381250358905298</v>
      </c>
    </row>
    <row r="559" customFormat="false" ht="15" hidden="false" customHeight="false" outlineLevel="0" collapsed="false">
      <c r="A559" s="17" t="s">
        <v>1123</v>
      </c>
      <c r="B559" s="17" t="n">
        <v>7569.03</v>
      </c>
      <c r="C559" s="19" t="n">
        <f aca="false">B559/B558-1</f>
        <v>0.0105082292879344</v>
      </c>
      <c r="D559" s="17" t="n">
        <f aca="false">AVERAGE(B510:B559)</f>
        <v>7439.9036</v>
      </c>
      <c r="E559" s="17" t="n">
        <f aca="false">AVERAGE(B360:B559)</f>
        <v>6958.34915</v>
      </c>
      <c r="F559" s="17" t="n">
        <f aca="false">B559*2/13+F558*11/13</f>
        <v>7511.04276037202</v>
      </c>
      <c r="G559" s="17" t="n">
        <f aca="false">B559*2/27+G558*25/27</f>
        <v>7487.02921039536</v>
      </c>
      <c r="H559" s="17" t="n">
        <f aca="false">F559-G559</f>
        <v>24.0135499766584</v>
      </c>
      <c r="I559" s="17" t="n">
        <f aca="false">H559*2/10+I558*8/10</f>
        <v>30.9297073670547</v>
      </c>
      <c r="J559" s="17" t="n">
        <f aca="false">H559-I559</f>
        <v>-6.91615739039629</v>
      </c>
      <c r="K559" s="17" t="n">
        <f aca="false">MAX(B559-B558,0)</f>
        <v>78.71</v>
      </c>
      <c r="L559" s="17" t="n">
        <f aca="false">MAX(B558-B559,0)</f>
        <v>0</v>
      </c>
      <c r="M559" s="17" t="n">
        <f aca="false">(M558*13+K559)/14</f>
        <v>26.6148716589139</v>
      </c>
      <c r="N559" s="17" t="n">
        <f aca="false">(N558*13+L559)/14</f>
        <v>20.1179338271703</v>
      </c>
      <c r="O559" s="17" t="n">
        <f aca="false">IF(N559=0,100,100-100/(1+M559/N559))</f>
        <v>56.9511532254127</v>
      </c>
      <c r="P559" s="17" t="n">
        <f aca="false">AVERAGE(B540:B559)+2*STDEV(B540:B559)</f>
        <v>7680.67321806201</v>
      </c>
      <c r="Q559" s="17" t="n">
        <f aca="false">AVERAGE(B540:B559)-2*STDEV(B540:B559)</f>
        <v>7374.75778193799</v>
      </c>
      <c r="R559" s="19" t="n">
        <f aca="false">B559/B539-1</f>
        <v>0.0194528998195189</v>
      </c>
      <c r="S559" s="17" t="n">
        <f aca="false">STDEV(C540:C559)*SQRT(252)*100</f>
        <v>12.4892003493637</v>
      </c>
      <c r="T559" s="19" t="n">
        <f aca="false">B538/B308-1</f>
        <v>0.246392952883868</v>
      </c>
      <c r="U559" s="19" t="n">
        <f aca="false">B559/MAX(B308:B559)-1</f>
        <v>-0.0118991981911653</v>
      </c>
      <c r="V559" s="17" t="n">
        <f aca="false">(B559-AVERAGE(B540:B559))/STDEV(B540:B559)</f>
        <v>0.540208111410903</v>
      </c>
    </row>
    <row r="560" customFormat="false" ht="15" hidden="false" customHeight="false" outlineLevel="0" collapsed="false">
      <c r="A560" s="17" t="s">
        <v>1124</v>
      </c>
      <c r="B560" s="17" t="n">
        <v>7531.07</v>
      </c>
      <c r="C560" s="19" t="n">
        <f aca="false">B560/B559-1</f>
        <v>-0.00501517367483018</v>
      </c>
      <c r="D560" s="17" t="n">
        <f aca="false">AVERAGE(B511:B560)</f>
        <v>7443.2</v>
      </c>
      <c r="E560" s="17" t="n">
        <f aca="false">AVERAGE(B361:B560)</f>
        <v>6964.67895</v>
      </c>
      <c r="F560" s="17" t="n">
        <f aca="false">B560*2/13+F559*11/13</f>
        <v>7514.12387416094</v>
      </c>
      <c r="G560" s="17" t="n">
        <f aca="false">B560*2/27+G559*25/27</f>
        <v>7490.29149110682</v>
      </c>
      <c r="H560" s="17" t="n">
        <f aca="false">F560-G560</f>
        <v>23.8323830541231</v>
      </c>
      <c r="I560" s="17" t="n">
        <f aca="false">H560*2/10+I559*8/10</f>
        <v>29.5102425044684</v>
      </c>
      <c r="J560" s="17" t="n">
        <f aca="false">H560-I560</f>
        <v>-5.6778594503453</v>
      </c>
      <c r="K560" s="17" t="n">
        <f aca="false">MAX(B560-B559,0)</f>
        <v>0</v>
      </c>
      <c r="L560" s="17" t="n">
        <f aca="false">MAX(B559-B560,0)</f>
        <v>37.96</v>
      </c>
      <c r="M560" s="17" t="n">
        <f aca="false">(M559*13+K560)/14</f>
        <v>24.7138093975629</v>
      </c>
      <c r="N560" s="17" t="n">
        <f aca="false">(N559*13+L560)/14</f>
        <v>21.3923671252296</v>
      </c>
      <c r="O560" s="17" t="n">
        <f aca="false">IF(N560=0,100,100-100/(1+M560/N560))</f>
        <v>53.6019493729776</v>
      </c>
      <c r="P560" s="17" t="n">
        <f aca="false">AVERAGE(B541:B560)+2*STDEV(B541:B560)</f>
        <v>7676.83810223901</v>
      </c>
      <c r="Q560" s="17" t="n">
        <f aca="false">AVERAGE(B541:B560)-2*STDEV(B541:B560)</f>
        <v>7390.31589776099</v>
      </c>
      <c r="R560" s="19" t="n">
        <f aca="false">B560/B540-1</f>
        <v>0.015812318582543</v>
      </c>
      <c r="S560" s="17" t="n">
        <f aca="false">STDEV(C541:C560)*SQRT(252)*100</f>
        <v>12.6448667312557</v>
      </c>
      <c r="T560" s="19" t="n">
        <f aca="false">B539/B309-1</f>
        <v>0.251550826658036</v>
      </c>
      <c r="U560" s="19" t="n">
        <f aca="false">B560/MAX(B309:B560)-1</f>
        <v>-0.0168546953204756</v>
      </c>
      <c r="V560" s="17" t="n">
        <f aca="false">(B560-AVERAGE(B541:B560))/STDEV(B541:B560)</f>
        <v>-0.034999032686736</v>
      </c>
    </row>
    <row r="561" customFormat="false" ht="15" hidden="false" customHeight="false" outlineLevel="0" collapsed="false">
      <c r="A561" s="17" t="s">
        <v>1125</v>
      </c>
      <c r="B561" s="17" t="n">
        <v>7548.75</v>
      </c>
      <c r="C561" s="19" t="n">
        <f aca="false">B561/B560-1</f>
        <v>0.00234760797602474</v>
      </c>
      <c r="D561" s="17" t="n">
        <f aca="false">AVERAGE(B512:B561)</f>
        <v>7446.6586</v>
      </c>
      <c r="E561" s="17" t="n">
        <f aca="false">AVERAGE(B362:B561)</f>
        <v>6970.95745</v>
      </c>
      <c r="F561" s="17" t="n">
        <f aca="false">B561*2/13+F560*11/13</f>
        <v>7519.45097044387</v>
      </c>
      <c r="G561" s="17" t="n">
        <f aca="false">B561*2/27+G560*25/27</f>
        <v>7494.62175102483</v>
      </c>
      <c r="H561" s="17" t="n">
        <f aca="false">F561-G561</f>
        <v>24.8292194190408</v>
      </c>
      <c r="I561" s="17" t="n">
        <f aca="false">H561*2/10+I560*8/10</f>
        <v>28.5740378873828</v>
      </c>
      <c r="J561" s="17" t="n">
        <f aca="false">H561-I561</f>
        <v>-3.74481846834206</v>
      </c>
      <c r="K561" s="17" t="n">
        <f aca="false">MAX(B561-B560,0)</f>
        <v>17.6800000000003</v>
      </c>
      <c r="L561" s="17" t="n">
        <f aca="false">MAX(B560-B561,0)</f>
        <v>0</v>
      </c>
      <c r="M561" s="17" t="n">
        <f aca="false">(M560*13+K561)/14</f>
        <v>24.2113944405942</v>
      </c>
      <c r="N561" s="17" t="n">
        <f aca="false">(N560*13+L561)/14</f>
        <v>19.8643409019989</v>
      </c>
      <c r="O561" s="17" t="n">
        <f aca="false">IF(N561=0,100,100-100/(1+M561/N561))</f>
        <v>54.9313454498335</v>
      </c>
      <c r="P561" s="17" t="n">
        <f aca="false">AVERAGE(B542:B561)+2*STDEV(B542:B561)</f>
        <v>7678.31190384187</v>
      </c>
      <c r="Q561" s="17" t="n">
        <f aca="false">AVERAGE(B542:B561)-2*STDEV(B542:B561)</f>
        <v>7395.17709615813</v>
      </c>
      <c r="R561" s="19" t="n">
        <f aca="false">B561/B541-1</f>
        <v>0.00846314158228023</v>
      </c>
      <c r="S561" s="17" t="n">
        <f aca="false">STDEV(C542:C561)*SQRT(252)*100</f>
        <v>12.2266961600469</v>
      </c>
      <c r="T561" s="19" t="n">
        <f aca="false">B540/B310-1</f>
        <v>0.263575549438844</v>
      </c>
      <c r="U561" s="19" t="n">
        <f aca="false">B561/MAX(B310:B561)-1</f>
        <v>-0.0145466555616187</v>
      </c>
      <c r="V561" s="17" t="n">
        <f aca="false">(B561-AVERAGE(B542:B561))/STDEV(B542:B561)</f>
        <v>0.169608252665417</v>
      </c>
    </row>
    <row r="562" customFormat="false" ht="15" hidden="false" customHeight="false" outlineLevel="0" collapsed="false">
      <c r="A562" s="17" t="s">
        <v>1126</v>
      </c>
      <c r="B562" s="17" t="n">
        <v>7563.19</v>
      </c>
      <c r="C562" s="19" t="n">
        <f aca="false">B562/B561-1</f>
        <v>0.00191289948666995</v>
      </c>
      <c r="D562" s="17" t="n">
        <f aca="false">AVERAGE(B513:B562)</f>
        <v>7450.7644</v>
      </c>
      <c r="E562" s="17" t="n">
        <f aca="false">AVERAGE(B363:B562)</f>
        <v>6977.192</v>
      </c>
      <c r="F562" s="17" t="n">
        <f aca="false">B562*2/13+F561*11/13</f>
        <v>7526.18005191405</v>
      </c>
      <c r="G562" s="17" t="n">
        <f aca="false">B562*2/27+G561*25/27</f>
        <v>7499.70088057855</v>
      </c>
      <c r="H562" s="17" t="n">
        <f aca="false">F562-G562</f>
        <v>26.4791713354989</v>
      </c>
      <c r="I562" s="17" t="n">
        <f aca="false">H562*2/10+I561*8/10</f>
        <v>28.1550645770061</v>
      </c>
      <c r="J562" s="17" t="n">
        <f aca="false">H562-I562</f>
        <v>-1.67589324150715</v>
      </c>
      <c r="K562" s="17" t="n">
        <f aca="false">MAX(B562-B561,0)</f>
        <v>14.4399999999996</v>
      </c>
      <c r="L562" s="17" t="n">
        <f aca="false">MAX(B561-B562,0)</f>
        <v>0</v>
      </c>
      <c r="M562" s="17" t="n">
        <f aca="false">(M561*13+K562)/14</f>
        <v>23.5134376948374</v>
      </c>
      <c r="N562" s="17" t="n">
        <f aca="false">(N561*13+L562)/14</f>
        <v>18.445459408999</v>
      </c>
      <c r="O562" s="17" t="n">
        <f aca="false">IF(N562=0,100,100-100/(1+M562/N562))</f>
        <v>56.0392177054804</v>
      </c>
      <c r="P562" s="17" t="n">
        <f aca="false">AVERAGE(B543:B562)+2*STDEV(B543:B562)</f>
        <v>7678.66162764324</v>
      </c>
      <c r="Q562" s="17" t="n">
        <f aca="false">AVERAGE(B543:B562)-2*STDEV(B543:B562)</f>
        <v>7395.23337235676</v>
      </c>
      <c r="R562" s="19" t="n">
        <f aca="false">B562/B542-1</f>
        <v>0.000537098846031148</v>
      </c>
      <c r="S562" s="17" t="n">
        <f aca="false">STDEV(C543:C562)*SQRT(252)*100</f>
        <v>11.7319458948983</v>
      </c>
      <c r="T562" s="19" t="n">
        <f aca="false">B541/B311-1</f>
        <v>0.272737165339871</v>
      </c>
      <c r="U562" s="19" t="n">
        <f aca="false">B562/MAX(B311:B562)-1</f>
        <v>-0.0126615823649053</v>
      </c>
      <c r="V562" s="17" t="n">
        <f aca="false">(B562-AVERAGE(B543:B562))/STDEV(B543:B562)</f>
        <v>0.370358276008502</v>
      </c>
    </row>
    <row r="563" customFormat="false" ht="15" hidden="false" customHeight="false" outlineLevel="0" collapsed="false">
      <c r="A563" s="17" t="s">
        <v>1127</v>
      </c>
      <c r="B563" s="17" t="n">
        <v>7563.09</v>
      </c>
      <c r="C563" s="19" t="n">
        <f aca="false">B563/B562-1</f>
        <v>-1.32219341308915E-005</v>
      </c>
      <c r="D563" s="17" t="n">
        <f aca="false">AVERAGE(B514:B563)</f>
        <v>7453.9484</v>
      </c>
      <c r="E563" s="17" t="n">
        <f aca="false">AVERAGE(B364:B563)</f>
        <v>6983.2846</v>
      </c>
      <c r="F563" s="17" t="n">
        <f aca="false">B563*2/13+F562*11/13</f>
        <v>7531.85850546573</v>
      </c>
      <c r="G563" s="17" t="n">
        <f aca="false">B563*2/27+G562*25/27</f>
        <v>7504.39637090606</v>
      </c>
      <c r="H563" s="17" t="n">
        <f aca="false">F563-G563</f>
        <v>27.4621345596697</v>
      </c>
      <c r="I563" s="17" t="n">
        <f aca="false">H563*2/10+I562*8/10</f>
        <v>28.0164785735388</v>
      </c>
      <c r="J563" s="17" t="n">
        <f aca="false">H563-I563</f>
        <v>-0.554344013869066</v>
      </c>
      <c r="K563" s="17" t="n">
        <f aca="false">MAX(B563-B562,0)</f>
        <v>0</v>
      </c>
      <c r="L563" s="17" t="n">
        <f aca="false">MAX(B562-B563,0)</f>
        <v>0.0999999999994543</v>
      </c>
      <c r="M563" s="17" t="n">
        <f aca="false">(M562*13+K563)/14</f>
        <v>21.8339064309204</v>
      </c>
      <c r="N563" s="17" t="n">
        <f aca="false">(N562*13+L563)/14</f>
        <v>17.1350694512133</v>
      </c>
      <c r="O563" s="17" t="n">
        <f aca="false">IF(N563=0,100,100-100/(1+M563/N563))</f>
        <v>56.0289459414065</v>
      </c>
      <c r="P563" s="17" t="n">
        <f aca="false">AVERAGE(B544:B563)+2*STDEV(B544:B563)</f>
        <v>7677.98521712043</v>
      </c>
      <c r="Q563" s="17" t="n">
        <f aca="false">AVERAGE(B544:B563)-2*STDEV(B544:B563)</f>
        <v>7395.19378287957</v>
      </c>
      <c r="R563" s="19" t="n">
        <f aca="false">B563/B543-1</f>
        <v>-0.000945807602126703</v>
      </c>
      <c r="S563" s="17" t="n">
        <f aca="false">STDEV(C544:C563)*SQRT(252)*100</f>
        <v>11.7199720131289</v>
      </c>
      <c r="T563" s="19" t="n">
        <f aca="false">B542/B312-1</f>
        <v>0.273054452919352</v>
      </c>
      <c r="U563" s="19" t="n">
        <f aca="false">B563/MAX(B312:B563)-1</f>
        <v>-0.0126746368884282</v>
      </c>
      <c r="V563" s="17" t="n">
        <f aca="false">(B563-AVERAGE(B544:B563))/STDEV(B544:B563)</f>
        <v>0.374841622358751</v>
      </c>
    </row>
    <row r="564" customFormat="false" ht="15" hidden="false" customHeight="false" outlineLevel="0" collapsed="false">
      <c r="A564" s="17" t="s">
        <v>1128</v>
      </c>
      <c r="B564" s="17" t="n">
        <v>7629.57</v>
      </c>
      <c r="C564" s="19" t="n">
        <f aca="false">B564/B563-1</f>
        <v>0.00879005803183608</v>
      </c>
      <c r="D564" s="17" t="n">
        <f aca="false">AVERAGE(B515:B564)</f>
        <v>7458.7372</v>
      </c>
      <c r="E564" s="17" t="n">
        <f aca="false">AVERAGE(B365:B564)</f>
        <v>6989.463</v>
      </c>
      <c r="F564" s="17" t="n">
        <f aca="false">B564*2/13+F563*11/13</f>
        <v>7546.89104308639</v>
      </c>
      <c r="G564" s="17" t="n">
        <f aca="false">B564*2/27+G563*25/27</f>
        <v>7513.66849157969</v>
      </c>
      <c r="H564" s="17" t="n">
        <f aca="false">F564-G564</f>
        <v>33.2225515067003</v>
      </c>
      <c r="I564" s="17" t="n">
        <f aca="false">H564*2/10+I563*8/10</f>
        <v>29.0576931601711</v>
      </c>
      <c r="J564" s="17" t="n">
        <f aca="false">H564-I564</f>
        <v>4.16485834652918</v>
      </c>
      <c r="K564" s="17" t="n">
        <f aca="false">MAX(B564-B563,0)</f>
        <v>66.4799999999996</v>
      </c>
      <c r="L564" s="17" t="n">
        <f aca="false">MAX(B563-B564,0)</f>
        <v>0</v>
      </c>
      <c r="M564" s="17" t="n">
        <f aca="false">(M563*13+K564)/14</f>
        <v>25.0229131144261</v>
      </c>
      <c r="N564" s="17" t="n">
        <f aca="false">(N563*13+L564)/14</f>
        <v>15.9111359189838</v>
      </c>
      <c r="O564" s="17" t="n">
        <f aca="false">IF(N564=0,100,100-100/(1+M564/N564))</f>
        <v>61.129826404426</v>
      </c>
      <c r="P564" s="17" t="n">
        <f aca="false">AVERAGE(B545:B564)+2*STDEV(B545:B564)</f>
        <v>7671.39409026621</v>
      </c>
      <c r="Q564" s="17" t="n">
        <f aca="false">AVERAGE(B545:B564)-2*STDEV(B545:B564)</f>
        <v>7398.72390973379</v>
      </c>
      <c r="R564" s="19" t="n">
        <f aca="false">B564/B544-1</f>
        <v>-0.00399598965037384</v>
      </c>
      <c r="S564" s="17" t="n">
        <f aca="false">STDEV(C545:C564)*SQRT(252)*100</f>
        <v>11.3493497184993</v>
      </c>
      <c r="T564" s="19" t="n">
        <f aca="false">B543/B313-1</f>
        <v>0.275941460323239</v>
      </c>
      <c r="U564" s="19" t="n">
        <f aca="false">B564/MAX(B313:B564)-1</f>
        <v>-0.00399598965037384</v>
      </c>
      <c r="V564" s="17" t="n">
        <f aca="false">(B564-AVERAGE(B545:B564))/STDEV(B545:B564)</f>
        <v>1.38645157039848</v>
      </c>
    </row>
    <row r="565" customFormat="false" ht="15" hidden="false" customHeight="false" outlineLevel="0" collapsed="false">
      <c r="A565" s="17" t="s">
        <v>1129</v>
      </c>
      <c r="B565" s="17" t="n">
        <v>7627.65</v>
      </c>
      <c r="C565" s="19" t="n">
        <f aca="false">B565/B564-1</f>
        <v>-0.00025165245223524</v>
      </c>
      <c r="D565" s="17" t="n">
        <f aca="false">AVERAGE(B516:B565)</f>
        <v>7464.243</v>
      </c>
      <c r="E565" s="17" t="n">
        <f aca="false">AVERAGE(B366:B565)</f>
        <v>6995.683</v>
      </c>
      <c r="F565" s="17" t="n">
        <f aca="false">B565*2/13+F564*11/13</f>
        <v>7559.31549799618</v>
      </c>
      <c r="G565" s="17" t="n">
        <f aca="false">B565*2/27+G564*25/27</f>
        <v>7522.11156627749</v>
      </c>
      <c r="H565" s="17" t="n">
        <f aca="false">F565-G565</f>
        <v>37.2039317186864</v>
      </c>
      <c r="I565" s="17" t="n">
        <f aca="false">H565*2/10+I564*8/10</f>
        <v>30.6869408718741</v>
      </c>
      <c r="J565" s="17" t="n">
        <f aca="false">H565-I565</f>
        <v>6.51699084681223</v>
      </c>
      <c r="K565" s="17" t="n">
        <f aca="false">MAX(B565-B564,0)</f>
        <v>0</v>
      </c>
      <c r="L565" s="17" t="n">
        <f aca="false">MAX(B564-B565,0)</f>
        <v>1.92000000000007</v>
      </c>
      <c r="M565" s="17" t="n">
        <f aca="false">(M564*13+K565)/14</f>
        <v>23.2355621776814</v>
      </c>
      <c r="N565" s="17" t="n">
        <f aca="false">(N564*13+L565)/14</f>
        <v>14.9117690676278</v>
      </c>
      <c r="O565" s="17" t="n">
        <f aca="false">IF(N565=0,100,100-100/(1+M565/N565))</f>
        <v>60.9100595485</v>
      </c>
      <c r="P565" s="17" t="n">
        <f aca="false">AVERAGE(B546:B565)+2*STDEV(B546:B565)</f>
        <v>7668.29241065642</v>
      </c>
      <c r="Q565" s="17" t="n">
        <f aca="false">AVERAGE(B546:B565)-2*STDEV(B546:B565)</f>
        <v>7400.32358934358</v>
      </c>
      <c r="R565" s="19" t="n">
        <f aca="false">B565/B545-1</f>
        <v>-0.00196528176671251</v>
      </c>
      <c r="S565" s="17" t="n">
        <f aca="false">STDEV(C546:C565)*SQRT(252)*100</f>
        <v>11.3221278217902</v>
      </c>
      <c r="T565" s="19" t="n">
        <f aca="false">B544/B314-1</f>
        <v>0.28111651865603</v>
      </c>
      <c r="U565" s="19" t="n">
        <f aca="false">B565/MAX(B314:B565)-1</f>
        <v>-0.0042466365020144</v>
      </c>
      <c r="V565" s="17" t="n">
        <f aca="false">(B565-AVERAGE(B546:B565))/STDEV(B546:B565)</f>
        <v>1.39332627643318</v>
      </c>
    </row>
    <row r="566" customFormat="false" ht="15" hidden="false" customHeight="false" outlineLevel="0" collapsed="false">
      <c r="A566" s="17" t="s">
        <v>1130</v>
      </c>
      <c r="B566" s="17" t="n">
        <v>7645.45</v>
      </c>
      <c r="C566" s="19" t="n">
        <f aca="false">B566/B565-1</f>
        <v>0.00233361520258546</v>
      </c>
      <c r="D566" s="17" t="n">
        <f aca="false">AVERAGE(B517:B566)</f>
        <v>7470.1474</v>
      </c>
      <c r="E566" s="17" t="n">
        <f aca="false">AVERAGE(B367:B566)</f>
        <v>7001.9369</v>
      </c>
      <c r="F566" s="17" t="n">
        <f aca="false">B566*2/13+F565*11/13</f>
        <v>7572.56695984292</v>
      </c>
      <c r="G566" s="17" t="n">
        <f aca="false">B566*2/27+G565*25/27</f>
        <v>7531.24774655323</v>
      </c>
      <c r="H566" s="17" t="n">
        <f aca="false">F566-G566</f>
        <v>41.3192132896875</v>
      </c>
      <c r="I566" s="17" t="n">
        <f aca="false">H566*2/10+I565*8/10</f>
        <v>32.8133953554368</v>
      </c>
      <c r="J566" s="17" t="n">
        <f aca="false">H566-I566</f>
        <v>8.50581793425067</v>
      </c>
      <c r="K566" s="17" t="n">
        <f aca="false">MAX(B566-B565,0)</f>
        <v>17.8000000000002</v>
      </c>
      <c r="L566" s="17" t="n">
        <f aca="false">MAX(B565-B566,0)</f>
        <v>0</v>
      </c>
      <c r="M566" s="17" t="n">
        <f aca="false">(M565*13+K566)/14</f>
        <v>22.8473077364184</v>
      </c>
      <c r="N566" s="17" t="n">
        <f aca="false">(N565*13+L566)/14</f>
        <v>13.8466427056544</v>
      </c>
      <c r="O566" s="17" t="n">
        <f aca="false">IF(N566=0,100,100-100/(1+M566/N566))</f>
        <v>62.2645080760288</v>
      </c>
      <c r="P566" s="17" t="n">
        <f aca="false">AVERAGE(B547:B566)+2*STDEV(B547:B566)</f>
        <v>7666.16954311974</v>
      </c>
      <c r="Q566" s="17" t="n">
        <f aca="false">AVERAGE(B547:B566)-2*STDEV(B547:B566)</f>
        <v>7401.53645688026</v>
      </c>
      <c r="R566" s="19" t="n">
        <f aca="false">B566/B546-1</f>
        <v>-0.00118883539855386</v>
      </c>
      <c r="S566" s="17" t="n">
        <f aca="false">STDEV(C547:C566)*SQRT(252)*100</f>
        <v>11.3403565415393</v>
      </c>
      <c r="T566" s="19" t="n">
        <f aca="false">B545/B315-1</f>
        <v>0.277628253136117</v>
      </c>
      <c r="U566" s="19" t="n">
        <f aca="false">B566/MAX(B315:B566)-1</f>
        <v>-0.00192293131493004</v>
      </c>
      <c r="V566" s="17" t="n">
        <f aca="false">(B566-AVERAGE(B547:B566))/STDEV(B547:B566)</f>
        <v>1.68681855448733</v>
      </c>
    </row>
    <row r="567" customFormat="false" ht="15" hidden="false" customHeight="false" outlineLevel="0" collapsed="false">
      <c r="A567" s="17" t="s">
        <v>1131</v>
      </c>
      <c r="B567" s="17" t="n">
        <v>7628.28</v>
      </c>
      <c r="C567" s="19" t="n">
        <f aca="false">B567/B566-1</f>
        <v>-0.00224578016990495</v>
      </c>
      <c r="D567" s="17" t="n">
        <f aca="false">AVERAGE(B518:B567)</f>
        <v>7475.2774</v>
      </c>
      <c r="E567" s="17" t="n">
        <f aca="false">AVERAGE(B368:B567)</f>
        <v>7008.12875</v>
      </c>
      <c r="F567" s="17" t="n">
        <f aca="false">B567*2/13+F566*11/13</f>
        <v>7581.13819679016</v>
      </c>
      <c r="G567" s="17" t="n">
        <f aca="false">B567*2/27+G566*25/27</f>
        <v>7538.43532088262</v>
      </c>
      <c r="H567" s="17" t="n">
        <f aca="false">F567-G567</f>
        <v>42.7028759075411</v>
      </c>
      <c r="I567" s="17" t="n">
        <f aca="false">H567*2/10+I566*8/10</f>
        <v>34.7912914658577</v>
      </c>
      <c r="J567" s="17" t="n">
        <f aca="false">H567-I567</f>
        <v>7.9115844416834</v>
      </c>
      <c r="K567" s="17" t="n">
        <f aca="false">MAX(B567-B566,0)</f>
        <v>0</v>
      </c>
      <c r="L567" s="17" t="n">
        <f aca="false">MAX(B566-B567,0)</f>
        <v>17.1700000000001</v>
      </c>
      <c r="M567" s="17" t="n">
        <f aca="false">(M566*13+K567)/14</f>
        <v>21.2153571838171</v>
      </c>
      <c r="N567" s="17" t="n">
        <f aca="false">(N566*13+L567)/14</f>
        <v>14.0840253695362</v>
      </c>
      <c r="O567" s="17" t="n">
        <f aca="false">IF(N567=0,100,100-100/(1+M567/N567))</f>
        <v>60.1012132485635</v>
      </c>
      <c r="P567" s="17" t="n">
        <f aca="false">AVERAGE(B548:B567)+2*STDEV(B548:B567)</f>
        <v>7667.33049358508</v>
      </c>
      <c r="Q567" s="17" t="n">
        <f aca="false">AVERAGE(B548:B567)-2*STDEV(B548:B567)</f>
        <v>7400.97150641492</v>
      </c>
      <c r="R567" s="19" t="n">
        <f aca="false">B567/B547-1</f>
        <v>0.000781914167864883</v>
      </c>
      <c r="S567" s="17" t="n">
        <f aca="false">STDEV(C548:C567)*SQRT(252)*100</f>
        <v>11.2656091442688</v>
      </c>
      <c r="T567" s="19" t="n">
        <f aca="false">B546/B316-1</f>
        <v>0.27680957321528</v>
      </c>
      <c r="U567" s="19" t="n">
        <f aca="false">B567/MAX(B316:B567)-1</f>
        <v>-0.00416439300381988</v>
      </c>
      <c r="V567" s="17" t="n">
        <f aca="false">(B567-AVERAGE(B548:B567))/STDEV(B548:B567)</f>
        <v>1.41356596974692</v>
      </c>
    </row>
    <row r="568" customFormat="false" ht="15" hidden="false" customHeight="false" outlineLevel="0" collapsed="false">
      <c r="A568" s="17" t="s">
        <v>1132</v>
      </c>
      <c r="B568" s="17" t="n">
        <v>7637.43</v>
      </c>
      <c r="C568" s="19" t="n">
        <f aca="false">B568/B567-1</f>
        <v>0.00119948402523251</v>
      </c>
      <c r="D568" s="17" t="n">
        <f aca="false">AVERAGE(B519:B568)</f>
        <v>7479.901</v>
      </c>
      <c r="E568" s="17" t="n">
        <f aca="false">AVERAGE(B369:B568)</f>
        <v>7013.9843</v>
      </c>
      <c r="F568" s="17" t="n">
        <f aca="false">B568*2/13+F567*11/13</f>
        <v>7589.79847420706</v>
      </c>
      <c r="G568" s="17" t="n">
        <f aca="false">B568*2/27+G567*25/27</f>
        <v>7545.7682600765</v>
      </c>
      <c r="H568" s="17" t="n">
        <f aca="false">F568-G568</f>
        <v>44.0302141305592</v>
      </c>
      <c r="I568" s="17" t="n">
        <f aca="false">H568*2/10+I567*8/10</f>
        <v>36.639075998798</v>
      </c>
      <c r="J568" s="17" t="n">
        <f aca="false">H568-I568</f>
        <v>7.39113813176125</v>
      </c>
      <c r="K568" s="17" t="n">
        <f aca="false">MAX(B568-B567,0)</f>
        <v>9.15000000000055</v>
      </c>
      <c r="L568" s="17" t="n">
        <f aca="false">MAX(B567-B568,0)</f>
        <v>0</v>
      </c>
      <c r="M568" s="17" t="n">
        <f aca="false">(M567*13+K568)/14</f>
        <v>20.3535459564016</v>
      </c>
      <c r="N568" s="17" t="n">
        <f aca="false">(N567*13+L568)/14</f>
        <v>13.0780235574265</v>
      </c>
      <c r="O568" s="17" t="n">
        <f aca="false">IF(N568=0,100,100-100/(1+M568/N568))</f>
        <v>60.8812157263</v>
      </c>
      <c r="P568" s="17" t="n">
        <f aca="false">AVERAGE(B549:B568)+2*STDEV(B549:B568)</f>
        <v>7680.64368847748</v>
      </c>
      <c r="Q568" s="17" t="n">
        <f aca="false">AVERAGE(B549:B568)-2*STDEV(B549:B568)</f>
        <v>7399.07531152252</v>
      </c>
      <c r="R568" s="19" t="n">
        <f aca="false">B568/B548-1</f>
        <v>0.0151756020661256</v>
      </c>
      <c r="S568" s="17" t="n">
        <f aca="false">STDEV(C549:C568)*SQRT(252)*100</f>
        <v>10.1552903649548</v>
      </c>
      <c r="T568" s="19" t="n">
        <f aca="false">B547/B317-1</f>
        <v>0.270632322248968</v>
      </c>
      <c r="U568" s="19" t="n">
        <f aca="false">B568/MAX(B317:B568)-1</f>
        <v>-0.00296990410147024</v>
      </c>
      <c r="V568" s="17" t="n">
        <f aca="false">(B568-AVERAGE(B549:B568))/STDEV(B549:B568)</f>
        <v>1.38610025820628</v>
      </c>
    </row>
    <row r="569" customFormat="false" ht="15" hidden="false" customHeight="false" outlineLevel="0" collapsed="false">
      <c r="A569" s="17" t="s">
        <v>1133</v>
      </c>
      <c r="B569" s="17" t="n">
        <v>7490</v>
      </c>
      <c r="C569" s="19" t="n">
        <f aca="false">B569/B568-1</f>
        <v>-0.0193036139120097</v>
      </c>
      <c r="D569" s="17" t="n">
        <f aca="false">AVERAGE(B520:B569)</f>
        <v>7479.5292</v>
      </c>
      <c r="E569" s="17" t="n">
        <f aca="false">AVERAGE(B370:B569)</f>
        <v>7018.86795</v>
      </c>
      <c r="F569" s="17" t="n">
        <f aca="false">B569*2/13+F568*11/13</f>
        <v>7574.44486279059</v>
      </c>
      <c r="G569" s="17" t="n">
        <f aca="false">B569*2/27+G568*25/27</f>
        <v>7541.63727784861</v>
      </c>
      <c r="H569" s="17" t="n">
        <f aca="false">F569-G569</f>
        <v>32.8075849419774</v>
      </c>
      <c r="I569" s="17" t="n">
        <f aca="false">H569*2/10+I568*8/10</f>
        <v>35.8727777874339</v>
      </c>
      <c r="J569" s="17" t="n">
        <f aca="false">H569-I569</f>
        <v>-3.06519284545642</v>
      </c>
      <c r="K569" s="17" t="n">
        <f aca="false">MAX(B569-B568,0)</f>
        <v>0</v>
      </c>
      <c r="L569" s="17" t="n">
        <f aca="false">MAX(B568-B569,0)</f>
        <v>147.43</v>
      </c>
      <c r="M569" s="17" t="n">
        <f aca="false">(M568*13+K569)/14</f>
        <v>18.8997212452301</v>
      </c>
      <c r="N569" s="17" t="n">
        <f aca="false">(N568*13+L569)/14</f>
        <v>22.6745933033246</v>
      </c>
      <c r="O569" s="17" t="n">
        <f aca="false">IF(N569=0,100,100-100/(1+M569/N569))</f>
        <v>45.4600910452945</v>
      </c>
      <c r="P569" s="17" t="n">
        <f aca="false">AVERAGE(B550:B569)+2*STDEV(B550:B569)</f>
        <v>7678.62123769526</v>
      </c>
      <c r="Q569" s="17" t="n">
        <f aca="false">AVERAGE(B550:B569)-2*STDEV(B550:B569)</f>
        <v>7404.78076230474</v>
      </c>
      <c r="R569" s="19" t="n">
        <f aca="false">B569/B549-1</f>
        <v>0.00494152152708183</v>
      </c>
      <c r="S569" s="17" t="n">
        <f aca="false">STDEV(C550:C569)*SQRT(252)*100</f>
        <v>11.934253013626</v>
      </c>
      <c r="T569" s="19" t="n">
        <f aca="false">B548/B318-1</f>
        <v>0.242048227381239</v>
      </c>
      <c r="U569" s="19" t="n">
        <f aca="false">B569/MAX(B318:B569)-1</f>
        <v>-0.0222161881313494</v>
      </c>
      <c r="V569" s="17" t="n">
        <f aca="false">(B569-AVERAGE(B550:B569))/STDEV(B550:B569)</f>
        <v>-0.75519880581962</v>
      </c>
    </row>
    <row r="570" customFormat="false" ht="15" hidden="false" customHeight="false" outlineLevel="0" collapsed="false">
      <c r="A570" s="17" t="s">
        <v>1134</v>
      </c>
      <c r="B570" s="17" t="n">
        <v>7399.01</v>
      </c>
      <c r="C570" s="19" t="n">
        <f aca="false">B570/B569-1</f>
        <v>-0.0121481975967958</v>
      </c>
      <c r="D570" s="17" t="n">
        <f aca="false">AVERAGE(B521:B570)</f>
        <v>7479.4944</v>
      </c>
      <c r="E570" s="17" t="n">
        <f aca="false">AVERAGE(B371:B570)</f>
        <v>7023.45965</v>
      </c>
      <c r="F570" s="17" t="n">
        <f aca="false">B570*2/13+F569*11/13</f>
        <v>7547.45488389973</v>
      </c>
      <c r="G570" s="17" t="n">
        <f aca="false">B570*2/27+G569*25/27</f>
        <v>7531.07229430427</v>
      </c>
      <c r="H570" s="17" t="n">
        <f aca="false">F570-G570</f>
        <v>16.3825895954597</v>
      </c>
      <c r="I570" s="17" t="n">
        <f aca="false">H570*2/10+I569*8/10</f>
        <v>31.974740149039</v>
      </c>
      <c r="J570" s="17" t="n">
        <f aca="false">H570-I570</f>
        <v>-15.5921505535794</v>
      </c>
      <c r="K570" s="17" t="n">
        <f aca="false">MAX(B570-B569,0)</f>
        <v>0</v>
      </c>
      <c r="L570" s="17" t="n">
        <f aca="false">MAX(B569-B570,0)</f>
        <v>90.9899999999998</v>
      </c>
      <c r="M570" s="17" t="n">
        <f aca="false">(M569*13+K570)/14</f>
        <v>17.5497411562851</v>
      </c>
      <c r="N570" s="17" t="n">
        <f aca="false">(N569*13+L570)/14</f>
        <v>27.55426521023</v>
      </c>
      <c r="O570" s="17" t="n">
        <f aca="false">IF(N570=0,100,100-100/(1+M570/N570))</f>
        <v>38.9094951204022</v>
      </c>
      <c r="P570" s="17" t="n">
        <f aca="false">AVERAGE(B551:B570)+2*STDEV(B551:B570)</f>
        <v>7682.9978466942</v>
      </c>
      <c r="Q570" s="17" t="n">
        <f aca="false">AVERAGE(B551:B570)-2*STDEV(B551:B570)</f>
        <v>7397.2791533058</v>
      </c>
      <c r="R570" s="19" t="n">
        <f aca="false">B570/B550-1</f>
        <v>-0.00420577476427475</v>
      </c>
      <c r="S570" s="17" t="n">
        <f aca="false">STDEV(C551:C570)*SQRT(252)*100</f>
        <v>12.683019891606</v>
      </c>
      <c r="T570" s="19" t="n">
        <f aca="false">B549/B319-1</f>
        <v>0.228969242666834</v>
      </c>
      <c r="U570" s="19" t="n">
        <f aca="false">B570/MAX(B319:B570)-1</f>
        <v>-0.0340944990848779</v>
      </c>
      <c r="V570" s="17" t="n">
        <f aca="false">(B570-AVERAGE(B551:B570))/STDEV(B551:B570)</f>
        <v>-1.97576852009677</v>
      </c>
    </row>
    <row r="571" customFormat="false" ht="15" hidden="false" customHeight="false" outlineLevel="0" collapsed="false">
      <c r="A571" s="17" t="s">
        <v>1135</v>
      </c>
      <c r="B571" s="17" t="n">
        <v>7352.82</v>
      </c>
      <c r="C571" s="19" t="n">
        <f aca="false">B571/B570-1</f>
        <v>-0.00624272706754014</v>
      </c>
      <c r="D571" s="17" t="n">
        <f aca="false">AVERAGE(B522:B571)</f>
        <v>7480.6152</v>
      </c>
      <c r="E571" s="17" t="n">
        <f aca="false">AVERAGE(B372:B571)</f>
        <v>7027.86135</v>
      </c>
      <c r="F571" s="17" t="n">
        <f aca="false">B571*2/13+F570*11/13</f>
        <v>7517.51105560746</v>
      </c>
      <c r="G571" s="17" t="n">
        <f aca="false">B571*2/27+G570*25/27</f>
        <v>7517.8684206521</v>
      </c>
      <c r="H571" s="17" t="n">
        <f aca="false">F571-G571</f>
        <v>-0.357365044638755</v>
      </c>
      <c r="I571" s="17" t="n">
        <f aca="false">H571*2/10+I570*8/10</f>
        <v>25.5083191103035</v>
      </c>
      <c r="J571" s="17" t="n">
        <f aca="false">H571-I571</f>
        <v>-25.8656841549422</v>
      </c>
      <c r="K571" s="17" t="n">
        <f aca="false">MAX(B571-B570,0)</f>
        <v>0</v>
      </c>
      <c r="L571" s="17" t="n">
        <f aca="false">MAX(B570-B571,0)</f>
        <v>46.1900000000005</v>
      </c>
      <c r="M571" s="17" t="n">
        <f aca="false">(M570*13+K571)/14</f>
        <v>16.2961882165504</v>
      </c>
      <c r="N571" s="17" t="n">
        <f aca="false">(N570*13+L571)/14</f>
        <v>28.885389123785</v>
      </c>
      <c r="O571" s="17" t="n">
        <f aca="false">IF(N571=0,100,100-100/(1+M571/N571))</f>
        <v>36.0682144711273</v>
      </c>
      <c r="P571" s="17" t="n">
        <f aca="false">AVERAGE(B552:B571)+2*STDEV(B552:B571)</f>
        <v>7696.33451538357</v>
      </c>
      <c r="Q571" s="17" t="n">
        <f aca="false">AVERAGE(B552:B571)-2*STDEV(B552:B571)</f>
        <v>7374.45648461644</v>
      </c>
      <c r="R571" s="19" t="n">
        <f aca="false">B571/B551-1</f>
        <v>-0.0127368522815159</v>
      </c>
      <c r="S571" s="17" t="n">
        <f aca="false">STDEV(C552:C571)*SQRT(252)*100</f>
        <v>12.821827084405</v>
      </c>
      <c r="T571" s="19" t="n">
        <f aca="false">B550/B320-1</f>
        <v>0.226413007775814</v>
      </c>
      <c r="U571" s="19" t="n">
        <f aca="false">B571/MAX(B320:B571)-1</f>
        <v>-0.0401243835001267</v>
      </c>
      <c r="V571" s="17" t="n">
        <f aca="false">(B571-AVERAGE(B552:B571))/STDEV(B552:B571)</f>
        <v>-2.26887805377545</v>
      </c>
    </row>
    <row r="572" customFormat="false" ht="15" hidden="false" customHeight="false" outlineLevel="0" collapsed="false">
      <c r="A572" s="17" t="s">
        <v>1136</v>
      </c>
      <c r="B572" s="17" t="n">
        <v>7371.62</v>
      </c>
      <c r="C572" s="19" t="n">
        <f aca="false">B572/B571-1</f>
        <v>0.00255684213675833</v>
      </c>
      <c r="D572" s="17" t="n">
        <f aca="false">AVERAGE(B523:B572)</f>
        <v>7484.1856</v>
      </c>
      <c r="E572" s="17" t="n">
        <f aca="false">AVERAGE(B373:B572)</f>
        <v>7032.356</v>
      </c>
      <c r="F572" s="17" t="n">
        <f aca="false">B572*2/13+F571*11/13</f>
        <v>7495.0662778217</v>
      </c>
      <c r="G572" s="17" t="n">
        <f aca="false">B572*2/27+G571*25/27</f>
        <v>7507.0352043075</v>
      </c>
      <c r="H572" s="17" t="n">
        <f aca="false">F572-G572</f>
        <v>-11.9689264858034</v>
      </c>
      <c r="I572" s="17" t="n">
        <f aca="false">H572*2/10+I571*8/10</f>
        <v>18.0128699910821</v>
      </c>
      <c r="J572" s="17" t="n">
        <f aca="false">H572-I572</f>
        <v>-29.9817964768855</v>
      </c>
      <c r="K572" s="17" t="n">
        <f aca="false">MAX(B572-B571,0)</f>
        <v>18.8000000000002</v>
      </c>
      <c r="L572" s="17" t="n">
        <f aca="false">MAX(B571-B572,0)</f>
        <v>0</v>
      </c>
      <c r="M572" s="17" t="n">
        <f aca="false">(M571*13+K572)/14</f>
        <v>16.4750319153683</v>
      </c>
      <c r="N572" s="17" t="n">
        <f aca="false">(N571*13+L572)/14</f>
        <v>26.8221470435147</v>
      </c>
      <c r="O572" s="17" t="n">
        <f aca="false">IF(N572=0,100,100-100/(1+M572/N572))</f>
        <v>38.0510516193532</v>
      </c>
      <c r="P572" s="17" t="n">
        <f aca="false">AVERAGE(B553:B572)+2*STDEV(B553:B572)</f>
        <v>7705.19917606073</v>
      </c>
      <c r="Q572" s="17" t="n">
        <f aca="false">AVERAGE(B553:B572)-2*STDEV(B553:B572)</f>
        <v>7351.96682393927</v>
      </c>
      <c r="R572" s="19" t="n">
        <f aca="false">B572/B552-1</f>
        <v>-0.0181476237601343</v>
      </c>
      <c r="S572" s="17" t="n">
        <f aca="false">STDEV(C553:C572)*SQRT(252)*100</f>
        <v>12.4702757926749</v>
      </c>
      <c r="T572" s="19" t="n">
        <f aca="false">B551/B321-1</f>
        <v>0.228276644589281</v>
      </c>
      <c r="U572" s="19" t="n">
        <f aca="false">B572/MAX(B321:B572)-1</f>
        <v>-0.0376701330778129</v>
      </c>
      <c r="V572" s="17" t="n">
        <f aca="false">(B572-AVERAGE(B553:B572))/STDEV(B553:B572)</f>
        <v>-1.77744760985003</v>
      </c>
    </row>
    <row r="573" customFormat="false" ht="15" hidden="false" customHeight="false" outlineLevel="0" collapsed="false">
      <c r="A573" s="17" t="s">
        <v>1137</v>
      </c>
      <c r="B573" s="17" t="n">
        <v>7044.5</v>
      </c>
      <c r="C573" s="19" t="n">
        <f aca="false">B573/B572-1</f>
        <v>-0.0443755917966471</v>
      </c>
      <c r="D573" s="17" t="n">
        <f aca="false">AVERAGE(B524:B573)</f>
        <v>7480.436</v>
      </c>
      <c r="E573" s="17" t="n">
        <f aca="false">AVERAGE(B374:B573)</f>
        <v>7035.25265</v>
      </c>
      <c r="F573" s="17" t="n">
        <f aca="false">B573*2/13+F572*11/13</f>
        <v>7425.74838892605</v>
      </c>
      <c r="G573" s="17" t="n">
        <f aca="false">B573*2/27+G572*25/27</f>
        <v>7472.77333732176</v>
      </c>
      <c r="H573" s="17" t="n">
        <f aca="false">F573-G573</f>
        <v>-47.0249483957086</v>
      </c>
      <c r="I573" s="17" t="n">
        <f aca="false">H573*2/10+I572*8/10</f>
        <v>5.00530631372394</v>
      </c>
      <c r="J573" s="17" t="n">
        <f aca="false">H573-I573</f>
        <v>-52.0302547094326</v>
      </c>
      <c r="K573" s="17" t="n">
        <f aca="false">MAX(B573-B572,0)</f>
        <v>0</v>
      </c>
      <c r="L573" s="17" t="n">
        <f aca="false">MAX(B572-B573,0)</f>
        <v>327.12</v>
      </c>
      <c r="M573" s="17" t="n">
        <f aca="false">(M572*13+K573)/14</f>
        <v>15.2982439214134</v>
      </c>
      <c r="N573" s="17" t="n">
        <f aca="false">(N572*13+L573)/14</f>
        <v>48.2719936832636</v>
      </c>
      <c r="O573" s="17" t="n">
        <f aca="false">IF(N573=0,100,100-100/(1+M573/N573))</f>
        <v>24.0651042026117</v>
      </c>
      <c r="P573" s="17" t="n">
        <f aca="false">AVERAGE(B554:B573)+2*STDEV(B554:B573)</f>
        <v>7785.88760975935</v>
      </c>
      <c r="Q573" s="17" t="n">
        <f aca="false">AVERAGE(B554:B573)-2*STDEV(B554:B573)</f>
        <v>7226.92239024066</v>
      </c>
      <c r="R573" s="19" t="n">
        <f aca="false">B573/B553-1</f>
        <v>-0.0592356364665881</v>
      </c>
      <c r="S573" s="17" t="n">
        <f aca="false">STDEV(C554:C573)*SQRT(252)*100</f>
        <v>19.8595557753298</v>
      </c>
      <c r="T573" s="19" t="n">
        <f aca="false">B552/B322-1</f>
        <v>0.234593216855087</v>
      </c>
      <c r="U573" s="19" t="n">
        <f aca="false">B573/MAX(B322:B573)-1</f>
        <v>-0.0803740904260736</v>
      </c>
      <c r="V573" s="17" t="n">
        <f aca="false">(B573-AVERAGE(B554:B573))/STDEV(B554:B573)</f>
        <v>-3.30542927445635</v>
      </c>
    </row>
    <row r="574" customFormat="false" ht="15" hidden="false" customHeight="false" outlineLevel="0" collapsed="false">
      <c r="A574" s="17" t="s">
        <v>1138</v>
      </c>
      <c r="B574" s="17" t="n">
        <v>6964.03</v>
      </c>
      <c r="C574" s="19" t="n">
        <f aca="false">B574/B573-1</f>
        <v>-0.0114230960323657</v>
      </c>
      <c r="D574" s="17" t="n">
        <f aca="false">AVERAGE(B525:B574)</f>
        <v>7474.2588</v>
      </c>
      <c r="E574" s="17" t="n">
        <f aca="false">AVERAGE(B375:B574)</f>
        <v>7037.907</v>
      </c>
      <c r="F574" s="17" t="n">
        <f aca="false">B574*2/13+F573*11/13</f>
        <v>7354.71479062974</v>
      </c>
      <c r="G574" s="17" t="n">
        <f aca="false">B574*2/27+G573*25/27</f>
        <v>7435.0886456683</v>
      </c>
      <c r="H574" s="17" t="n">
        <f aca="false">F574-G574</f>
        <v>-80.3738550385606</v>
      </c>
      <c r="I574" s="17" t="n">
        <f aca="false">H574*2/10+I573*8/10</f>
        <v>-12.070525956733</v>
      </c>
      <c r="J574" s="17" t="n">
        <f aca="false">H574-I574</f>
        <v>-68.3033290818276</v>
      </c>
      <c r="K574" s="17" t="n">
        <f aca="false">MAX(B574-B573,0)</f>
        <v>0</v>
      </c>
      <c r="L574" s="17" t="n">
        <f aca="false">MAX(B573-B574,0)</f>
        <v>80.4700000000003</v>
      </c>
      <c r="M574" s="17" t="n">
        <f aca="false">(M573*13+K574)/14</f>
        <v>14.205512212741</v>
      </c>
      <c r="N574" s="17" t="n">
        <f aca="false">(N573*13+L574)/14</f>
        <v>50.5718512773162</v>
      </c>
      <c r="O574" s="17" t="n">
        <f aca="false">IF(N574=0,100,100-100/(1+M574/N574))</f>
        <v>21.9297474416683</v>
      </c>
      <c r="P574" s="17" t="n">
        <f aca="false">AVERAGE(B555:B574)+2*STDEV(B555:B574)</f>
        <v>7844.81231715411</v>
      </c>
      <c r="Q574" s="17" t="n">
        <f aca="false">AVERAGE(B555:B574)-2*STDEV(B555:B574)</f>
        <v>7108.23168284589</v>
      </c>
      <c r="R574" s="19" t="n">
        <f aca="false">B574/B554-1</f>
        <v>-0.0790378870331897</v>
      </c>
      <c r="S574" s="17" t="n">
        <f aca="false">STDEV(C555:C574)*SQRT(252)*100</f>
        <v>19.471185744532</v>
      </c>
      <c r="T574" s="19" t="n">
        <f aca="false">B553/B323-1</f>
        <v>0.233619824744357</v>
      </c>
      <c r="U574" s="19" t="n">
        <f aca="false">B574/MAX(B323:B574)-1</f>
        <v>-0.0908790655049883</v>
      </c>
      <c r="V574" s="17" t="n">
        <f aca="false">(B574-AVERAGE(B555:B574))/STDEV(B555:B574)</f>
        <v>-2.78308701656988</v>
      </c>
    </row>
    <row r="575" customFormat="false" ht="15" hidden="false" customHeight="false" outlineLevel="0" collapsed="false">
      <c r="A575" s="17" t="s">
        <v>1139</v>
      </c>
      <c r="B575" s="17" t="n">
        <v>7157.21</v>
      </c>
      <c r="C575" s="19" t="n">
        <f aca="false">B575/B574-1</f>
        <v>0.0277396852110057</v>
      </c>
      <c r="D575" s="17" t="n">
        <f aca="false">AVERAGE(B526:B575)</f>
        <v>7469.96</v>
      </c>
      <c r="E575" s="17" t="n">
        <f aca="false">AVERAGE(B376:B575)</f>
        <v>7041.5173</v>
      </c>
      <c r="F575" s="17" t="n">
        <f aca="false">B575*2/13+F574*11/13</f>
        <v>7324.32943822516</v>
      </c>
      <c r="G575" s="17" t="n">
        <f aca="false">B575*2/27+G574*25/27</f>
        <v>7414.50504228546</v>
      </c>
      <c r="H575" s="17" t="n">
        <f aca="false">F575-G575</f>
        <v>-90.1756040602995</v>
      </c>
      <c r="I575" s="17" t="n">
        <f aca="false">H575*2/10+I574*8/10</f>
        <v>-27.6915415774463</v>
      </c>
      <c r="J575" s="17" t="n">
        <f aca="false">H575-I575</f>
        <v>-62.4840624828533</v>
      </c>
      <c r="K575" s="17" t="n">
        <f aca="false">MAX(B575-B574,0)</f>
        <v>193.18</v>
      </c>
      <c r="L575" s="17" t="n">
        <f aca="false">MAX(B574-B575,0)</f>
        <v>0</v>
      </c>
      <c r="M575" s="17" t="n">
        <f aca="false">(M574*13+K575)/14</f>
        <v>26.9894041975452</v>
      </c>
      <c r="N575" s="17" t="n">
        <f aca="false">(N574*13+L575)/14</f>
        <v>46.9595761860794</v>
      </c>
      <c r="O575" s="17" t="n">
        <f aca="false">IF(N575=0,100,100-100/(1+M575/N575))</f>
        <v>36.4973310754692</v>
      </c>
      <c r="P575" s="17" t="n">
        <f aca="false">AVERAGE(B556:B575)+2*STDEV(B556:B575)</f>
        <v>7850.19061208352</v>
      </c>
      <c r="Q575" s="17" t="n">
        <f aca="false">AVERAGE(B556:B575)-2*STDEV(B556:B575)</f>
        <v>7064.02438791648</v>
      </c>
      <c r="R575" s="19" t="n">
        <f aca="false">B575/B555-1</f>
        <v>-0.0514598104830694</v>
      </c>
      <c r="S575" s="17" t="n">
        <f aca="false">STDEV(C556:C575)*SQRT(252)*100</f>
        <v>22.508736245902</v>
      </c>
      <c r="T575" s="19" t="n">
        <f aca="false">B554/B324-1</f>
        <v>0.241157498215004</v>
      </c>
      <c r="U575" s="19" t="n">
        <f aca="false">B575/MAX(B324:B575)-1</f>
        <v>-0.0656603369633612</v>
      </c>
      <c r="V575" s="17" t="n">
        <f aca="false">(B575-AVERAGE(B556:B575))/STDEV(B556:B575)</f>
        <v>-1.52587323535935</v>
      </c>
    </row>
    <row r="576" customFormat="false" ht="15" hidden="false" customHeight="false" outlineLevel="0" collapsed="false">
      <c r="A576" s="17" t="s">
        <v>1140</v>
      </c>
      <c r="B576" s="17" t="n">
        <v>7068.67</v>
      </c>
      <c r="C576" s="19" t="n">
        <f aca="false">B576/B575-1</f>
        <v>-0.0123707422305619</v>
      </c>
      <c r="D576" s="17" t="n">
        <f aca="false">AVERAGE(B527:B576)</f>
        <v>7463.4236</v>
      </c>
      <c r="E576" s="17" t="n">
        <f aca="false">AVERAGE(B377:B576)</f>
        <v>7044.65355</v>
      </c>
      <c r="F576" s="17" t="n">
        <f aca="false">B576*2/13+F575*11/13</f>
        <v>7284.99721695975</v>
      </c>
      <c r="G576" s="17" t="n">
        <f aca="false">B576*2/27+G575*25/27</f>
        <v>7388.8876317458</v>
      </c>
      <c r="H576" s="17" t="n">
        <f aca="false">F576-G576</f>
        <v>-103.890414786045</v>
      </c>
      <c r="I576" s="17" t="n">
        <f aca="false">H576*2/10+I575*8/10</f>
        <v>-42.931316219166</v>
      </c>
      <c r="J576" s="17" t="n">
        <f aca="false">H576-I576</f>
        <v>-60.9590985668789</v>
      </c>
      <c r="K576" s="17" t="n">
        <f aca="false">MAX(B576-B575,0)</f>
        <v>0</v>
      </c>
      <c r="L576" s="17" t="n">
        <f aca="false">MAX(B575-B576,0)</f>
        <v>88.54</v>
      </c>
      <c r="M576" s="17" t="n">
        <f aca="false">(M575*13+K576)/14</f>
        <v>25.0615896120063</v>
      </c>
      <c r="N576" s="17" t="n">
        <f aca="false">(N575*13+L576)/14</f>
        <v>49.9296064585023</v>
      </c>
      <c r="O576" s="17" t="n">
        <f aca="false">IF(N576=0,100,100-100/(1+M576/N576))</f>
        <v>33.4193757737145</v>
      </c>
      <c r="P576" s="17" t="n">
        <f aca="false">AVERAGE(B557:B576)+2*STDEV(B557:B576)</f>
        <v>7868.64560270877</v>
      </c>
      <c r="Q576" s="17" t="n">
        <f aca="false">AVERAGE(B557:B576)-2*STDEV(B557:B576)</f>
        <v>7008.96339729123</v>
      </c>
      <c r="R576" s="19" t="n">
        <f aca="false">B576/B556-1</f>
        <v>-0.0492364887494232</v>
      </c>
      <c r="S576" s="17" t="n">
        <f aca="false">STDEV(C557:C576)*SQRT(252)*100</f>
        <v>22.3579661063181</v>
      </c>
      <c r="T576" s="19" t="n">
        <f aca="false">B555/B325-1</f>
        <v>0.234027799356614</v>
      </c>
      <c r="U576" s="19" t="n">
        <f aca="false">B576/MAX(B325:B576)-1</f>
        <v>-0.0772188120905776</v>
      </c>
      <c r="V576" s="17" t="n">
        <f aca="false">(B576-AVERAGE(B557:B576))/STDEV(B557:B576)</f>
        <v>-1.72219221320384</v>
      </c>
    </row>
    <row r="577" customFormat="false" ht="15" hidden="false" customHeight="false" outlineLevel="0" collapsed="false">
      <c r="A577" s="17" t="s">
        <v>1141</v>
      </c>
      <c r="B577" s="17" t="n">
        <v>7276.43</v>
      </c>
      <c r="C577" s="19" t="n">
        <f aca="false">B577/B576-1</f>
        <v>0.0293916677394759</v>
      </c>
      <c r="D577" s="17" t="n">
        <f aca="false">AVERAGE(B528:B577)</f>
        <v>7460.1724</v>
      </c>
      <c r="E577" s="17" t="n">
        <f aca="false">AVERAGE(B378:B577)</f>
        <v>7049.0536</v>
      </c>
      <c r="F577" s="17" t="n">
        <f aca="false">B577*2/13+F576*11/13</f>
        <v>7283.67918358133</v>
      </c>
      <c r="G577" s="17" t="n">
        <f aca="false">B577*2/27+G576*25/27</f>
        <v>7380.55743680167</v>
      </c>
      <c r="H577" s="17" t="n">
        <f aca="false">F577-G577</f>
        <v>-96.8782532203341</v>
      </c>
      <c r="I577" s="17" t="n">
        <f aca="false">H577*2/10+I576*8/10</f>
        <v>-53.7207036193996</v>
      </c>
      <c r="J577" s="17" t="n">
        <f aca="false">H577-I577</f>
        <v>-43.1575496009344</v>
      </c>
      <c r="K577" s="17" t="n">
        <f aca="false">MAX(B577-B576,0)</f>
        <v>207.76</v>
      </c>
      <c r="L577" s="17" t="n">
        <f aca="false">MAX(B576-B577,0)</f>
        <v>0</v>
      </c>
      <c r="M577" s="17" t="n">
        <f aca="false">(M576*13+K577)/14</f>
        <v>38.1114760682916</v>
      </c>
      <c r="N577" s="17" t="n">
        <f aca="false">(N576*13+L577)/14</f>
        <v>46.3632059971807</v>
      </c>
      <c r="O577" s="17" t="n">
        <f aca="false">IF(N577=0,100,100-100/(1+M577/N577))</f>
        <v>45.1158561789593</v>
      </c>
      <c r="P577" s="17" t="n">
        <f aca="false">AVERAGE(B558:B577)+2*STDEV(B558:B577)</f>
        <v>7862.83493480732</v>
      </c>
      <c r="Q577" s="17" t="n">
        <f aca="false">AVERAGE(B558:B577)-2*STDEV(B558:B577)</f>
        <v>6992.97706519268</v>
      </c>
      <c r="R577" s="19" t="n">
        <f aca="false">B577/B557-1</f>
        <v>-0.0290843830059777</v>
      </c>
      <c r="S577" s="17" t="n">
        <f aca="false">STDEV(C558:C577)*SQRT(252)*100</f>
        <v>24.8321151010584</v>
      </c>
      <c r="T577" s="19" t="n">
        <f aca="false">B556/B326-1</f>
        <v>0.214307297051421</v>
      </c>
      <c r="U577" s="19" t="n">
        <f aca="false">B577/MAX(B326:B577)-1</f>
        <v>-0.050096734019305</v>
      </c>
      <c r="V577" s="17" t="n">
        <f aca="false">(B577-AVERAGE(B558:B577))/STDEV(B558:B577)</f>
        <v>-0.69655517431649</v>
      </c>
    </row>
    <row r="578" customFormat="false" ht="15" hidden="false" customHeight="false" outlineLevel="0" collapsed="false">
      <c r="A578" s="17" t="s">
        <v>1142</v>
      </c>
      <c r="B578" s="17" t="n">
        <v>7278.63</v>
      </c>
      <c r="C578" s="19" t="n">
        <f aca="false">B578/B577-1</f>
        <v>0.000302346068058013</v>
      </c>
      <c r="D578" s="17" t="n">
        <f aca="false">AVERAGE(B529:B578)</f>
        <v>7456.492</v>
      </c>
      <c r="E578" s="17" t="n">
        <f aca="false">AVERAGE(B379:B578)</f>
        <v>7052.89005</v>
      </c>
      <c r="F578" s="17" t="n">
        <f aca="false">B578*2/13+F577*11/13</f>
        <v>7282.90238610728</v>
      </c>
      <c r="G578" s="17" t="n">
        <f aca="false">B578*2/27+G577*25/27</f>
        <v>7373.00725629784</v>
      </c>
      <c r="H578" s="17" t="n">
        <f aca="false">F578-G578</f>
        <v>-90.1048701905584</v>
      </c>
      <c r="I578" s="17" t="n">
        <f aca="false">H578*2/10+I577*8/10</f>
        <v>-60.9975369336314</v>
      </c>
      <c r="J578" s="17" t="n">
        <f aca="false">H578-I578</f>
        <v>-29.107333256927</v>
      </c>
      <c r="K578" s="17" t="n">
        <f aca="false">MAX(B578-B577,0)</f>
        <v>2.19999999999982</v>
      </c>
      <c r="L578" s="17" t="n">
        <f aca="false">MAX(B577-B578,0)</f>
        <v>0</v>
      </c>
      <c r="M578" s="17" t="n">
        <f aca="false">(M577*13+K578)/14</f>
        <v>35.5463706348422</v>
      </c>
      <c r="N578" s="17" t="n">
        <f aca="false">(N577*13+L578)/14</f>
        <v>43.0515484259535</v>
      </c>
      <c r="O578" s="17" t="n">
        <f aca="false">IF(N578=0,100,100-100/(1+M578/N578))</f>
        <v>45.2255874705118</v>
      </c>
      <c r="P578" s="17" t="n">
        <f aca="false">AVERAGE(B559:B578)+2*STDEV(B559:B578)</f>
        <v>7856.14103635323</v>
      </c>
      <c r="Q578" s="17" t="n">
        <f aca="false">AVERAGE(B559:B578)-2*STDEV(B559:B578)</f>
        <v>6978.50196364677</v>
      </c>
      <c r="R578" s="19" t="n">
        <f aca="false">B578/B558-1</f>
        <v>-0.0282618099093229</v>
      </c>
      <c r="S578" s="17" t="n">
        <f aca="false">STDEV(C559:C578)*SQRT(252)*100</f>
        <v>24.8376117630796</v>
      </c>
      <c r="T578" s="19" t="n">
        <f aca="false">B557/B327-1</f>
        <v>0.225706739064659</v>
      </c>
      <c r="U578" s="19" t="n">
        <f aca="false">B578/MAX(B327:B578)-1</f>
        <v>-0.0498095345018003</v>
      </c>
      <c r="V578" s="17" t="n">
        <f aca="false">(B578-AVERAGE(B559:B578))/STDEV(B559:B578)</f>
        <v>-0.632111784049467</v>
      </c>
    </row>
    <row r="579" customFormat="false" ht="15" hidden="false" customHeight="false" outlineLevel="0" collapsed="false">
      <c r="A579" s="17" t="s">
        <v>1143</v>
      </c>
      <c r="B579" s="17" t="n">
        <v>7116.09</v>
      </c>
      <c r="C579" s="19" t="n">
        <f aca="false">B579/B578-1</f>
        <v>-0.0223311255002658</v>
      </c>
      <c r="D579" s="17" t="n">
        <f aca="false">AVERAGE(B530:B579)</f>
        <v>7449.4228</v>
      </c>
      <c r="E579" s="17" t="n">
        <f aca="false">AVERAGE(B380:B579)</f>
        <v>7055.5915</v>
      </c>
      <c r="F579" s="17" t="n">
        <f aca="false">B579*2/13+F578*11/13</f>
        <v>7257.23894209078</v>
      </c>
      <c r="G579" s="17" t="n">
        <f aca="false">B579*2/27+G578*25/27</f>
        <v>7353.97634842392</v>
      </c>
      <c r="H579" s="17" t="n">
        <f aca="false">F579-G579</f>
        <v>-96.737406333149</v>
      </c>
      <c r="I579" s="17" t="n">
        <f aca="false">H579*2/10+I578*8/10</f>
        <v>-68.1455108135349</v>
      </c>
      <c r="J579" s="17" t="n">
        <f aca="false">H579-I579</f>
        <v>-28.5918955196141</v>
      </c>
      <c r="K579" s="17" t="n">
        <f aca="false">MAX(B579-B578,0)</f>
        <v>0</v>
      </c>
      <c r="L579" s="17" t="n">
        <f aca="false">MAX(B578-B579,0)</f>
        <v>162.54</v>
      </c>
      <c r="M579" s="17" t="n">
        <f aca="false">(M578*13+K579)/14</f>
        <v>33.0073441609249</v>
      </c>
      <c r="N579" s="17" t="n">
        <f aca="false">(N578*13+L579)/14</f>
        <v>51.5864378240997</v>
      </c>
      <c r="O579" s="17" t="n">
        <f aca="false">IF(N579=0,100,100-100/(1+M579/N579))</f>
        <v>39.0186410707682</v>
      </c>
      <c r="P579" s="17" t="n">
        <f aca="false">AVERAGE(B560:B579)+2*STDEV(B560:B579)</f>
        <v>7847.06918015277</v>
      </c>
      <c r="Q579" s="17" t="n">
        <f aca="false">AVERAGE(B560:B579)-2*STDEV(B560:B579)</f>
        <v>6942.27981984723</v>
      </c>
      <c r="R579" s="19" t="n">
        <f aca="false">B579/B559-1</f>
        <v>-0.0598412213982504</v>
      </c>
      <c r="S579" s="17" t="n">
        <f aca="false">STDEV(C560:C579)*SQRT(252)*100</f>
        <v>25.4910197624121</v>
      </c>
      <c r="T579" s="19" t="n">
        <f aca="false">B558/B328-1</f>
        <v>0.229408694453289</v>
      </c>
      <c r="U579" s="19" t="n">
        <f aca="false">B579/MAX(B328:B579)-1</f>
        <v>-0.0710283570359965</v>
      </c>
      <c r="V579" s="17" t="n">
        <f aca="false">(B579-AVERAGE(B560:B579))/STDEV(B560:B579)</f>
        <v>-1.23159936321941</v>
      </c>
    </row>
    <row r="580" customFormat="false" ht="15" hidden="false" customHeight="false" outlineLevel="0" collapsed="false">
      <c r="A580" s="17" t="s">
        <v>1144</v>
      </c>
      <c r="B580" s="17" t="n">
        <v>7107.23</v>
      </c>
      <c r="C580" s="19" t="n">
        <f aca="false">B580/B579-1</f>
        <v>-0.00124506575942696</v>
      </c>
      <c r="D580" s="17" t="n">
        <f aca="false">AVERAGE(B531:B580)</f>
        <v>7442.2282</v>
      </c>
      <c r="E580" s="17" t="n">
        <f aca="false">AVERAGE(B381:B580)</f>
        <v>7058.20475</v>
      </c>
      <c r="F580" s="17" t="n">
        <f aca="false">B580*2/13+F579*11/13</f>
        <v>7234.16064330758</v>
      </c>
      <c r="G580" s="17" t="n">
        <f aca="false">B580*2/27+G579*25/27</f>
        <v>7335.69884113326</v>
      </c>
      <c r="H580" s="17" t="n">
        <f aca="false">F580-G580</f>
        <v>-101.538197825684</v>
      </c>
      <c r="I580" s="17" t="n">
        <f aca="false">H580*2/10+I579*8/10</f>
        <v>-74.8240482159647</v>
      </c>
      <c r="J580" s="17" t="n">
        <f aca="false">H580-I580</f>
        <v>-26.7141496097191</v>
      </c>
      <c r="K580" s="17" t="n">
        <f aca="false">MAX(B580-B579,0)</f>
        <v>0</v>
      </c>
      <c r="L580" s="17" t="n">
        <f aca="false">MAX(B579-B580,0)</f>
        <v>8.86000000000058</v>
      </c>
      <c r="M580" s="17" t="n">
        <f aca="false">(M579*13+K580)/14</f>
        <v>30.6496767208588</v>
      </c>
      <c r="N580" s="17" t="n">
        <f aca="false">(N579*13+L580)/14</f>
        <v>48.5345494080926</v>
      </c>
      <c r="O580" s="17" t="n">
        <f aca="false">IF(N580=0,100,100-100/(1+M580/N580))</f>
        <v>38.7067958092384</v>
      </c>
      <c r="P580" s="17" t="n">
        <f aca="false">AVERAGE(B561:B580)+2*STDEV(B561:B580)</f>
        <v>7838.5072503034</v>
      </c>
      <c r="Q580" s="17" t="n">
        <f aca="false">AVERAGE(B561:B580)-2*STDEV(B561:B580)</f>
        <v>6908.4577496966</v>
      </c>
      <c r="R580" s="19" t="n">
        <f aca="false">B580/B560-1</f>
        <v>-0.0562788554614417</v>
      </c>
      <c r="S580" s="17" t="n">
        <f aca="false">STDEV(C561:C580)*SQRT(252)*100</f>
        <v>25.4857809974371</v>
      </c>
      <c r="T580" s="19" t="n">
        <f aca="false">B559/B329-1</f>
        <v>0.239033070216507</v>
      </c>
      <c r="U580" s="19" t="n">
        <f aca="false">B580/MAX(B329:B580)-1</f>
        <v>-0.0721849878201296</v>
      </c>
      <c r="V580" s="17" t="n">
        <f aca="false">(B580-AVERAGE(B561:B580))/STDEV(B561:B580)</f>
        <v>-1.14511109280222</v>
      </c>
    </row>
    <row r="581" customFormat="false" ht="15" hidden="false" customHeight="false" outlineLevel="0" collapsed="false">
      <c r="A581" s="17" t="s">
        <v>1145</v>
      </c>
      <c r="B581" s="17" t="n">
        <v>7141.21</v>
      </c>
      <c r="C581" s="19" t="n">
        <f aca="false">B581/B580-1</f>
        <v>0.00478104690575654</v>
      </c>
      <c r="D581" s="17" t="n">
        <f aca="false">AVERAGE(B532:B581)</f>
        <v>7436.8864</v>
      </c>
      <c r="E581" s="17" t="n">
        <f aca="false">AVERAGE(B382:B581)</f>
        <v>7060.64435</v>
      </c>
      <c r="F581" s="17" t="n">
        <f aca="false">B581*2/13+F580*11/13</f>
        <v>7219.86054433718</v>
      </c>
      <c r="G581" s="17" t="n">
        <f aca="false">B581*2/27+G580*25/27</f>
        <v>7321.29226030858</v>
      </c>
      <c r="H581" s="17" t="n">
        <f aca="false">F581-G581</f>
        <v>-101.431715971395</v>
      </c>
      <c r="I581" s="17" t="n">
        <f aca="false">H581*2/10+I580*8/10</f>
        <v>-80.1455817670506</v>
      </c>
      <c r="J581" s="17" t="n">
        <f aca="false">H581-I581</f>
        <v>-21.286134204344</v>
      </c>
      <c r="K581" s="17" t="n">
        <f aca="false">MAX(B581-B580,0)</f>
        <v>33.9800000000005</v>
      </c>
      <c r="L581" s="17" t="n">
        <f aca="false">MAX(B580-B581,0)</f>
        <v>0</v>
      </c>
      <c r="M581" s="17" t="n">
        <f aca="false">(M580*13+K581)/14</f>
        <v>30.8875569550832</v>
      </c>
      <c r="N581" s="17" t="n">
        <f aca="false">(N580*13+L581)/14</f>
        <v>45.0677958789431</v>
      </c>
      <c r="O581" s="17" t="n">
        <f aca="false">IF(N581=0,100,100-100/(1+M581/N581))</f>
        <v>40.665411722301</v>
      </c>
      <c r="P581" s="17" t="n">
        <f aca="false">AVERAGE(B562:B581)+2*STDEV(B562:B581)</f>
        <v>7821.4970281932</v>
      </c>
      <c r="Q581" s="17" t="n">
        <f aca="false">AVERAGE(B562:B581)-2*STDEV(B562:B581)</f>
        <v>6884.7139718068</v>
      </c>
      <c r="R581" s="19" t="n">
        <f aca="false">B581/B561-1</f>
        <v>-0.0539877463156152</v>
      </c>
      <c r="S581" s="17" t="n">
        <f aca="false">STDEV(C562:C581)*SQRT(252)*100</f>
        <v>25.5650900148091</v>
      </c>
      <c r="T581" s="19" t="n">
        <f aca="false">B560/B330-1</f>
        <v>0.241147164637111</v>
      </c>
      <c r="U581" s="19" t="n">
        <f aca="false">B581/MAX(B330:B581)-1</f>
        <v>-0.0677490607270326</v>
      </c>
      <c r="V581" s="17" t="n">
        <f aca="false">(B581-AVERAGE(B562:B581))/STDEV(B562:B581)</f>
        <v>-0.904779387523848</v>
      </c>
    </row>
    <row r="582" customFormat="false" ht="15" hidden="false" customHeight="false" outlineLevel="0" collapsed="false">
      <c r="A582" s="17" t="s">
        <v>1146</v>
      </c>
      <c r="B582" s="17" t="n">
        <v>7118.67</v>
      </c>
      <c r="C582" s="19" t="n">
        <f aca="false">B582/B581-1</f>
        <v>-0.00315632784920206</v>
      </c>
      <c r="D582" s="17" t="n">
        <f aca="false">AVERAGE(B533:B582)</f>
        <v>7431.2364</v>
      </c>
      <c r="E582" s="17" t="n">
        <f aca="false">AVERAGE(B383:B582)</f>
        <v>7062.85455</v>
      </c>
      <c r="F582" s="17" t="n">
        <f aca="false">B582*2/13+F581*11/13</f>
        <v>7204.29276828531</v>
      </c>
      <c r="G582" s="17" t="n">
        <f aca="false">B582*2/27+G581*25/27</f>
        <v>7306.28320398942</v>
      </c>
      <c r="H582" s="17" t="n">
        <f aca="false">F582-G582</f>
        <v>-101.990435704116</v>
      </c>
      <c r="I582" s="17" t="n">
        <f aca="false">H582*2/10+I581*8/10</f>
        <v>-84.5145525544637</v>
      </c>
      <c r="J582" s="17" t="n">
        <f aca="false">H582-I582</f>
        <v>-17.4758831496522</v>
      </c>
      <c r="K582" s="17" t="n">
        <f aca="false">MAX(B582-B581,0)</f>
        <v>0</v>
      </c>
      <c r="L582" s="17" t="n">
        <f aca="false">MAX(B581-B582,0)</f>
        <v>22.54</v>
      </c>
      <c r="M582" s="17" t="n">
        <f aca="false">(M581*13+K582)/14</f>
        <v>28.681302886863</v>
      </c>
      <c r="N582" s="17" t="n">
        <f aca="false">(N581*13+L582)/14</f>
        <v>43.4586676018757</v>
      </c>
      <c r="O582" s="17" t="n">
        <f aca="false">IF(N582=0,100,100-100/(1+M582/N582))</f>
        <v>39.757852259366</v>
      </c>
      <c r="P582" s="17" t="n">
        <f aca="false">AVERAGE(B563:B582)+2*STDEV(B563:B582)</f>
        <v>7799.48326427605</v>
      </c>
      <c r="Q582" s="17" t="n">
        <f aca="false">AVERAGE(B563:B582)-2*STDEV(B563:B582)</f>
        <v>6862.27573572395</v>
      </c>
      <c r="R582" s="19" t="n">
        <f aca="false">B582/B562-1</f>
        <v>-0.0587741415989813</v>
      </c>
      <c r="S582" s="17" t="n">
        <f aca="false">STDEV(C563:C582)*SQRT(252)*100</f>
        <v>25.5084268903215</v>
      </c>
      <c r="T582" s="19" t="n">
        <f aca="false">B561/B331-1</f>
        <v>0.241525800053287</v>
      </c>
      <c r="U582" s="19" t="n">
        <f aca="false">B582/MAX(B331:B582)-1</f>
        <v>-0.0706915503291046</v>
      </c>
      <c r="V582" s="17" t="n">
        <f aca="false">(B582-AVERAGE(B563:B582))/STDEV(B563:B582)</f>
        <v>-0.905709753859293</v>
      </c>
    </row>
    <row r="583" customFormat="false" ht="15" hidden="false" customHeight="false" outlineLevel="0" collapsed="false">
      <c r="A583" s="17" t="s">
        <v>1147</v>
      </c>
      <c r="B583" s="17" t="n">
        <v>6789.15</v>
      </c>
      <c r="C583" s="19" t="n">
        <f aca="false">B583/B582-1</f>
        <v>-0.0462895456595123</v>
      </c>
      <c r="D583" s="17" t="n">
        <f aca="false">AVERAGE(B534:B583)</f>
        <v>7418.076</v>
      </c>
      <c r="E583" s="17" t="n">
        <f aca="false">AVERAGE(B384:B583)</f>
        <v>7063.4106</v>
      </c>
      <c r="F583" s="17" t="n">
        <f aca="false">B583*2/13+F582*11/13</f>
        <v>7140.42465008757</v>
      </c>
      <c r="G583" s="17" t="n">
        <f aca="false">B583*2/27+G582*25/27</f>
        <v>7267.97704073095</v>
      </c>
      <c r="H583" s="17" t="n">
        <f aca="false">F583-G583</f>
        <v>-127.552390643378</v>
      </c>
      <c r="I583" s="17" t="n">
        <f aca="false">H583*2/10+I582*8/10</f>
        <v>-93.1221201722466</v>
      </c>
      <c r="J583" s="17" t="n">
        <f aca="false">H583-I583</f>
        <v>-34.4302704711316</v>
      </c>
      <c r="K583" s="17" t="n">
        <f aca="false">MAX(B583-B582,0)</f>
        <v>0</v>
      </c>
      <c r="L583" s="17" t="n">
        <f aca="false">MAX(B582-B583,0)</f>
        <v>329.52</v>
      </c>
      <c r="M583" s="17" t="n">
        <f aca="false">(M582*13+K583)/14</f>
        <v>26.6326383949442</v>
      </c>
      <c r="N583" s="17" t="n">
        <f aca="false">(N582*13+L583)/14</f>
        <v>63.8916199160275</v>
      </c>
      <c r="O583" s="17" t="n">
        <f aca="false">IF(N583=0,100,100-100/(1+M583/N583))</f>
        <v>29.4204436378313</v>
      </c>
      <c r="P583" s="17" t="n">
        <f aca="false">AVERAGE(B564:B583)+2*STDEV(B564:B583)</f>
        <v>7805.71516614183</v>
      </c>
      <c r="Q583" s="17" t="n">
        <f aca="false">AVERAGE(B564:B583)-2*STDEV(B564:B583)</f>
        <v>6778.64983385817</v>
      </c>
      <c r="R583" s="19" t="n">
        <f aca="false">B583/B563-1</f>
        <v>-0.102331190029472</v>
      </c>
      <c r="S583" s="17" t="n">
        <f aca="false">STDEV(C564:C583)*SQRT(252)*100</f>
        <v>29.7500358404282</v>
      </c>
      <c r="T583" s="19" t="n">
        <f aca="false">B562/B332-1</f>
        <v>0.249073499101575</v>
      </c>
      <c r="U583" s="19" t="n">
        <f aca="false">B583/MAX(B332:B583)-1</f>
        <v>-0.113708816241916</v>
      </c>
      <c r="V583" s="17" t="n">
        <f aca="false">(B583-AVERAGE(B564:B583))/STDEV(B564:B583)</f>
        <v>-1.95910614130658</v>
      </c>
    </row>
    <row r="584" customFormat="false" ht="15" hidden="false" customHeight="false" outlineLevel="0" collapsed="false">
      <c r="A584" s="17" t="s">
        <v>1148</v>
      </c>
      <c r="B584" s="17" t="n">
        <v>7016.39</v>
      </c>
      <c r="C584" s="19" t="n">
        <f aca="false">B584/B583-1</f>
        <v>0.0334710530773368</v>
      </c>
      <c r="D584" s="17" t="n">
        <f aca="false">AVERAGE(B535:B584)</f>
        <v>7411.3106</v>
      </c>
      <c r="E584" s="17" t="n">
        <f aca="false">AVERAGE(B385:B584)</f>
        <v>7065.17925</v>
      </c>
      <c r="F584" s="17" t="n">
        <f aca="false">B584*2/13+F583*11/13</f>
        <v>7121.34239622794</v>
      </c>
      <c r="G584" s="17" t="n">
        <f aca="false">B584*2/27+G583*25/27</f>
        <v>7249.34096363977</v>
      </c>
      <c r="H584" s="17" t="n">
        <f aca="false">F584-G584</f>
        <v>-127.998567411822</v>
      </c>
      <c r="I584" s="17" t="n">
        <f aca="false">H584*2/10+I583*8/10</f>
        <v>-100.097409620162</v>
      </c>
      <c r="J584" s="17" t="n">
        <f aca="false">H584-I584</f>
        <v>-27.9011577916607</v>
      </c>
      <c r="K584" s="17" t="n">
        <f aca="false">MAX(B584-B583,0)</f>
        <v>227.240000000001</v>
      </c>
      <c r="L584" s="17" t="n">
        <f aca="false">MAX(B583-B584,0)</f>
        <v>0</v>
      </c>
      <c r="M584" s="17" t="n">
        <f aca="false">(M583*13+K584)/14</f>
        <v>40.9617356524483</v>
      </c>
      <c r="N584" s="17" t="n">
        <f aca="false">(N583*13+L584)/14</f>
        <v>59.3279327791684</v>
      </c>
      <c r="O584" s="17" t="n">
        <f aca="false">IF(N584=0,100,100-100/(1+M584/N584))</f>
        <v>40.8434251434168</v>
      </c>
      <c r="P584" s="17" t="n">
        <f aca="false">AVERAGE(B565:B584)+2*STDEV(B565:B584)</f>
        <v>7763.32692942232</v>
      </c>
      <c r="Q584" s="17" t="n">
        <f aca="false">AVERAGE(B565:B584)-2*STDEV(B565:B584)</f>
        <v>6759.72007057768</v>
      </c>
      <c r="R584" s="19" t="n">
        <f aca="false">B584/B564-1</f>
        <v>-0.0803688805529014</v>
      </c>
      <c r="S584" s="17" t="n">
        <f aca="false">STDEV(C565:C584)*SQRT(252)*100</f>
        <v>32.4577350973546</v>
      </c>
      <c r="T584" s="19" t="n">
        <f aca="false">B563/B333-1</f>
        <v>0.252608949844896</v>
      </c>
      <c r="U584" s="19" t="n">
        <f aca="false">B584/MAX(B333:B584)-1</f>
        <v>-0.0840437169883737</v>
      </c>
      <c r="V584" s="17" t="n">
        <f aca="false">(B584-AVERAGE(B565:B584))/STDEV(B565:B584)</f>
        <v>-0.977010062614359</v>
      </c>
    </row>
    <row r="585" customFormat="false" ht="15" hidden="false" customHeight="false" outlineLevel="0" collapsed="false">
      <c r="A585" s="17" t="s">
        <v>1149</v>
      </c>
      <c r="B585" s="17" t="n">
        <v>6852.4</v>
      </c>
      <c r="C585" s="19" t="n">
        <f aca="false">B585/B584-1</f>
        <v>-0.0233724180098314</v>
      </c>
      <c r="D585" s="17" t="n">
        <f aca="false">AVERAGE(B536:B585)</f>
        <v>7400.8728</v>
      </c>
      <c r="E585" s="17" t="n">
        <f aca="false">AVERAGE(B386:B585)</f>
        <v>7065.8988</v>
      </c>
      <c r="F585" s="17" t="n">
        <f aca="false">B585*2/13+F584*11/13</f>
        <v>7079.96664296211</v>
      </c>
      <c r="G585" s="17" t="n">
        <f aca="false">B585*2/27+G584*25/27</f>
        <v>7219.93792929608</v>
      </c>
      <c r="H585" s="17" t="n">
        <f aca="false">F585-G585</f>
        <v>-139.971286333973</v>
      </c>
      <c r="I585" s="17" t="n">
        <f aca="false">H585*2/10+I584*8/10</f>
        <v>-108.072184962924</v>
      </c>
      <c r="J585" s="17" t="n">
        <f aca="false">H585-I585</f>
        <v>-31.8991013710488</v>
      </c>
      <c r="K585" s="17" t="n">
        <f aca="false">MAX(B585-B584,0)</f>
        <v>0</v>
      </c>
      <c r="L585" s="17" t="n">
        <f aca="false">MAX(B584-B585,0)</f>
        <v>163.990000000001</v>
      </c>
      <c r="M585" s="17" t="n">
        <f aca="false">(M584*13+K585)/14</f>
        <v>38.0358973915591</v>
      </c>
      <c r="N585" s="17" t="n">
        <f aca="false">(N584*13+L585)/14</f>
        <v>66.8037947235136</v>
      </c>
      <c r="O585" s="17" t="n">
        <f aca="false">IF(N585=0,100,100-100/(1+M585/N585))</f>
        <v>36.2800544566753</v>
      </c>
      <c r="P585" s="17" t="n">
        <f aca="false">AVERAGE(B566:B585)+2*STDEV(B566:B585)</f>
        <v>7725.25258873924</v>
      </c>
      <c r="Q585" s="17" t="n">
        <f aca="false">AVERAGE(B566:B585)-2*STDEV(B566:B585)</f>
        <v>6720.26941126076</v>
      </c>
      <c r="R585" s="19" t="n">
        <f aca="false">B585/B565-1</f>
        <v>-0.101636808191252</v>
      </c>
      <c r="S585" s="17" t="n">
        <f aca="false">STDEV(C566:C585)*SQRT(252)*100</f>
        <v>33.1359579973239</v>
      </c>
      <c r="T585" s="19" t="n">
        <f aca="false">B564/B334-1</f>
        <v>0.227908077129205</v>
      </c>
      <c r="U585" s="19" t="n">
        <f aca="false">B585/MAX(B334:B585)-1</f>
        <v>-0.105451830113653</v>
      </c>
      <c r="V585" s="17" t="n">
        <f aca="false">(B585-AVERAGE(B566:B585))/STDEV(B566:B585)</f>
        <v>-1.4740983065179</v>
      </c>
    </row>
    <row r="586" customFormat="false" ht="15" hidden="false" customHeight="false" outlineLevel="0" collapsed="false">
      <c r="A586" s="17" t="s">
        <v>1150</v>
      </c>
      <c r="B586" s="17" t="n">
        <v>6713.9</v>
      </c>
      <c r="C586" s="19" t="n">
        <f aca="false">B586/B585-1</f>
        <v>-0.0202118965617886</v>
      </c>
      <c r="D586" s="17" t="n">
        <f aca="false">AVERAGE(B537:B586)</f>
        <v>7387.6</v>
      </c>
      <c r="E586" s="17" t="n">
        <f aca="false">AVERAGE(B387:B586)</f>
        <v>7065.6756</v>
      </c>
      <c r="F586" s="17" t="n">
        <f aca="false">B586*2/13+F585*11/13</f>
        <v>7023.64869789101</v>
      </c>
      <c r="G586" s="17" t="n">
        <f aca="false">B586*2/27+G585*25/27</f>
        <v>7182.45363823711</v>
      </c>
      <c r="H586" s="17" t="n">
        <f aca="false">F586-G586</f>
        <v>-158.804940346095</v>
      </c>
      <c r="I586" s="17" t="n">
        <f aca="false">H586*2/10+I585*8/10</f>
        <v>-118.218736039558</v>
      </c>
      <c r="J586" s="17" t="n">
        <f aca="false">H586-I586</f>
        <v>-40.5862043065372</v>
      </c>
      <c r="K586" s="17" t="n">
        <f aca="false">MAX(B586-B585,0)</f>
        <v>0</v>
      </c>
      <c r="L586" s="17" t="n">
        <f aca="false">MAX(B585-B586,0)</f>
        <v>138.5</v>
      </c>
      <c r="M586" s="17" t="n">
        <f aca="false">(M585*13+K586)/14</f>
        <v>35.3190475778763</v>
      </c>
      <c r="N586" s="17" t="n">
        <f aca="false">(N585*13+L586)/14</f>
        <v>71.9249522432626</v>
      </c>
      <c r="O586" s="17" t="n">
        <f aca="false">IF(N586=0,100,100-100/(1+M586/N586))</f>
        <v>32.9333553735232</v>
      </c>
      <c r="P586" s="17" t="n">
        <f aca="false">AVERAGE(B567:B586)+2*STDEV(B567:B586)</f>
        <v>7686.34318419702</v>
      </c>
      <c r="Q586" s="17" t="n">
        <f aca="false">AVERAGE(B567:B586)-2*STDEV(B567:B586)</f>
        <v>6666.02381580298</v>
      </c>
      <c r="R586" s="19" t="n">
        <f aca="false">B586/B566-1</f>
        <v>-0.121843710965345</v>
      </c>
      <c r="S586" s="17" t="n">
        <f aca="false">STDEV(C567:C586)*SQRT(252)*100</f>
        <v>33.4269801170061</v>
      </c>
      <c r="T586" s="19" t="n">
        <f aca="false">B565/B335-1</f>
        <v>0.224815699170947</v>
      </c>
      <c r="U586" s="19" t="n">
        <f aca="false">B586/MAX(B335:B586)-1</f>
        <v>-0.123532345192933</v>
      </c>
      <c r="V586" s="17" t="n">
        <f aca="false">(B586-AVERAGE(B567:B586))/STDEV(B567:B586)</f>
        <v>-1.81230902527168</v>
      </c>
    </row>
    <row r="587" customFormat="false" ht="15" hidden="false" customHeight="false" outlineLevel="0" collapsed="false">
      <c r="A587" s="17" t="s">
        <v>1151</v>
      </c>
      <c r="B587" s="17" t="n">
        <v>6810.12</v>
      </c>
      <c r="C587" s="19" t="n">
        <f aca="false">B587/B586-1</f>
        <v>0.0143314615946022</v>
      </c>
      <c r="D587" s="17" t="n">
        <f aca="false">AVERAGE(B538:B587)</f>
        <v>7376.374</v>
      </c>
      <c r="E587" s="17" t="n">
        <f aca="false">AVERAGE(B388:B587)</f>
        <v>7066.0405</v>
      </c>
      <c r="F587" s="17" t="n">
        <f aca="false">B587*2/13+F586*11/13</f>
        <v>6990.79812898471</v>
      </c>
      <c r="G587" s="17" t="n">
        <f aca="false">B587*2/27+G586*25/27</f>
        <v>7154.87336873806</v>
      </c>
      <c r="H587" s="17" t="n">
        <f aca="false">F587-G587</f>
        <v>-164.075239753359</v>
      </c>
      <c r="I587" s="17" t="n">
        <f aca="false">H587*2/10+I586*8/10</f>
        <v>-127.390036782318</v>
      </c>
      <c r="J587" s="17" t="n">
        <f aca="false">H587-I587</f>
        <v>-36.6852029710404</v>
      </c>
      <c r="K587" s="17" t="n">
        <f aca="false">MAX(B587-B586,0)</f>
        <v>96.2200000000003</v>
      </c>
      <c r="L587" s="17" t="n">
        <f aca="false">MAX(B586-B587,0)</f>
        <v>0</v>
      </c>
      <c r="M587" s="17" t="n">
        <f aca="false">(M586*13+K587)/14</f>
        <v>39.669115608028</v>
      </c>
      <c r="N587" s="17" t="n">
        <f aca="false">(N586*13+L587)/14</f>
        <v>66.7874556544581</v>
      </c>
      <c r="O587" s="17" t="n">
        <f aca="false">IF(N587=0,100,100-100/(1+M587/N587))</f>
        <v>37.2631911187683</v>
      </c>
      <c r="P587" s="17" t="n">
        <f aca="false">AVERAGE(B568:B587)+2*STDEV(B568:B587)</f>
        <v>7623.53572882432</v>
      </c>
      <c r="Q587" s="17" t="n">
        <f aca="false">AVERAGE(B568:B587)-2*STDEV(B568:B587)</f>
        <v>6647.01527117568</v>
      </c>
      <c r="R587" s="19" t="n">
        <f aca="false">B587/B567-1</f>
        <v>-0.107253535528324</v>
      </c>
      <c r="S587" s="17" t="n">
        <f aca="false">STDEV(C568:C587)*SQRT(252)*100</f>
        <v>34.200241941245</v>
      </c>
      <c r="T587" s="19" t="n">
        <f aca="false">B566/B336-1</f>
        <v>0.223553906820131</v>
      </c>
      <c r="U587" s="19" t="n">
        <f aca="false">B587/MAX(B336:B587)-1</f>
        <v>-0.110971282659154</v>
      </c>
      <c r="V587" s="17" t="n">
        <f aca="false">(B587-AVERAGE(B568:B587))/STDEV(B568:B587)</f>
        <v>-1.33189426786998</v>
      </c>
    </row>
    <row r="588" customFormat="false" ht="15" hidden="false" customHeight="false" outlineLevel="0" collapsed="false">
      <c r="A588" s="17" t="s">
        <v>1152</v>
      </c>
      <c r="B588" s="17" t="n">
        <v>6967.1</v>
      </c>
      <c r="C588" s="19" t="n">
        <f aca="false">B588/B587-1</f>
        <v>0.0230509888225172</v>
      </c>
      <c r="D588" s="17" t="n">
        <f aca="false">AVERAGE(B539:B588)</f>
        <v>7367.7714</v>
      </c>
      <c r="E588" s="17" t="n">
        <f aca="false">AVERAGE(B389:B588)</f>
        <v>7066.8246</v>
      </c>
      <c r="F588" s="17" t="n">
        <f aca="false">B588*2/13+F587*11/13</f>
        <v>6987.15226298706</v>
      </c>
      <c r="G588" s="17" t="n">
        <f aca="false">B588*2/27+G587*25/27</f>
        <v>7140.96423031302</v>
      </c>
      <c r="H588" s="17" t="n">
        <f aca="false">F588-G588</f>
        <v>-153.811967325963</v>
      </c>
      <c r="I588" s="17" t="n">
        <f aca="false">H588*2/10+I587*8/10</f>
        <v>-132.674422891047</v>
      </c>
      <c r="J588" s="17" t="n">
        <f aca="false">H588-I588</f>
        <v>-21.137544434916</v>
      </c>
      <c r="K588" s="17" t="n">
        <f aca="false">MAX(B588-B587,0)</f>
        <v>156.98</v>
      </c>
      <c r="L588" s="17" t="n">
        <f aca="false">MAX(B587-B588,0)</f>
        <v>0</v>
      </c>
      <c r="M588" s="17" t="n">
        <f aca="false">(M587*13+K588)/14</f>
        <v>48.0484644931689</v>
      </c>
      <c r="N588" s="17" t="n">
        <f aca="false">(N587*13+L588)/14</f>
        <v>62.0169231077111</v>
      </c>
      <c r="O588" s="17" t="n">
        <f aca="false">IF(N588=0,100,100-100/(1+M588/N588))</f>
        <v>43.6544726189514</v>
      </c>
      <c r="P588" s="17" t="n">
        <f aca="false">AVERAGE(B569:B588)+2*STDEV(B569:B588)</f>
        <v>7533.6574978173</v>
      </c>
      <c r="Q588" s="17" t="n">
        <f aca="false">AVERAGE(B569:B588)-2*STDEV(B569:B588)</f>
        <v>6669.8605021827</v>
      </c>
      <c r="R588" s="19" t="n">
        <f aca="false">B588/B568-1</f>
        <v>-0.0877690532024517</v>
      </c>
      <c r="S588" s="17" t="n">
        <f aca="false">STDEV(C569:C588)*SQRT(252)*100</f>
        <v>35.6128522987876</v>
      </c>
      <c r="T588" s="19" t="n">
        <f aca="false">B567/B337-1</f>
        <v>0.220788490313908</v>
      </c>
      <c r="U588" s="19" t="n">
        <f aca="false">B588/MAX(B337:B588)-1</f>
        <v>-0.0904782916328337</v>
      </c>
      <c r="V588" s="17" t="n">
        <f aca="false">(B588-AVERAGE(B569:B588))/STDEV(B569:B588)</f>
        <v>-0.623567809013135</v>
      </c>
    </row>
    <row r="589" customFormat="false" ht="15" hidden="false" customHeight="false" outlineLevel="0" collapsed="false">
      <c r="A589" s="17" t="s">
        <v>1153</v>
      </c>
      <c r="B589" s="17" t="n">
        <v>7069.17</v>
      </c>
      <c r="C589" s="19" t="n">
        <f aca="false">B589/B588-1</f>
        <v>0.0146502849105079</v>
      </c>
      <c r="D589" s="17" t="n">
        <f aca="false">AVERAGE(B540:B589)</f>
        <v>7360.6628</v>
      </c>
      <c r="E589" s="17" t="n">
        <f aca="false">AVERAGE(B390:B589)</f>
        <v>7068.11355</v>
      </c>
      <c r="F589" s="17" t="n">
        <f aca="false">B589*2/13+F588*11/13</f>
        <v>6999.77037637366</v>
      </c>
      <c r="G589" s="17" t="n">
        <f aca="false">B589*2/27+G588*25/27</f>
        <v>7135.64613917872</v>
      </c>
      <c r="H589" s="17" t="n">
        <f aca="false">F589-G589</f>
        <v>-135.875762805059</v>
      </c>
      <c r="I589" s="17" t="n">
        <f aca="false">H589*2/10+I588*8/10</f>
        <v>-133.31469087385</v>
      </c>
      <c r="J589" s="17" t="n">
        <f aca="false">H589-I589</f>
        <v>-2.5610719312092</v>
      </c>
      <c r="K589" s="17" t="n">
        <f aca="false">MAX(B589-B588,0)</f>
        <v>102.07</v>
      </c>
      <c r="L589" s="17" t="n">
        <f aca="false">MAX(B588-B589,0)</f>
        <v>0</v>
      </c>
      <c r="M589" s="17" t="n">
        <f aca="false">(M588*13+K589)/14</f>
        <v>51.9071456007997</v>
      </c>
      <c r="N589" s="17" t="n">
        <f aca="false">(N588*13+L589)/14</f>
        <v>57.5871428857318</v>
      </c>
      <c r="O589" s="17" t="n">
        <f aca="false">IF(N589=0,100,100-100/(1+M589/N589))</f>
        <v>47.4062586444266</v>
      </c>
      <c r="P589" s="17" t="n">
        <f aca="false">AVERAGE(B570:B589)+2*STDEV(B570:B589)</f>
        <v>7472.07776164487</v>
      </c>
      <c r="Q589" s="17" t="n">
        <f aca="false">AVERAGE(B570:B589)-2*STDEV(B570:B589)</f>
        <v>6689.35723835514</v>
      </c>
      <c r="R589" s="19" t="n">
        <f aca="false">B589/B569-1</f>
        <v>-0.0561855807743659</v>
      </c>
      <c r="S589" s="17" t="n">
        <f aca="false">STDEV(C570:C589)*SQRT(252)*100</f>
        <v>35.7600873213437</v>
      </c>
      <c r="T589" s="19" t="n">
        <f aca="false">B568/B338-1</f>
        <v>0.224655610056459</v>
      </c>
      <c r="U589" s="19" t="n">
        <f aca="false">B589/MAX(B338:B589)-1</f>
        <v>-0.0771535394729628</v>
      </c>
      <c r="V589" s="17" t="n">
        <f aca="false">(B589-AVERAGE(B570:B589))/STDEV(B570:B589)</f>
        <v>-0.0590121232619127</v>
      </c>
    </row>
    <row r="590" customFormat="false" ht="15" hidden="false" customHeight="false" outlineLevel="0" collapsed="false">
      <c r="A590" s="17" t="s">
        <v>1154</v>
      </c>
      <c r="B590" s="17" t="n">
        <v>6965.29</v>
      </c>
      <c r="C590" s="19" t="n">
        <f aca="false">B590/B589-1</f>
        <v>-0.0146947944383853</v>
      </c>
      <c r="D590" s="17" t="n">
        <f aca="false">AVERAGE(B541:B590)</f>
        <v>7351.6918</v>
      </c>
      <c r="E590" s="17" t="n">
        <f aca="false">AVERAGE(B391:B590)</f>
        <v>7068.76835</v>
      </c>
      <c r="F590" s="17" t="n">
        <f aca="false">B590*2/13+F589*11/13</f>
        <v>6994.46570308541</v>
      </c>
      <c r="G590" s="17" t="n">
        <f aca="false">B590*2/27+G589*25/27</f>
        <v>7123.02716590623</v>
      </c>
      <c r="H590" s="17" t="n">
        <f aca="false">F590-G590</f>
        <v>-128.561462820817</v>
      </c>
      <c r="I590" s="17" t="n">
        <f aca="false">H590*2/10+I589*8/10</f>
        <v>-132.364045263243</v>
      </c>
      <c r="J590" s="17" t="n">
        <f aca="false">H590-I590</f>
        <v>3.80258244242631</v>
      </c>
      <c r="K590" s="17" t="n">
        <f aca="false">MAX(B590-B589,0)</f>
        <v>0</v>
      </c>
      <c r="L590" s="17" t="n">
        <f aca="false">MAX(B589-B590,0)</f>
        <v>103.88</v>
      </c>
      <c r="M590" s="17" t="n">
        <f aca="false">(M589*13+K590)/14</f>
        <v>48.1994923435997</v>
      </c>
      <c r="N590" s="17" t="n">
        <f aca="false">(N589*13+L590)/14</f>
        <v>60.8937755367509</v>
      </c>
      <c r="O590" s="17" t="n">
        <f aca="false">IF(N590=0,100,100-100/(1+M590/N590))</f>
        <v>44.1819126698662</v>
      </c>
      <c r="P590" s="17" t="n">
        <f aca="false">AVERAGE(B571:B590)+2*STDEV(B571:B590)</f>
        <v>7423.25563534728</v>
      </c>
      <c r="Q590" s="17" t="n">
        <f aca="false">AVERAGE(B571:B590)-2*STDEV(B571:B590)</f>
        <v>6694.80736465272</v>
      </c>
      <c r="R590" s="19" t="n">
        <f aca="false">B590/B570-1</f>
        <v>-0.0586186530360143</v>
      </c>
      <c r="S590" s="17" t="n">
        <f aca="false">STDEV(C571:C590)*SQRT(252)*100</f>
        <v>35.8611328711304</v>
      </c>
      <c r="T590" s="19" t="n">
        <f aca="false">B569/B339-1</f>
        <v>0.189723583847715</v>
      </c>
      <c r="U590" s="19" t="n">
        <f aca="false">B590/MAX(B339:B590)-1</f>
        <v>-0.0907145785085991</v>
      </c>
      <c r="V590" s="17" t="n">
        <f aca="false">(B590-AVERAGE(B571:B590))/STDEV(B571:B590)</f>
        <v>-0.514746228503608</v>
      </c>
    </row>
    <row r="591" customFormat="false" ht="15" hidden="false" customHeight="false" outlineLevel="0" collapsed="false">
      <c r="A591" s="17" t="s">
        <v>1155</v>
      </c>
      <c r="B591" s="17" t="n">
        <v>6937.09</v>
      </c>
      <c r="C591" s="19" t="n">
        <f aca="false">B591/B590-1</f>
        <v>-0.00404864693358065</v>
      </c>
      <c r="D591" s="17" t="n">
        <f aca="false">AVERAGE(B542:B591)</f>
        <v>7340.7256</v>
      </c>
      <c r="E591" s="17" t="n">
        <f aca="false">AVERAGE(B392:B591)</f>
        <v>7068.9224</v>
      </c>
      <c r="F591" s="17" t="n">
        <f aca="false">B591*2/13+F590*11/13</f>
        <v>6985.6386718415</v>
      </c>
      <c r="G591" s="17" t="n">
        <f aca="false">B591*2/27+G590*25/27</f>
        <v>7109.25404250576</v>
      </c>
      <c r="H591" s="17" t="n">
        <f aca="false">F591-G591</f>
        <v>-123.615370664264</v>
      </c>
      <c r="I591" s="17" t="n">
        <f aca="false">H591*2/10+I590*8/10</f>
        <v>-130.614310343447</v>
      </c>
      <c r="J591" s="17" t="n">
        <f aca="false">H591-I591</f>
        <v>6.99893967918294</v>
      </c>
      <c r="K591" s="17" t="n">
        <f aca="false">MAX(B591-B590,0)</f>
        <v>0</v>
      </c>
      <c r="L591" s="17" t="n">
        <f aca="false">MAX(B590-B591,0)</f>
        <v>28.1999999999998</v>
      </c>
      <c r="M591" s="17" t="n">
        <f aca="false">(M590*13+K591)/14</f>
        <v>44.756671461914</v>
      </c>
      <c r="N591" s="17" t="n">
        <f aca="false">(N590*13+L591)/14</f>
        <v>58.5585058555544</v>
      </c>
      <c r="O591" s="17" t="n">
        <f aca="false">IF(N591=0,100,100-100/(1+M591/N591))</f>
        <v>43.3205194280266</v>
      </c>
      <c r="P591" s="17" t="n">
        <f aca="false">AVERAGE(B572:B591)+2*STDEV(B572:B591)</f>
        <v>7378.53830188128</v>
      </c>
      <c r="Q591" s="17" t="n">
        <f aca="false">AVERAGE(B572:B591)-2*STDEV(B572:B591)</f>
        <v>6697.95169811872</v>
      </c>
      <c r="R591" s="19" t="n">
        <f aca="false">B591/B571-1</f>
        <v>-0.0565402117826901</v>
      </c>
      <c r="S591" s="17" t="n">
        <f aca="false">STDEV(C572:C591)*SQRT(252)*100</f>
        <v>35.8414196234989</v>
      </c>
      <c r="T591" s="19" t="n">
        <f aca="false">B570/B340-1</f>
        <v>0.171914324768239</v>
      </c>
      <c r="U591" s="19" t="n">
        <f aca="false">B591/MAX(B340:B591)-1</f>
        <v>-0.0943959541420698</v>
      </c>
      <c r="V591" s="17" t="n">
        <f aca="false">(B591-AVERAGE(B572:B591))/STDEV(B572:B591)</f>
        <v>-0.594516550521412</v>
      </c>
    </row>
    <row r="592" customFormat="false" ht="15" hidden="false" customHeight="false" outlineLevel="0" collapsed="false">
      <c r="A592" s="17" t="s">
        <v>1156</v>
      </c>
      <c r="B592" s="17" t="n">
        <v>6988.85</v>
      </c>
      <c r="C592" s="19" t="n">
        <f aca="false">B592/B591-1</f>
        <v>0.00746134185948288</v>
      </c>
      <c r="D592" s="17" t="n">
        <f aca="false">AVERAGE(B543:B592)</f>
        <v>7329.32</v>
      </c>
      <c r="E592" s="17" t="n">
        <f aca="false">AVERAGE(B393:B592)</f>
        <v>7069.04935</v>
      </c>
      <c r="F592" s="17" t="n">
        <f aca="false">B592*2/13+F591*11/13</f>
        <v>6986.13272232742</v>
      </c>
      <c r="G592" s="17" t="n">
        <f aca="false">B592*2/27+G591*25/27</f>
        <v>7100.33522454237</v>
      </c>
      <c r="H592" s="17" t="n">
        <f aca="false">F592-G592</f>
        <v>-114.20250221495</v>
      </c>
      <c r="I592" s="17" t="n">
        <f aca="false">H592*2/10+I591*8/10</f>
        <v>-127.331948717748</v>
      </c>
      <c r="J592" s="17" t="n">
        <f aca="false">H592-I592</f>
        <v>13.1294465027979</v>
      </c>
      <c r="K592" s="17" t="n">
        <f aca="false">MAX(B592-B591,0)</f>
        <v>51.7600000000002</v>
      </c>
      <c r="L592" s="17" t="n">
        <f aca="false">MAX(B591-B592,0)</f>
        <v>0</v>
      </c>
      <c r="M592" s="17" t="n">
        <f aca="false">(M591*13+K592)/14</f>
        <v>45.2569092146344</v>
      </c>
      <c r="N592" s="17" t="n">
        <f aca="false">(N591*13+L592)/14</f>
        <v>54.3757554373005</v>
      </c>
      <c r="O592" s="17" t="n">
        <f aca="false">IF(N592=0,100,100-100/(1+M592/N592))</f>
        <v>45.42376676639</v>
      </c>
      <c r="P592" s="17" t="n">
        <f aca="false">AVERAGE(B573:B592)+2*STDEV(B573:B592)</f>
        <v>7321.38664383837</v>
      </c>
      <c r="Q592" s="17" t="n">
        <f aca="false">AVERAGE(B573:B592)-2*STDEV(B573:B592)</f>
        <v>6716.82635616163</v>
      </c>
      <c r="R592" s="19" t="n">
        <f aca="false">B592/B572-1</f>
        <v>-0.0519248143555962</v>
      </c>
      <c r="S592" s="17" t="n">
        <f aca="false">STDEV(C573:C592)*SQRT(252)*100</f>
        <v>35.9781608312129</v>
      </c>
      <c r="T592" s="19" t="n">
        <f aca="false">B571/B341-1</f>
        <v>0.163277317039986</v>
      </c>
      <c r="U592" s="19" t="n">
        <f aca="false">B592/MAX(B341:B592)-1</f>
        <v>-0.087638932766593</v>
      </c>
      <c r="V592" s="17" t="n">
        <f aca="false">(B592-AVERAGE(B573:B592))/STDEV(B573:B592)</f>
        <v>-0.200188471632973</v>
      </c>
    </row>
    <row r="593" customFormat="false" ht="15" hidden="false" customHeight="false" outlineLevel="0" collapsed="false">
      <c r="A593" s="17" t="s">
        <v>1157</v>
      </c>
      <c r="B593" s="17" t="n">
        <v>7203.13</v>
      </c>
      <c r="C593" s="19" t="n">
        <f aca="false">B593/B592-1</f>
        <v>0.0306602659951207</v>
      </c>
      <c r="D593" s="17" t="n">
        <f aca="false">AVERAGE(B544:B593)</f>
        <v>7321.9776</v>
      </c>
      <c r="E593" s="17" t="n">
        <f aca="false">AVERAGE(B394:B593)</f>
        <v>7070.46825</v>
      </c>
      <c r="F593" s="17" t="n">
        <f aca="false">B593*2/13+F592*11/13</f>
        <v>7019.51691889244</v>
      </c>
      <c r="G593" s="17" t="n">
        <f aca="false">B593*2/27+G592*25/27</f>
        <v>7107.94965235405</v>
      </c>
      <c r="H593" s="17" t="n">
        <f aca="false">F593-G593</f>
        <v>-88.4327334616137</v>
      </c>
      <c r="I593" s="17" t="n">
        <f aca="false">H593*2/10+I592*8/10</f>
        <v>-119.552105666521</v>
      </c>
      <c r="J593" s="17" t="n">
        <f aca="false">H593-I593</f>
        <v>31.1193722049074</v>
      </c>
      <c r="K593" s="17" t="n">
        <f aca="false">MAX(B593-B592,0)</f>
        <v>214.28</v>
      </c>
      <c r="L593" s="17" t="n">
        <f aca="false">MAX(B592-B593,0)</f>
        <v>0</v>
      </c>
      <c r="M593" s="17" t="n">
        <f aca="false">(M592*13+K593)/14</f>
        <v>57.3299871278748</v>
      </c>
      <c r="N593" s="17" t="n">
        <f aca="false">(N592*13+L593)/14</f>
        <v>50.4917729060648</v>
      </c>
      <c r="O593" s="17" t="n">
        <f aca="false">IF(N593=0,100,100-100/(1+M593/N593))</f>
        <v>53.1710733620271</v>
      </c>
      <c r="P593" s="17" t="n">
        <f aca="false">AVERAGE(B574:B593)+2*STDEV(B574:B593)</f>
        <v>7340.25047213186</v>
      </c>
      <c r="Q593" s="17" t="n">
        <f aca="false">AVERAGE(B574:B593)-2*STDEV(B574:B593)</f>
        <v>6713.82552786815</v>
      </c>
      <c r="R593" s="19" t="n">
        <f aca="false">B593/B573-1</f>
        <v>0.0225182766697423</v>
      </c>
      <c r="S593" s="17" t="n">
        <f aca="false">STDEV(C574:C593)*SQRT(252)*100</f>
        <v>34.1862701520083</v>
      </c>
      <c r="T593" s="19" t="n">
        <f aca="false">B572/B342-1</f>
        <v>0.161651546453486</v>
      </c>
      <c r="U593" s="19" t="n">
        <f aca="false">B593/MAX(B342:B593)-1</f>
        <v>-0.0596656997616244</v>
      </c>
      <c r="V593" s="17" t="n">
        <f aca="false">(B593-AVERAGE(B574:B593))/STDEV(B574:B593)</f>
        <v>1.12442521079346</v>
      </c>
    </row>
    <row r="594" customFormat="false" ht="15" hidden="false" customHeight="false" outlineLevel="0" collapsed="false">
      <c r="A594" s="17" t="s">
        <v>1158</v>
      </c>
      <c r="B594" s="17" t="n">
        <v>7158.59</v>
      </c>
      <c r="C594" s="19" t="n">
        <f aca="false">B594/B593-1</f>
        <v>-0.00618342303970632</v>
      </c>
      <c r="D594" s="17" t="n">
        <f aca="false">AVERAGE(B545:B594)</f>
        <v>7311.9458</v>
      </c>
      <c r="E594" s="17" t="n">
        <f aca="false">AVERAGE(B395:B594)</f>
        <v>7071.6797</v>
      </c>
      <c r="F594" s="17" t="n">
        <f aca="false">B594*2/13+F593*11/13</f>
        <v>7040.91277752437</v>
      </c>
      <c r="G594" s="17" t="n">
        <f aca="false">B594*2/27+G593*25/27</f>
        <v>7111.70078921671</v>
      </c>
      <c r="H594" s="17" t="n">
        <f aca="false">F594-G594</f>
        <v>-70.7880116923434</v>
      </c>
      <c r="I594" s="17" t="n">
        <f aca="false">H594*2/10+I593*8/10</f>
        <v>-109.799286871686</v>
      </c>
      <c r="J594" s="17" t="n">
        <f aca="false">H594-I594</f>
        <v>39.0112751793422</v>
      </c>
      <c r="K594" s="17" t="n">
        <f aca="false">MAX(B594-B593,0)</f>
        <v>0</v>
      </c>
      <c r="L594" s="17" t="n">
        <f aca="false">MAX(B593-B594,0)</f>
        <v>44.54</v>
      </c>
      <c r="M594" s="17" t="n">
        <f aca="false">(M593*13+K594)/14</f>
        <v>53.2349880473123</v>
      </c>
      <c r="N594" s="17" t="n">
        <f aca="false">(N593*13+L594)/14</f>
        <v>50.0666462699173</v>
      </c>
      <c r="O594" s="17" t="n">
        <f aca="false">IF(N594=0,100,100-100/(1+M594/N594))</f>
        <v>51.5335390375652</v>
      </c>
      <c r="P594" s="17" t="n">
        <f aca="false">AVERAGE(B575:B594)+2*STDEV(B575:B594)</f>
        <v>7353.80094453916</v>
      </c>
      <c r="Q594" s="17" t="n">
        <f aca="false">AVERAGE(B575:B594)-2*STDEV(B575:B594)</f>
        <v>6719.73105546084</v>
      </c>
      <c r="R594" s="19" t="n">
        <f aca="false">B594/B574-1</f>
        <v>0.0279378463332296</v>
      </c>
      <c r="S594" s="17" t="n">
        <f aca="false">STDEV(C575:C594)*SQRT(252)*100</f>
        <v>33.9768768266445</v>
      </c>
      <c r="T594" s="19" t="n">
        <f aca="false">B573/B343-1</f>
        <v>0.11601166627853</v>
      </c>
      <c r="U594" s="19" t="n">
        <f aca="false">B594/MAX(B343:B594)-1</f>
        <v>-0.0654801845387445</v>
      </c>
      <c r="V594" s="17" t="n">
        <f aca="false">(B594-AVERAGE(B575:B594))/STDEV(B575:B594)</f>
        <v>0.76852096021833</v>
      </c>
    </row>
    <row r="595" customFormat="false" ht="15" hidden="false" customHeight="false" outlineLevel="0" collapsed="false">
      <c r="A595" s="17" t="s">
        <v>1159</v>
      </c>
      <c r="B595" s="17" t="n">
        <v>7039.15</v>
      </c>
      <c r="C595" s="19" t="n">
        <f aca="false">B595/B594-1</f>
        <v>-0.0166848499495013</v>
      </c>
      <c r="D595" s="17" t="n">
        <f aca="false">AVERAGE(B546:B595)</f>
        <v>7299.8754</v>
      </c>
      <c r="E595" s="17" t="n">
        <f aca="false">AVERAGE(B396:B595)</f>
        <v>7071.7606</v>
      </c>
      <c r="F595" s="17" t="n">
        <f aca="false">B595*2/13+F594*11/13</f>
        <v>7040.64158098216</v>
      </c>
      <c r="G595" s="17" t="n">
        <f aca="false">B595*2/27+G594*25/27</f>
        <v>7106.32665668214</v>
      </c>
      <c r="H595" s="17" t="n">
        <f aca="false">F595-G595</f>
        <v>-65.6850756999829</v>
      </c>
      <c r="I595" s="17" t="n">
        <f aca="false">H595*2/10+I594*8/10</f>
        <v>-100.976444637345</v>
      </c>
      <c r="J595" s="17" t="n">
        <f aca="false">H595-I595</f>
        <v>35.2913689373621</v>
      </c>
      <c r="K595" s="17" t="n">
        <f aca="false">MAX(B595-B594,0)</f>
        <v>0</v>
      </c>
      <c r="L595" s="17" t="n">
        <f aca="false">MAX(B594-B595,0)</f>
        <v>119.440000000001</v>
      </c>
      <c r="M595" s="17" t="n">
        <f aca="false">(M594*13+K595)/14</f>
        <v>49.4324889010757</v>
      </c>
      <c r="N595" s="17" t="n">
        <f aca="false">(N594*13+L595)/14</f>
        <v>55.0218858220661</v>
      </c>
      <c r="O595" s="17" t="n">
        <f aca="false">IF(N595=0,100,100-100/(1+M595/N595))</f>
        <v>47.3244792590999</v>
      </c>
      <c r="P595" s="17" t="n">
        <f aca="false">AVERAGE(B576:B595)+2*STDEV(B576:B595)</f>
        <v>7342.81104203669</v>
      </c>
      <c r="Q595" s="17" t="n">
        <f aca="false">AVERAGE(B576:B595)-2*STDEV(B576:B595)</f>
        <v>6718.91495796331</v>
      </c>
      <c r="R595" s="19" t="n">
        <f aca="false">B595/B575-1</f>
        <v>-0.0164952544357369</v>
      </c>
      <c r="S595" s="17" t="n">
        <f aca="false">STDEV(C576:C595)*SQRT(252)*100</f>
        <v>33.0911077836575</v>
      </c>
      <c r="T595" s="19" t="n">
        <f aca="false">B574/B344-1</f>
        <v>0.103812447793415</v>
      </c>
      <c r="U595" s="19" t="n">
        <f aca="false">B595/MAX(B344:B595)-1</f>
        <v>-0.0810725074345512</v>
      </c>
      <c r="V595" s="17" t="n">
        <f aca="false">(B595-AVERAGE(B576:B595))/STDEV(B576:B595)</f>
        <v>0.0531306428204771</v>
      </c>
    </row>
    <row r="596" customFormat="false" ht="15" hidden="false" customHeight="false" outlineLevel="0" collapsed="false">
      <c r="A596" s="17" t="s">
        <v>1160</v>
      </c>
      <c r="B596" s="17" t="n">
        <v>6829.1</v>
      </c>
      <c r="C596" s="19" t="n">
        <f aca="false">B596/B595-1</f>
        <v>-0.0298402505984386</v>
      </c>
      <c r="D596" s="17" t="n">
        <f aca="false">AVERAGE(B547:B596)</f>
        <v>7283.3664</v>
      </c>
      <c r="E596" s="17" t="n">
        <f aca="false">AVERAGE(B397:B596)</f>
        <v>7070.9645</v>
      </c>
      <c r="F596" s="17" t="n">
        <f aca="false">B596*2/13+F595*11/13</f>
        <v>7008.09672236952</v>
      </c>
      <c r="G596" s="17" t="n">
        <f aca="false">B596*2/27+G595*25/27</f>
        <v>7085.79134877976</v>
      </c>
      <c r="H596" s="17" t="n">
        <f aca="false">F596-G596</f>
        <v>-77.6946264102417</v>
      </c>
      <c r="I596" s="17" t="n">
        <f aca="false">H596*2/10+I595*8/10</f>
        <v>-96.3200809919243</v>
      </c>
      <c r="J596" s="17" t="n">
        <f aca="false">H596-I596</f>
        <v>18.6254545816827</v>
      </c>
      <c r="K596" s="17" t="n">
        <f aca="false">MAX(B596-B595,0)</f>
        <v>0</v>
      </c>
      <c r="L596" s="17" t="n">
        <f aca="false">MAX(B595-B596,0)</f>
        <v>210.049999999999</v>
      </c>
      <c r="M596" s="17" t="n">
        <f aca="false">(M595*13+K596)/14</f>
        <v>45.9015968367132</v>
      </c>
      <c r="N596" s="17" t="n">
        <f aca="false">(N595*13+L596)/14</f>
        <v>66.0953225490613</v>
      </c>
      <c r="O596" s="17" t="n">
        <f aca="false">IF(N596=0,100,100-100/(1+M596/N596))</f>
        <v>40.9846959081122</v>
      </c>
      <c r="P596" s="17" t="n">
        <f aca="false">AVERAGE(B577:B596)+2*STDEV(B577:B596)</f>
        <v>7342.88555883355</v>
      </c>
      <c r="Q596" s="17" t="n">
        <f aca="false">AVERAGE(B577:B596)-2*STDEV(B577:B596)</f>
        <v>6694.88344116645</v>
      </c>
      <c r="R596" s="19" t="n">
        <f aca="false">B596/B576-1</f>
        <v>-0.0338918070867645</v>
      </c>
      <c r="S596" s="17" t="n">
        <f aca="false">STDEV(C577:C596)*SQRT(252)*100</f>
        <v>34.4660300102538</v>
      </c>
      <c r="T596" s="19" t="n">
        <f aca="false">B575/B345-1</f>
        <v>0.133154849925113</v>
      </c>
      <c r="U596" s="19" t="n">
        <f aca="false">B596/MAX(B345:B596)-1</f>
        <v>-0.108493534094499</v>
      </c>
      <c r="V596" s="17" t="n">
        <f aca="false">(B596-AVERAGE(B577:B596))/STDEV(B577:B596)</f>
        <v>-1.1715054307739</v>
      </c>
    </row>
    <row r="597" customFormat="false" ht="15" hidden="false" customHeight="false" outlineLevel="0" collapsed="false">
      <c r="A597" s="17" t="s">
        <v>1161</v>
      </c>
      <c r="B597" s="17" t="n">
        <v>6830.91</v>
      </c>
      <c r="C597" s="19" t="n">
        <f aca="false">B597/B596-1</f>
        <v>0.0002650422456838</v>
      </c>
      <c r="D597" s="17" t="n">
        <f aca="false">AVERAGE(B548:B597)</f>
        <v>7267.5382</v>
      </c>
      <c r="E597" s="17" t="n">
        <f aca="false">AVERAGE(B398:B597)</f>
        <v>7070.4654</v>
      </c>
      <c r="F597" s="17" t="n">
        <f aca="false">B597*2/13+F596*11/13</f>
        <v>6980.83722662036</v>
      </c>
      <c r="G597" s="17" t="n">
        <f aca="false">B597*2/27+G596*25/27</f>
        <v>7066.91124887015</v>
      </c>
      <c r="H597" s="17" t="n">
        <f aca="false">F597-G597</f>
        <v>-86.0740222497861</v>
      </c>
      <c r="I597" s="17" t="n">
        <f aca="false">H597*2/10+I596*8/10</f>
        <v>-94.2708692434967</v>
      </c>
      <c r="J597" s="17" t="n">
        <f aca="false">H597-I597</f>
        <v>8.19684699371057</v>
      </c>
      <c r="K597" s="17" t="n">
        <f aca="false">MAX(B597-B596,0)</f>
        <v>1.80999999999949</v>
      </c>
      <c r="L597" s="17" t="n">
        <f aca="false">MAX(B596-B597,0)</f>
        <v>0</v>
      </c>
      <c r="M597" s="17" t="n">
        <f aca="false">(M596*13+K597)/14</f>
        <v>42.7521970626622</v>
      </c>
      <c r="N597" s="17" t="n">
        <f aca="false">(N596*13+L597)/14</f>
        <v>61.3742280812712</v>
      </c>
      <c r="O597" s="17" t="n">
        <f aca="false">IF(N597=0,100,100-100/(1+M597/N597))</f>
        <v>41.0579706386405</v>
      </c>
      <c r="P597" s="17" t="n">
        <f aca="false">AVERAGE(B578:B597)+2*STDEV(B578:B597)</f>
        <v>7307.03082138102</v>
      </c>
      <c r="Q597" s="17" t="n">
        <f aca="false">AVERAGE(B578:B597)-2*STDEV(B578:B597)</f>
        <v>6686.18617861898</v>
      </c>
      <c r="R597" s="19" t="n">
        <f aca="false">B597/B577-1</f>
        <v>-0.061227827382384</v>
      </c>
      <c r="S597" s="17" t="n">
        <f aca="false">STDEV(C578:C597)*SQRT(252)*100</f>
        <v>32.4983238217821</v>
      </c>
      <c r="T597" s="19" t="n">
        <f aca="false">B576/B346-1</f>
        <v>0.12314495268239</v>
      </c>
      <c r="U597" s="19" t="n">
        <f aca="false">B597/MAX(B346:B597)-1</f>
        <v>-0.108257247218734</v>
      </c>
      <c r="V597" s="17" t="n">
        <f aca="false">(B597-AVERAGE(B578:B597))/STDEV(B578:B597)</f>
        <v>-1.06756820361909</v>
      </c>
    </row>
    <row r="598" customFormat="false" ht="15" hidden="false" customHeight="false" outlineLevel="0" collapsed="false">
      <c r="A598" s="17" t="s">
        <v>1162</v>
      </c>
      <c r="B598" s="17" t="n">
        <v>6769.87</v>
      </c>
      <c r="C598" s="19" t="n">
        <f aca="false">B598/B597-1</f>
        <v>-0.00893585188503432</v>
      </c>
      <c r="D598" s="17" t="n">
        <f aca="false">AVERAGE(B549:B598)</f>
        <v>7252.4704</v>
      </c>
      <c r="E598" s="17" t="n">
        <f aca="false">AVERAGE(B399:B598)</f>
        <v>7069.5648</v>
      </c>
      <c r="F598" s="17" t="n">
        <f aca="false">B598*2/13+F597*11/13</f>
        <v>6948.38073021723</v>
      </c>
      <c r="G598" s="17" t="n">
        <f aca="false">B598*2/27+G597*25/27</f>
        <v>7044.90819339829</v>
      </c>
      <c r="H598" s="17" t="n">
        <f aca="false">F598-G598</f>
        <v>-96.5274631810571</v>
      </c>
      <c r="I598" s="17" t="n">
        <f aca="false">H598*2/10+I597*8/10</f>
        <v>-94.7221880310088</v>
      </c>
      <c r="J598" s="17" t="n">
        <f aca="false">H598-I598</f>
        <v>-1.80527515004832</v>
      </c>
      <c r="K598" s="17" t="n">
        <f aca="false">MAX(B598-B597,0)</f>
        <v>0</v>
      </c>
      <c r="L598" s="17" t="n">
        <f aca="false">MAX(B597-B598,0)</f>
        <v>61.04</v>
      </c>
      <c r="M598" s="17" t="n">
        <f aca="false">(M597*13+K598)/14</f>
        <v>39.6984687010435</v>
      </c>
      <c r="N598" s="17" t="n">
        <f aca="false">(N597*13+L598)/14</f>
        <v>61.3503546468947</v>
      </c>
      <c r="O598" s="17" t="n">
        <f aca="false">IF(N598=0,100,100-100/(1+M598/N598))</f>
        <v>39.2864235186104</v>
      </c>
      <c r="P598" s="17" t="n">
        <f aca="false">AVERAGE(B579:B598)+2*STDEV(B579:B598)</f>
        <v>7267.33971468185</v>
      </c>
      <c r="Q598" s="17" t="n">
        <f aca="false">AVERAGE(B579:B598)-2*STDEV(B579:B598)</f>
        <v>6675.00128531815</v>
      </c>
      <c r="R598" s="19" t="n">
        <f aca="false">B598/B578-1</f>
        <v>-0.0698977692230544</v>
      </c>
      <c r="S598" s="17" t="n">
        <f aca="false">STDEV(C579:C598)*SQRT(252)*100</f>
        <v>32.5409592637006</v>
      </c>
      <c r="T598" s="19" t="n">
        <f aca="false">B577/B347-1</f>
        <v>0.162673607782231</v>
      </c>
      <c r="U598" s="19" t="n">
        <f aca="false">B598/MAX(B347:B598)-1</f>
        <v>-0.11622572837714</v>
      </c>
      <c r="V598" s="17" t="n">
        <f aca="false">(B598-AVERAGE(B579:B598))/STDEV(B579:B598)</f>
        <v>-1.35936140571694</v>
      </c>
    </row>
    <row r="599" customFormat="false" ht="15" hidden="false" customHeight="false" outlineLevel="0" collapsed="false">
      <c r="A599" s="17" t="s">
        <v>1163</v>
      </c>
      <c r="B599" s="17" t="n">
        <v>6890.45</v>
      </c>
      <c r="C599" s="19" t="n">
        <f aca="false">B599/B598-1</f>
        <v>0.0178112725945994</v>
      </c>
      <c r="D599" s="17" t="n">
        <f aca="false">AVERAGE(B550:B599)</f>
        <v>7241.216</v>
      </c>
      <c r="E599" s="17" t="n">
        <f aca="false">AVERAGE(B400:B599)</f>
        <v>7069.50955</v>
      </c>
      <c r="F599" s="17" t="n">
        <f aca="false">B599*2/13+F598*11/13</f>
        <v>6939.46831018381</v>
      </c>
      <c r="G599" s="17" t="n">
        <f aca="false">B599*2/27+G598*25/27</f>
        <v>7033.46684573915</v>
      </c>
      <c r="H599" s="17" t="n">
        <f aca="false">F599-G599</f>
        <v>-93.9985355553436</v>
      </c>
      <c r="I599" s="17" t="n">
        <f aca="false">H599*2/10+I598*8/10</f>
        <v>-94.5774575358757</v>
      </c>
      <c r="J599" s="17" t="n">
        <f aca="false">H599-I599</f>
        <v>0.578921980532186</v>
      </c>
      <c r="K599" s="17" t="n">
        <f aca="false">MAX(B599-B598,0)</f>
        <v>120.58</v>
      </c>
      <c r="L599" s="17" t="n">
        <f aca="false">MAX(B598-B599,0)</f>
        <v>0</v>
      </c>
      <c r="M599" s="17" t="n">
        <f aca="false">(M598*13+K599)/14</f>
        <v>45.4757209366832</v>
      </c>
      <c r="N599" s="17" t="n">
        <f aca="false">(N598*13+L599)/14</f>
        <v>56.9681864578308</v>
      </c>
      <c r="O599" s="17" t="n">
        <f aca="false">IF(N599=0,100,100-100/(1+M599/N599))</f>
        <v>44.3908496788932</v>
      </c>
      <c r="P599" s="17" t="n">
        <f aca="false">AVERAGE(B580:B599)+2*STDEV(B580:B599)</f>
        <v>7249.94128461723</v>
      </c>
      <c r="Q599" s="17" t="n">
        <f aca="false">AVERAGE(B580:B599)-2*STDEV(B580:B599)</f>
        <v>6669.83571538277</v>
      </c>
      <c r="R599" s="19" t="n">
        <f aca="false">B599/B579-1</f>
        <v>-0.0317084241486547</v>
      </c>
      <c r="S599" s="17" t="n">
        <f aca="false">STDEV(C580:C599)*SQRT(252)*100</f>
        <v>32.5659251896912</v>
      </c>
      <c r="T599" s="19" t="n">
        <f aca="false">B578/B348-1</f>
        <v>0.14820464605609</v>
      </c>
      <c r="U599" s="19" t="n">
        <f aca="false">B599/MAX(B348:B599)-1</f>
        <v>-0.100484583913172</v>
      </c>
      <c r="V599" s="17" t="n">
        <f aca="false">(B599-AVERAGE(B580:B599))/STDEV(B580:B599)</f>
        <v>-0.478799057844824</v>
      </c>
    </row>
    <row r="600" customFormat="false" ht="15" hidden="false" customHeight="false" outlineLevel="0" collapsed="false">
      <c r="A600" s="17" t="s">
        <v>1164</v>
      </c>
      <c r="B600" s="17" t="n">
        <v>6867.02</v>
      </c>
      <c r="C600" s="19" t="n">
        <f aca="false">B600/B599-1</f>
        <v>-0.0034003584671537</v>
      </c>
      <c r="D600" s="17" t="n">
        <f aca="false">AVERAGE(B551:B600)</f>
        <v>7229.9512</v>
      </c>
      <c r="E600" s="17" t="n">
        <f aca="false">AVERAGE(B401:B600)</f>
        <v>7070.0432</v>
      </c>
      <c r="F600" s="17" t="n">
        <f aca="false">B600*2/13+F599*11/13</f>
        <v>6928.32241630938</v>
      </c>
      <c r="G600" s="17" t="n">
        <f aca="false">B600*2/27+G599*25/27</f>
        <v>7021.13744975848</v>
      </c>
      <c r="H600" s="17" t="n">
        <f aca="false">F600-G600</f>
        <v>-92.8150334490993</v>
      </c>
      <c r="I600" s="17" t="n">
        <f aca="false">H600*2/10+I599*8/10</f>
        <v>-94.2249727185204</v>
      </c>
      <c r="J600" s="17" t="n">
        <f aca="false">H600-I600</f>
        <v>1.40993926942119</v>
      </c>
      <c r="K600" s="17" t="n">
        <f aca="false">MAX(B600-B599,0)</f>
        <v>0</v>
      </c>
      <c r="L600" s="17" t="n">
        <f aca="false">MAX(B599-B600,0)</f>
        <v>23.4299999999994</v>
      </c>
      <c r="M600" s="17" t="n">
        <f aca="false">(M599*13+K600)/14</f>
        <v>42.2274551554916</v>
      </c>
      <c r="N600" s="17" t="n">
        <f aca="false">(N599*13+L600)/14</f>
        <v>54.5726017108429</v>
      </c>
      <c r="O600" s="17" t="n">
        <f aca="false">IF(N600=0,100,100-100/(1+M600/N600))</f>
        <v>43.6233784591687</v>
      </c>
      <c r="P600" s="17" t="n">
        <f aca="false">AVERAGE(B581:B600)+2*STDEV(B581:B600)</f>
        <v>7232.07601596404</v>
      </c>
      <c r="Q600" s="17" t="n">
        <f aca="false">AVERAGE(B581:B600)-2*STDEV(B581:B600)</f>
        <v>6663.67998403596</v>
      </c>
      <c r="R600" s="19" t="n">
        <f aca="false">B600/B580-1</f>
        <v>-0.033797977552436</v>
      </c>
      <c r="S600" s="17" t="n">
        <f aca="false">STDEV(C581:C600)*SQRT(252)*100</f>
        <v>32.5734716632718</v>
      </c>
      <c r="T600" s="19" t="n">
        <f aca="false">B579/B349-1</f>
        <v>0.126942549778209</v>
      </c>
      <c r="U600" s="19" t="n">
        <f aca="false">B600/MAX(B349:B600)-1</f>
        <v>-0.103543258774598</v>
      </c>
      <c r="V600" s="17" t="n">
        <f aca="false">(B600-AVERAGE(B581:B600))/STDEV(B581:B600)</f>
        <v>-0.569025788063428</v>
      </c>
    </row>
    <row r="601" customFormat="false" ht="15" hidden="false" customHeight="false" outlineLevel="0" collapsed="false">
      <c r="A601" s="17" t="s">
        <v>1165</v>
      </c>
      <c r="B601" s="17" t="n">
        <v>6642.92</v>
      </c>
      <c r="C601" s="19" t="n">
        <f aca="false">B601/B600-1</f>
        <v>-0.0326342430923458</v>
      </c>
      <c r="D601" s="17" t="n">
        <f aca="false">AVERAGE(B552:B601)</f>
        <v>7213.856</v>
      </c>
      <c r="E601" s="17" t="n">
        <f aca="false">AVERAGE(B402:B601)</f>
        <v>7070.7782</v>
      </c>
      <c r="F601" s="17" t="n">
        <f aca="false">B601*2/13+F600*11/13</f>
        <v>6884.41435226178</v>
      </c>
      <c r="G601" s="17" t="n">
        <f aca="false">B601*2/27+G600*25/27</f>
        <v>6993.12134236896</v>
      </c>
      <c r="H601" s="17" t="n">
        <f aca="false">F601-G601</f>
        <v>-108.706990107179</v>
      </c>
      <c r="I601" s="17" t="n">
        <f aca="false">H601*2/10+I600*8/10</f>
        <v>-97.1213761962522</v>
      </c>
      <c r="J601" s="17" t="n">
        <f aca="false">H601-I601</f>
        <v>-11.5856139109269</v>
      </c>
      <c r="K601" s="17" t="n">
        <f aca="false">MAX(B601-B600,0)</f>
        <v>0</v>
      </c>
      <c r="L601" s="17" t="n">
        <f aca="false">MAX(B600-B601,0)</f>
        <v>224.1</v>
      </c>
      <c r="M601" s="17" t="n">
        <f aca="false">(M600*13+K601)/14</f>
        <v>39.2112083586707</v>
      </c>
      <c r="N601" s="17" t="n">
        <f aca="false">(N600*13+L601)/14</f>
        <v>66.6817015886398</v>
      </c>
      <c r="O601" s="17" t="n">
        <f aca="false">IF(N601=0,100,100-100/(1+M601/N601))</f>
        <v>37.0291159041537</v>
      </c>
      <c r="P601" s="17" t="n">
        <f aca="false">AVERAGE(B582:B601)+2*STDEV(B582:B601)</f>
        <v>7222.7381194288</v>
      </c>
      <c r="Q601" s="17" t="n">
        <f aca="false">AVERAGE(B582:B601)-2*STDEV(B582:B601)</f>
        <v>6623.1888805712</v>
      </c>
      <c r="R601" s="19" t="n">
        <f aca="false">B601/B581-1</f>
        <v>-0.0697766905048304</v>
      </c>
      <c r="S601" s="17" t="n">
        <f aca="false">STDEV(C582:C601)*SQRT(252)*100</f>
        <v>34.2770135605526</v>
      </c>
      <c r="T601" s="19" t="n">
        <f aca="false">B580/B350-1</f>
        <v>0.126592070202469</v>
      </c>
      <c r="U601" s="19" t="n">
        <f aca="false">B601/MAX(B350:B601)-1</f>
        <v>-0.13279844598952</v>
      </c>
      <c r="V601" s="17" t="n">
        <f aca="false">(B601-AVERAGE(B582:B601))/STDEV(B582:B601)</f>
        <v>-1.868360307044</v>
      </c>
    </row>
    <row r="602" customFormat="false" ht="15" hidden="false" customHeight="false" outlineLevel="0" collapsed="false">
      <c r="A602" s="17" t="s">
        <v>1166</v>
      </c>
      <c r="B602" s="17" t="n">
        <v>6526.96</v>
      </c>
      <c r="C602" s="19" t="n">
        <f aca="false">B602/B601-1</f>
        <v>-0.0174561789092749</v>
      </c>
      <c r="D602" s="17" t="n">
        <f aca="false">AVERAGE(B553:B602)</f>
        <v>7194.2378</v>
      </c>
      <c r="E602" s="17" t="n">
        <f aca="false">AVERAGE(B403:B602)</f>
        <v>7070.0831</v>
      </c>
      <c r="F602" s="17" t="n">
        <f aca="false">B602*2/13+F601*11/13</f>
        <v>6829.42137499074</v>
      </c>
      <c r="G602" s="17" t="n">
        <f aca="false">B602*2/27+G601*25/27</f>
        <v>6958.59087256385</v>
      </c>
      <c r="H602" s="17" t="n">
        <f aca="false">F602-G602</f>
        <v>-129.169497573113</v>
      </c>
      <c r="I602" s="17" t="n">
        <f aca="false">H602*2/10+I601*8/10</f>
        <v>-103.531000471624</v>
      </c>
      <c r="J602" s="17" t="n">
        <f aca="false">H602-I602</f>
        <v>-25.6384971014883</v>
      </c>
      <c r="K602" s="17" t="n">
        <f aca="false">MAX(B602-B601,0)</f>
        <v>0</v>
      </c>
      <c r="L602" s="17" t="n">
        <f aca="false">MAX(B601-B602,0)</f>
        <v>115.96</v>
      </c>
      <c r="M602" s="17" t="n">
        <f aca="false">(M601*13+K602)/14</f>
        <v>36.4104077616228</v>
      </c>
      <c r="N602" s="17" t="n">
        <f aca="false">(N601*13+L602)/14</f>
        <v>70.2015800465941</v>
      </c>
      <c r="O602" s="17" t="n">
        <f aca="false">IF(N602=0,100,100-100/(1+M602/N602))</f>
        <v>34.1522642154662</v>
      </c>
      <c r="P602" s="17" t="n">
        <f aca="false">AVERAGE(B583:B602)+2*STDEV(B583:B602)</f>
        <v>7226.74033119062</v>
      </c>
      <c r="Q602" s="17" t="n">
        <f aca="false">AVERAGE(B583:B602)-2*STDEV(B583:B602)</f>
        <v>6560.01566880938</v>
      </c>
      <c r="R602" s="19" t="n">
        <f aca="false">B602/B582-1</f>
        <v>-0.083120863869234</v>
      </c>
      <c r="S602" s="17" t="n">
        <f aca="false">STDEV(C583:C602)*SQRT(252)*100</f>
        <v>34.6381553265172</v>
      </c>
      <c r="T602" s="19" t="n">
        <f aca="false">B581/B351-1</f>
        <v>0.119552317660689</v>
      </c>
      <c r="U602" s="19" t="n">
        <f aca="false">B602/MAX(B351:B602)-1</f>
        <v>-0.147936471466728</v>
      </c>
      <c r="V602" s="17" t="n">
        <f aca="false">(B602-AVERAGE(B583:B602))/STDEV(B583:B602)</f>
        <v>-2.19831676057294</v>
      </c>
    </row>
    <row r="603" customFormat="false" ht="15" hidden="false" customHeight="false" outlineLevel="0" collapsed="false">
      <c r="A603" s="17" t="s">
        <v>1167</v>
      </c>
      <c r="B603" s="17" t="n">
        <v>6575.66</v>
      </c>
      <c r="C603" s="19" t="n">
        <f aca="false">B603/B602-1</f>
        <v>0.00746136026572852</v>
      </c>
      <c r="D603" s="17" t="n">
        <f aca="false">AVERAGE(B554:B603)</f>
        <v>7175.9898</v>
      </c>
      <c r="E603" s="17" t="n">
        <f aca="false">AVERAGE(B404:B603)</f>
        <v>7070.0513</v>
      </c>
      <c r="F603" s="17" t="n">
        <f aca="false">B603*2/13+F602*11/13</f>
        <v>6790.3811634537</v>
      </c>
      <c r="G603" s="17" t="n">
        <f aca="false">B603*2/27+G602*25/27</f>
        <v>6930.22562274431</v>
      </c>
      <c r="H603" s="17" t="n">
        <f aca="false">F603-G603</f>
        <v>-139.844459290605</v>
      </c>
      <c r="I603" s="17" t="n">
        <f aca="false">H603*2/10+I602*8/10</f>
        <v>-110.79369223542</v>
      </c>
      <c r="J603" s="17" t="n">
        <f aca="false">H603-I603</f>
        <v>-29.0507670551849</v>
      </c>
      <c r="K603" s="17" t="n">
        <f aca="false">MAX(B603-B602,0)</f>
        <v>48.6999999999998</v>
      </c>
      <c r="L603" s="17" t="n">
        <f aca="false">MAX(B602-B603,0)</f>
        <v>0</v>
      </c>
      <c r="M603" s="17" t="n">
        <f aca="false">(M602*13+K603)/14</f>
        <v>37.2882357786497</v>
      </c>
      <c r="N603" s="17" t="n">
        <f aca="false">(N602*13+L603)/14</f>
        <v>65.1871814718374</v>
      </c>
      <c r="O603" s="17" t="n">
        <f aca="false">IF(N603=0,100,100-100/(1+M603/N603))</f>
        <v>36.3874934878321</v>
      </c>
      <c r="P603" s="17" t="n">
        <f aca="false">AVERAGE(B584:B603)+2*STDEV(B584:B603)</f>
        <v>7242.7245405708</v>
      </c>
      <c r="Q603" s="17" t="n">
        <f aca="false">AVERAGE(B584:B603)-2*STDEV(B584:B603)</f>
        <v>6522.6824594292</v>
      </c>
      <c r="R603" s="19" t="n">
        <f aca="false">B603/B583-1</f>
        <v>-0.031445762724347</v>
      </c>
      <c r="S603" s="17" t="n">
        <f aca="false">STDEV(C584:C603)*SQRT(252)*100</f>
        <v>31.0214101589378</v>
      </c>
      <c r="T603" s="19" t="n">
        <f aca="false">B582/B352-1</f>
        <v>0.114709714192655</v>
      </c>
      <c r="U603" s="19" t="n">
        <f aca="false">B603/MAX(B352:B603)-1</f>
        <v>-0.141578918511053</v>
      </c>
      <c r="V603" s="17" t="n">
        <f aca="false">(B603-AVERAGE(B584:B603))/STDEV(B584:B603)</f>
        <v>-1.70569753097314</v>
      </c>
    </row>
    <row r="604" customFormat="false" ht="15" hidden="false" customHeight="false" outlineLevel="0" collapsed="false">
      <c r="A604" s="17" t="s">
        <v>1168</v>
      </c>
      <c r="B604" s="17" t="n">
        <v>6527.35</v>
      </c>
      <c r="C604" s="19" t="n">
        <f aca="false">B604/B603-1</f>
        <v>-0.00734679104454905</v>
      </c>
      <c r="D604" s="17" t="n">
        <f aca="false">AVERAGE(B555:B604)</f>
        <v>7155.303</v>
      </c>
      <c r="E604" s="17" t="n">
        <f aca="false">AVERAGE(B405:B604)</f>
        <v>7071.15755</v>
      </c>
      <c r="F604" s="17" t="n">
        <f aca="false">B604*2/13+F603*11/13</f>
        <v>6749.91483061467</v>
      </c>
      <c r="G604" s="17" t="n">
        <f aca="false">B604*2/27+G603*25/27</f>
        <v>6900.3829840225</v>
      </c>
      <c r="H604" s="17" t="n">
        <f aca="false">F604-G604</f>
        <v>-150.468153407835</v>
      </c>
      <c r="I604" s="17" t="n">
        <f aca="false">H604*2/10+I603*8/10</f>
        <v>-118.728584469903</v>
      </c>
      <c r="J604" s="17" t="n">
        <f aca="false">H604-I604</f>
        <v>-31.739568937932</v>
      </c>
      <c r="K604" s="17" t="n">
        <f aca="false">MAX(B604-B603,0)</f>
        <v>0</v>
      </c>
      <c r="L604" s="17" t="n">
        <f aca="false">MAX(B603-B604,0)</f>
        <v>48.3099999999995</v>
      </c>
      <c r="M604" s="17" t="n">
        <f aca="false">(M603*13+K604)/14</f>
        <v>34.6247903658891</v>
      </c>
      <c r="N604" s="17" t="n">
        <f aca="false">(N603*13+L604)/14</f>
        <v>63.9816685095633</v>
      </c>
      <c r="O604" s="17" t="n">
        <f aca="false">IF(N604=0,100,100-100/(1+M604/N604))</f>
        <v>35.1141200695817</v>
      </c>
      <c r="P604" s="17" t="n">
        <f aca="false">AVERAGE(B585:B604)+2*STDEV(B585:B604)</f>
        <v>7245.44599334248</v>
      </c>
      <c r="Q604" s="17" t="n">
        <f aca="false">AVERAGE(B585:B604)-2*STDEV(B585:B604)</f>
        <v>6471.05700665752</v>
      </c>
      <c r="R604" s="19" t="n">
        <f aca="false">B604/B584-1</f>
        <v>-0.0696996603666558</v>
      </c>
      <c r="S604" s="17" t="n">
        <f aca="false">STDEV(C585:C604)*SQRT(252)*100</f>
        <v>28.1873805041583</v>
      </c>
      <c r="T604" s="19" t="n">
        <f aca="false">B583/B353-1</f>
        <v>0.0592670951072583</v>
      </c>
      <c r="U604" s="19" t="n">
        <f aca="false">B604/MAX(B353:B604)-1</f>
        <v>-0.147885558824988</v>
      </c>
      <c r="V604" s="17" t="n">
        <f aca="false">(B604-AVERAGE(B585:B604))/STDEV(B585:B604)</f>
        <v>-1.70922627098064</v>
      </c>
    </row>
    <row r="605" customFormat="false" ht="15" hidden="false" customHeight="false" outlineLevel="0" collapsed="false">
      <c r="A605" s="17" t="s">
        <v>1169</v>
      </c>
      <c r="B605" s="17" t="n">
        <v>6678.34</v>
      </c>
      <c r="C605" s="19" t="n">
        <f aca="false">B605/B604-1</f>
        <v>0.0231318988563505</v>
      </c>
      <c r="D605" s="17" t="n">
        <f aca="false">AVERAGE(B556:B605)</f>
        <v>7137.9598</v>
      </c>
      <c r="E605" s="17" t="n">
        <f aca="false">AVERAGE(B406:B605)</f>
        <v>7072.48585</v>
      </c>
      <c r="F605" s="17" t="n">
        <f aca="false">B605*2/13+F604*11/13</f>
        <v>6738.90331821241</v>
      </c>
      <c r="G605" s="17" t="n">
        <f aca="false">B605*2/27+G604*25/27</f>
        <v>6883.93535557639</v>
      </c>
      <c r="H605" s="17" t="n">
        <f aca="false">F605-G605</f>
        <v>-145.032037363981</v>
      </c>
      <c r="I605" s="17" t="n">
        <f aca="false">H605*2/10+I604*8/10</f>
        <v>-123.989275048719</v>
      </c>
      <c r="J605" s="17" t="n">
        <f aca="false">H605-I605</f>
        <v>-21.0427623152618</v>
      </c>
      <c r="K605" s="17" t="n">
        <f aca="false">MAX(B605-B604,0)</f>
        <v>150.99</v>
      </c>
      <c r="L605" s="17" t="n">
        <f aca="false">MAX(B604-B605,0)</f>
        <v>0</v>
      </c>
      <c r="M605" s="17" t="n">
        <f aca="false">(M604*13+K605)/14</f>
        <v>42.9365910540398</v>
      </c>
      <c r="N605" s="17" t="n">
        <f aca="false">(N604*13+L605)/14</f>
        <v>59.4115493303087</v>
      </c>
      <c r="O605" s="17" t="n">
        <f aca="false">IF(N605=0,100,100-100/(1+M605/N605))</f>
        <v>41.9515106896909</v>
      </c>
      <c r="P605" s="17" t="n">
        <f aca="false">AVERAGE(B586:B605)+2*STDEV(B586:B605)</f>
        <v>7245.03275959895</v>
      </c>
      <c r="Q605" s="17" t="n">
        <f aca="false">AVERAGE(B586:B605)-2*STDEV(B586:B605)</f>
        <v>6454.06424040105</v>
      </c>
      <c r="R605" s="19" t="n">
        <f aca="false">B605/B585-1</f>
        <v>-0.0254013192458116</v>
      </c>
      <c r="S605" s="17" t="n">
        <f aca="false">STDEV(C586:C605)*SQRT(252)*100</f>
        <v>28.6589339924408</v>
      </c>
      <c r="T605" s="19" t="n">
        <f aca="false">B584/B354-1</f>
        <v>0.0952892380076711</v>
      </c>
      <c r="U605" s="19" t="n">
        <f aca="false">B605/MAX(B354:B605)-1</f>
        <v>-0.128174533757692</v>
      </c>
      <c r="V605" s="17" t="n">
        <f aca="false">(B605-AVERAGE(B586:B605))/STDEV(B586:B605)</f>
        <v>-0.865817012154261</v>
      </c>
    </row>
    <row r="606" customFormat="false" ht="15" hidden="false" customHeight="false" outlineLevel="0" collapsed="false">
      <c r="A606" s="17" t="s">
        <v>1170</v>
      </c>
      <c r="B606" s="17" t="n">
        <v>6701.04</v>
      </c>
      <c r="C606" s="19" t="n">
        <f aca="false">B606/B605-1</f>
        <v>0.00339904826648541</v>
      </c>
      <c r="D606" s="17" t="n">
        <f aca="false">AVERAGE(B557:B606)</f>
        <v>7123.286</v>
      </c>
      <c r="E606" s="17" t="n">
        <f aca="false">AVERAGE(B407:B606)</f>
        <v>7073.3718</v>
      </c>
      <c r="F606" s="17" t="n">
        <f aca="false">B606*2/13+F605*11/13</f>
        <v>6733.07819233358</v>
      </c>
      <c r="G606" s="17" t="n">
        <f aca="false">B606*2/27+G605*25/27</f>
        <v>6870.38755145962</v>
      </c>
      <c r="H606" s="17" t="n">
        <f aca="false">F606-G606</f>
        <v>-137.309359126044</v>
      </c>
      <c r="I606" s="17" t="n">
        <f aca="false">H606*2/10+I605*8/10</f>
        <v>-126.653291864184</v>
      </c>
      <c r="J606" s="17" t="n">
        <f aca="false">H606-I606</f>
        <v>-10.6560672618601</v>
      </c>
      <c r="K606" s="17" t="n">
        <f aca="false">MAX(B606-B605,0)</f>
        <v>22.6999999999998</v>
      </c>
      <c r="L606" s="17" t="n">
        <f aca="false">MAX(B605-B606,0)</f>
        <v>0</v>
      </c>
      <c r="M606" s="17" t="n">
        <f aca="false">(M605*13+K606)/14</f>
        <v>41.4911202644655</v>
      </c>
      <c r="N606" s="17" t="n">
        <f aca="false">(N605*13+L606)/14</f>
        <v>55.1678672352867</v>
      </c>
      <c r="O606" s="17" t="n">
        <f aca="false">IF(N606=0,100,100-100/(1+M606/N606))</f>
        <v>42.9252585172919</v>
      </c>
      <c r="P606" s="17" t="n">
        <f aca="false">AVERAGE(B587:B606)+2*STDEV(B587:B606)</f>
        <v>7245.35899845985</v>
      </c>
      <c r="Q606" s="17" t="n">
        <f aca="false">AVERAGE(B587:B606)-2*STDEV(B587:B606)</f>
        <v>6452.45200154015</v>
      </c>
      <c r="R606" s="19" t="n">
        <f aca="false">B606/B586-1</f>
        <v>-0.00191542918422971</v>
      </c>
      <c r="S606" s="17" t="n">
        <f aca="false">STDEV(C587:C606)*SQRT(252)*100</f>
        <v>27.7861235247815</v>
      </c>
      <c r="T606" s="19" t="n">
        <f aca="false">B585/B355-1</f>
        <v>0.0669265837921327</v>
      </c>
      <c r="U606" s="19" t="n">
        <f aca="false">B606/MAX(B355:B606)-1</f>
        <v>-0.125211156917984</v>
      </c>
      <c r="V606" s="17" t="n">
        <f aca="false">(B606-AVERAGE(B587:B606))/STDEV(B587:B606)</f>
        <v>-0.745941204072771</v>
      </c>
    </row>
    <row r="607" customFormat="false" ht="15" hidden="false" customHeight="false" outlineLevel="0" collapsed="false">
      <c r="A607" s="17" t="s">
        <v>1171</v>
      </c>
      <c r="B607" s="17" t="n">
        <v>6913.33</v>
      </c>
      <c r="C607" s="19" t="n">
        <f aca="false">B607/B606-1</f>
        <v>0.0316801571099412</v>
      </c>
      <c r="D607" s="17" t="n">
        <f aca="false">AVERAGE(B558:B607)</f>
        <v>7111.6646</v>
      </c>
      <c r="E607" s="17" t="n">
        <f aca="false">AVERAGE(B408:B607)</f>
        <v>7075.16915</v>
      </c>
      <c r="F607" s="17" t="n">
        <f aca="false">B607*2/13+F606*11/13</f>
        <v>6760.80923966687</v>
      </c>
      <c r="G607" s="17" t="n">
        <f aca="false">B607*2/27+G606*25/27</f>
        <v>6873.56847357372</v>
      </c>
      <c r="H607" s="17" t="n">
        <f aca="false">F607-G607</f>
        <v>-112.75923390685</v>
      </c>
      <c r="I607" s="17" t="n">
        <f aca="false">H607*2/10+I606*8/10</f>
        <v>-123.874480272717</v>
      </c>
      <c r="J607" s="17" t="n">
        <f aca="false">H607-I607</f>
        <v>11.1152463658674</v>
      </c>
      <c r="K607" s="17" t="n">
        <f aca="false">MAX(B607-B606,0)</f>
        <v>212.29</v>
      </c>
      <c r="L607" s="17" t="n">
        <f aca="false">MAX(B606-B607,0)</f>
        <v>0</v>
      </c>
      <c r="M607" s="17" t="n">
        <f aca="false">(M606*13+K607)/14</f>
        <v>53.6910402455751</v>
      </c>
      <c r="N607" s="17" t="n">
        <f aca="false">(N606*13+L607)/14</f>
        <v>51.2273052899091</v>
      </c>
      <c r="O607" s="17" t="n">
        <f aca="false">IF(N607=0,100,100-100/(1+M607/N607))</f>
        <v>51.1741201898922</v>
      </c>
      <c r="P607" s="17" t="n">
        <f aca="false">AVERAGE(B588:B607)+2*STDEV(B588:B607)</f>
        <v>7251.08028426642</v>
      </c>
      <c r="Q607" s="17" t="n">
        <f aca="false">AVERAGE(B588:B607)-2*STDEV(B588:B607)</f>
        <v>6457.05171573358</v>
      </c>
      <c r="R607" s="19" t="n">
        <f aca="false">B607/B587-1</f>
        <v>0.0151553863955407</v>
      </c>
      <c r="S607" s="17" t="n">
        <f aca="false">STDEV(C588:C607)*SQRT(252)*100</f>
        <v>29.592485602806</v>
      </c>
      <c r="T607" s="19" t="n">
        <f aca="false">B586/B356-1</f>
        <v>0.0637768602112374</v>
      </c>
      <c r="U607" s="19" t="n">
        <f aca="false">B607/MAX(B356:B607)-1</f>
        <v>-0.0974977089311218</v>
      </c>
      <c r="V607" s="17" t="n">
        <f aca="false">(B607-AVERAGE(B588:B607))/STDEV(B588:B607)</f>
        <v>0.298548452026121</v>
      </c>
    </row>
    <row r="608" customFormat="false" ht="15" hidden="false" customHeight="false" outlineLevel="0" collapsed="false">
      <c r="A608" s="17" t="s">
        <v>1172</v>
      </c>
      <c r="B608" s="17" t="n">
        <v>6892.4</v>
      </c>
      <c r="C608" s="19" t="n">
        <f aca="false">B608/B607-1</f>
        <v>-0.00302748458412949</v>
      </c>
      <c r="D608" s="17" t="n">
        <f aca="false">AVERAGE(B559:B608)</f>
        <v>7099.7062</v>
      </c>
      <c r="E608" s="17" t="n">
        <f aca="false">AVERAGE(B409:B608)</f>
        <v>7076.256</v>
      </c>
      <c r="F608" s="17" t="n">
        <f aca="false">B608*2/13+F607*11/13</f>
        <v>6781.05397202582</v>
      </c>
      <c r="G608" s="17" t="n">
        <f aca="false">B608*2/27+G607*25/27</f>
        <v>6874.96340145715</v>
      </c>
      <c r="H608" s="17" t="n">
        <f aca="false">F608-G608</f>
        <v>-93.9094294313354</v>
      </c>
      <c r="I608" s="17" t="n">
        <f aca="false">H608*2/10+I607*8/10</f>
        <v>-117.881470104441</v>
      </c>
      <c r="J608" s="17" t="n">
        <f aca="false">H608-I608</f>
        <v>23.9720406731053</v>
      </c>
      <c r="K608" s="17" t="n">
        <f aca="false">MAX(B608-B607,0)</f>
        <v>0</v>
      </c>
      <c r="L608" s="17" t="n">
        <f aca="false">MAX(B607-B608,0)</f>
        <v>20.9300000000003</v>
      </c>
      <c r="M608" s="17" t="n">
        <f aca="false">(M607*13+K608)/14</f>
        <v>49.8559659423198</v>
      </c>
      <c r="N608" s="17" t="n">
        <f aca="false">(N607*13+L608)/14</f>
        <v>49.0632120549156</v>
      </c>
      <c r="O608" s="17" t="n">
        <f aca="false">IF(N608=0,100,100-100/(1+M608/N608))</f>
        <v>50.4007078826648</v>
      </c>
      <c r="P608" s="17" t="n">
        <f aca="false">AVERAGE(B589:B608)+2*STDEV(B589:B608)</f>
        <v>7244.2613785616</v>
      </c>
      <c r="Q608" s="17" t="n">
        <f aca="false">AVERAGE(B589:B608)-2*STDEV(B589:B608)</f>
        <v>6456.4006214384</v>
      </c>
      <c r="R608" s="19" t="n">
        <f aca="false">B608/B588-1</f>
        <v>-0.0107218211307432</v>
      </c>
      <c r="S608" s="17" t="n">
        <f aca="false">STDEV(C589:C608)*SQRT(252)*100</f>
        <v>28.430493100369</v>
      </c>
      <c r="T608" s="19" t="n">
        <f aca="false">B587/B357-1</f>
        <v>0.0698383174457549</v>
      </c>
      <c r="U608" s="19" t="n">
        <f aca="false">B608/MAX(B357:B608)-1</f>
        <v>-0.100230020704474</v>
      </c>
      <c r="V608" s="17" t="n">
        <f aca="false">(B608-AVERAGE(B589:B608))/STDEV(B589:B608)</f>
        <v>0.213585964878417</v>
      </c>
    </row>
    <row r="609" customFormat="false" ht="15" hidden="false" customHeight="false" outlineLevel="0" collapsed="false">
      <c r="A609" s="17" t="s">
        <v>1173</v>
      </c>
      <c r="B609" s="17" t="n">
        <v>6949.01</v>
      </c>
      <c r="C609" s="19" t="n">
        <f aca="false">B609/B608-1</f>
        <v>0.00821339446346703</v>
      </c>
      <c r="D609" s="17" t="n">
        <f aca="false">AVERAGE(B560:B609)</f>
        <v>7087.3058</v>
      </c>
      <c r="E609" s="17" t="n">
        <f aca="false">AVERAGE(B410:B609)</f>
        <v>7077.02645</v>
      </c>
      <c r="F609" s="17" t="n">
        <f aca="false">B609*2/13+F608*11/13</f>
        <v>6806.89336094492</v>
      </c>
      <c r="G609" s="17" t="n">
        <f aca="false">B609*2/27+G608*25/27</f>
        <v>6880.44833468255</v>
      </c>
      <c r="H609" s="17" t="n">
        <f aca="false">F609-G609</f>
        <v>-73.554973737625</v>
      </c>
      <c r="I609" s="17" t="n">
        <f aca="false">H609*2/10+I608*8/10</f>
        <v>-109.016170831078</v>
      </c>
      <c r="J609" s="17" t="n">
        <f aca="false">H609-I609</f>
        <v>35.4611970934526</v>
      </c>
      <c r="K609" s="17" t="n">
        <f aca="false">MAX(B609-B608,0)</f>
        <v>56.6100000000006</v>
      </c>
      <c r="L609" s="17" t="n">
        <f aca="false">MAX(B608-B609,0)</f>
        <v>0</v>
      </c>
      <c r="M609" s="17" t="n">
        <f aca="false">(M608*13+K609)/14</f>
        <v>50.3383969464398</v>
      </c>
      <c r="N609" s="17" t="n">
        <f aca="false">(N608*13+L609)/14</f>
        <v>45.5586969081359</v>
      </c>
      <c r="O609" s="17" t="n">
        <f aca="false">IF(N609=0,100,100-100/(1+M609/N609))</f>
        <v>52.4920984808738</v>
      </c>
      <c r="P609" s="17" t="n">
        <f aca="false">AVERAGE(B590:B609)+2*STDEV(B590:B609)</f>
        <v>7227.72482187196</v>
      </c>
      <c r="Q609" s="17" t="n">
        <f aca="false">AVERAGE(B590:B609)-2*STDEV(B590:B609)</f>
        <v>6460.92117812804</v>
      </c>
      <c r="R609" s="19" t="n">
        <f aca="false">B609/B589-1</f>
        <v>-0.0169977522113628</v>
      </c>
      <c r="S609" s="17" t="n">
        <f aca="false">STDEV(C590:C609)*SQRT(252)*100</f>
        <v>28.068461322129</v>
      </c>
      <c r="T609" s="19" t="n">
        <f aca="false">B588/B358-1</f>
        <v>0.0992809887233408</v>
      </c>
      <c r="U609" s="19" t="n">
        <f aca="false">B609/MAX(B358:B609)-1</f>
        <v>-0.0928398549381346</v>
      </c>
      <c r="V609" s="17" t="n">
        <f aca="false">(B609-AVERAGE(B590:B609))/STDEV(B590:B609)</f>
        <v>0.546095474919065</v>
      </c>
    </row>
    <row r="610" customFormat="false" ht="15" hidden="false" customHeight="false" outlineLevel="0" collapsed="false">
      <c r="A610" s="17" t="s">
        <v>1174</v>
      </c>
      <c r="B610" s="17" t="n">
        <v>7062.13</v>
      </c>
      <c r="C610" s="19" t="n">
        <f aca="false">B610/B609-1</f>
        <v>0.0162785778118033</v>
      </c>
      <c r="D610" s="17" t="n">
        <f aca="false">AVERAGE(B561:B610)</f>
        <v>7077.927</v>
      </c>
      <c r="E610" s="17" t="n">
        <f aca="false">AVERAGE(B411:B610)</f>
        <v>7078.4838</v>
      </c>
      <c r="F610" s="17" t="n">
        <f aca="false">B610*2/13+F609*11/13</f>
        <v>6846.16053618417</v>
      </c>
      <c r="G610" s="17" t="n">
        <f aca="false">B610*2/27+G609*25/27</f>
        <v>6893.90623581717</v>
      </c>
      <c r="H610" s="17" t="n">
        <f aca="false">F610-G610</f>
        <v>-47.7456996330084</v>
      </c>
      <c r="I610" s="17" t="n">
        <f aca="false">H610*2/10+I609*8/10</f>
        <v>-96.7620765914637</v>
      </c>
      <c r="J610" s="17" t="n">
        <f aca="false">H610-I610</f>
        <v>49.0163769584554</v>
      </c>
      <c r="K610" s="17" t="n">
        <f aca="false">MAX(B610-B609,0)</f>
        <v>113.12</v>
      </c>
      <c r="L610" s="17" t="n">
        <f aca="false">MAX(B609-B610,0)</f>
        <v>0</v>
      </c>
      <c r="M610" s="17" t="n">
        <f aca="false">(M609*13+K610)/14</f>
        <v>54.8227971645513</v>
      </c>
      <c r="N610" s="17" t="n">
        <f aca="false">(N609*13+L610)/14</f>
        <v>42.3045042718405</v>
      </c>
      <c r="O610" s="17" t="n">
        <f aca="false">IF(N610=0,100,100-100/(1+M610/N610))</f>
        <v>56.4442709246426</v>
      </c>
      <c r="P610" s="17" t="n">
        <f aca="false">AVERAGE(B591:B610)+2*STDEV(B591:B610)</f>
        <v>7241.34474415606</v>
      </c>
      <c r="Q610" s="17" t="n">
        <f aca="false">AVERAGE(B591:B610)-2*STDEV(B591:B610)</f>
        <v>6456.98525584394</v>
      </c>
      <c r="R610" s="19" t="n">
        <f aca="false">B610/B590-1</f>
        <v>0.0139032258527643</v>
      </c>
      <c r="S610" s="17" t="n">
        <f aca="false">STDEV(C591:C610)*SQRT(252)*100</f>
        <v>28.1745186961953</v>
      </c>
      <c r="T610" s="19" t="n">
        <f aca="false">B589/B359-1</f>
        <v>0.128593323435031</v>
      </c>
      <c r="U610" s="19" t="n">
        <f aca="false">B610/MAX(B359:B610)-1</f>
        <v>-0.0780725779289782</v>
      </c>
      <c r="V610" s="17" t="n">
        <f aca="false">(B610-AVERAGE(B591:B610))/STDEV(B591:B610)</f>
        <v>1.08605813111681</v>
      </c>
    </row>
    <row r="611" customFormat="false" ht="15" hidden="false" customHeight="false" outlineLevel="0" collapsed="false">
      <c r="A611" s="17" t="s">
        <v>1175</v>
      </c>
      <c r="B611" s="17" t="n">
        <v>6795.21</v>
      </c>
      <c r="C611" s="19" t="n">
        <f aca="false">B611/B610-1</f>
        <v>-0.0377959624079421</v>
      </c>
      <c r="D611" s="17" t="n">
        <f aca="false">AVERAGE(B562:B611)</f>
        <v>7062.8562</v>
      </c>
      <c r="E611" s="17" t="n">
        <f aca="false">AVERAGE(B412:B611)</f>
        <v>7078.5614</v>
      </c>
      <c r="F611" s="17" t="n">
        <f aca="false">B611*2/13+F610*11/13</f>
        <v>6838.32199215583</v>
      </c>
      <c r="G611" s="17" t="n">
        <f aca="false">B611*2/27+G610*25/27</f>
        <v>6886.59540353442</v>
      </c>
      <c r="H611" s="17" t="n">
        <f aca="false">F611-G611</f>
        <v>-48.2734113785873</v>
      </c>
      <c r="I611" s="17" t="n">
        <f aca="false">H611*2/10+I610*8/10</f>
        <v>-87.0643435488885</v>
      </c>
      <c r="J611" s="17" t="n">
        <f aca="false">H611-I611</f>
        <v>38.7909321703012</v>
      </c>
      <c r="K611" s="17" t="n">
        <f aca="false">MAX(B611-B610,0)</f>
        <v>0</v>
      </c>
      <c r="L611" s="17" t="n">
        <f aca="false">MAX(B610-B611,0)</f>
        <v>266.92</v>
      </c>
      <c r="M611" s="17" t="n">
        <f aca="false">(M610*13+K611)/14</f>
        <v>50.906883081369</v>
      </c>
      <c r="N611" s="17" t="n">
        <f aca="false">(N610*13+L611)/14</f>
        <v>58.3484682524233</v>
      </c>
      <c r="O611" s="17" t="n">
        <f aca="false">IF(N611=0,100,100-100/(1+M611/N611))</f>
        <v>46.5944070106374</v>
      </c>
      <c r="P611" s="17" t="n">
        <f aca="false">AVERAGE(B592:B611)+2*STDEV(B592:B611)</f>
        <v>7232.68384113422</v>
      </c>
      <c r="Q611" s="17" t="n">
        <f aca="false">AVERAGE(B592:B611)-2*STDEV(B592:B611)</f>
        <v>6451.45815886578</v>
      </c>
      <c r="R611" s="19" t="n">
        <f aca="false">B611/B591-1</f>
        <v>-0.020452379888397</v>
      </c>
      <c r="S611" s="17" t="n">
        <f aca="false">STDEV(C592:C611)*SQRT(252)*100</f>
        <v>31.321992874093</v>
      </c>
      <c r="T611" s="19" t="n">
        <f aca="false">B590/B360-1</f>
        <v>0.111758612378713</v>
      </c>
      <c r="U611" s="19" t="n">
        <f aca="false">B611/MAX(B360:B611)-1</f>
        <v>-0.112917712116426</v>
      </c>
      <c r="V611" s="17" t="n">
        <f aca="false">(B611-AVERAGE(B592:B611))/STDEV(B592:B611)</f>
        <v>-0.239935788408445</v>
      </c>
    </row>
    <row r="612" customFormat="false" ht="15" hidden="false" customHeight="false" outlineLevel="0" collapsed="false">
      <c r="A612" s="17" t="s">
        <v>1176</v>
      </c>
      <c r="B612" s="17" t="n">
        <v>6838.85</v>
      </c>
      <c r="C612" s="19" t="n">
        <f aca="false">B612/B611-1</f>
        <v>0.0064221709115686</v>
      </c>
      <c r="D612" s="17" t="n">
        <f aca="false">AVERAGE(B563:B612)</f>
        <v>7048.3694</v>
      </c>
      <c r="E612" s="17" t="n">
        <f aca="false">AVERAGE(B413:B612)</f>
        <v>7078.95935</v>
      </c>
      <c r="F612" s="17" t="n">
        <f aca="false">B612*2/13+F611*11/13</f>
        <v>6838.40322413186</v>
      </c>
      <c r="G612" s="17" t="n">
        <f aca="false">B612*2/27+G611*25/27</f>
        <v>6883.05870697632</v>
      </c>
      <c r="H612" s="17" t="n">
        <f aca="false">F612-G612</f>
        <v>-44.6554828444569</v>
      </c>
      <c r="I612" s="17" t="n">
        <f aca="false">H612*2/10+I611*8/10</f>
        <v>-78.5825714080021</v>
      </c>
      <c r="J612" s="17" t="n">
        <f aca="false">H612-I612</f>
        <v>33.9270885635453</v>
      </c>
      <c r="K612" s="17" t="n">
        <f aca="false">MAX(B612-B611,0)</f>
        <v>43.6400000000003</v>
      </c>
      <c r="L612" s="17" t="n">
        <f aca="false">MAX(B611-B612,0)</f>
        <v>0</v>
      </c>
      <c r="M612" s="17" t="n">
        <f aca="false">(M611*13+K612)/14</f>
        <v>50.3878200041284</v>
      </c>
      <c r="N612" s="17" t="n">
        <f aca="false">(N611*13+L612)/14</f>
        <v>54.1807205201074</v>
      </c>
      <c r="O612" s="17" t="n">
        <f aca="false">IF(N612=0,100,100-100/(1+M612/N612))</f>
        <v>48.1864045835564</v>
      </c>
      <c r="P612" s="17" t="n">
        <f aca="false">AVERAGE(B593:B612)+2*STDEV(B593:B612)</f>
        <v>7219.0292409409</v>
      </c>
      <c r="Q612" s="17" t="n">
        <f aca="false">AVERAGE(B593:B612)-2*STDEV(B593:B612)</f>
        <v>6450.1127590591</v>
      </c>
      <c r="R612" s="19" t="n">
        <f aca="false">B612/B592-1</f>
        <v>-0.0214627585368122</v>
      </c>
      <c r="S612" s="17" t="n">
        <f aca="false">STDEV(C593:C612)*SQRT(252)*100</f>
        <v>31.28758594805</v>
      </c>
      <c r="T612" s="19" t="n">
        <f aca="false">B591/B361-1</f>
        <v>0.102341471941269</v>
      </c>
      <c r="U612" s="19" t="n">
        <f aca="false">B612/MAX(B361:B612)-1</f>
        <v>-0.107220718051012</v>
      </c>
      <c r="V612" s="17" t="n">
        <f aca="false">(B612-AVERAGE(B593:B612))/STDEV(B593:B612)</f>
        <v>0.0222598948043221</v>
      </c>
    </row>
    <row r="613" customFormat="false" ht="15" hidden="false" customHeight="false" outlineLevel="0" collapsed="false">
      <c r="A613" s="17" t="s">
        <v>1177</v>
      </c>
      <c r="B613" s="17" t="n">
        <v>6613.28</v>
      </c>
      <c r="C613" s="19" t="n">
        <f aca="false">B613/B612-1</f>
        <v>-0.0329836156663768</v>
      </c>
      <c r="D613" s="17" t="n">
        <f aca="false">AVERAGE(B564:B613)</f>
        <v>7029.3732</v>
      </c>
      <c r="E613" s="17" t="n">
        <f aca="false">AVERAGE(B414:B613)</f>
        <v>7078.2165</v>
      </c>
      <c r="F613" s="17" t="n">
        <f aca="false">B613*2/13+F612*11/13</f>
        <v>6803.76888195773</v>
      </c>
      <c r="G613" s="17" t="n">
        <f aca="false">B613*2/27+G612*25/27</f>
        <v>6863.07509905214</v>
      </c>
      <c r="H613" s="17" t="n">
        <f aca="false">F613-G613</f>
        <v>-59.3062170944177</v>
      </c>
      <c r="I613" s="17" t="n">
        <f aca="false">H613*2/10+I612*8/10</f>
        <v>-74.7273005452853</v>
      </c>
      <c r="J613" s="17" t="n">
        <f aca="false">H613-I613</f>
        <v>15.4210834508676</v>
      </c>
      <c r="K613" s="17" t="n">
        <f aca="false">MAX(B613-B612,0)</f>
        <v>0</v>
      </c>
      <c r="L613" s="17" t="n">
        <f aca="false">MAX(B612-B613,0)</f>
        <v>225.570000000001</v>
      </c>
      <c r="M613" s="17" t="n">
        <f aca="false">(M612*13+K613)/14</f>
        <v>46.7886900038335</v>
      </c>
      <c r="N613" s="17" t="n">
        <f aca="false">(N612*13+L613)/14</f>
        <v>66.4228119115283</v>
      </c>
      <c r="O613" s="17" t="n">
        <f aca="false">IF(N613=0,100,100-100/(1+M613/N613))</f>
        <v>41.328565748393</v>
      </c>
      <c r="P613" s="17" t="n">
        <f aca="false">AVERAGE(B594:B613)+2*STDEV(B594:B613)</f>
        <v>7159.84350137563</v>
      </c>
      <c r="Q613" s="17" t="n">
        <f aca="false">AVERAGE(B594:B613)-2*STDEV(B594:B613)</f>
        <v>6450.31349862437</v>
      </c>
      <c r="R613" s="19" t="n">
        <f aca="false">B613/B593-1</f>
        <v>-0.0818880125723124</v>
      </c>
      <c r="S613" s="17" t="n">
        <f aca="false">STDEV(C594:C613)*SQRT(252)*100</f>
        <v>30.9270795299693</v>
      </c>
      <c r="T613" s="19" t="n">
        <f aca="false">B592/B362-1</f>
        <v>0.106481979899561</v>
      </c>
      <c r="U613" s="19" t="n">
        <f aca="false">B613/MAX(B362:B613)-1</f>
        <v>-0.136667806761721</v>
      </c>
      <c r="V613" s="17" t="n">
        <f aca="false">(B613-AVERAGE(B594:B613))/STDEV(B594:B613)</f>
        <v>-1.08127069613003</v>
      </c>
    </row>
    <row r="614" customFormat="false" ht="15" hidden="false" customHeight="false" outlineLevel="0" collapsed="false">
      <c r="A614" s="17" t="s">
        <v>1178</v>
      </c>
      <c r="B614" s="17" t="n">
        <v>6682.74</v>
      </c>
      <c r="C614" s="19" t="n">
        <f aca="false">B614/B613-1</f>
        <v>0.0105031088960394</v>
      </c>
      <c r="D614" s="17" t="n">
        <f aca="false">AVERAGE(B565:B614)</f>
        <v>7010.4366</v>
      </c>
      <c r="E614" s="17" t="n">
        <f aca="false">AVERAGE(B415:B614)</f>
        <v>7077.1472</v>
      </c>
      <c r="F614" s="17" t="n">
        <f aca="false">B614*2/13+F613*11/13</f>
        <v>6785.14905396423</v>
      </c>
      <c r="G614" s="17" t="n">
        <f aca="false">B614*2/27+G613*25/27</f>
        <v>6849.7169435668</v>
      </c>
      <c r="H614" s="17" t="n">
        <f aca="false">F614-G614</f>
        <v>-64.5678896025693</v>
      </c>
      <c r="I614" s="17" t="n">
        <f aca="false">H614*2/10+I613*8/10</f>
        <v>-72.6954183567421</v>
      </c>
      <c r="J614" s="17" t="n">
        <f aca="false">H614-I614</f>
        <v>8.12752875417279</v>
      </c>
      <c r="K614" s="17" t="n">
        <f aca="false">MAX(B614-B613,0)</f>
        <v>69.46</v>
      </c>
      <c r="L614" s="17" t="n">
        <f aca="false">MAX(B613-B614,0)</f>
        <v>0</v>
      </c>
      <c r="M614" s="17" t="n">
        <f aca="false">(M613*13+K614)/14</f>
        <v>48.408069289274</v>
      </c>
      <c r="N614" s="17" t="n">
        <f aca="false">(N613*13+L614)/14</f>
        <v>61.6783253464191</v>
      </c>
      <c r="O614" s="17" t="n">
        <f aca="false">IF(N614=0,100,100-100/(1+M614/N614))</f>
        <v>43.972799226889</v>
      </c>
      <c r="P614" s="17" t="n">
        <f aca="false">AVERAGE(B595:B614)+2*STDEV(B595:B614)</f>
        <v>7098.01306040973</v>
      </c>
      <c r="Q614" s="17" t="n">
        <f aca="false">AVERAGE(B595:B614)-2*STDEV(B595:B614)</f>
        <v>6464.55893959027</v>
      </c>
      <c r="R614" s="19" t="n">
        <f aca="false">B614/B594-1</f>
        <v>-0.0664725874788192</v>
      </c>
      <c r="S614" s="17" t="n">
        <f aca="false">STDEV(C595:C614)*SQRT(252)*100</f>
        <v>31.341076522717</v>
      </c>
      <c r="T614" s="19" t="n">
        <f aca="false">B593/B363-1</f>
        <v>0.135322015518782</v>
      </c>
      <c r="U614" s="19" t="n">
        <f aca="false">B614/MAX(B363:B614)-1</f>
        <v>-0.127600134722683</v>
      </c>
      <c r="V614" s="17" t="n">
        <f aca="false">(B614-AVERAGE(B595:B614))/STDEV(B595:B614)</f>
        <v>-0.62227711059811</v>
      </c>
    </row>
    <row r="615" customFormat="false" ht="15" hidden="false" customHeight="false" outlineLevel="0" collapsed="false">
      <c r="A615" s="17" t="s">
        <v>1179</v>
      </c>
      <c r="B615" s="17" t="n">
        <v>6704.24</v>
      </c>
      <c r="C615" s="19" t="n">
        <f aca="false">B615/B614-1</f>
        <v>0.00321724322658068</v>
      </c>
      <c r="D615" s="17" t="n">
        <f aca="false">AVERAGE(B566:B615)</f>
        <v>6991.9684</v>
      </c>
      <c r="E615" s="17" t="n">
        <f aca="false">AVERAGE(B416:B615)</f>
        <v>7075.7229</v>
      </c>
      <c r="F615" s="17" t="n">
        <f aca="false">B615*2/13+F614*11/13</f>
        <v>6772.7015072005</v>
      </c>
      <c r="G615" s="17" t="n">
        <f aca="false">B615*2/27+G614*25/27</f>
        <v>6838.94087367296</v>
      </c>
      <c r="H615" s="17" t="n">
        <f aca="false">F615-G615</f>
        <v>-66.2393664724605</v>
      </c>
      <c r="I615" s="17" t="n">
        <f aca="false">H615*2/10+I614*8/10</f>
        <v>-71.4042079798857</v>
      </c>
      <c r="J615" s="17" t="n">
        <f aca="false">H615-I615</f>
        <v>5.16484150742528</v>
      </c>
      <c r="K615" s="17" t="n">
        <f aca="false">MAX(B615-B614,0)</f>
        <v>21.5</v>
      </c>
      <c r="L615" s="17" t="n">
        <f aca="false">MAX(B614-B615,0)</f>
        <v>0</v>
      </c>
      <c r="M615" s="17" t="n">
        <f aca="false">(M614*13+K615)/14</f>
        <v>46.4860643400401</v>
      </c>
      <c r="N615" s="17" t="n">
        <f aca="false">(N614*13+L615)/14</f>
        <v>57.2727306788178</v>
      </c>
      <c r="O615" s="17" t="n">
        <f aca="false">IF(N615=0,100,100-100/(1+M615/N615))</f>
        <v>44.8020472207598</v>
      </c>
      <c r="P615" s="17" t="n">
        <f aca="false">AVERAGE(B596:B615)+2*STDEV(B596:B615)</f>
        <v>7058.4560462284</v>
      </c>
      <c r="Q615" s="17" t="n">
        <f aca="false">AVERAGE(B596:B615)-2*STDEV(B596:B615)</f>
        <v>6470.6249537716</v>
      </c>
      <c r="R615" s="19" t="n">
        <f aca="false">B615/B595-1</f>
        <v>-0.0475781877073226</v>
      </c>
      <c r="S615" s="17" t="n">
        <f aca="false">STDEV(C596:C615)*SQRT(252)*100</f>
        <v>31.0036833735262</v>
      </c>
      <c r="T615" s="19" t="n">
        <f aca="false">B594/B364-1</f>
        <v>0.119598554244756</v>
      </c>
      <c r="U615" s="19" t="n">
        <f aca="false">B615/MAX(B364:B615)-1</f>
        <v>-0.124793412165249</v>
      </c>
      <c r="V615" s="17" t="n">
        <f aca="false">(B615-AVERAGE(B596:B615))/STDEV(B596:B615)</f>
        <v>-0.410325352120992</v>
      </c>
    </row>
    <row r="616" customFormat="false" ht="15" hidden="false" customHeight="false" outlineLevel="0" collapsed="false">
      <c r="A616" s="17" t="s">
        <v>1180</v>
      </c>
      <c r="B616" s="17" t="n">
        <v>6763.96</v>
      </c>
      <c r="C616" s="19" t="n">
        <f aca="false">B616/B615-1</f>
        <v>0.00890779566363986</v>
      </c>
      <c r="D616" s="17" t="n">
        <f aca="false">AVERAGE(B567:B616)</f>
        <v>6974.3386</v>
      </c>
      <c r="E616" s="17" t="n">
        <f aca="false">AVERAGE(B417:B616)</f>
        <v>7075.04095</v>
      </c>
      <c r="F616" s="17" t="n">
        <f aca="false">B616*2/13+F615*11/13</f>
        <v>6771.35665993889</v>
      </c>
      <c r="G616" s="17" t="n">
        <f aca="false">B616*2/27+G615*25/27</f>
        <v>6833.38673488237</v>
      </c>
      <c r="H616" s="17" t="n">
        <f aca="false">F616-G616</f>
        <v>-62.0300749434864</v>
      </c>
      <c r="I616" s="17" t="n">
        <f aca="false">H616*2/10+I615*8/10</f>
        <v>-69.5293813726059</v>
      </c>
      <c r="J616" s="17" t="n">
        <f aca="false">H616-I616</f>
        <v>7.49930642911947</v>
      </c>
      <c r="K616" s="17" t="n">
        <f aca="false">MAX(B616-B615,0)</f>
        <v>59.7200000000003</v>
      </c>
      <c r="L616" s="17" t="n">
        <f aca="false">MAX(B615-B616,0)</f>
        <v>0</v>
      </c>
      <c r="M616" s="17" t="n">
        <f aca="false">(M615*13+K616)/14</f>
        <v>47.4313454586087</v>
      </c>
      <c r="N616" s="17" t="n">
        <f aca="false">(N615*13+L616)/14</f>
        <v>53.1818213446165</v>
      </c>
      <c r="O616" s="17" t="n">
        <f aca="false">IF(N616=0,100,100-100/(1+M616/N616))</f>
        <v>47.1422846190428</v>
      </c>
      <c r="P616" s="17" t="n">
        <f aca="false">AVERAGE(B597:B616)+2*STDEV(B597:B616)</f>
        <v>7053.62626978088</v>
      </c>
      <c r="Q616" s="17" t="n">
        <f aca="false">AVERAGE(B597:B616)-2*STDEV(B597:B616)</f>
        <v>6468.94073021912</v>
      </c>
      <c r="R616" s="19" t="n">
        <f aca="false">B616/B596-1</f>
        <v>-0.00953859220102216</v>
      </c>
      <c r="S616" s="17" t="n">
        <f aca="false">STDEV(C597:C616)*SQRT(252)*100</f>
        <v>29.442163600508</v>
      </c>
      <c r="T616" s="19" t="n">
        <f aca="false">B595/B365-1</f>
        <v>0.102684201044857</v>
      </c>
      <c r="U616" s="19" t="n">
        <f aca="false">B616/MAX(B365:B616)-1</f>
        <v>-0.116997250717346</v>
      </c>
      <c r="V616" s="17" t="n">
        <f aca="false">(B616-AVERAGE(B597:B616))/STDEV(B597:B616)</f>
        <v>0.0183106974186889</v>
      </c>
    </row>
    <row r="617" customFormat="false" ht="15" hidden="false" customHeight="false" outlineLevel="0" collapsed="false">
      <c r="A617" s="17" t="s">
        <v>1181</v>
      </c>
      <c r="B617" s="17" t="n">
        <v>6767.97</v>
      </c>
      <c r="C617" s="19" t="n">
        <f aca="false">B617/B616-1</f>
        <v>0.000592847976629063</v>
      </c>
      <c r="D617" s="17" t="n">
        <f aca="false">AVERAGE(B568:B617)</f>
        <v>6957.1324</v>
      </c>
      <c r="E617" s="17" t="n">
        <f aca="false">AVERAGE(B418:B617)</f>
        <v>7074.6087</v>
      </c>
      <c r="F617" s="17" t="n">
        <f aca="false">B617*2/13+F616*11/13</f>
        <v>6770.8356353329</v>
      </c>
      <c r="G617" s="17" t="n">
        <f aca="false">B617*2/27+G616*25/27</f>
        <v>6828.54105081701</v>
      </c>
      <c r="H617" s="17" t="n">
        <f aca="false">F617-G617</f>
        <v>-57.705415484108</v>
      </c>
      <c r="I617" s="17" t="n">
        <f aca="false">H617*2/10+I616*8/10</f>
        <v>-67.1645881949063</v>
      </c>
      <c r="J617" s="17" t="n">
        <f aca="false">H617-I617</f>
        <v>9.45917271079829</v>
      </c>
      <c r="K617" s="17" t="n">
        <f aca="false">MAX(B617-B616,0)</f>
        <v>4.01000000000022</v>
      </c>
      <c r="L617" s="17" t="n">
        <f aca="false">MAX(B616-B617,0)</f>
        <v>0</v>
      </c>
      <c r="M617" s="17" t="n">
        <f aca="false">(M616*13+K617)/14</f>
        <v>44.3298207829938</v>
      </c>
      <c r="N617" s="17" t="n">
        <f aca="false">(N616*13+L617)/14</f>
        <v>49.383119820001</v>
      </c>
      <c r="O617" s="17" t="n">
        <f aca="false">IF(N617=0,100,100-100/(1+M617/N617))</f>
        <v>47.3038413881307</v>
      </c>
      <c r="P617" s="17" t="n">
        <f aca="false">AVERAGE(B598:B617)+2*STDEV(B598:B617)</f>
        <v>7048.6729146232</v>
      </c>
      <c r="Q617" s="17" t="n">
        <f aca="false">AVERAGE(B598:B617)-2*STDEV(B598:B617)</f>
        <v>6467.6000853768</v>
      </c>
      <c r="R617" s="19" t="n">
        <f aca="false">B617/B597-1</f>
        <v>-0.00921399930609534</v>
      </c>
      <c r="S617" s="17" t="n">
        <f aca="false">STDEV(C598:C617)*SQRT(252)*100</f>
        <v>29.4432492846929</v>
      </c>
      <c r="T617" s="19" t="n">
        <f aca="false">B596/B366-1</f>
        <v>0.0679362656712543</v>
      </c>
      <c r="U617" s="19" t="n">
        <f aca="false">B617/MAX(B366:B617)-1</f>
        <v>-0.116473764324076</v>
      </c>
      <c r="V617" s="17" t="n">
        <f aca="false">(B617-AVERAGE(B598:B617))/STDEV(B598:B617)</f>
        <v>0.0676920310505851</v>
      </c>
    </row>
    <row r="618" customFormat="false" ht="15" hidden="false" customHeight="false" outlineLevel="0" collapsed="false">
      <c r="A618" s="17" t="s">
        <v>1182</v>
      </c>
      <c r="B618" s="17" t="n">
        <v>6594.96</v>
      </c>
      <c r="C618" s="19" t="n">
        <f aca="false">B618/B617-1</f>
        <v>-0.0255630565738324</v>
      </c>
      <c r="D618" s="17" t="n">
        <f aca="false">AVERAGE(B569:B618)</f>
        <v>6936.283</v>
      </c>
      <c r="E618" s="17" t="n">
        <f aca="false">AVERAGE(B419:B618)</f>
        <v>7073.8308</v>
      </c>
      <c r="F618" s="17" t="n">
        <f aca="false">B618*2/13+F617*11/13</f>
        <v>6743.77784528169</v>
      </c>
      <c r="G618" s="17" t="n">
        <f aca="false">B618*2/27+G617*25/27</f>
        <v>6811.23875075649</v>
      </c>
      <c r="H618" s="17" t="n">
        <f aca="false">F618-G618</f>
        <v>-67.4609054748053</v>
      </c>
      <c r="I618" s="17" t="n">
        <f aca="false">H618*2/10+I617*8/10</f>
        <v>-67.2238516508861</v>
      </c>
      <c r="J618" s="17" t="n">
        <f aca="false">H618-I618</f>
        <v>-0.237053823919169</v>
      </c>
      <c r="K618" s="17" t="n">
        <f aca="false">MAX(B618-B617,0)</f>
        <v>0</v>
      </c>
      <c r="L618" s="17" t="n">
        <f aca="false">MAX(B617-B618,0)</f>
        <v>173.01</v>
      </c>
      <c r="M618" s="17" t="n">
        <f aca="false">(M617*13+K618)/14</f>
        <v>41.16340501278</v>
      </c>
      <c r="N618" s="17" t="n">
        <f aca="false">(N617*13+L618)/14</f>
        <v>58.2136112614295</v>
      </c>
      <c r="O618" s="17" t="n">
        <f aca="false">IF(N618=0,100,100-100/(1+M618/N618))</f>
        <v>41.4214539297481</v>
      </c>
      <c r="P618" s="17" t="n">
        <f aca="false">AVERAGE(B599:B618)+2*STDEV(B599:B618)</f>
        <v>7048.83378384324</v>
      </c>
      <c r="Q618" s="17" t="n">
        <f aca="false">AVERAGE(B599:B618)-2*STDEV(B599:B618)</f>
        <v>6449.94821615676</v>
      </c>
      <c r="R618" s="19" t="n">
        <f aca="false">B618/B598-1</f>
        <v>-0.0258365374815174</v>
      </c>
      <c r="S618" s="17" t="n">
        <f aca="false">STDEV(C599:C618)*SQRT(252)*100</f>
        <v>30.6567612072206</v>
      </c>
      <c r="T618" s="19" t="n">
        <f aca="false">B597/B367-1</f>
        <v>0.0690150565500922</v>
      </c>
      <c r="U618" s="19" t="n">
        <f aca="false">B618/MAX(B367:B618)-1</f>
        <v>-0.139059395471125</v>
      </c>
      <c r="V618" s="17" t="n">
        <f aca="false">(B618-AVERAGE(B599:B618))/STDEV(B599:B618)</f>
        <v>-1.03145581281295</v>
      </c>
    </row>
    <row r="619" customFormat="false" ht="15" hidden="false" customHeight="false" outlineLevel="0" collapsed="false">
      <c r="A619" s="17" t="s">
        <v>1183</v>
      </c>
      <c r="B619" s="17" t="n">
        <v>6448.39</v>
      </c>
      <c r="C619" s="19" t="n">
        <f aca="false">B619/B618-1</f>
        <v>-0.0222245472300059</v>
      </c>
      <c r="D619" s="17" t="n">
        <f aca="false">AVERAGE(B570:B619)</f>
        <v>6915.4508</v>
      </c>
      <c r="E619" s="17" t="n">
        <f aca="false">AVERAGE(B420:B619)</f>
        <v>7072.01755</v>
      </c>
      <c r="F619" s="17" t="n">
        <f aca="false">B619*2/13+F618*11/13</f>
        <v>6698.3335613922</v>
      </c>
      <c r="G619" s="17" t="n">
        <f aca="false">B619*2/27+G618*25/27</f>
        <v>6784.36106551527</v>
      </c>
      <c r="H619" s="17" t="n">
        <f aca="false">F619-G619</f>
        <v>-86.0275041230734</v>
      </c>
      <c r="I619" s="17" t="n">
        <f aca="false">H619*2/10+I618*8/10</f>
        <v>-70.9845821453235</v>
      </c>
      <c r="J619" s="17" t="n">
        <f aca="false">H619-I619</f>
        <v>-15.0429219777499</v>
      </c>
      <c r="K619" s="17" t="n">
        <f aca="false">MAX(B619-B618,0)</f>
        <v>0</v>
      </c>
      <c r="L619" s="17" t="n">
        <f aca="false">MAX(B618-B619,0)</f>
        <v>146.57</v>
      </c>
      <c r="M619" s="17" t="n">
        <f aca="false">(M618*13+K619)/14</f>
        <v>38.2231617975814</v>
      </c>
      <c r="N619" s="17" t="n">
        <f aca="false">(N618*13+L619)/14</f>
        <v>64.5247818856131</v>
      </c>
      <c r="O619" s="17" t="n">
        <f aca="false">IF(N619=0,100,100-100/(1+M619/N619))</f>
        <v>37.2009019620246</v>
      </c>
      <c r="P619" s="17" t="n">
        <f aca="false">AVERAGE(B600:B619)+2*STDEV(B600:B619)</f>
        <v>7047.43484693779</v>
      </c>
      <c r="Q619" s="17" t="n">
        <f aca="false">AVERAGE(B600:B619)-2*STDEV(B600:B619)</f>
        <v>6407.14115306221</v>
      </c>
      <c r="R619" s="19" t="n">
        <f aca="false">B619/B599-1</f>
        <v>-0.0641554615446015</v>
      </c>
      <c r="S619" s="17" t="n">
        <f aca="false">STDEV(C600:C619)*SQRT(252)*100</f>
        <v>30.669974362494</v>
      </c>
      <c r="T619" s="19" t="n">
        <f aca="false">B598/B368-1</f>
        <v>0.0469432381942125</v>
      </c>
      <c r="U619" s="19" t="n">
        <f aca="false">B619/MAX(B368:B619)-1</f>
        <v>-0.158193410598707</v>
      </c>
      <c r="V619" s="17" t="n">
        <f aca="false">(B619-AVERAGE(B600:B619))/STDEV(B600:B619)</f>
        <v>-1.74231295836684</v>
      </c>
    </row>
    <row r="620" customFormat="false" ht="15" hidden="false" customHeight="false" outlineLevel="0" collapsed="false">
      <c r="A620" s="17" t="s">
        <v>1184</v>
      </c>
      <c r="B620" s="17" t="n">
        <v>6491.52</v>
      </c>
      <c r="C620" s="19" t="n">
        <f aca="false">B620/B619-1</f>
        <v>0.00668849123579696</v>
      </c>
      <c r="D620" s="17" t="n">
        <f aca="false">AVERAGE(B571:B620)</f>
        <v>6897.301</v>
      </c>
      <c r="E620" s="17" t="n">
        <f aca="false">AVERAGE(B421:B620)</f>
        <v>7070.06875</v>
      </c>
      <c r="F620" s="17" t="n">
        <f aca="false">B620*2/13+F619*11/13</f>
        <v>6666.51609040878</v>
      </c>
      <c r="G620" s="17" t="n">
        <f aca="false">B620*2/27+G619*25/27</f>
        <v>6762.66913473636</v>
      </c>
      <c r="H620" s="17" t="n">
        <f aca="false">F620-G620</f>
        <v>-96.1530443275797</v>
      </c>
      <c r="I620" s="17" t="n">
        <f aca="false">H620*2/10+I619*8/10</f>
        <v>-76.0182745817748</v>
      </c>
      <c r="J620" s="17" t="n">
        <f aca="false">H620-I620</f>
        <v>-20.1347697458049</v>
      </c>
      <c r="K620" s="17" t="n">
        <f aca="false">MAX(B620-B619,0)</f>
        <v>43.1300000000001</v>
      </c>
      <c r="L620" s="17" t="n">
        <f aca="false">MAX(B619-B620,0)</f>
        <v>0</v>
      </c>
      <c r="M620" s="17" t="n">
        <f aca="false">(M619*13+K620)/14</f>
        <v>38.5736502406113</v>
      </c>
      <c r="N620" s="17" t="n">
        <f aca="false">(N619*13+L620)/14</f>
        <v>59.9158688937836</v>
      </c>
      <c r="O620" s="17" t="n">
        <f aca="false">IF(N620=0,100,100-100/(1+M620/N620))</f>
        <v>39.1652336001105</v>
      </c>
      <c r="P620" s="17" t="n">
        <f aca="false">AVERAGE(B601:B620)+2*STDEV(B601:B620)</f>
        <v>7038.06070363732</v>
      </c>
      <c r="Q620" s="17" t="n">
        <f aca="false">AVERAGE(B601:B620)-2*STDEV(B601:B620)</f>
        <v>6378.96529636268</v>
      </c>
      <c r="R620" s="19" t="n">
        <f aca="false">B620/B600-1</f>
        <v>-0.0546816523033281</v>
      </c>
      <c r="S620" s="17" t="n">
        <f aca="false">STDEV(C601:C620)*SQRT(252)*100</f>
        <v>30.8666808436916</v>
      </c>
      <c r="T620" s="19" t="n">
        <f aca="false">B599/B369-1</f>
        <v>0.0579094679016836</v>
      </c>
      <c r="U620" s="19" t="n">
        <f aca="false">B620/MAX(B369:B620)-1</f>
        <v>-0.15256299460326</v>
      </c>
      <c r="V620" s="17" t="n">
        <f aca="false">(B620-AVERAGE(B601:B620))/STDEV(B601:B620)</f>
        <v>-1.31691404676762</v>
      </c>
    </row>
    <row r="621" customFormat="false" ht="15" hidden="false" customHeight="false" outlineLevel="0" collapsed="false">
      <c r="A621" s="17" t="s">
        <v>1185</v>
      </c>
      <c r="B621" s="17" t="n">
        <v>6342.97</v>
      </c>
      <c r="C621" s="19" t="n">
        <f aca="false">B621/B620-1</f>
        <v>-0.022883700581682</v>
      </c>
      <c r="D621" s="17" t="n">
        <f aca="false">AVERAGE(B572:B621)</f>
        <v>6877.104</v>
      </c>
      <c r="E621" s="17" t="n">
        <f aca="false">AVERAGE(B422:B621)</f>
        <v>7067.2185</v>
      </c>
      <c r="F621" s="17" t="n">
        <f aca="false">B621*2/13+F620*11/13</f>
        <v>6616.73976880743</v>
      </c>
      <c r="G621" s="17" t="n">
        <f aca="false">B621*2/27+G620*25/27</f>
        <v>6731.58030994108</v>
      </c>
      <c r="H621" s="17" t="n">
        <f aca="false">F621-G621</f>
        <v>-114.840541133646</v>
      </c>
      <c r="I621" s="17" t="n">
        <f aca="false">H621*2/10+I620*8/10</f>
        <v>-83.782727892149</v>
      </c>
      <c r="J621" s="17" t="n">
        <f aca="false">H621-I621</f>
        <v>-31.0578132414971</v>
      </c>
      <c r="K621" s="17" t="n">
        <f aca="false">MAX(B621-B620,0)</f>
        <v>0</v>
      </c>
      <c r="L621" s="17" t="n">
        <f aca="false">MAX(B620-B621,0)</f>
        <v>148.55</v>
      </c>
      <c r="M621" s="17" t="n">
        <f aca="false">(M620*13+K621)/14</f>
        <v>35.8183895091391</v>
      </c>
      <c r="N621" s="17" t="n">
        <f aca="false">(N620*13+L621)/14</f>
        <v>66.2468782585134</v>
      </c>
      <c r="O621" s="17" t="n">
        <f aca="false">IF(N621=0,100,100-100/(1+M621/N621))</f>
        <v>35.093612442852</v>
      </c>
      <c r="P621" s="17" t="n">
        <f aca="false">AVERAGE(B602:B621)+2*STDEV(B602:B621)</f>
        <v>7060.7752720229</v>
      </c>
      <c r="Q621" s="17" t="n">
        <f aca="false">AVERAGE(B602:B621)-2*STDEV(B602:B621)</f>
        <v>6326.2557279771</v>
      </c>
      <c r="R621" s="19" t="n">
        <f aca="false">B621/B601-1</f>
        <v>-0.0451533361834855</v>
      </c>
      <c r="S621" s="17" t="n">
        <f aca="false">STDEV(C602:C621)*SQRT(252)*100</f>
        <v>29.7845282702213</v>
      </c>
      <c r="T621" s="19" t="n">
        <f aca="false">B600/B370-1</f>
        <v>0.0596157496061365</v>
      </c>
      <c r="U621" s="19" t="n">
        <f aca="false">B621/MAX(B370:B621)-1</f>
        <v>-0.171955489296596</v>
      </c>
      <c r="V621" s="17" t="n">
        <f aca="false">(B621-AVERAGE(B602:B621))/STDEV(B602:B621)</f>
        <v>-1.908978476293</v>
      </c>
    </row>
    <row r="622" customFormat="false" ht="15" hidden="false" customHeight="false" outlineLevel="0" collapsed="false">
      <c r="A622" s="17" t="s">
        <v>1186</v>
      </c>
      <c r="B622" s="17" t="n">
        <v>6243.19</v>
      </c>
      <c r="C622" s="19" t="n">
        <f aca="false">B622/B621-1</f>
        <v>-0.0157308011861952</v>
      </c>
      <c r="D622" s="17" t="n">
        <f aca="false">AVERAGE(B573:B622)</f>
        <v>6854.5354</v>
      </c>
      <c r="E622" s="17" t="n">
        <f aca="false">AVERAGE(B423:B622)</f>
        <v>7063.7875</v>
      </c>
      <c r="F622" s="17" t="n">
        <f aca="false">B622*2/13+F621*11/13</f>
        <v>6559.27057360629</v>
      </c>
      <c r="G622" s="17" t="n">
        <f aca="false">B622*2/27+G621*25/27</f>
        <v>6695.40324994544</v>
      </c>
      <c r="H622" s="17" t="n">
        <f aca="false">F622-G622</f>
        <v>-136.132676339154</v>
      </c>
      <c r="I622" s="17" t="n">
        <f aca="false">H622*2/10+I621*8/10</f>
        <v>-94.2527175815501</v>
      </c>
      <c r="J622" s="17" t="n">
        <f aca="false">H622-I622</f>
        <v>-41.8799587576043</v>
      </c>
      <c r="K622" s="17" t="n">
        <f aca="false">MAX(B622-B621,0)</f>
        <v>0</v>
      </c>
      <c r="L622" s="17" t="n">
        <f aca="false">MAX(B621-B622,0)</f>
        <v>99.7800000000007</v>
      </c>
      <c r="M622" s="17" t="n">
        <f aca="false">(M621*13+K622)/14</f>
        <v>33.2599331156291</v>
      </c>
      <c r="N622" s="17" t="n">
        <f aca="false">(N621*13+L622)/14</f>
        <v>68.6421012400482</v>
      </c>
      <c r="O622" s="17" t="n">
        <f aca="false">IF(N622=0,100,100-100/(1+M622/N622))</f>
        <v>32.6391257308359</v>
      </c>
      <c r="P622" s="17" t="n">
        <f aca="false">AVERAGE(B603:B622)+2*STDEV(B603:B622)</f>
        <v>7092.70966111374</v>
      </c>
      <c r="Q622" s="17" t="n">
        <f aca="false">AVERAGE(B603:B622)-2*STDEV(B603:B622)</f>
        <v>6265.94433888627</v>
      </c>
      <c r="R622" s="19" t="n">
        <f aca="false">B622/B602-1</f>
        <v>-0.0434765955360537</v>
      </c>
      <c r="S622" s="17" t="n">
        <f aca="false">STDEV(C603:C622)*SQRT(252)*100</f>
        <v>29.6729335234388</v>
      </c>
      <c r="T622" s="19" t="n">
        <f aca="false">B601/B371-1</f>
        <v>0.0263330284527725</v>
      </c>
      <c r="U622" s="19" t="n">
        <f aca="false">B622/MAX(B371:B622)-1</f>
        <v>-0.184981292867792</v>
      </c>
      <c r="V622" s="17" t="n">
        <f aca="false">(B622-AVERAGE(B603:B622))/STDEV(B603:B622)</f>
        <v>-2.11008850165588</v>
      </c>
    </row>
    <row r="623" customFormat="false" ht="15" hidden="false" customHeight="false" outlineLevel="0" collapsed="false">
      <c r="A623" s="17" t="s">
        <v>1187</v>
      </c>
      <c r="B623" s="17" t="n">
        <v>6046.56</v>
      </c>
      <c r="C623" s="19" t="n">
        <f aca="false">B623/B622-1</f>
        <v>-0.0314951170795698</v>
      </c>
      <c r="D623" s="17" t="n">
        <f aca="false">AVERAGE(B574:B623)</f>
        <v>6834.5766</v>
      </c>
      <c r="E623" s="17" t="n">
        <f aca="false">AVERAGE(B424:B623)</f>
        <v>7059.18815</v>
      </c>
      <c r="F623" s="17" t="n">
        <f aca="false">B623*2/13+F622*11/13</f>
        <v>6480.3920238207</v>
      </c>
      <c r="G623" s="17" t="n">
        <f aca="false">B623*2/27+G622*25/27</f>
        <v>6647.34078698652</v>
      </c>
      <c r="H623" s="17" t="n">
        <f aca="false">F623-G623</f>
        <v>-166.948763165816</v>
      </c>
      <c r="I623" s="17" t="n">
        <f aca="false">H623*2/10+I622*8/10</f>
        <v>-108.791926698403</v>
      </c>
      <c r="J623" s="17" t="n">
        <f aca="false">H623-I623</f>
        <v>-58.1568364674125</v>
      </c>
      <c r="K623" s="17" t="n">
        <f aca="false">MAX(B623-B622,0)</f>
        <v>0</v>
      </c>
      <c r="L623" s="17" t="n">
        <f aca="false">MAX(B622-B623,0)</f>
        <v>196.629999999999</v>
      </c>
      <c r="M623" s="17" t="n">
        <f aca="false">(M622*13+K623)/14</f>
        <v>30.8842236073699</v>
      </c>
      <c r="N623" s="17" t="n">
        <f aca="false">(N622*13+L623)/14</f>
        <v>77.7840940086161</v>
      </c>
      <c r="O623" s="17" t="n">
        <f aca="false">IF(N623=0,100,100-100/(1+M623/N623))</f>
        <v>28.4206328807897</v>
      </c>
      <c r="P623" s="17" t="n">
        <f aca="false">AVERAGE(B604:B623)+2*STDEV(B604:B623)</f>
        <v>7152.84141071061</v>
      </c>
      <c r="Q623" s="17" t="n">
        <f aca="false">AVERAGE(B604:B623)-2*STDEV(B604:B623)</f>
        <v>6152.90258928939</v>
      </c>
      <c r="R623" s="19" t="n">
        <f aca="false">B623/B603-1</f>
        <v>-0.0804634059546874</v>
      </c>
      <c r="S623" s="17" t="n">
        <f aca="false">STDEV(C604:C623)*SQRT(252)*100</f>
        <v>31.1990838651157</v>
      </c>
      <c r="T623" s="19" t="n">
        <f aca="false">B602/B372-1</f>
        <v>0.00838445839365098</v>
      </c>
      <c r="U623" s="19" t="n">
        <f aca="false">B623/MAX(B372:B623)-1</f>
        <v>-0.21065040247096</v>
      </c>
      <c r="V623" s="17" t="n">
        <f aca="false">(B623-AVERAGE(B604:B623))/STDEV(B604:B623)</f>
        <v>-2.42539638230364</v>
      </c>
    </row>
    <row r="624" customFormat="false" ht="15" hidden="false" customHeight="false" outlineLevel="0" collapsed="false">
      <c r="A624" s="17" t="s">
        <v>1188</v>
      </c>
      <c r="B624" s="17" t="n">
        <v>5899.35</v>
      </c>
      <c r="C624" s="19" t="n">
        <f aca="false">B624/B623-1</f>
        <v>-0.0243460744621735</v>
      </c>
      <c r="D624" s="17" t="n">
        <f aca="false">AVERAGE(B575:B624)</f>
        <v>6813.283</v>
      </c>
      <c r="E624" s="17" t="n">
        <f aca="false">AVERAGE(B425:B624)</f>
        <v>7053.179</v>
      </c>
      <c r="F624" s="17" t="n">
        <f aca="false">B624*2/13+F623*11/13</f>
        <v>6391.0009432329</v>
      </c>
      <c r="G624" s="17" t="n">
        <f aca="false">B624*2/27+G623*25/27</f>
        <v>6591.93406202456</v>
      </c>
      <c r="H624" s="17" t="n">
        <f aca="false">F624-G624</f>
        <v>-200.933118791652</v>
      </c>
      <c r="I624" s="17" t="n">
        <f aca="false">H624*2/10+I623*8/10</f>
        <v>-127.220165117053</v>
      </c>
      <c r="J624" s="17" t="n">
        <f aca="false">H624-I624</f>
        <v>-73.7129536745993</v>
      </c>
      <c r="K624" s="17" t="n">
        <f aca="false">MAX(B624-B623,0)</f>
        <v>0</v>
      </c>
      <c r="L624" s="17" t="n">
        <f aca="false">MAX(B623-B624,0)</f>
        <v>147.21</v>
      </c>
      <c r="M624" s="17" t="n">
        <f aca="false">(M623*13+K624)/14</f>
        <v>28.6782076354149</v>
      </c>
      <c r="N624" s="17" t="n">
        <f aca="false">(N623*13+L624)/14</f>
        <v>82.7430872937149</v>
      </c>
      <c r="O624" s="17" t="n">
        <f aca="false">IF(N624=0,100,100-100/(1+M624/N624))</f>
        <v>25.7385337817657</v>
      </c>
      <c r="P624" s="17" t="n">
        <f aca="false">AVERAGE(B605:B624)+2*STDEV(B605:B624)</f>
        <v>7223.1669983295</v>
      </c>
      <c r="Q624" s="17" t="n">
        <f aca="false">AVERAGE(B605:B624)-2*STDEV(B605:B624)</f>
        <v>6019.7770016705</v>
      </c>
      <c r="R624" s="19" t="n">
        <f aca="false">B624/B604-1</f>
        <v>-0.0962105601813906</v>
      </c>
      <c r="S624" s="17" t="n">
        <f aca="false">STDEV(C605:C624)*SQRT(252)*100</f>
        <v>32.0137737497676</v>
      </c>
      <c r="T624" s="19" t="n">
        <f aca="false">B603/B373-1</f>
        <v>0.017090037848966</v>
      </c>
      <c r="U624" s="19" t="n">
        <f aca="false">B624/MAX(B373:B624)-1</f>
        <v>-0.229867966549089</v>
      </c>
      <c r="V624" s="17" t="n">
        <f aca="false">(B624-AVERAGE(B605:B624))/STDEV(B605:B624)</f>
        <v>-2.40029251366504</v>
      </c>
    </row>
    <row r="625" customFormat="false" ht="15" hidden="false" customHeight="false" outlineLevel="0" collapsed="false">
      <c r="A625" s="17" t="s">
        <v>1189</v>
      </c>
      <c r="B625" s="17" t="n">
        <v>6262.77</v>
      </c>
      <c r="C625" s="19" t="n">
        <f aca="false">B625/B624-1</f>
        <v>0.0616033969844136</v>
      </c>
      <c r="D625" s="17" t="n">
        <f aca="false">AVERAGE(B576:B625)</f>
        <v>6795.3942</v>
      </c>
      <c r="E625" s="17" t="n">
        <f aca="false">AVERAGE(B426:B625)</f>
        <v>7048.83725</v>
      </c>
      <c r="F625" s="17" t="n">
        <f aca="false">B625*2/13+F624*11/13</f>
        <v>6371.27310581246</v>
      </c>
      <c r="G625" s="17" t="n">
        <f aca="false">B625*2/27+G624*25/27</f>
        <v>6567.55153891163</v>
      </c>
      <c r="H625" s="17" t="n">
        <f aca="false">F625-G625</f>
        <v>-196.27843309917</v>
      </c>
      <c r="I625" s="17" t="n">
        <f aca="false">H625*2/10+I624*8/10</f>
        <v>-141.031818713476</v>
      </c>
      <c r="J625" s="17" t="n">
        <f aca="false">H625-I625</f>
        <v>-55.2466143856935</v>
      </c>
      <c r="K625" s="17" t="n">
        <f aca="false">MAX(B625-B624,0)</f>
        <v>363.42</v>
      </c>
      <c r="L625" s="17" t="n">
        <f aca="false">MAX(B624-B625,0)</f>
        <v>0</v>
      </c>
      <c r="M625" s="17" t="n">
        <f aca="false">(M624*13+K625)/14</f>
        <v>52.5883356614567</v>
      </c>
      <c r="N625" s="17" t="n">
        <f aca="false">(N624*13+L625)/14</f>
        <v>76.8328667727353</v>
      </c>
      <c r="O625" s="17" t="n">
        <f aca="false">IF(N625=0,100,100-100/(1+M625/N625))</f>
        <v>40.6334778787091</v>
      </c>
      <c r="P625" s="17" t="n">
        <f aca="false">AVERAGE(B606:B625)+2*STDEV(B606:B625)</f>
        <v>7222.48604815243</v>
      </c>
      <c r="Q625" s="17" t="n">
        <f aca="false">AVERAGE(B606:B625)-2*STDEV(B606:B625)</f>
        <v>5978.90095184757</v>
      </c>
      <c r="R625" s="19" t="n">
        <f aca="false">B625/B605-1</f>
        <v>-0.0622265413261379</v>
      </c>
      <c r="S625" s="17" t="n">
        <f aca="false">STDEV(C606:C625)*SQRT(252)*100</f>
        <v>38.6902316694832</v>
      </c>
      <c r="T625" s="19" t="n">
        <f aca="false">B604/B374-1</f>
        <v>0.0146413271238397</v>
      </c>
      <c r="U625" s="19" t="n">
        <f aca="false">B625/MAX(B374:B625)-1</f>
        <v>-0.182425217161999</v>
      </c>
      <c r="V625" s="17" t="n">
        <f aca="false">(B625-AVERAGE(B606:B625))/STDEV(B606:B625)</f>
        <v>-1.08693325773714</v>
      </c>
    </row>
    <row r="626" customFormat="false" ht="15" hidden="false" customHeight="false" outlineLevel="0" collapsed="false">
      <c r="A626" s="17" t="s">
        <v>1190</v>
      </c>
      <c r="B626" s="17" t="n">
        <v>6288.3</v>
      </c>
      <c r="C626" s="19" t="n">
        <f aca="false">B626/B625-1</f>
        <v>0.00407647095454555</v>
      </c>
      <c r="D626" s="17" t="n">
        <f aca="false">AVERAGE(B577:B626)</f>
        <v>6779.7868</v>
      </c>
      <c r="E626" s="17" t="n">
        <f aca="false">AVERAGE(B427:B626)</f>
        <v>7045.0462</v>
      </c>
      <c r="F626" s="17" t="n">
        <f aca="false">B626*2/13+F625*11/13</f>
        <v>6358.50801261054</v>
      </c>
      <c r="G626" s="17" t="n">
        <f aca="false">B626*2/27+G625*25/27</f>
        <v>6546.86623973299</v>
      </c>
      <c r="H626" s="17" t="n">
        <f aca="false">F626-G626</f>
        <v>-188.358227122448</v>
      </c>
      <c r="I626" s="17" t="n">
        <f aca="false">H626*2/10+I625*8/10</f>
        <v>-150.497100395271</v>
      </c>
      <c r="J626" s="17" t="n">
        <f aca="false">H626-I626</f>
        <v>-37.8611267271771</v>
      </c>
      <c r="K626" s="17" t="n">
        <f aca="false">MAX(B626-B625,0)</f>
        <v>25.5299999999997</v>
      </c>
      <c r="L626" s="17" t="n">
        <f aca="false">MAX(B625-B626,0)</f>
        <v>0</v>
      </c>
      <c r="M626" s="17" t="n">
        <f aca="false">(M625*13+K626)/14</f>
        <v>50.6555973999241</v>
      </c>
      <c r="N626" s="17" t="n">
        <f aca="false">(N625*13+L626)/14</f>
        <v>71.3448048603971</v>
      </c>
      <c r="O626" s="17" t="n">
        <f aca="false">IF(N626=0,100,100-100/(1+M626/N626))</f>
        <v>41.5208445721651</v>
      </c>
      <c r="P626" s="17" t="n">
        <f aca="false">AVERAGE(B607:B626)+2*STDEV(B607:B626)</f>
        <v>7215.08255580277</v>
      </c>
      <c r="Q626" s="17" t="n">
        <f aca="false">AVERAGE(B607:B626)-2*STDEV(B607:B626)</f>
        <v>5945.03044419723</v>
      </c>
      <c r="R626" s="19" t="n">
        <f aca="false">B626/B606-1</f>
        <v>-0.0615934243042871</v>
      </c>
      <c r="S626" s="17" t="n">
        <f aca="false">STDEV(C607:C626)*SQRT(252)*100</f>
        <v>38.7056668503854</v>
      </c>
      <c r="T626" s="19" t="n">
        <f aca="false">B605/B375-1</f>
        <v>0.037790882885403</v>
      </c>
      <c r="U626" s="19" t="n">
        <f aca="false">B626/MAX(B375:B626)-1</f>
        <v>-0.179092397306591</v>
      </c>
      <c r="V626" s="17" t="n">
        <f aca="false">(B626-AVERAGE(B607:B626))/STDEV(B607:B626)</f>
        <v>-0.918880406036809</v>
      </c>
    </row>
    <row r="627" customFormat="false" ht="15" hidden="false" customHeight="false" outlineLevel="0" collapsed="false">
      <c r="A627" s="17" t="s">
        <v>1191</v>
      </c>
      <c r="B627" s="17" t="n">
        <v>6285.27</v>
      </c>
      <c r="C627" s="19" t="n">
        <f aca="false">B627/B626-1</f>
        <v>-0.000481847240112576</v>
      </c>
      <c r="D627" s="17" t="n">
        <f aca="false">AVERAGE(B578:B627)</f>
        <v>6759.9636</v>
      </c>
      <c r="E627" s="17" t="n">
        <f aca="false">AVERAGE(B428:B627)</f>
        <v>7041.26765</v>
      </c>
      <c r="F627" s="17" t="n">
        <f aca="false">B627*2/13+F626*11/13</f>
        <v>6347.24062605507</v>
      </c>
      <c r="G627" s="17" t="n">
        <f aca="false">B627*2/27+G626*25/27</f>
        <v>6527.48874049351</v>
      </c>
      <c r="H627" s="17" t="n">
        <f aca="false">F627-G627</f>
        <v>-180.248114438435</v>
      </c>
      <c r="I627" s="17" t="n">
        <f aca="false">H627*2/10+I626*8/10</f>
        <v>-156.447303203903</v>
      </c>
      <c r="J627" s="17" t="n">
        <f aca="false">H627-I627</f>
        <v>-23.8008112345312</v>
      </c>
      <c r="K627" s="17" t="n">
        <f aca="false">MAX(B627-B626,0)</f>
        <v>0</v>
      </c>
      <c r="L627" s="17" t="n">
        <f aca="false">MAX(B626-B627,0)</f>
        <v>3.02999999999975</v>
      </c>
      <c r="M627" s="17" t="n">
        <f aca="false">(M626*13+K627)/14</f>
        <v>47.0373404427866</v>
      </c>
      <c r="N627" s="17" t="n">
        <f aca="false">(N626*13+L627)/14</f>
        <v>66.4651759417973</v>
      </c>
      <c r="O627" s="17" t="n">
        <f aca="false">IF(N627=0,100,100-100/(1+M627/N627))</f>
        <v>41.441671903915</v>
      </c>
      <c r="P627" s="17" t="n">
        <f aca="false">AVERAGE(B608:B627)+2*STDEV(B608:B627)</f>
        <v>7176.36124652155</v>
      </c>
      <c r="Q627" s="17" t="n">
        <f aca="false">AVERAGE(B608:B627)-2*STDEV(B608:B627)</f>
        <v>5920.94575347845</v>
      </c>
      <c r="R627" s="19" t="n">
        <f aca="false">B627/B607-1</f>
        <v>-0.0908476812187469</v>
      </c>
      <c r="S627" s="17" t="n">
        <f aca="false">STDEV(C608:C627)*SQRT(252)*100</f>
        <v>36.5171499747087</v>
      </c>
      <c r="T627" s="19" t="n">
        <f aca="false">B606/B376-1</f>
        <v>0.0403047775180008</v>
      </c>
      <c r="U627" s="19" t="n">
        <f aca="false">B627/MAX(B376:B627)-1</f>
        <v>-0.179487949369336</v>
      </c>
      <c r="V627" s="17" t="n">
        <f aca="false">(B627-AVERAGE(B608:B627))/STDEV(B608:B627)</f>
        <v>-0.839191491452971</v>
      </c>
    </row>
    <row r="628" customFormat="false" ht="15" hidden="false" customHeight="false" outlineLevel="0" collapsed="false">
      <c r="A628" s="17" t="s">
        <v>1192</v>
      </c>
      <c r="B628" s="17" t="n">
        <v>6329.97</v>
      </c>
      <c r="C628" s="19" t="n">
        <f aca="false">B628/B627-1</f>
        <v>0.00711186631600547</v>
      </c>
      <c r="D628" s="17" t="n">
        <f aca="false">AVERAGE(B579:B628)</f>
        <v>6740.9904</v>
      </c>
      <c r="E628" s="17" t="n">
        <f aca="false">AVERAGE(B429:B628)</f>
        <v>7037.76265</v>
      </c>
      <c r="F628" s="17" t="n">
        <f aca="false">B628*2/13+F627*11/13</f>
        <v>6344.58360666198</v>
      </c>
      <c r="G628" s="17" t="n">
        <f aca="false">B628*2/27+G627*25/27</f>
        <v>6512.85772267917</v>
      </c>
      <c r="H628" s="17" t="n">
        <f aca="false">F628-G628</f>
        <v>-168.274116017189</v>
      </c>
      <c r="I628" s="17" t="n">
        <f aca="false">H628*2/10+I627*8/10</f>
        <v>-158.812665766561</v>
      </c>
      <c r="J628" s="17" t="n">
        <f aca="false">H628-I628</f>
        <v>-9.46145025062847</v>
      </c>
      <c r="K628" s="17" t="n">
        <f aca="false">MAX(B628-B627,0)</f>
        <v>44.6999999999998</v>
      </c>
      <c r="L628" s="17" t="n">
        <f aca="false">MAX(B627-B628,0)</f>
        <v>0</v>
      </c>
      <c r="M628" s="17" t="n">
        <f aca="false">(M627*13+K628)/14</f>
        <v>46.8703875540162</v>
      </c>
      <c r="N628" s="17" t="n">
        <f aca="false">(N627*13+L628)/14</f>
        <v>61.717663374526</v>
      </c>
      <c r="O628" s="17" t="n">
        <f aca="false">IF(N628=0,100,100-100/(1+M628/N628))</f>
        <v>43.1634854417452</v>
      </c>
      <c r="P628" s="17" t="n">
        <f aca="false">AVERAGE(B609:B628)+2*STDEV(B609:B628)</f>
        <v>7133.62171836274</v>
      </c>
      <c r="Q628" s="17" t="n">
        <f aca="false">AVERAGE(B609:B628)-2*STDEV(B609:B628)</f>
        <v>5907.44228163726</v>
      </c>
      <c r="R628" s="19" t="n">
        <f aca="false">B628/B608-1</f>
        <v>-0.0816014740874005</v>
      </c>
      <c r="S628" s="17" t="n">
        <f aca="false">STDEV(C609:C628)*SQRT(252)*100</f>
        <v>36.7480637039071</v>
      </c>
      <c r="T628" s="19" t="n">
        <f aca="false">B607/B377-1</f>
        <v>0.0808123919317367</v>
      </c>
      <c r="U628" s="19" t="n">
        <f aca="false">B628/MAX(B377:B628)-1</f>
        <v>-0.173652577354579</v>
      </c>
      <c r="V628" s="17" t="n">
        <f aca="false">(B628-AVERAGE(B609:B628))/STDEV(B609:B628)</f>
        <v>-0.621644742335254</v>
      </c>
    </row>
    <row r="629" customFormat="false" ht="15" hidden="false" customHeight="false" outlineLevel="0" collapsed="false">
      <c r="A629" s="17" t="s">
        <v>1193</v>
      </c>
      <c r="B629" s="17" t="n">
        <v>6360.87</v>
      </c>
      <c r="C629" s="19" t="n">
        <f aca="false">B629/B628-1</f>
        <v>0.00488153972293692</v>
      </c>
      <c r="D629" s="17" t="n">
        <f aca="false">AVERAGE(B580:B629)</f>
        <v>6725.886</v>
      </c>
      <c r="E629" s="17" t="n">
        <f aca="false">AVERAGE(B430:B629)</f>
        <v>7034.46725</v>
      </c>
      <c r="F629" s="17" t="n">
        <f aca="false">B629*2/13+F628*11/13</f>
        <v>6347.08920563706</v>
      </c>
      <c r="G629" s="17" t="n">
        <f aca="false">B629*2/27+G628*25/27</f>
        <v>6501.59937285109</v>
      </c>
      <c r="H629" s="17" t="n">
        <f aca="false">F629-G629</f>
        <v>-154.510167214023</v>
      </c>
      <c r="I629" s="17" t="n">
        <f aca="false">H629*2/10+I628*8/10</f>
        <v>-157.952166056053</v>
      </c>
      <c r="J629" s="17" t="n">
        <f aca="false">H629-I629</f>
        <v>3.44199884203033</v>
      </c>
      <c r="K629" s="17" t="n">
        <f aca="false">MAX(B629-B628,0)</f>
        <v>30.8999999999996</v>
      </c>
      <c r="L629" s="17" t="n">
        <f aca="false">MAX(B628-B629,0)</f>
        <v>0</v>
      </c>
      <c r="M629" s="17" t="n">
        <f aca="false">(M628*13+K629)/14</f>
        <v>45.7296455858721</v>
      </c>
      <c r="N629" s="17" t="n">
        <f aca="false">(N628*13+L629)/14</f>
        <v>57.3092588477742</v>
      </c>
      <c r="O629" s="17" t="n">
        <f aca="false">IF(N629=0,100,100-100/(1+M629/N629))</f>
        <v>44.38095090124</v>
      </c>
      <c r="P629" s="17" t="n">
        <f aca="false">AVERAGE(B610:B629)+2*STDEV(B610:B629)</f>
        <v>7073.32199829272</v>
      </c>
      <c r="Q629" s="17" t="n">
        <f aca="false">AVERAGE(B610:B629)-2*STDEV(B610:B629)</f>
        <v>5908.92800170728</v>
      </c>
      <c r="R629" s="19" t="n">
        <f aca="false">B629/B609-1</f>
        <v>-0.0846365165685472</v>
      </c>
      <c r="S629" s="17" t="n">
        <f aca="false">STDEV(C610:C629)*SQRT(252)*100</f>
        <v>36.6200684319436</v>
      </c>
      <c r="T629" s="19" t="n">
        <f aca="false">B608/B378-1</f>
        <v>0.0585225161026761</v>
      </c>
      <c r="U629" s="19" t="n">
        <f aca="false">B629/MAX(B378:B629)-1</f>
        <v>-0.169618729585989</v>
      </c>
      <c r="V629" s="17" t="n">
        <f aca="false">(B629-AVERAGE(B610:B629))/STDEV(B610:B629)</f>
        <v>-0.447460225256984</v>
      </c>
    </row>
    <row r="630" customFormat="false" ht="15" hidden="false" customHeight="false" outlineLevel="0" collapsed="false">
      <c r="A630" s="17" t="s">
        <v>1194</v>
      </c>
      <c r="B630" s="17" t="n">
        <v>6147.13</v>
      </c>
      <c r="C630" s="19" t="n">
        <f aca="false">B630/B629-1</f>
        <v>-0.0336023216949882</v>
      </c>
      <c r="D630" s="17" t="n">
        <f aca="false">AVERAGE(B581:B630)</f>
        <v>6706.684</v>
      </c>
      <c r="E630" s="17" t="n">
        <f aca="false">AVERAGE(B431:B630)</f>
        <v>7030.8785</v>
      </c>
      <c r="F630" s="17" t="n">
        <f aca="false">B630*2/13+F629*11/13</f>
        <v>6316.32625092367</v>
      </c>
      <c r="G630" s="17" t="n">
        <f aca="false">B630*2/27+G629*25/27</f>
        <v>6475.34238226952</v>
      </c>
      <c r="H630" s="17" t="n">
        <f aca="false">F630-G630</f>
        <v>-159.016131345855</v>
      </c>
      <c r="I630" s="17" t="n">
        <f aca="false">H630*2/10+I629*8/10</f>
        <v>-158.164959114013</v>
      </c>
      <c r="J630" s="17" t="n">
        <f aca="false">H630-I630</f>
        <v>-0.851172231841417</v>
      </c>
      <c r="K630" s="17" t="n">
        <f aca="false">MAX(B630-B629,0)</f>
        <v>0</v>
      </c>
      <c r="L630" s="17" t="n">
        <f aca="false">MAX(B629-B630,0)</f>
        <v>213.74</v>
      </c>
      <c r="M630" s="17" t="n">
        <f aca="false">(M629*13+K630)/14</f>
        <v>42.4632423297384</v>
      </c>
      <c r="N630" s="17" t="n">
        <f aca="false">(N629*13+L630)/14</f>
        <v>68.4828832157903</v>
      </c>
      <c r="O630" s="17" t="n">
        <f aca="false">IF(N630=0,100,100-100/(1+M630/N630))</f>
        <v>38.2737496428506</v>
      </c>
      <c r="P630" s="17" t="n">
        <f aca="false">AVERAGE(B611:B630)+2*STDEV(B611:B630)</f>
        <v>6980.54894868152</v>
      </c>
      <c r="Q630" s="17" t="n">
        <f aca="false">AVERAGE(B611:B630)-2*STDEV(B611:B630)</f>
        <v>5910.20105131848</v>
      </c>
      <c r="R630" s="19" t="n">
        <f aca="false">B630/B610-1</f>
        <v>-0.129564309917829</v>
      </c>
      <c r="S630" s="17" t="n">
        <f aca="false">STDEV(C611:C630)*SQRT(252)*100</f>
        <v>37.2032542923486</v>
      </c>
      <c r="T630" s="19" t="n">
        <f aca="false">B609/B379-1</f>
        <v>0.0567550716262659</v>
      </c>
      <c r="U630" s="19" t="n">
        <f aca="false">B630/MAX(B379:B630)-1</f>
        <v>-0.197521468163933</v>
      </c>
      <c r="V630" s="17" t="n">
        <f aca="false">(B630-AVERAGE(B611:B630))/STDEV(B611:B630)</f>
        <v>-1.11457218997588</v>
      </c>
    </row>
    <row r="631" customFormat="false" ht="15" hidden="false" customHeight="false" outlineLevel="0" collapsed="false">
      <c r="A631" s="17" t="s">
        <v>1195</v>
      </c>
      <c r="B631" s="17" t="n">
        <v>6422.67</v>
      </c>
      <c r="C631" s="19" t="n">
        <f aca="false">B631/B630-1</f>
        <v>0.0448241699785104</v>
      </c>
      <c r="D631" s="17" t="n">
        <f aca="false">AVERAGE(B582:B631)</f>
        <v>6692.3132</v>
      </c>
      <c r="E631" s="17" t="n">
        <f aca="false">AVERAGE(B432:B631)</f>
        <v>7028.56225</v>
      </c>
      <c r="F631" s="17" t="n">
        <f aca="false">B631*2/13+F630*11/13</f>
        <v>6332.68682770464</v>
      </c>
      <c r="G631" s="17" t="n">
        <f aca="false">B631*2/27+G630*25/27</f>
        <v>6471.44072432363</v>
      </c>
      <c r="H631" s="17" t="n">
        <f aca="false">F631-G631</f>
        <v>-138.75389661899</v>
      </c>
      <c r="I631" s="17" t="n">
        <f aca="false">H631*2/10+I630*8/10</f>
        <v>-154.282746615009</v>
      </c>
      <c r="J631" s="17" t="n">
        <f aca="false">H631-I631</f>
        <v>15.5288499960184</v>
      </c>
      <c r="K631" s="17" t="n">
        <f aca="false">MAX(B631-B630,0)</f>
        <v>275.54</v>
      </c>
      <c r="L631" s="17" t="n">
        <f aca="false">MAX(B630-B631,0)</f>
        <v>0</v>
      </c>
      <c r="M631" s="17" t="n">
        <f aca="false">(M630*13+K631)/14</f>
        <v>59.1115821633285</v>
      </c>
      <c r="N631" s="17" t="n">
        <f aca="false">(N630*13+L631)/14</f>
        <v>63.5912487003767</v>
      </c>
      <c r="O631" s="17" t="n">
        <f aca="false">IF(N631=0,100,100-100/(1+M631/N631))</f>
        <v>48.1745871283018</v>
      </c>
      <c r="P631" s="17" t="n">
        <f aca="false">AVERAGE(B612:B631)+2*STDEV(B612:B631)</f>
        <v>6935.95681356742</v>
      </c>
      <c r="Q631" s="17" t="n">
        <f aca="false">AVERAGE(B612:B631)-2*STDEV(B612:B631)</f>
        <v>5917.53918643258</v>
      </c>
      <c r="R631" s="19" t="n">
        <f aca="false">B631/B611-1</f>
        <v>-0.054823912726759</v>
      </c>
      <c r="S631" s="17" t="n">
        <f aca="false">STDEV(C612:C631)*SQRT(252)*100</f>
        <v>39.5181423948577</v>
      </c>
      <c r="T631" s="19" t="n">
        <f aca="false">B610/B380-1</f>
        <v>0.0725255065623016</v>
      </c>
      <c r="U631" s="19" t="n">
        <f aca="false">B631/MAX(B380:B631)-1</f>
        <v>-0.161551034048808</v>
      </c>
      <c r="V631" s="17" t="n">
        <f aca="false">(B631-AVERAGE(B612:B631))/STDEV(B612:B631)</f>
        <v>-0.0160170047781803</v>
      </c>
    </row>
    <row r="632" customFormat="false" ht="15" hidden="false" customHeight="false" outlineLevel="0" collapsed="false">
      <c r="A632" s="17" t="s">
        <v>1196</v>
      </c>
      <c r="B632" s="17" t="n">
        <v>6488.25</v>
      </c>
      <c r="C632" s="19" t="n">
        <f aca="false">B632/B631-1</f>
        <v>0.0102107067621409</v>
      </c>
      <c r="D632" s="17" t="n">
        <f aca="false">AVERAGE(B583:B632)</f>
        <v>6679.7048</v>
      </c>
      <c r="E632" s="17" t="n">
        <f aca="false">AVERAGE(B433:B632)</f>
        <v>7026.73625</v>
      </c>
      <c r="F632" s="17" t="n">
        <f aca="false">B632*2/13+F631*11/13</f>
        <v>6356.61962344239</v>
      </c>
      <c r="G632" s="17" t="n">
        <f aca="false">B632*2/27+G631*25/27</f>
        <v>6472.68585585522</v>
      </c>
      <c r="H632" s="17" t="n">
        <f aca="false">F632-G632</f>
        <v>-116.066232412826</v>
      </c>
      <c r="I632" s="17" t="n">
        <f aca="false">H632*2/10+I631*8/10</f>
        <v>-146.639443774572</v>
      </c>
      <c r="J632" s="17" t="n">
        <f aca="false">H632-I632</f>
        <v>30.5732113617461</v>
      </c>
      <c r="K632" s="17" t="n">
        <f aca="false">MAX(B632-B631,0)</f>
        <v>65.5799999999999</v>
      </c>
      <c r="L632" s="17" t="n">
        <f aca="false">MAX(B631-B632,0)</f>
        <v>0</v>
      </c>
      <c r="M632" s="17" t="n">
        <f aca="false">(M631*13+K632)/14</f>
        <v>59.573612008805</v>
      </c>
      <c r="N632" s="17" t="n">
        <f aca="false">(N631*13+L632)/14</f>
        <v>59.0490166503498</v>
      </c>
      <c r="O632" s="17" t="n">
        <f aca="false">IF(N632=0,100,100-100/(1+M632/N632))</f>
        <v>50.2211194290605</v>
      </c>
      <c r="P632" s="17" t="n">
        <f aca="false">AVERAGE(B613:B632)+2*STDEV(B613:B632)</f>
        <v>6881.49202721636</v>
      </c>
      <c r="Q632" s="17" t="n">
        <f aca="false">AVERAGE(B613:B632)-2*STDEV(B613:B632)</f>
        <v>5936.94397278364</v>
      </c>
      <c r="R632" s="19" t="n">
        <f aca="false">B632/B612-1</f>
        <v>-0.051265929213245</v>
      </c>
      <c r="S632" s="17" t="n">
        <f aca="false">STDEV(C613:C632)*SQRT(252)*100</f>
        <v>39.6545418727733</v>
      </c>
      <c r="T632" s="19" t="n">
        <f aca="false">B611/B381-1</f>
        <v>0.0213308002507031</v>
      </c>
      <c r="U632" s="19" t="n">
        <f aca="false">B632/MAX(B381:B632)-1</f>
        <v>-0.15298987752246</v>
      </c>
      <c r="V632" s="17" t="n">
        <f aca="false">(B632-AVERAGE(B613:B632))/STDEV(B613:B632)</f>
        <v>0.334687047965879</v>
      </c>
    </row>
    <row r="633" customFormat="false" ht="15" hidden="false" customHeight="false" outlineLevel="0" collapsed="false">
      <c r="A633" s="17" t="s">
        <v>1197</v>
      </c>
      <c r="B633" s="17" t="n">
        <v>6551.85</v>
      </c>
      <c r="C633" s="19" t="n">
        <f aca="false">B633/B632-1</f>
        <v>0.00980233499017458</v>
      </c>
      <c r="D633" s="17" t="n">
        <f aca="false">AVERAGE(B584:B633)</f>
        <v>6674.9588</v>
      </c>
      <c r="E633" s="17" t="n">
        <f aca="false">AVERAGE(B434:B633)</f>
        <v>7026.0842</v>
      </c>
      <c r="F633" s="17" t="n">
        <f aca="false">B633*2/13+F632*11/13</f>
        <v>6386.65506598971</v>
      </c>
      <c r="G633" s="17" t="n">
        <f aca="false">B633*2/27+G632*25/27</f>
        <v>6478.54986653261</v>
      </c>
      <c r="H633" s="17" t="n">
        <f aca="false">F633-G633</f>
        <v>-91.8948005428938</v>
      </c>
      <c r="I633" s="17" t="n">
        <f aca="false">H633*2/10+I632*8/10</f>
        <v>-135.690515128237</v>
      </c>
      <c r="J633" s="17" t="n">
        <f aca="false">H633-I633</f>
        <v>43.7957145853428</v>
      </c>
      <c r="K633" s="17" t="n">
        <f aca="false">MAX(B633-B632,0)</f>
        <v>63.6000000000004</v>
      </c>
      <c r="L633" s="17" t="n">
        <f aca="false">MAX(B632-B633,0)</f>
        <v>0</v>
      </c>
      <c r="M633" s="17" t="n">
        <f aca="false">(M632*13+K633)/14</f>
        <v>59.8612111510333</v>
      </c>
      <c r="N633" s="17" t="n">
        <f aca="false">(N632*13+L633)/14</f>
        <v>54.8312297467534</v>
      </c>
      <c r="O633" s="17" t="n">
        <f aca="false">IF(N633=0,100,100-100/(1+M633/N633))</f>
        <v>52.1928129547625</v>
      </c>
      <c r="P633" s="17" t="n">
        <f aca="false">AVERAGE(B614:B633)+2*STDEV(B614:B633)</f>
        <v>6873.60705280915</v>
      </c>
      <c r="Q633" s="17" t="n">
        <f aca="false">AVERAGE(B614:B633)-2*STDEV(B614:B633)</f>
        <v>5938.68594719086</v>
      </c>
      <c r="R633" s="19" t="n">
        <f aca="false">B633/B613-1</f>
        <v>-0.009288885394237</v>
      </c>
      <c r="S633" s="17" t="n">
        <f aca="false">STDEV(C614:C633)*SQRT(252)*100</f>
        <v>38.1482860216041</v>
      </c>
      <c r="T633" s="19" t="n">
        <f aca="false">B612/B382-1</f>
        <v>0.0242966885988889</v>
      </c>
      <c r="U633" s="19" t="n">
        <f aca="false">B633/MAX(B382:B633)-1</f>
        <v>-0.144687200561867</v>
      </c>
      <c r="V633" s="17" t="n">
        <f aca="false">(B633-AVERAGE(B614:B633))/STDEV(B614:B633)</f>
        <v>0.623383081735616</v>
      </c>
    </row>
    <row r="634" customFormat="false" ht="15" hidden="false" customHeight="false" outlineLevel="0" collapsed="false">
      <c r="A634" s="17" t="s">
        <v>1198</v>
      </c>
      <c r="B634" s="17" t="n">
        <v>6600.69</v>
      </c>
      <c r="C634" s="19" t="n">
        <f aca="false">B634/B633-1</f>
        <v>0.00745438311316637</v>
      </c>
      <c r="D634" s="17" t="n">
        <f aca="false">AVERAGE(B585:B634)</f>
        <v>6666.6448</v>
      </c>
      <c r="E634" s="17" t="n">
        <f aca="false">AVERAGE(B435:B634)</f>
        <v>7026.5472</v>
      </c>
      <c r="F634" s="17" t="n">
        <f aca="false">B634*2/13+F633*11/13</f>
        <v>6419.58351737591</v>
      </c>
      <c r="G634" s="17" t="n">
        <f aca="false">B634*2/27+G633*25/27</f>
        <v>6487.59728382649</v>
      </c>
      <c r="H634" s="17" t="n">
        <f aca="false">F634-G634</f>
        <v>-68.0137664505764</v>
      </c>
      <c r="I634" s="17" t="n">
        <f aca="false">H634*2/10+I633*8/10</f>
        <v>-122.155165392705</v>
      </c>
      <c r="J634" s="17" t="n">
        <f aca="false">H634-I634</f>
        <v>54.1413989421281</v>
      </c>
      <c r="K634" s="17" t="n">
        <f aca="false">MAX(B634-B633,0)</f>
        <v>48.8399999999992</v>
      </c>
      <c r="L634" s="17" t="n">
        <f aca="false">MAX(B633-B634,0)</f>
        <v>0</v>
      </c>
      <c r="M634" s="17" t="n">
        <f aca="false">(M633*13+K634)/14</f>
        <v>59.0739817831023</v>
      </c>
      <c r="N634" s="17" t="n">
        <f aca="false">(N633*13+L634)/14</f>
        <v>50.914713336271</v>
      </c>
      <c r="O634" s="17" t="n">
        <f aca="false">IF(N634=0,100,100-100/(1+M634/N634))</f>
        <v>53.7091395792885</v>
      </c>
      <c r="P634" s="17" t="n">
        <f aca="false">AVERAGE(B615:B634)+2*STDEV(B615:B634)</f>
        <v>6860.63993476748</v>
      </c>
      <c r="Q634" s="17" t="n">
        <f aca="false">AVERAGE(B615:B634)-2*STDEV(B615:B634)</f>
        <v>5943.44806523252</v>
      </c>
      <c r="R634" s="19" t="n">
        <f aca="false">B634/B614-1</f>
        <v>-0.0122778979879511</v>
      </c>
      <c r="S634" s="17" t="n">
        <f aca="false">STDEV(C615:C634)*SQRT(252)*100</f>
        <v>38.0501096196162</v>
      </c>
      <c r="T634" s="19" t="n">
        <f aca="false">B613/B383-1</f>
        <v>-0.00968262667828701</v>
      </c>
      <c r="U634" s="19" t="n">
        <f aca="false">B634/MAX(B383:B634)-1</f>
        <v>-0.13831137127326</v>
      </c>
      <c r="V634" s="17" t="n">
        <f aca="false">(B634-AVERAGE(B615:B634))/STDEV(B615:B634)</f>
        <v>0.866322550812477</v>
      </c>
    </row>
    <row r="635" customFormat="false" ht="15" hidden="false" customHeight="false" outlineLevel="0" collapsed="false">
      <c r="A635" s="17" t="s">
        <v>1199</v>
      </c>
      <c r="B635" s="17" t="n">
        <v>6620.94</v>
      </c>
      <c r="C635" s="19" t="n">
        <f aca="false">B635/B634-1</f>
        <v>0.00306786108724988</v>
      </c>
      <c r="D635" s="17" t="n">
        <f aca="false">AVERAGE(B586:B635)</f>
        <v>6662.0156</v>
      </c>
      <c r="E635" s="17" t="n">
        <f aca="false">AVERAGE(B436:B635)</f>
        <v>7025.88275</v>
      </c>
      <c r="F635" s="17" t="n">
        <f aca="false">B635*2/13+F634*11/13</f>
        <v>6450.56143777962</v>
      </c>
      <c r="G635" s="17" t="n">
        <f aca="false">B635*2/27+G634*25/27</f>
        <v>6497.47452206156</v>
      </c>
      <c r="H635" s="17" t="n">
        <f aca="false">F635-G635</f>
        <v>-46.913084281945</v>
      </c>
      <c r="I635" s="17" t="n">
        <f aca="false">H635*2/10+I634*8/10</f>
        <v>-107.106749170553</v>
      </c>
      <c r="J635" s="17" t="n">
        <f aca="false">H635-I635</f>
        <v>60.1936648886077</v>
      </c>
      <c r="K635" s="17" t="n">
        <f aca="false">MAX(B635-B634,0)</f>
        <v>20.25</v>
      </c>
      <c r="L635" s="17" t="n">
        <f aca="false">MAX(B634-B635,0)</f>
        <v>0</v>
      </c>
      <c r="M635" s="17" t="n">
        <f aca="false">(M634*13+K635)/14</f>
        <v>56.3008402271664</v>
      </c>
      <c r="N635" s="17" t="n">
        <f aca="false">(N634*13+L635)/14</f>
        <v>47.2779480979659</v>
      </c>
      <c r="O635" s="17" t="n">
        <f aca="false">IF(N635=0,100,100-100/(1+M635/N635))</f>
        <v>54.3555694535052</v>
      </c>
      <c r="P635" s="17" t="n">
        <f aca="false">AVERAGE(B616:B635)+2*STDEV(B616:B635)</f>
        <v>6846.31950030253</v>
      </c>
      <c r="Q635" s="17" t="n">
        <f aca="false">AVERAGE(B616:B635)-2*STDEV(B616:B635)</f>
        <v>5949.43849969748</v>
      </c>
      <c r="R635" s="19" t="n">
        <f aca="false">B635/B615-1</f>
        <v>-0.0124249728530005</v>
      </c>
      <c r="S635" s="17" t="n">
        <f aca="false">STDEV(C616:C635)*SQRT(252)*100</f>
        <v>38.048290190561</v>
      </c>
      <c r="T635" s="19" t="n">
        <f aca="false">B614/B384-1</f>
        <v>0.00301381130059175</v>
      </c>
      <c r="U635" s="19" t="n">
        <f aca="false">B635/MAX(B384:B635)-1</f>
        <v>-0.135667830259863</v>
      </c>
      <c r="V635" s="17" t="n">
        <f aca="false">(B635-AVERAGE(B616:B635))/STDEV(B616:B635)</f>
        <v>0.994829859700537</v>
      </c>
    </row>
    <row r="636" customFormat="false" ht="15" hidden="false" customHeight="false" outlineLevel="0" collapsed="false">
      <c r="A636" s="17" t="s">
        <v>1200</v>
      </c>
      <c r="B636" s="17" t="n">
        <v>6601.4</v>
      </c>
      <c r="C636" s="19" t="n">
        <f aca="false">B636/B635-1</f>
        <v>-0.00295124257280688</v>
      </c>
      <c r="D636" s="17" t="n">
        <f aca="false">AVERAGE(B587:B636)</f>
        <v>6659.7656</v>
      </c>
      <c r="E636" s="17" t="n">
        <f aca="false">AVERAGE(B437:B636)</f>
        <v>7026.24055</v>
      </c>
      <c r="F636" s="17" t="n">
        <f aca="false">B636*2/13+F635*11/13</f>
        <v>6473.76737042891</v>
      </c>
      <c r="G636" s="17" t="n">
        <f aca="false">B636*2/27+G635*25/27</f>
        <v>6505.17270561256</v>
      </c>
      <c r="H636" s="17" t="n">
        <f aca="false">F636-G636</f>
        <v>-31.4053351836501</v>
      </c>
      <c r="I636" s="17" t="n">
        <f aca="false">H636*2/10+I635*8/10</f>
        <v>-91.9664663731721</v>
      </c>
      <c r="J636" s="17" t="n">
        <f aca="false">H636-I636</f>
        <v>60.561131189522</v>
      </c>
      <c r="K636" s="17" t="n">
        <f aca="false">MAX(B636-B635,0)</f>
        <v>0</v>
      </c>
      <c r="L636" s="17" t="n">
        <f aca="false">MAX(B635-B636,0)</f>
        <v>19.54</v>
      </c>
      <c r="M636" s="17" t="n">
        <f aca="false">(M635*13+K636)/14</f>
        <v>52.2793516395116</v>
      </c>
      <c r="N636" s="17" t="n">
        <f aca="false">(N635*13+L636)/14</f>
        <v>45.2966660909684</v>
      </c>
      <c r="O636" s="17" t="n">
        <f aca="false">IF(N636=0,100,100-100/(1+M636/N636))</f>
        <v>53.5780746698592</v>
      </c>
      <c r="P636" s="17" t="n">
        <f aca="false">AVERAGE(B617:B636)+2*STDEV(B617:B636)</f>
        <v>6815.57624267715</v>
      </c>
      <c r="Q636" s="17" t="n">
        <f aca="false">AVERAGE(B617:B636)-2*STDEV(B617:B636)</f>
        <v>5963.92575732285</v>
      </c>
      <c r="R636" s="19" t="n">
        <f aca="false">B636/B616-1</f>
        <v>-0.0240332586236466</v>
      </c>
      <c r="S636" s="17" t="n">
        <f aca="false">STDEV(C617:C636)*SQRT(252)*100</f>
        <v>37.8979307304633</v>
      </c>
      <c r="T636" s="19" t="n">
        <f aca="false">B615/B385-1</f>
        <v>-0.000633525577290905</v>
      </c>
      <c r="U636" s="19" t="n">
        <f aca="false">B636/MAX(B385:B636)-1</f>
        <v>-0.138218684156247</v>
      </c>
      <c r="V636" s="17" t="n">
        <f aca="false">(B636-AVERAGE(B617:B636))/STDEV(B617:B636)</f>
        <v>0.99406507077584</v>
      </c>
    </row>
    <row r="637" customFormat="false" ht="15" hidden="false" customHeight="false" outlineLevel="0" collapsed="false">
      <c r="A637" s="17" t="s">
        <v>1201</v>
      </c>
      <c r="B637" s="17" t="n">
        <v>6541.04</v>
      </c>
      <c r="C637" s="19" t="n">
        <f aca="false">B637/B636-1</f>
        <v>-0.00914351501196709</v>
      </c>
      <c r="D637" s="17" t="n">
        <f aca="false">AVERAGE(B588:B637)</f>
        <v>6654.384</v>
      </c>
      <c r="E637" s="17" t="n">
        <f aca="false">AVERAGE(B438:B637)</f>
        <v>7026.6417</v>
      </c>
      <c r="F637" s="17" t="n">
        <f aca="false">B637*2/13+F636*11/13</f>
        <v>6484.11700574754</v>
      </c>
      <c r="G637" s="17" t="n">
        <f aca="false">B637*2/27+G636*25/27</f>
        <v>6507.82954223385</v>
      </c>
      <c r="H637" s="17" t="n">
        <f aca="false">F637-G637</f>
        <v>-23.7125364863123</v>
      </c>
      <c r="I637" s="17" t="n">
        <f aca="false">H637*2/10+I636*8/10</f>
        <v>-78.3156803958001</v>
      </c>
      <c r="J637" s="17" t="n">
        <f aca="false">H637-I637</f>
        <v>54.6031439094879</v>
      </c>
      <c r="K637" s="17" t="n">
        <f aca="false">MAX(B637-B636,0)</f>
        <v>0</v>
      </c>
      <c r="L637" s="17" t="n">
        <f aca="false">MAX(B636-B637,0)</f>
        <v>60.3599999999997</v>
      </c>
      <c r="M637" s="17" t="n">
        <f aca="false">(M636*13+K637)/14</f>
        <v>48.5451122366894</v>
      </c>
      <c r="N637" s="17" t="n">
        <f aca="false">(N636*13+L637)/14</f>
        <v>46.372618513042</v>
      </c>
      <c r="O637" s="17" t="n">
        <f aca="false">IF(N637=0,100,100-100/(1+M637/N637))</f>
        <v>51.1444087982758</v>
      </c>
      <c r="P637" s="17" t="n">
        <f aca="false">AVERAGE(B618:B637)+2*STDEV(B618:B637)</f>
        <v>6772.72411134806</v>
      </c>
      <c r="Q637" s="17" t="n">
        <f aca="false">AVERAGE(B618:B637)-2*STDEV(B618:B637)</f>
        <v>5984.08488865194</v>
      </c>
      <c r="R637" s="19" t="n">
        <f aca="false">B637/B617-1</f>
        <v>-0.0335299949615616</v>
      </c>
      <c r="S637" s="17" t="n">
        <f aca="false">STDEV(C618:C637)*SQRT(252)*100</f>
        <v>38.0028604348645</v>
      </c>
      <c r="T637" s="19" t="n">
        <f aca="false">B616/B386-1</f>
        <v>0.000801948349791637</v>
      </c>
      <c r="U637" s="19" t="n">
        <f aca="false">B637/MAX(B386:B637)-1</f>
        <v>-0.146098394554697</v>
      </c>
      <c r="V637" s="17" t="n">
        <f aca="false">(B637-AVERAGE(B618:B637))/STDEV(B618:B637)</f>
        <v>0.824891764546019</v>
      </c>
    </row>
    <row r="638" customFormat="false" ht="15" hidden="false" customHeight="false" outlineLevel="0" collapsed="false">
      <c r="A638" s="17" t="s">
        <v>1202</v>
      </c>
      <c r="B638" s="17" t="n">
        <v>6669.64</v>
      </c>
      <c r="C638" s="19" t="n">
        <f aca="false">B638/B637-1</f>
        <v>0.0196604821251667</v>
      </c>
      <c r="D638" s="17" t="n">
        <f aca="false">AVERAGE(B589:B638)</f>
        <v>6648.4348</v>
      </c>
      <c r="E638" s="17" t="n">
        <f aca="false">AVERAGE(B439:B638)</f>
        <v>7027.08425</v>
      </c>
      <c r="F638" s="17" t="n">
        <f aca="false">B638*2/13+F637*11/13</f>
        <v>6512.6590048633</v>
      </c>
      <c r="G638" s="17" t="n">
        <f aca="false">B638*2/27+G637*25/27</f>
        <v>6519.81550206838</v>
      </c>
      <c r="H638" s="17" t="n">
        <f aca="false">F638-G638</f>
        <v>-7.15649720507827</v>
      </c>
      <c r="I638" s="17" t="n">
        <f aca="false">H638*2/10+I637*8/10</f>
        <v>-64.0838437576558</v>
      </c>
      <c r="J638" s="17" t="n">
        <f aca="false">H638-I638</f>
        <v>56.9273465525775</v>
      </c>
      <c r="K638" s="17" t="n">
        <f aca="false">MAX(B638-B637,0)</f>
        <v>128.6</v>
      </c>
      <c r="L638" s="17" t="n">
        <f aca="false">MAX(B637-B638,0)</f>
        <v>0</v>
      </c>
      <c r="M638" s="17" t="n">
        <f aca="false">(M637*13+K638)/14</f>
        <v>54.2633185054973</v>
      </c>
      <c r="N638" s="17" t="n">
        <f aca="false">(N637*13+L638)/14</f>
        <v>43.0602886192533</v>
      </c>
      <c r="O638" s="17" t="n">
        <f aca="false">IF(N638=0,100,100-100/(1+M638/N638))</f>
        <v>55.7555562402675</v>
      </c>
      <c r="P638" s="17" t="n">
        <f aca="false">AVERAGE(B619:B638)+2*STDEV(B619:B638)</f>
        <v>6786.38198245373</v>
      </c>
      <c r="Q638" s="17" t="n">
        <f aca="false">AVERAGE(B619:B638)-2*STDEV(B619:B638)</f>
        <v>5977.89501754627</v>
      </c>
      <c r="R638" s="19" t="n">
        <f aca="false">B638/B618-1</f>
        <v>0.0113237987796742</v>
      </c>
      <c r="S638" s="17" t="n">
        <f aca="false">STDEV(C619:C638)*SQRT(252)*100</f>
        <v>37.5827848176063</v>
      </c>
      <c r="T638" s="19" t="n">
        <f aca="false">B617/B387-1</f>
        <v>0.00457612577443833</v>
      </c>
      <c r="U638" s="19" t="n">
        <f aca="false">B638/MAX(B387:B638)-1</f>
        <v>-0.129310277304189</v>
      </c>
      <c r="V638" s="17" t="n">
        <f aca="false">(B638-AVERAGE(B619:B638))/STDEV(B619:B638)</f>
        <v>1.42241749083938</v>
      </c>
    </row>
    <row r="639" customFormat="false" ht="15" hidden="false" customHeight="false" outlineLevel="0" collapsed="false">
      <c r="A639" s="17" t="s">
        <v>1203</v>
      </c>
      <c r="B639" s="17" t="n">
        <v>6668.56</v>
      </c>
      <c r="C639" s="19" t="n">
        <f aca="false">B639/B638-1</f>
        <v>-0.000161927780210069</v>
      </c>
      <c r="D639" s="17" t="n">
        <f aca="false">AVERAGE(B590:B639)</f>
        <v>6640.4226</v>
      </c>
      <c r="E639" s="17" t="n">
        <f aca="false">AVERAGE(B440:B639)</f>
        <v>7028.47285</v>
      </c>
      <c r="F639" s="17" t="n">
        <f aca="false">B639*2/13+F638*11/13</f>
        <v>6536.64377334587</v>
      </c>
      <c r="G639" s="17" t="n">
        <f aca="false">B639*2/27+G638*25/27</f>
        <v>6530.83361302628</v>
      </c>
      <c r="H639" s="17" t="n">
        <f aca="false">F639-G639</f>
        <v>5.81016031959371</v>
      </c>
      <c r="I639" s="17" t="n">
        <f aca="false">H639*2/10+I638*8/10</f>
        <v>-50.1050429422059</v>
      </c>
      <c r="J639" s="17" t="n">
        <f aca="false">H639-I639</f>
        <v>55.9152032617996</v>
      </c>
      <c r="K639" s="17" t="n">
        <f aca="false">MAX(B639-B638,0)</f>
        <v>0</v>
      </c>
      <c r="L639" s="17" t="n">
        <f aca="false">MAX(B638-B639,0)</f>
        <v>1.07999999999993</v>
      </c>
      <c r="M639" s="17" t="n">
        <f aca="false">(M638*13+K639)/14</f>
        <v>50.3873671836761</v>
      </c>
      <c r="N639" s="17" t="n">
        <f aca="false">(N638*13+L639)/14</f>
        <v>40.0616965750209</v>
      </c>
      <c r="O639" s="17" t="n">
        <f aca="false">IF(N639=0,100,100-100/(1+M639/N639))</f>
        <v>55.7080030348364</v>
      </c>
      <c r="P639" s="17" t="n">
        <f aca="false">AVERAGE(B620:B639)+2*STDEV(B620:B639)</f>
        <v>6816.52565103425</v>
      </c>
      <c r="Q639" s="17" t="n">
        <f aca="false">AVERAGE(B620:B639)-2*STDEV(B620:B639)</f>
        <v>5969.76834896575</v>
      </c>
      <c r="R639" s="19" t="n">
        <f aca="false">B639/B619-1</f>
        <v>0.0341434063386366</v>
      </c>
      <c r="S639" s="17" t="n">
        <f aca="false">STDEV(C620:C639)*SQRT(252)*100</f>
        <v>36.5909224225471</v>
      </c>
      <c r="T639" s="19" t="n">
        <f aca="false">B618/B388-1</f>
        <v>-0.0316169085558889</v>
      </c>
      <c r="U639" s="19" t="n">
        <f aca="false">B639/MAX(B388:B639)-1</f>
        <v>-0.129451266158236</v>
      </c>
      <c r="V639" s="17" t="n">
        <f aca="false">(B639-AVERAGE(B620:B639))/STDEV(B620:B639)</f>
        <v>1.30102450526124</v>
      </c>
    </row>
    <row r="640" customFormat="false" ht="15" hidden="false" customHeight="false" outlineLevel="0" collapsed="false">
      <c r="A640" s="17" t="s">
        <v>1204</v>
      </c>
      <c r="B640" s="17" t="n">
        <v>6718.45</v>
      </c>
      <c r="C640" s="19" t="n">
        <f aca="false">B640/B639-1</f>
        <v>0.00748137528941761</v>
      </c>
      <c r="D640" s="17" t="n">
        <f aca="false">AVERAGE(B591:B640)</f>
        <v>6635.4858</v>
      </c>
      <c r="E640" s="17" t="n">
        <f aca="false">AVERAGE(B441:B640)</f>
        <v>7029.77095</v>
      </c>
      <c r="F640" s="17" t="n">
        <f aca="false">B640*2/13+F639*11/13</f>
        <v>6564.61396206189</v>
      </c>
      <c r="G640" s="17" t="n">
        <f aca="false">B640*2/27+G639*25/27</f>
        <v>6544.73112317248</v>
      </c>
      <c r="H640" s="17" t="n">
        <f aca="false">F640-G640</f>
        <v>19.8828388894117</v>
      </c>
      <c r="I640" s="17" t="n">
        <f aca="false">H640*2/10+I639*8/10</f>
        <v>-36.1074665758824</v>
      </c>
      <c r="J640" s="17" t="n">
        <f aca="false">H640-I640</f>
        <v>55.990305465294</v>
      </c>
      <c r="K640" s="17" t="n">
        <f aca="false">MAX(B640-B639,0)</f>
        <v>49.8899999999994</v>
      </c>
      <c r="L640" s="17" t="n">
        <f aca="false">MAX(B639-B640,0)</f>
        <v>0</v>
      </c>
      <c r="M640" s="17" t="n">
        <f aca="false">(M639*13+K640)/14</f>
        <v>50.3518409562706</v>
      </c>
      <c r="N640" s="17" t="n">
        <f aca="false">(N639*13+L640)/14</f>
        <v>37.2001468196623</v>
      </c>
      <c r="O640" s="17" t="n">
        <f aca="false">IF(N640=0,100,100-100/(1+M640/N640))</f>
        <v>57.5107912856683</v>
      </c>
      <c r="P640" s="17" t="n">
        <f aca="false">AVERAGE(B621:B640)+2*STDEV(B621:B640)</f>
        <v>6850.52983877333</v>
      </c>
      <c r="Q640" s="17" t="n">
        <f aca="false">AVERAGE(B621:B640)-2*STDEV(B621:B640)</f>
        <v>5958.45716122667</v>
      </c>
      <c r="R640" s="19" t="n">
        <f aca="false">B640/B620-1</f>
        <v>0.0349579143251502</v>
      </c>
      <c r="S640" s="17" t="n">
        <f aca="false">STDEV(C621:C640)*SQRT(252)*100</f>
        <v>36.6056797703946</v>
      </c>
      <c r="T640" s="19" t="n">
        <f aca="false">B619/B389-1</f>
        <v>-0.0532916971303906</v>
      </c>
      <c r="U640" s="19" t="n">
        <f aca="false">B640/MAX(B389:B640)-1</f>
        <v>-0.122938364372639</v>
      </c>
      <c r="V640" s="17" t="n">
        <f aca="false">(B640-AVERAGE(B621:B640))/STDEV(B621:B640)</f>
        <v>1.40776198129251</v>
      </c>
    </row>
    <row r="641" customFormat="false" ht="15" hidden="false" customHeight="false" outlineLevel="0" collapsed="false">
      <c r="A641" s="17" t="s">
        <v>1205</v>
      </c>
      <c r="B641" s="17" t="n">
        <v>6784.61</v>
      </c>
      <c r="C641" s="19" t="n">
        <f aca="false">B641/B640-1</f>
        <v>0.0098475094701902</v>
      </c>
      <c r="D641" s="17" t="n">
        <f aca="false">AVERAGE(B592:B641)</f>
        <v>6632.4362</v>
      </c>
      <c r="E641" s="17" t="n">
        <f aca="false">AVERAGE(B442:B641)</f>
        <v>7030.8937</v>
      </c>
      <c r="F641" s="17" t="n">
        <f aca="false">B641*2/13+F640*11/13</f>
        <v>6598.45950636006</v>
      </c>
      <c r="G641" s="17" t="n">
        <f aca="false">B641*2/27+G640*25/27</f>
        <v>6562.49992886341</v>
      </c>
      <c r="H641" s="17" t="n">
        <f aca="false">F641-G641</f>
        <v>35.9595774966556</v>
      </c>
      <c r="I641" s="17" t="n">
        <f aca="false">H641*2/10+I640*8/10</f>
        <v>-21.6940577613748</v>
      </c>
      <c r="J641" s="17" t="n">
        <f aca="false">H641-I641</f>
        <v>57.6536352580304</v>
      </c>
      <c r="K641" s="17" t="n">
        <f aca="false">MAX(B641-B640,0)</f>
        <v>66.1599999999999</v>
      </c>
      <c r="L641" s="17" t="n">
        <f aca="false">MAX(B640-B641,0)</f>
        <v>0</v>
      </c>
      <c r="M641" s="17" t="n">
        <f aca="false">(M640*13+K641)/14</f>
        <v>51.4809951736798</v>
      </c>
      <c r="N641" s="17" t="n">
        <f aca="false">(N640*13+L641)/14</f>
        <v>34.5429934754007</v>
      </c>
      <c r="O641" s="17" t="n">
        <f aca="false">IF(N641=0,100,100-100/(1+M641/N641))</f>
        <v>59.8449292832577</v>
      </c>
      <c r="P641" s="17" t="n">
        <f aca="false">AVERAGE(B622:B641)+2*STDEV(B622:B641)</f>
        <v>6902.51359674766</v>
      </c>
      <c r="Q641" s="17" t="n">
        <f aca="false">AVERAGE(B622:B641)-2*STDEV(B622:B641)</f>
        <v>5950.63740325234</v>
      </c>
      <c r="R641" s="19" t="n">
        <f aca="false">B641/B621-1</f>
        <v>0.0696266890746762</v>
      </c>
      <c r="S641" s="17" t="n">
        <f aca="false">STDEV(C622:C641)*SQRT(252)*100</f>
        <v>35.4849798524102</v>
      </c>
      <c r="T641" s="19" t="n">
        <f aca="false">B620/B390-1</f>
        <v>-0.0501600010535048</v>
      </c>
      <c r="U641" s="19" t="n">
        <f aca="false">B641/MAX(B390:B641)-1</f>
        <v>-0.114301491609858</v>
      </c>
      <c r="V641" s="17" t="n">
        <f aca="false">(B641-AVERAGE(B622:B641))/STDEV(B622:B641)</f>
        <v>1.50454230265086</v>
      </c>
    </row>
    <row r="642" customFormat="false" ht="15" hidden="false" customHeight="false" outlineLevel="0" collapsed="false">
      <c r="A642" s="17" t="s">
        <v>1206</v>
      </c>
      <c r="B642" s="17" t="n">
        <v>6646.81</v>
      </c>
      <c r="C642" s="19" t="n">
        <f aca="false">B642/B641-1</f>
        <v>-0.0203106737159541</v>
      </c>
      <c r="D642" s="17" t="n">
        <f aca="false">AVERAGE(B593:B642)</f>
        <v>6625.5954</v>
      </c>
      <c r="E642" s="17" t="n">
        <f aca="false">AVERAGE(B443:B642)</f>
        <v>7031.15355</v>
      </c>
      <c r="F642" s="17" t="n">
        <f aca="false">B642*2/13+F641*11/13</f>
        <v>6605.89804384313</v>
      </c>
      <c r="G642" s="17" t="n">
        <f aca="false">B642*2/27+G641*25/27</f>
        <v>6568.74511931797</v>
      </c>
      <c r="H642" s="17" t="n">
        <f aca="false">F642-G642</f>
        <v>37.1529245251622</v>
      </c>
      <c r="I642" s="17" t="n">
        <f aca="false">H642*2/10+I641*8/10</f>
        <v>-9.92466130406737</v>
      </c>
      <c r="J642" s="17" t="n">
        <f aca="false">H642-I642</f>
        <v>47.0775858292296</v>
      </c>
      <c r="K642" s="17" t="n">
        <f aca="false">MAX(B642-B641,0)</f>
        <v>0</v>
      </c>
      <c r="L642" s="17" t="n">
        <f aca="false">MAX(B641-B642,0)</f>
        <v>137.799999999999</v>
      </c>
      <c r="M642" s="17" t="n">
        <f aca="false">(M641*13+K642)/14</f>
        <v>47.8037812327027</v>
      </c>
      <c r="N642" s="17" t="n">
        <f aca="false">(N641*13+L642)/14</f>
        <v>41.9184939414434</v>
      </c>
      <c r="O642" s="17" t="n">
        <f aca="false">IF(N642=0,100,100-100/(1+M642/N642))</f>
        <v>53.279724728244</v>
      </c>
      <c r="P642" s="17" t="n">
        <f aca="false">AVERAGE(B623:B642)+2*STDEV(B623:B642)</f>
        <v>6924.18020674166</v>
      </c>
      <c r="Q642" s="17" t="n">
        <f aca="false">AVERAGE(B623:B642)-2*STDEV(B623:B642)</f>
        <v>5969.33279325834</v>
      </c>
      <c r="R642" s="19" t="n">
        <f aca="false">B642/B622-1</f>
        <v>0.0646496422501959</v>
      </c>
      <c r="S642" s="17" t="n">
        <f aca="false">STDEV(C623:C642)*SQRT(252)*100</f>
        <v>35.8513284146452</v>
      </c>
      <c r="T642" s="19" t="n">
        <f aca="false">B621/B391-1</f>
        <v>-0.0815648945597339</v>
      </c>
      <c r="U642" s="19" t="n">
        <f aca="false">B642/MAX(B391:B642)-1</f>
        <v>-0.132290625024477</v>
      </c>
      <c r="V642" s="17" t="n">
        <f aca="false">(B642-AVERAGE(B623:B642))/STDEV(B623:B642)</f>
        <v>0.838054320198436</v>
      </c>
    </row>
    <row r="643" customFormat="false" ht="15" hidden="false" customHeight="false" outlineLevel="0" collapsed="false">
      <c r="A643" s="17" t="s">
        <v>1207</v>
      </c>
      <c r="B643" s="17" t="n">
        <v>6658.76</v>
      </c>
      <c r="C643" s="19" t="n">
        <f aca="false">B643/B642-1</f>
        <v>0.00179785491085194</v>
      </c>
      <c r="D643" s="17" t="n">
        <f aca="false">AVERAGE(B594:B643)</f>
        <v>6614.708</v>
      </c>
      <c r="E643" s="17" t="n">
        <f aca="false">AVERAGE(B444:B643)</f>
        <v>7032.2813</v>
      </c>
      <c r="F643" s="17" t="n">
        <f aca="false">B643*2/13+F642*11/13</f>
        <v>6614.03065248265</v>
      </c>
      <c r="G643" s="17" t="n">
        <f aca="false">B643*2/27+G642*25/27</f>
        <v>6575.41288825738</v>
      </c>
      <c r="H643" s="17" t="n">
        <f aca="false">F643-G643</f>
        <v>38.6177642252706</v>
      </c>
      <c r="I643" s="17" t="n">
        <f aca="false">H643*2/10+I642*8/10</f>
        <v>-0.216176198199784</v>
      </c>
      <c r="J643" s="17" t="n">
        <f aca="false">H643-I643</f>
        <v>38.8339404234703</v>
      </c>
      <c r="K643" s="17" t="n">
        <f aca="false">MAX(B643-B642,0)</f>
        <v>11.9499999999998</v>
      </c>
      <c r="L643" s="17" t="n">
        <f aca="false">MAX(B642-B643,0)</f>
        <v>0</v>
      </c>
      <c r="M643" s="17" t="n">
        <f aca="false">(M642*13+K643)/14</f>
        <v>45.2427968589382</v>
      </c>
      <c r="N643" s="17" t="n">
        <f aca="false">(N642*13+L643)/14</f>
        <v>38.9243158027689</v>
      </c>
      <c r="O643" s="17" t="n">
        <f aca="false">IF(N643=0,100,100-100/(1+M643/N643))</f>
        <v>53.7535332128864</v>
      </c>
      <c r="P643" s="17" t="n">
        <f aca="false">AVERAGE(B624:B643)+2*STDEV(B624:B643)</f>
        <v>6924.28164165796</v>
      </c>
      <c r="Q643" s="17" t="n">
        <f aca="false">AVERAGE(B624:B643)-2*STDEV(B624:B643)</f>
        <v>6030.45135834204</v>
      </c>
      <c r="R643" s="19" t="n">
        <f aca="false">B643/B623-1</f>
        <v>0.101247651557249</v>
      </c>
      <c r="S643" s="17" t="n">
        <f aca="false">STDEV(C624:C643)*SQRT(252)*100</f>
        <v>33.4217598854627</v>
      </c>
      <c r="T643" s="19" t="n">
        <f aca="false">B622/B392-1</f>
        <v>-0.103435648370207</v>
      </c>
      <c r="U643" s="19" t="n">
        <f aca="false">B643/MAX(B392:B643)-1</f>
        <v>-0.130730609463485</v>
      </c>
      <c r="V643" s="17" t="n">
        <f aca="false">(B643-AVERAGE(B624:B643))/STDEV(B624:B643)</f>
        <v>0.811758130758638</v>
      </c>
    </row>
    <row r="644" customFormat="false" ht="15" hidden="false" customHeight="false" outlineLevel="0" collapsed="false">
      <c r="A644" s="17" t="s">
        <v>1208</v>
      </c>
      <c r="B644" s="17" t="n">
        <v>6702.55</v>
      </c>
      <c r="C644" s="19" t="n">
        <f aca="false">B644/B643-1</f>
        <v>0.00657629949119665</v>
      </c>
      <c r="D644" s="17" t="n">
        <f aca="false">AVERAGE(B595:B644)</f>
        <v>6605.5872</v>
      </c>
      <c r="E644" s="17" t="n">
        <f aca="false">AVERAGE(B445:B644)</f>
        <v>7033.43235</v>
      </c>
      <c r="F644" s="17" t="n">
        <f aca="false">B644*2/13+F643*11/13</f>
        <v>6627.64901363916</v>
      </c>
      <c r="G644" s="17" t="n">
        <f aca="false">B644*2/27+G643*25/27</f>
        <v>6584.83045209016</v>
      </c>
      <c r="H644" s="17" t="n">
        <f aca="false">F644-G644</f>
        <v>42.8185615489983</v>
      </c>
      <c r="I644" s="17" t="n">
        <f aca="false">H644*2/10+I643*8/10</f>
        <v>8.39077135123984</v>
      </c>
      <c r="J644" s="17" t="n">
        <f aca="false">H644-I644</f>
        <v>34.4277901977585</v>
      </c>
      <c r="K644" s="17" t="n">
        <f aca="false">MAX(B644-B643,0)</f>
        <v>43.79</v>
      </c>
      <c r="L644" s="17" t="n">
        <f aca="false">MAX(B643-B644,0)</f>
        <v>0</v>
      </c>
      <c r="M644" s="17" t="n">
        <f aca="false">(M643*13+K644)/14</f>
        <v>45.1390256547283</v>
      </c>
      <c r="N644" s="17" t="n">
        <f aca="false">(N643*13+L644)/14</f>
        <v>36.1440075311426</v>
      </c>
      <c r="O644" s="17" t="n">
        <f aca="false">IF(N644=0,100,100-100/(1+M644/N644))</f>
        <v>55.5331461997836</v>
      </c>
      <c r="P644" s="17" t="n">
        <f aca="false">AVERAGE(B625:B644)+2*STDEV(B625:B644)</f>
        <v>6882.60196607156</v>
      </c>
      <c r="Q644" s="17" t="n">
        <f aca="false">AVERAGE(B625:B644)-2*STDEV(B625:B644)</f>
        <v>6152.45103392844</v>
      </c>
      <c r="R644" s="19" t="n">
        <f aca="false">B644/B624-1</f>
        <v>0.136150592861925</v>
      </c>
      <c r="S644" s="17" t="n">
        <f aca="false">STDEV(C625:C644)*SQRT(252)*100</f>
        <v>31.5665009229877</v>
      </c>
      <c r="T644" s="19" t="n">
        <f aca="false">B623/B393-1</f>
        <v>-0.126137570725574</v>
      </c>
      <c r="U644" s="19" t="n">
        <f aca="false">B644/MAX(B393:B644)-1</f>
        <v>-0.125014033612787</v>
      </c>
      <c r="V644" s="17" t="n">
        <f aca="false">(B644-AVERAGE(B625:B644))/STDEV(B625:B644)</f>
        <v>1.01361782532783</v>
      </c>
    </row>
    <row r="645" customFormat="false" ht="15" hidden="false" customHeight="false" outlineLevel="0" collapsed="false">
      <c r="A645" s="17" t="s">
        <v>1209</v>
      </c>
      <c r="B645" s="17" t="n">
        <v>6787.37</v>
      </c>
      <c r="C645" s="19" t="n">
        <f aca="false">B645/B644-1</f>
        <v>0.0126548850810513</v>
      </c>
      <c r="D645" s="17" t="n">
        <f aca="false">AVERAGE(B596:B645)</f>
        <v>6600.5516</v>
      </c>
      <c r="E645" s="17" t="n">
        <f aca="false">AVERAGE(B446:B645)</f>
        <v>7034.28985</v>
      </c>
      <c r="F645" s="17" t="n">
        <f aca="false">B645*2/13+F644*11/13</f>
        <v>6652.22147307929</v>
      </c>
      <c r="G645" s="17" t="n">
        <f aca="false">B645*2/27+G644*25/27</f>
        <v>6599.83338156497</v>
      </c>
      <c r="H645" s="17" t="n">
        <f aca="false">F645-G645</f>
        <v>52.3880915143227</v>
      </c>
      <c r="I645" s="17" t="n">
        <f aca="false">H645*2/10+I644*8/10</f>
        <v>17.1902353838564</v>
      </c>
      <c r="J645" s="17" t="n">
        <f aca="false">H645-I645</f>
        <v>35.1978561304663</v>
      </c>
      <c r="K645" s="17" t="n">
        <f aca="false">MAX(B645-B644,0)</f>
        <v>84.8199999999997</v>
      </c>
      <c r="L645" s="17" t="n">
        <f aca="false">MAX(B644-B645,0)</f>
        <v>0</v>
      </c>
      <c r="M645" s="17" t="n">
        <f aca="false">(M644*13+K645)/14</f>
        <v>47.9733809651049</v>
      </c>
      <c r="N645" s="17" t="n">
        <f aca="false">(N644*13+L645)/14</f>
        <v>33.5622927074895</v>
      </c>
      <c r="O645" s="17" t="n">
        <f aca="false">IF(N645=0,100,100-100/(1+M645/N645))</f>
        <v>58.837290236592</v>
      </c>
      <c r="P645" s="17" t="n">
        <f aca="false">AVERAGE(B626:B645)+2*STDEV(B626:B645)</f>
        <v>6907.14257506125</v>
      </c>
      <c r="Q645" s="17" t="n">
        <f aca="false">AVERAGE(B626:B645)-2*STDEV(B626:B645)</f>
        <v>6180.37042493875</v>
      </c>
      <c r="R645" s="19" t="n">
        <f aca="false">B645/B625-1</f>
        <v>0.0837648516550982</v>
      </c>
      <c r="S645" s="17" t="n">
        <f aca="false">STDEV(C626:C645)*SQRT(252)*100</f>
        <v>24.1659197477065</v>
      </c>
      <c r="T645" s="19" t="n">
        <f aca="false">B624/B394-1</f>
        <v>-0.147036710379827</v>
      </c>
      <c r="U645" s="19" t="n">
        <f aca="false">B645/MAX(B394:B645)-1</f>
        <v>-0.113941186760624</v>
      </c>
      <c r="V645" s="17" t="n">
        <f aca="false">(B645-AVERAGE(B626:B645))/STDEV(B626:B645)</f>
        <v>1.34079711204639</v>
      </c>
    </row>
    <row r="646" customFormat="false" ht="15" hidden="false" customHeight="false" outlineLevel="0" collapsed="false">
      <c r="A646" s="17" t="s">
        <v>1210</v>
      </c>
      <c r="B646" s="17" t="n">
        <v>6697.09</v>
      </c>
      <c r="C646" s="19" t="n">
        <f aca="false">B646/B645-1</f>
        <v>-0.0133011755657935</v>
      </c>
      <c r="D646" s="17" t="n">
        <f aca="false">AVERAGE(B597:B646)</f>
        <v>6597.9114</v>
      </c>
      <c r="E646" s="17" t="n">
        <f aca="false">AVERAGE(B447:B646)</f>
        <v>7034.8581</v>
      </c>
      <c r="F646" s="17" t="n">
        <f aca="false">B646*2/13+F645*11/13</f>
        <v>6659.12432337478</v>
      </c>
      <c r="G646" s="17" t="n">
        <f aca="false">B646*2/27+G645*25/27</f>
        <v>6607.03757552312</v>
      </c>
      <c r="H646" s="17" t="n">
        <f aca="false">F646-G646</f>
        <v>52.0867478516657</v>
      </c>
      <c r="I646" s="17" t="n">
        <f aca="false">H646*2/10+I645*8/10</f>
        <v>24.1695378774183</v>
      </c>
      <c r="J646" s="17" t="n">
        <f aca="false">H646-I646</f>
        <v>27.9172099742474</v>
      </c>
      <c r="K646" s="17" t="n">
        <f aca="false">MAX(B646-B645,0)</f>
        <v>0</v>
      </c>
      <c r="L646" s="17" t="n">
        <f aca="false">MAX(B645-B646,0)</f>
        <v>90.2799999999998</v>
      </c>
      <c r="M646" s="17" t="n">
        <f aca="false">(M645*13+K646)/14</f>
        <v>44.5467108961688</v>
      </c>
      <c r="N646" s="17" t="n">
        <f aca="false">(N645*13+L646)/14</f>
        <v>37.6135575140974</v>
      </c>
      <c r="O646" s="17" t="n">
        <f aca="false">IF(N646=0,100,100-100/(1+M646/N646))</f>
        <v>54.2192859859286</v>
      </c>
      <c r="P646" s="17" t="n">
        <f aca="false">AVERAGE(B627:B646)+2*STDEV(B627:B646)</f>
        <v>6912.76677012461</v>
      </c>
      <c r="Q646" s="17" t="n">
        <f aca="false">AVERAGE(B627:B646)-2*STDEV(B627:B646)</f>
        <v>6215.62522987539</v>
      </c>
      <c r="R646" s="19" t="n">
        <f aca="false">B646/B626-1</f>
        <v>0.0650080307873353</v>
      </c>
      <c r="S646" s="17" t="n">
        <f aca="false">STDEV(C627:C646)*SQRT(252)*100</f>
        <v>24.94661215608</v>
      </c>
      <c r="T646" s="19" t="n">
        <f aca="false">B625/B395-1</f>
        <v>-0.108244802412654</v>
      </c>
      <c r="U646" s="19" t="n">
        <f aca="false">B646/MAX(B395:B646)-1</f>
        <v>-0.12572681059714</v>
      </c>
      <c r="V646" s="17" t="n">
        <f aca="false">(B646-AVERAGE(B627:B646))/STDEV(B627:B646)</f>
        <v>0.762507997744571</v>
      </c>
    </row>
    <row r="647" customFormat="false" ht="15" hidden="false" customHeight="false" outlineLevel="0" collapsed="false">
      <c r="A647" s="17" t="s">
        <v>1211</v>
      </c>
      <c r="B647" s="17" t="n">
        <v>6632.79</v>
      </c>
      <c r="C647" s="19" t="n">
        <f aca="false">B647/B646-1</f>
        <v>-0.00960118499228768</v>
      </c>
      <c r="D647" s="17" t="n">
        <f aca="false">AVERAGE(B598:B647)</f>
        <v>6593.949</v>
      </c>
      <c r="E647" s="17" t="n">
        <f aca="false">AVERAGE(B448:B647)</f>
        <v>7034.74075</v>
      </c>
      <c r="F647" s="17" t="n">
        <f aca="false">B647*2/13+F646*11/13</f>
        <v>6655.07288900943</v>
      </c>
      <c r="G647" s="17" t="n">
        <f aca="false">B647*2/27+G646*25/27</f>
        <v>6608.94516252141</v>
      </c>
      <c r="H647" s="17" t="n">
        <f aca="false">F647-G647</f>
        <v>46.1277264880264</v>
      </c>
      <c r="I647" s="17" t="n">
        <f aca="false">H647*2/10+I646*8/10</f>
        <v>28.5611755995399</v>
      </c>
      <c r="J647" s="17" t="n">
        <f aca="false">H647-I647</f>
        <v>17.5665508884865</v>
      </c>
      <c r="K647" s="17" t="n">
        <f aca="false">MAX(B647-B646,0)</f>
        <v>0</v>
      </c>
      <c r="L647" s="17" t="n">
        <f aca="false">MAX(B646-B647,0)</f>
        <v>64.3000000000002</v>
      </c>
      <c r="M647" s="17" t="n">
        <f aca="false">(M646*13+K647)/14</f>
        <v>41.3648029750139</v>
      </c>
      <c r="N647" s="17" t="n">
        <f aca="false">(N646*13+L647)/14</f>
        <v>39.5197319773762</v>
      </c>
      <c r="O647" s="17" t="n">
        <f aca="false">IF(N647=0,100,100-100/(1+M647/N647))</f>
        <v>51.140558574469</v>
      </c>
      <c r="P647" s="17" t="n">
        <f aca="false">AVERAGE(B628:B647)+2*STDEV(B628:B647)</f>
        <v>6905.36512086578</v>
      </c>
      <c r="Q647" s="17" t="n">
        <f aca="false">AVERAGE(B628:B647)-2*STDEV(B628:B647)</f>
        <v>6257.77887913422</v>
      </c>
      <c r="R647" s="19" t="n">
        <f aca="false">B647/B627-1</f>
        <v>0.0552911808084615</v>
      </c>
      <c r="S647" s="17" t="n">
        <f aca="false">STDEV(C628:C647)*SQRT(252)*100</f>
        <v>25.3355474719417</v>
      </c>
      <c r="T647" s="19" t="n">
        <f aca="false">B626/B396-1</f>
        <v>-0.100169997939419</v>
      </c>
      <c r="U647" s="19" t="n">
        <f aca="false">B647/MAX(B396:B647)-1</f>
        <v>-0.134120869222394</v>
      </c>
      <c r="V647" s="17" t="n">
        <f aca="false">(B647-AVERAGE(B628:B647))/STDEV(B628:B647)</f>
        <v>0.316362496294239</v>
      </c>
    </row>
    <row r="648" customFormat="false" ht="15" hidden="false" customHeight="false" outlineLevel="0" collapsed="false">
      <c r="A648" s="17" t="s">
        <v>1212</v>
      </c>
      <c r="B648" s="17" t="n">
        <v>6807.91</v>
      </c>
      <c r="C648" s="19" t="n">
        <f aca="false">B648/B647-1</f>
        <v>0.026402162589197</v>
      </c>
      <c r="D648" s="17" t="n">
        <f aca="false">AVERAGE(B599:B648)</f>
        <v>6594.7098</v>
      </c>
      <c r="E648" s="17" t="n">
        <f aca="false">AVERAGE(B449:B648)</f>
        <v>7035.6386</v>
      </c>
      <c r="F648" s="17" t="n">
        <f aca="false">B648*2/13+F647*11/13</f>
        <v>6678.58629070029</v>
      </c>
      <c r="G648" s="17" t="n">
        <f aca="false">B648*2/27+G647*25/27</f>
        <v>6623.68329863093</v>
      </c>
      <c r="H648" s="17" t="n">
        <f aca="false">F648-G648</f>
        <v>54.9029920693565</v>
      </c>
      <c r="I648" s="17" t="n">
        <f aca="false">H648*2/10+I647*8/10</f>
        <v>33.8295388935032</v>
      </c>
      <c r="J648" s="17" t="n">
        <f aca="false">H648-I648</f>
        <v>21.0734531758533</v>
      </c>
      <c r="K648" s="17" t="n">
        <f aca="false">MAX(B648-B647,0)</f>
        <v>175.12</v>
      </c>
      <c r="L648" s="17" t="n">
        <f aca="false">MAX(B647-B648,0)</f>
        <v>0</v>
      </c>
      <c r="M648" s="17" t="n">
        <f aca="false">(M647*13+K648)/14</f>
        <v>50.9187456196558</v>
      </c>
      <c r="N648" s="17" t="n">
        <f aca="false">(N647*13+L648)/14</f>
        <v>36.6968939789922</v>
      </c>
      <c r="O648" s="17" t="n">
        <f aca="false">IF(N648=0,100,100-100/(1+M648/N648))</f>
        <v>58.1160462366145</v>
      </c>
      <c r="P648" s="17" t="n">
        <f aca="false">AVERAGE(B629:B648)+2*STDEV(B629:B648)</f>
        <v>6921.53142587252</v>
      </c>
      <c r="Q648" s="17" t="n">
        <f aca="false">AVERAGE(B629:B648)-2*STDEV(B629:B648)</f>
        <v>6289.40657412748</v>
      </c>
      <c r="R648" s="19" t="n">
        <f aca="false">B648/B628-1</f>
        <v>0.0755043072873962</v>
      </c>
      <c r="S648" s="17" t="n">
        <f aca="false">STDEV(C629:C648)*SQRT(252)*100</f>
        <v>26.660153906402</v>
      </c>
      <c r="T648" s="19" t="n">
        <f aca="false">B627/B397-1</f>
        <v>-0.0931301608921425</v>
      </c>
      <c r="U648" s="19" t="n">
        <f aca="false">B648/MAX(B397:B648)-1</f>
        <v>-0.111259787629011</v>
      </c>
      <c r="V648" s="17" t="n">
        <f aca="false">(B648-AVERAGE(B629:B648))/STDEV(B629:B648)</f>
        <v>1.28101908628426</v>
      </c>
    </row>
    <row r="649" customFormat="false" ht="15" hidden="false" customHeight="false" outlineLevel="0" collapsed="false">
      <c r="A649" s="17" t="s">
        <v>1213</v>
      </c>
      <c r="B649" s="17" t="n">
        <v>6906.84</v>
      </c>
      <c r="C649" s="19" t="n">
        <f aca="false">B649/B648-1</f>
        <v>0.0145316257118557</v>
      </c>
      <c r="D649" s="17" t="n">
        <f aca="false">AVERAGE(B600:B649)</f>
        <v>6595.0376</v>
      </c>
      <c r="E649" s="17" t="n">
        <f aca="false">AVERAGE(B450:B649)</f>
        <v>7036.7969</v>
      </c>
      <c r="F649" s="17" t="n">
        <f aca="false">B649*2/13+F648*11/13</f>
        <v>6713.70224597717</v>
      </c>
      <c r="G649" s="17" t="n">
        <f aca="false">B649*2/27+G648*25/27</f>
        <v>6644.65786910271</v>
      </c>
      <c r="H649" s="17" t="n">
        <f aca="false">F649-G649</f>
        <v>69.0443768744526</v>
      </c>
      <c r="I649" s="17" t="n">
        <f aca="false">H649*2/10+I648*8/10</f>
        <v>40.8725064896931</v>
      </c>
      <c r="J649" s="17" t="n">
        <f aca="false">H649-I649</f>
        <v>28.1718703847595</v>
      </c>
      <c r="K649" s="17" t="n">
        <f aca="false">MAX(B649-B648,0)</f>
        <v>98.9300000000003</v>
      </c>
      <c r="L649" s="17" t="n">
        <f aca="false">MAX(B648-B649,0)</f>
        <v>0</v>
      </c>
      <c r="M649" s="17" t="n">
        <f aca="false">(M648*13+K649)/14</f>
        <v>54.3481209325375</v>
      </c>
      <c r="N649" s="17" t="n">
        <f aca="false">(N648*13+L649)/14</f>
        <v>34.075687266207</v>
      </c>
      <c r="O649" s="17" t="n">
        <f aca="false">IF(N649=0,100,100-100/(1+M649/N649))</f>
        <v>61.4632213197409</v>
      </c>
      <c r="P649" s="17" t="n">
        <f aca="false">AVERAGE(B630:B649)+2*STDEV(B630:B649)</f>
        <v>6954.14449382992</v>
      </c>
      <c r="Q649" s="17" t="n">
        <f aca="false">AVERAGE(B630:B649)-2*STDEV(B630:B649)</f>
        <v>6311.39050617008</v>
      </c>
      <c r="R649" s="19" t="n">
        <f aca="false">B649/B629-1</f>
        <v>0.0858325983709776</v>
      </c>
      <c r="S649" s="17" t="n">
        <f aca="false">STDEV(C630:C649)*SQRT(252)*100</f>
        <v>26.9317382702529</v>
      </c>
      <c r="T649" s="19" t="n">
        <f aca="false">B628/B398-1</f>
        <v>-0.0892116391534376</v>
      </c>
      <c r="U649" s="19" t="n">
        <f aca="false">B649/MAX(B398:B649)-1</f>
        <v>-0.0983449475077609</v>
      </c>
      <c r="V649" s="17" t="n">
        <f aca="false">(B649-AVERAGE(B630:B649))/STDEV(B630:B649)</f>
        <v>1.70561368898138</v>
      </c>
    </row>
    <row r="650" customFormat="false" ht="15" hidden="false" customHeight="false" outlineLevel="0" collapsed="false">
      <c r="A650" s="17" t="s">
        <v>1214</v>
      </c>
      <c r="B650" s="17" t="n">
        <v>6875.52</v>
      </c>
      <c r="C650" s="19" t="n">
        <f aca="false">B650/B649-1</f>
        <v>-0.00453463523116215</v>
      </c>
      <c r="D650" s="17" t="n">
        <f aca="false">AVERAGE(B601:B650)</f>
        <v>6595.2076</v>
      </c>
      <c r="E650" s="17" t="n">
        <f aca="false">AVERAGE(B451:B650)</f>
        <v>7037.09265</v>
      </c>
      <c r="F650" s="17" t="n">
        <f aca="false">B650*2/13+F649*11/13</f>
        <v>6738.5972850576</v>
      </c>
      <c r="G650" s="17" t="n">
        <f aca="false">B650*2/27+G649*25/27</f>
        <v>6661.7587676877</v>
      </c>
      <c r="H650" s="17" t="n">
        <f aca="false">F650-G650</f>
        <v>76.8385173699044</v>
      </c>
      <c r="I650" s="17" t="n">
        <f aca="false">H650*2/10+I649*8/10</f>
        <v>48.0657086657354</v>
      </c>
      <c r="J650" s="17" t="n">
        <f aca="false">H650-I650</f>
        <v>28.772808704169</v>
      </c>
      <c r="K650" s="17" t="n">
        <f aca="false">MAX(B650-B649,0)</f>
        <v>0</v>
      </c>
      <c r="L650" s="17" t="n">
        <f aca="false">MAX(B649-B650,0)</f>
        <v>31.3199999999997</v>
      </c>
      <c r="M650" s="17" t="n">
        <f aca="false">(M649*13+K650)/14</f>
        <v>50.4661122944991</v>
      </c>
      <c r="N650" s="17" t="n">
        <f aca="false">(N649*13+L650)/14</f>
        <v>33.8788524614779</v>
      </c>
      <c r="O650" s="17" t="n">
        <f aca="false">IF(N650=0,100,100-100/(1+M650/N650))</f>
        <v>59.8329875891292</v>
      </c>
      <c r="P650" s="17" t="n">
        <f aca="false">AVERAGE(B631:B650)+2*STDEV(B631:B650)</f>
        <v>6915.05922313526</v>
      </c>
      <c r="Q650" s="17" t="n">
        <f aca="false">AVERAGE(B631:B650)-2*STDEV(B631:B650)</f>
        <v>6423.31477686474</v>
      </c>
      <c r="R650" s="19" t="n">
        <f aca="false">B650/B630-1</f>
        <v>0.118492694964967</v>
      </c>
      <c r="S650" s="17" t="n">
        <f aca="false">STDEV(C631:C650)*SQRT(252)*100</f>
        <v>23.2341082583999</v>
      </c>
      <c r="T650" s="19" t="n">
        <f aca="false">B629/B399-1</f>
        <v>-0.078335144533797</v>
      </c>
      <c r="U650" s="19" t="n">
        <f aca="false">B650/MAX(B399:B650)-1</f>
        <v>-0.102433624275148</v>
      </c>
      <c r="V650" s="17" t="n">
        <f aca="false">(B650-AVERAGE(B631:B650))/STDEV(B631:B650)</f>
        <v>1.67837584391543</v>
      </c>
    </row>
    <row r="651" customFormat="false" ht="15" hidden="false" customHeight="false" outlineLevel="0" collapsed="false">
      <c r="A651" s="17" t="s">
        <v>1215</v>
      </c>
      <c r="B651" s="17" t="n">
        <v>6959.96</v>
      </c>
      <c r="C651" s="19" t="n">
        <f aca="false">B651/B650-1</f>
        <v>0.0122812529088709</v>
      </c>
      <c r="D651" s="17" t="n">
        <f aca="false">AVERAGE(B602:B651)</f>
        <v>6601.5484</v>
      </c>
      <c r="E651" s="17" t="n">
        <f aca="false">AVERAGE(B452:B651)</f>
        <v>7037.7264</v>
      </c>
      <c r="F651" s="17" t="n">
        <f aca="false">B651*2/13+F650*11/13</f>
        <v>6772.65308735643</v>
      </c>
      <c r="G651" s="17" t="n">
        <f aca="false">B651*2/27+G650*25/27</f>
        <v>6683.84774785898</v>
      </c>
      <c r="H651" s="17" t="n">
        <f aca="false">F651-G651</f>
        <v>88.805339497454</v>
      </c>
      <c r="I651" s="17" t="n">
        <f aca="false">H651*2/10+I650*8/10</f>
        <v>56.2136348320791</v>
      </c>
      <c r="J651" s="17" t="n">
        <f aca="false">H651-I651</f>
        <v>32.591704665375</v>
      </c>
      <c r="K651" s="17" t="n">
        <f aca="false">MAX(B651-B650,0)</f>
        <v>84.4399999999996</v>
      </c>
      <c r="L651" s="17" t="n">
        <f aca="false">MAX(B650-B651,0)</f>
        <v>0</v>
      </c>
      <c r="M651" s="17" t="n">
        <f aca="false">(M650*13+K651)/14</f>
        <v>52.8928185591777</v>
      </c>
      <c r="N651" s="17" t="n">
        <f aca="false">(N650*13+L651)/14</f>
        <v>31.4589344285152</v>
      </c>
      <c r="O651" s="17" t="n">
        <f aca="false">IF(N651=0,100,100-100/(1+M651/N651))</f>
        <v>62.705061466707</v>
      </c>
      <c r="P651" s="17" t="n">
        <f aca="false">AVERAGE(B632:B651)+2*STDEV(B632:B651)</f>
        <v>6945.89218273286</v>
      </c>
      <c r="Q651" s="17" t="n">
        <f aca="false">AVERAGE(B632:B651)-2*STDEV(B632:B651)</f>
        <v>6446.21081726714</v>
      </c>
      <c r="R651" s="19" t="n">
        <f aca="false">B651/B631-1</f>
        <v>0.0836552399547228</v>
      </c>
      <c r="S651" s="17" t="n">
        <f aca="false">STDEV(C632:C651)*SQRT(252)*100</f>
        <v>18.3209910886093</v>
      </c>
      <c r="T651" s="19" t="n">
        <f aca="false">B630/B400-1</f>
        <v>-0.0907002510247341</v>
      </c>
      <c r="U651" s="19" t="n">
        <f aca="false">B651/MAX(B400:B651)-1</f>
        <v>-0.0914103846123721</v>
      </c>
      <c r="V651" s="17" t="n">
        <f aca="false">(B651-AVERAGE(B632:B651))/STDEV(B632:B651)</f>
        <v>2.11261430374959</v>
      </c>
    </row>
    <row r="652" customFormat="false" ht="15" hidden="false" customHeight="false" outlineLevel="0" collapsed="false">
      <c r="A652" s="17" t="s">
        <v>1216</v>
      </c>
      <c r="B652" s="17" t="n">
        <v>7023.52</v>
      </c>
      <c r="C652" s="19" t="n">
        <f aca="false">B652/B651-1</f>
        <v>0.00913223639216332</v>
      </c>
      <c r="D652" s="17" t="n">
        <f aca="false">AVERAGE(B603:B652)</f>
        <v>6611.4796</v>
      </c>
      <c r="E652" s="17" t="n">
        <f aca="false">AVERAGE(B453:B652)</f>
        <v>7038.96955</v>
      </c>
      <c r="F652" s="17" t="n">
        <f aca="false">B652*2/13+F651*11/13</f>
        <v>6811.24799699391</v>
      </c>
      <c r="G652" s="17" t="n">
        <f aca="false">B652*2/27+G651*25/27</f>
        <v>6709.00865542498</v>
      </c>
      <c r="H652" s="17" t="n">
        <f aca="false">F652-G652</f>
        <v>102.239341568925</v>
      </c>
      <c r="I652" s="17" t="n">
        <f aca="false">H652*2/10+I651*8/10</f>
        <v>65.4187761794482</v>
      </c>
      <c r="J652" s="17" t="n">
        <f aca="false">H652-I652</f>
        <v>36.8205653894766</v>
      </c>
      <c r="K652" s="17" t="n">
        <f aca="false">MAX(B652-B651,0)</f>
        <v>63.5600000000004</v>
      </c>
      <c r="L652" s="17" t="n">
        <f aca="false">MAX(B651-B652,0)</f>
        <v>0</v>
      </c>
      <c r="M652" s="17" t="n">
        <f aca="false">(M651*13+K652)/14</f>
        <v>53.6547600906651</v>
      </c>
      <c r="N652" s="17" t="n">
        <f aca="false">(N651*13+L652)/14</f>
        <v>29.2118676836213</v>
      </c>
      <c r="O652" s="17" t="n">
        <f aca="false">IF(N652=0,100,100-100/(1+M652/N652))</f>
        <v>64.7483329921557</v>
      </c>
      <c r="P652" s="17" t="n">
        <f aca="false">AVERAGE(B633:B652)+2*STDEV(B633:B652)</f>
        <v>6992.79558351238</v>
      </c>
      <c r="Q652" s="17" t="n">
        <f aca="false">AVERAGE(B633:B652)-2*STDEV(B633:B652)</f>
        <v>6452.83441648762</v>
      </c>
      <c r="R652" s="19" t="n">
        <f aca="false">B652/B632-1</f>
        <v>0.0824983624243827</v>
      </c>
      <c r="S652" s="17" t="n">
        <f aca="false">STDEV(C633:C652)*SQRT(252)*100</f>
        <v>18.2771374398277</v>
      </c>
      <c r="T652" s="19" t="n">
        <f aca="false">B631/B401-1</f>
        <v>-0.0112763088215372</v>
      </c>
      <c r="U652" s="19" t="n">
        <f aca="false">B652/MAX(B401:B652)-1</f>
        <v>-0.0831129294611875</v>
      </c>
      <c r="V652" s="17" t="n">
        <f aca="false">(B652-AVERAGE(B633:B652))/STDEV(B633:B652)</f>
        <v>2.22760463799215</v>
      </c>
    </row>
    <row r="653" customFormat="false" ht="15" hidden="false" customHeight="false" outlineLevel="0" collapsed="false">
      <c r="A653" s="17" t="s">
        <v>1217</v>
      </c>
      <c r="B653" s="17" t="n">
        <v>6997.62</v>
      </c>
      <c r="C653" s="19" t="n">
        <f aca="false">B653/B652-1</f>
        <v>-0.00368760963163772</v>
      </c>
      <c r="D653" s="17" t="n">
        <f aca="false">AVERAGE(B604:B653)</f>
        <v>6619.9188</v>
      </c>
      <c r="E653" s="17" t="n">
        <f aca="false">AVERAGE(B454:B653)</f>
        <v>7040.6189</v>
      </c>
      <c r="F653" s="17" t="n">
        <f aca="false">B653*2/13+F652*11/13</f>
        <v>6839.920612841</v>
      </c>
      <c r="G653" s="17" t="n">
        <f aca="false">B653*2/27+G652*25/27</f>
        <v>6730.38727354165</v>
      </c>
      <c r="H653" s="17" t="n">
        <f aca="false">F653-G653</f>
        <v>109.533339299348</v>
      </c>
      <c r="I653" s="17" t="n">
        <f aca="false">H653*2/10+I652*8/10</f>
        <v>74.2416888034282</v>
      </c>
      <c r="J653" s="17" t="n">
        <f aca="false">H653-I653</f>
        <v>35.2916504959198</v>
      </c>
      <c r="K653" s="17" t="n">
        <f aca="false">MAX(B653-B652,0)</f>
        <v>0</v>
      </c>
      <c r="L653" s="17" t="n">
        <f aca="false">MAX(B652-B653,0)</f>
        <v>25.9000000000005</v>
      </c>
      <c r="M653" s="17" t="n">
        <f aca="false">(M652*13+K653)/14</f>
        <v>49.8222772270461</v>
      </c>
      <c r="N653" s="17" t="n">
        <f aca="false">(N652*13+L653)/14</f>
        <v>28.9753057062198</v>
      </c>
      <c r="O653" s="17" t="n">
        <f aca="false">IF(N653=0,100,100-100/(1+M653/N653))</f>
        <v>63.2281795613463</v>
      </c>
      <c r="P653" s="17" t="n">
        <f aca="false">AVERAGE(B634:B653)+2*STDEV(B634:B653)</f>
        <v>7028.90417529129</v>
      </c>
      <c r="Q653" s="17" t="n">
        <f aca="false">AVERAGE(B634:B653)-2*STDEV(B634:B653)</f>
        <v>6461.30282470872</v>
      </c>
      <c r="R653" s="19" t="n">
        <f aca="false">B653/B633-1</f>
        <v>0.0680372719155657</v>
      </c>
      <c r="S653" s="17" t="n">
        <f aca="false">STDEV(C634:C653)*SQRT(252)*100</f>
        <v>18.3396507396263</v>
      </c>
      <c r="T653" s="19" t="n">
        <f aca="false">B632/B402-1</f>
        <v>-0.0266622462113597</v>
      </c>
      <c r="U653" s="19" t="n">
        <f aca="false">B653/MAX(B402:B653)-1</f>
        <v>-0.0864940510536306</v>
      </c>
      <c r="V653" s="17" t="n">
        <f aca="false">(B653-AVERAGE(B634:B653))/STDEV(B634:B653)</f>
        <v>1.77953417299535</v>
      </c>
    </row>
    <row r="654" customFormat="false" ht="15" hidden="false" customHeight="false" outlineLevel="0" collapsed="false">
      <c r="A654" s="17" t="s">
        <v>1218</v>
      </c>
      <c r="B654" s="17" t="n">
        <v>6904.98</v>
      </c>
      <c r="C654" s="19" t="n">
        <f aca="false">B654/B653-1</f>
        <v>-0.0132387869018323</v>
      </c>
      <c r="D654" s="17" t="n">
        <f aca="false">AVERAGE(B605:B654)</f>
        <v>6627.4714</v>
      </c>
      <c r="E654" s="17" t="n">
        <f aca="false">AVERAGE(B455:B654)</f>
        <v>7041.8998</v>
      </c>
      <c r="F654" s="17" t="n">
        <f aca="false">B654*2/13+F653*11/13</f>
        <v>6849.929749327</v>
      </c>
      <c r="G654" s="17" t="n">
        <f aca="false">B654*2/27+G653*25/27</f>
        <v>6743.32006809412</v>
      </c>
      <c r="H654" s="17" t="n">
        <f aca="false">F654-G654</f>
        <v>106.609681232878</v>
      </c>
      <c r="I654" s="17" t="n">
        <f aca="false">H654*2/10+I653*8/10</f>
        <v>80.7152872893181</v>
      </c>
      <c r="J654" s="17" t="n">
        <f aca="false">H654-I654</f>
        <v>25.8943939435597</v>
      </c>
      <c r="K654" s="17" t="n">
        <f aca="false">MAX(B654-B653,0)</f>
        <v>0</v>
      </c>
      <c r="L654" s="17" t="n">
        <f aca="false">MAX(B653-B654,0)</f>
        <v>92.6400000000003</v>
      </c>
      <c r="M654" s="17" t="n">
        <f aca="false">(M653*13+K654)/14</f>
        <v>46.2635431394</v>
      </c>
      <c r="N654" s="17" t="n">
        <f aca="false">(N653*13+L654)/14</f>
        <v>33.5227838700613</v>
      </c>
      <c r="O654" s="17" t="n">
        <f aca="false">IF(N654=0,100,100-100/(1+M654/N654))</f>
        <v>57.9842999088227</v>
      </c>
      <c r="P654" s="17" t="n">
        <f aca="false">AVERAGE(B635:B654)+2*STDEV(B635:B654)</f>
        <v>7044.14672030041</v>
      </c>
      <c r="Q654" s="17" t="n">
        <f aca="false">AVERAGE(B635:B654)-2*STDEV(B635:B654)</f>
        <v>6476.48927969959</v>
      </c>
      <c r="R654" s="19" t="n">
        <f aca="false">B654/B634-1</f>
        <v>0.0460997259377429</v>
      </c>
      <c r="S654" s="17" t="n">
        <f aca="false">STDEV(C635:C654)*SQRT(252)*100</f>
        <v>19.1786645830179</v>
      </c>
      <c r="T654" s="19" t="n">
        <f aca="false">B633/B403-1</f>
        <v>-0.00458369922911206</v>
      </c>
      <c r="U654" s="19" t="n">
        <f aca="false">B654/MAX(B403:B654)-1</f>
        <v>-0.0985877616452878</v>
      </c>
      <c r="V654" s="17" t="n">
        <f aca="false">(B654-AVERAGE(B635:B654))/STDEV(B635:B654)</f>
        <v>1.01936125313102</v>
      </c>
    </row>
    <row r="655" customFormat="false" ht="15" hidden="false" customHeight="false" outlineLevel="0" collapsed="false">
      <c r="A655" s="17" t="s">
        <v>1219</v>
      </c>
      <c r="B655" s="17" t="n">
        <v>6913.13</v>
      </c>
      <c r="C655" s="19" t="n">
        <f aca="false">B655/B654-1</f>
        <v>0.00118030754614784</v>
      </c>
      <c r="D655" s="17" t="n">
        <f aca="false">AVERAGE(B606:B655)</f>
        <v>6632.1672</v>
      </c>
      <c r="E655" s="17" t="n">
        <f aca="false">AVERAGE(B456:B655)</f>
        <v>7043.9202</v>
      </c>
      <c r="F655" s="17" t="n">
        <f aca="false">B655*2/13+F654*11/13</f>
        <v>6859.65286481515</v>
      </c>
      <c r="G655" s="17" t="n">
        <f aca="false">B655*2/27+G654*25/27</f>
        <v>6755.89858156863</v>
      </c>
      <c r="H655" s="17" t="n">
        <f aca="false">F655-G655</f>
        <v>103.754283246522</v>
      </c>
      <c r="I655" s="17" t="n">
        <f aca="false">H655*2/10+I654*8/10</f>
        <v>85.323086480759</v>
      </c>
      <c r="J655" s="17" t="n">
        <f aca="false">H655-I655</f>
        <v>18.4311967657634</v>
      </c>
      <c r="K655" s="17" t="n">
        <f aca="false">MAX(B655-B654,0)</f>
        <v>8.15000000000055</v>
      </c>
      <c r="L655" s="17" t="n">
        <f aca="false">MAX(B654-B655,0)</f>
        <v>0</v>
      </c>
      <c r="M655" s="17" t="n">
        <f aca="false">(M654*13+K655)/14</f>
        <v>43.5411472008714</v>
      </c>
      <c r="N655" s="17" t="n">
        <f aca="false">(N654*13+L655)/14</f>
        <v>31.128299307914</v>
      </c>
      <c r="O655" s="17" t="n">
        <f aca="false">IF(N655=0,100,100-100/(1+M655/N655))</f>
        <v>58.3118654773321</v>
      </c>
      <c r="P655" s="17" t="n">
        <f aca="false">AVERAGE(B636:B655)+2*STDEV(B636:B655)</f>
        <v>7058.62880971072</v>
      </c>
      <c r="Q655" s="17" t="n">
        <f aca="false">AVERAGE(B636:B655)-2*STDEV(B636:B655)</f>
        <v>6491.22619028928</v>
      </c>
      <c r="R655" s="19" t="n">
        <f aca="false">B655/B635-1</f>
        <v>0.0441311958724895</v>
      </c>
      <c r="S655" s="17" t="n">
        <f aca="false">STDEV(C636:C655)*SQRT(252)*100</f>
        <v>19.1806729786527</v>
      </c>
      <c r="T655" s="19" t="n">
        <f aca="false">B634/B404-1</f>
        <v>0.0467150853935077</v>
      </c>
      <c r="U655" s="19" t="n">
        <f aca="false">B655/MAX(B404:B655)-1</f>
        <v>-0.0975238179781677</v>
      </c>
      <c r="V655" s="17" t="n">
        <f aca="false">(B655-AVERAGE(B636:B655))/STDEV(B636:B655)</f>
        <v>0.974281720030968</v>
      </c>
    </row>
    <row r="656" customFormat="false" ht="15" hidden="false" customHeight="false" outlineLevel="0" collapsed="false">
      <c r="A656" s="17" t="s">
        <v>1220</v>
      </c>
      <c r="B656" s="17" t="n">
        <v>6909.18</v>
      </c>
      <c r="C656" s="19" t="n">
        <f aca="false">B656/B655-1</f>
        <v>-0.000571376496608655</v>
      </c>
      <c r="D656" s="17" t="n">
        <f aca="false">AVERAGE(B607:B656)</f>
        <v>6636.33</v>
      </c>
      <c r="E656" s="17" t="n">
        <f aca="false">AVERAGE(B457:B656)</f>
        <v>7045.8964</v>
      </c>
      <c r="F656" s="17" t="n">
        <f aca="false">B656*2/13+F655*11/13</f>
        <v>6867.27242407436</v>
      </c>
      <c r="G656" s="17" t="n">
        <f aca="false">B656*2/27+G655*25/27</f>
        <v>6767.25276071169</v>
      </c>
      <c r="H656" s="17" t="n">
        <f aca="false">F656-G656</f>
        <v>100.019663362666</v>
      </c>
      <c r="I656" s="17" t="n">
        <f aca="false">H656*2/10+I655*8/10</f>
        <v>88.2624018571403</v>
      </c>
      <c r="J656" s="17" t="n">
        <f aca="false">H656-I656</f>
        <v>11.7572615055253</v>
      </c>
      <c r="K656" s="17" t="n">
        <f aca="false">MAX(B656-B655,0)</f>
        <v>0</v>
      </c>
      <c r="L656" s="17" t="n">
        <f aca="false">MAX(B655-B656,0)</f>
        <v>3.94999999999982</v>
      </c>
      <c r="M656" s="17" t="n">
        <f aca="false">(M655*13+K656)/14</f>
        <v>40.4310652579521</v>
      </c>
      <c r="N656" s="17" t="n">
        <f aca="false">(N655*13+L656)/14</f>
        <v>29.1869922144916</v>
      </c>
      <c r="O656" s="17" t="n">
        <f aca="false">IF(N656=0,100,100-100/(1+M656/N656))</f>
        <v>58.0755435096068</v>
      </c>
      <c r="P656" s="17" t="n">
        <f aca="false">AVERAGE(B637:B656)+2*STDEV(B637:B656)</f>
        <v>7067.70510123623</v>
      </c>
      <c r="Q656" s="17" t="n">
        <f aca="false">AVERAGE(B637:B656)-2*STDEV(B637:B656)</f>
        <v>6512.92789876378</v>
      </c>
      <c r="R656" s="19" t="n">
        <f aca="false">B656/B636-1</f>
        <v>0.0466234435119823</v>
      </c>
      <c r="S656" s="17" t="n">
        <f aca="false">STDEV(C637:C656)*SQRT(252)*100</f>
        <v>19.1138823431088</v>
      </c>
      <c r="T656" s="19" t="n">
        <f aca="false">B635/B405-1</f>
        <v>0.0324762813675406</v>
      </c>
      <c r="U656" s="19" t="n">
        <f aca="false">B656/MAX(B405:B656)-1</f>
        <v>-0.098039471657324</v>
      </c>
      <c r="V656" s="17" t="n">
        <f aca="false">(B656-AVERAGE(B637:B656))/STDEV(B637:B656)</f>
        <v>0.857017912562131</v>
      </c>
    </row>
    <row r="657" customFormat="false" ht="15" hidden="false" customHeight="false" outlineLevel="0" collapsed="false">
      <c r="A657" s="17" t="s">
        <v>1221</v>
      </c>
      <c r="B657" s="17" t="n">
        <v>7014.67</v>
      </c>
      <c r="C657" s="19" t="n">
        <f aca="false">B657/B656-1</f>
        <v>0.0152680925956481</v>
      </c>
      <c r="D657" s="17" t="n">
        <f aca="false">AVERAGE(B608:B657)</f>
        <v>6638.3568</v>
      </c>
      <c r="E657" s="17" t="n">
        <f aca="false">AVERAGE(B458:B657)</f>
        <v>7047.7215</v>
      </c>
      <c r="F657" s="17" t="n">
        <f aca="false">B657*2/13+F656*11/13</f>
        <v>6889.94897421677</v>
      </c>
      <c r="G657" s="17" t="n">
        <f aca="false">B657*2/27+G656*25/27</f>
        <v>6785.57996362194</v>
      </c>
      <c r="H657" s="17" t="n">
        <f aca="false">F657-G657</f>
        <v>104.369010594827</v>
      </c>
      <c r="I657" s="17" t="n">
        <f aca="false">H657*2/10+I656*8/10</f>
        <v>91.4837236046777</v>
      </c>
      <c r="J657" s="17" t="n">
        <f aca="false">H657-I657</f>
        <v>12.8852869901495</v>
      </c>
      <c r="K657" s="17" t="n">
        <f aca="false">MAX(B657-B656,0)</f>
        <v>105.49</v>
      </c>
      <c r="L657" s="17" t="n">
        <f aca="false">MAX(B656-B657,0)</f>
        <v>0</v>
      </c>
      <c r="M657" s="17" t="n">
        <f aca="false">(M656*13+K657)/14</f>
        <v>45.0781320252412</v>
      </c>
      <c r="N657" s="17" t="n">
        <f aca="false">(N656*13+L657)/14</f>
        <v>27.1022070563136</v>
      </c>
      <c r="O657" s="17" t="n">
        <f aca="false">IF(N657=0,100,100-100/(1+M657/N657))</f>
        <v>62.4520923548288</v>
      </c>
      <c r="P657" s="17" t="n">
        <f aca="false">AVERAGE(B638:B657)+2*STDEV(B638:B657)</f>
        <v>7082.50871609312</v>
      </c>
      <c r="Q657" s="17" t="n">
        <f aca="false">AVERAGE(B638:B657)-2*STDEV(B638:B657)</f>
        <v>6545.48728390688</v>
      </c>
      <c r="R657" s="19" t="n">
        <f aca="false">B657/B637-1</f>
        <v>0.0724089747196164</v>
      </c>
      <c r="S657" s="17" t="n">
        <f aca="false">STDEV(C638:C657)*SQRT(252)*100</f>
        <v>19.1311937598668</v>
      </c>
      <c r="T657" s="19" t="n">
        <f aca="false">B636/B406-1</f>
        <v>0.011887152524966</v>
      </c>
      <c r="U657" s="19" t="n">
        <f aca="false">B657/MAX(B406:B657)-1</f>
        <v>-0.0842682547929683</v>
      </c>
      <c r="V657" s="17" t="n">
        <f aca="false">(B657-AVERAGE(B638:B657))/STDEV(B638:B657)</f>
        <v>1.49470384586367</v>
      </c>
    </row>
    <row r="658" customFormat="false" ht="15" hidden="false" customHeight="false" outlineLevel="0" collapsed="false">
      <c r="A658" s="17" t="s">
        <v>1222</v>
      </c>
      <c r="B658" s="17" t="n">
        <v>7015.88</v>
      </c>
      <c r="C658" s="19" t="n">
        <f aca="false">B658/B657-1</f>
        <v>0.000172495641277415</v>
      </c>
      <c r="D658" s="17" t="n">
        <f aca="false">AVERAGE(B609:B658)</f>
        <v>6640.8264</v>
      </c>
      <c r="E658" s="17" t="n">
        <f aca="false">AVERAGE(B459:B658)</f>
        <v>7049.51915</v>
      </c>
      <c r="F658" s="17" t="n">
        <f aca="false">B658*2/13+F657*11/13</f>
        <v>6909.32297818342</v>
      </c>
      <c r="G658" s="17" t="n">
        <f aca="false">B658*2/27+G657*25/27</f>
        <v>6802.63922557587</v>
      </c>
      <c r="H658" s="17" t="n">
        <f aca="false">F658-G658</f>
        <v>106.683752607547</v>
      </c>
      <c r="I658" s="17" t="n">
        <f aca="false">H658*2/10+I657*8/10</f>
        <v>94.5237294052515</v>
      </c>
      <c r="J658" s="17" t="n">
        <f aca="false">H658-I658</f>
        <v>12.1600232022954</v>
      </c>
      <c r="K658" s="17" t="n">
        <f aca="false">MAX(B658-B657,0)</f>
        <v>1.21000000000004</v>
      </c>
      <c r="L658" s="17" t="n">
        <f aca="false">MAX(B657-B658,0)</f>
        <v>0</v>
      </c>
      <c r="M658" s="17" t="n">
        <f aca="false">(M657*13+K658)/14</f>
        <v>41.9446940234382</v>
      </c>
      <c r="N658" s="17" t="n">
        <f aca="false">(N657*13+L658)/14</f>
        <v>25.1663351237198</v>
      </c>
      <c r="O658" s="17" t="n">
        <f aca="false">IF(N658=0,100,100-100/(1+M658/N658))</f>
        <v>62.5004482221005</v>
      </c>
      <c r="P658" s="17" t="n">
        <f aca="false">AVERAGE(B639:B658)+2*STDEV(B639:B658)</f>
        <v>7105.22451797576</v>
      </c>
      <c r="Q658" s="17" t="n">
        <f aca="false">AVERAGE(B639:B658)-2*STDEV(B639:B658)</f>
        <v>6557.39548202424</v>
      </c>
      <c r="R658" s="19" t="n">
        <f aca="false">B658/B638-1</f>
        <v>0.0519128468702959</v>
      </c>
      <c r="S658" s="17" t="n">
        <f aca="false">STDEV(C639:C658)*SQRT(252)*100</f>
        <v>18.1845520716892</v>
      </c>
      <c r="T658" s="19" t="n">
        <f aca="false">B637/B407-1</f>
        <v>-0.00195609915378103</v>
      </c>
      <c r="U658" s="19" t="n">
        <f aca="false">B658/MAX(B407:B658)-1</f>
        <v>-0.0841102950583407</v>
      </c>
      <c r="V658" s="17" t="n">
        <f aca="false">(B658-AVERAGE(B639:B658))/STDEV(B639:B658)</f>
        <v>1.34764671375565</v>
      </c>
    </row>
    <row r="659" customFormat="false" ht="15" hidden="false" customHeight="false" outlineLevel="0" collapsed="false">
      <c r="A659" s="17" t="s">
        <v>1223</v>
      </c>
      <c r="B659" s="17" t="n">
        <v>7022.42</v>
      </c>
      <c r="C659" s="19" t="n">
        <f aca="false">B659/B658-1</f>
        <v>0.00093217101774834</v>
      </c>
      <c r="D659" s="17" t="n">
        <f aca="false">AVERAGE(B610:B659)</f>
        <v>6642.2946</v>
      </c>
      <c r="E659" s="17" t="n">
        <f aca="false">AVERAGE(B460:B659)</f>
        <v>7051.6034</v>
      </c>
      <c r="F659" s="17" t="n">
        <f aca="false">B659*2/13+F658*11/13</f>
        <v>6926.72252000135</v>
      </c>
      <c r="G659" s="17" t="n">
        <f aca="false">B659*2/27+G658*25/27</f>
        <v>6818.91928294062</v>
      </c>
      <c r="H659" s="17" t="n">
        <f aca="false">F659-G659</f>
        <v>107.803237060732</v>
      </c>
      <c r="I659" s="17" t="n">
        <f aca="false">H659*2/10+I658*8/10</f>
        <v>97.1796309363475</v>
      </c>
      <c r="J659" s="17" t="n">
        <f aca="false">H659-I659</f>
        <v>10.6236061243841</v>
      </c>
      <c r="K659" s="17" t="n">
        <f aca="false">MAX(B659-B658,0)</f>
        <v>6.53999999999996</v>
      </c>
      <c r="L659" s="17" t="n">
        <f aca="false">MAX(B658-B659,0)</f>
        <v>0</v>
      </c>
      <c r="M659" s="17" t="n">
        <f aca="false">(M658*13+K659)/14</f>
        <v>39.4157873074784</v>
      </c>
      <c r="N659" s="17" t="n">
        <f aca="false">(N658*13+L659)/14</f>
        <v>23.3687397577398</v>
      </c>
      <c r="O659" s="17" t="n">
        <f aca="false">IF(N659=0,100,100-100/(1+M659/N659))</f>
        <v>62.7794604019789</v>
      </c>
      <c r="P659" s="17" t="n">
        <f aca="false">AVERAGE(B640:B659)+2*STDEV(B640:B659)</f>
        <v>7124.36425539486</v>
      </c>
      <c r="Q659" s="17" t="n">
        <f aca="false">AVERAGE(B640:B659)-2*STDEV(B640:B659)</f>
        <v>6573.64174460514</v>
      </c>
      <c r="R659" s="19" t="n">
        <f aca="false">B659/B639-1</f>
        <v>0.0530639298439242</v>
      </c>
      <c r="S659" s="17" t="n">
        <f aca="false">STDEV(C640:C659)*SQRT(252)*100</f>
        <v>18.1666828005808</v>
      </c>
      <c r="T659" s="19" t="n">
        <f aca="false">B638/B408-1</f>
        <v>-0.000807487007548957</v>
      </c>
      <c r="U659" s="19" t="n">
        <f aca="false">B659/MAX(B408:B659)-1</f>
        <v>-0.08325652921994</v>
      </c>
      <c r="V659" s="17" t="n">
        <f aca="false">(B659-AVERAGE(B640:B659))/STDEV(B640:B659)</f>
        <v>1.25955991703573</v>
      </c>
    </row>
    <row r="660" customFormat="false" ht="15" hidden="false" customHeight="false" outlineLevel="0" collapsed="false">
      <c r="A660" s="17" t="s">
        <v>1224</v>
      </c>
      <c r="B660" s="17" t="n">
        <v>7055.18</v>
      </c>
      <c r="C660" s="19" t="n">
        <f aca="false">B660/B659-1</f>
        <v>0.00466505848411236</v>
      </c>
      <c r="D660" s="17" t="n">
        <f aca="false">AVERAGE(B611:B660)</f>
        <v>6642.1556</v>
      </c>
      <c r="E660" s="17" t="n">
        <f aca="false">AVERAGE(B461:B660)</f>
        <v>7053.4695</v>
      </c>
      <c r="F660" s="17" t="n">
        <f aca="false">B660*2/13+F659*11/13</f>
        <v>6946.48520923191</v>
      </c>
      <c r="G660" s="17" t="n">
        <f aca="false">B660*2/27+G659*25/27</f>
        <v>6836.42007679687</v>
      </c>
      <c r="H660" s="17" t="n">
        <f aca="false">F660-G660</f>
        <v>110.065132435042</v>
      </c>
      <c r="I660" s="17" t="n">
        <f aca="false">H660*2/10+I659*8/10</f>
        <v>99.7567312360864</v>
      </c>
      <c r="J660" s="17" t="n">
        <f aca="false">H660-I660</f>
        <v>10.3084011989555</v>
      </c>
      <c r="K660" s="17" t="n">
        <f aca="false">MAX(B660-B659,0)</f>
        <v>32.7600000000002</v>
      </c>
      <c r="L660" s="17" t="n">
        <f aca="false">MAX(B659-B660,0)</f>
        <v>0</v>
      </c>
      <c r="M660" s="17" t="n">
        <f aca="false">(M659*13+K660)/14</f>
        <v>38.9403739283728</v>
      </c>
      <c r="N660" s="17" t="n">
        <f aca="false">(N659*13+L660)/14</f>
        <v>21.6995440607584</v>
      </c>
      <c r="O660" s="17" t="n">
        <f aca="false">IF(N660=0,100,100-100/(1+M660/N660))</f>
        <v>64.2157430611174</v>
      </c>
      <c r="P660" s="17" t="n">
        <f aca="false">AVERAGE(B641:B660)+2*STDEV(B641:B660)</f>
        <v>7148.6668285742</v>
      </c>
      <c r="Q660" s="17" t="n">
        <f aca="false">AVERAGE(B641:B660)-2*STDEV(B641:B660)</f>
        <v>6583.0121714258</v>
      </c>
      <c r="R660" s="19" t="n">
        <f aca="false">B660/B640-1</f>
        <v>0.0501201914131981</v>
      </c>
      <c r="S660" s="17" t="n">
        <f aca="false">STDEV(C641:C660)*SQRT(252)*100</f>
        <v>18.0947196149916</v>
      </c>
      <c r="T660" s="19" t="n">
        <f aca="false">B639/B409-1</f>
        <v>-0.0185962454304097</v>
      </c>
      <c r="U660" s="19" t="n">
        <f aca="false">B660/MAX(B409:B660)-1</f>
        <v>-0.0789798673138229</v>
      </c>
      <c r="V660" s="17" t="n">
        <f aca="false">(B660-AVERAGE(B641:B660))/STDEV(B641:B660)</f>
        <v>1.33891233887834</v>
      </c>
    </row>
    <row r="661" customFormat="false" ht="15" hidden="false" customHeight="false" outlineLevel="0" collapsed="false">
      <c r="A661" s="17" t="s">
        <v>1225</v>
      </c>
      <c r="B661" s="17" t="n">
        <v>7066.61</v>
      </c>
      <c r="C661" s="19" t="n">
        <f aca="false">B661/B660-1</f>
        <v>0.00162008623451126</v>
      </c>
      <c r="D661" s="17" t="n">
        <f aca="false">AVERAGE(B612:B661)</f>
        <v>6647.5836</v>
      </c>
      <c r="E661" s="17" t="n">
        <f aca="false">AVERAGE(B462:B661)</f>
        <v>7055.58015</v>
      </c>
      <c r="F661" s="17" t="n">
        <f aca="false">B661*2/13+F660*11/13</f>
        <v>6964.96594627316</v>
      </c>
      <c r="G661" s="17" t="n">
        <f aca="false">B661*2/27+G660*25/27</f>
        <v>6853.47118221933</v>
      </c>
      <c r="H661" s="17" t="n">
        <f aca="false">F661-G661</f>
        <v>111.494764053831</v>
      </c>
      <c r="I661" s="17" t="n">
        <f aca="false">H661*2/10+I660*8/10</f>
        <v>102.104337799635</v>
      </c>
      <c r="J661" s="17" t="n">
        <f aca="false">H661-I661</f>
        <v>9.39042625419583</v>
      </c>
      <c r="K661" s="17" t="n">
        <f aca="false">MAX(B661-B660,0)</f>
        <v>11.4299999999994</v>
      </c>
      <c r="L661" s="17" t="n">
        <f aca="false">MAX(B660-B661,0)</f>
        <v>0</v>
      </c>
      <c r="M661" s="17" t="n">
        <f aca="false">(M660*13+K661)/14</f>
        <v>36.9753472192032</v>
      </c>
      <c r="N661" s="17" t="n">
        <f aca="false">(N660*13+L661)/14</f>
        <v>20.1495766278471</v>
      </c>
      <c r="O661" s="17" t="n">
        <f aca="false">IF(N661=0,100,100-100/(1+M661/N661))</f>
        <v>64.727171134973</v>
      </c>
      <c r="P661" s="17" t="n">
        <f aca="false">AVERAGE(B642:B661)+2*STDEV(B642:B661)</f>
        <v>7173.62498393244</v>
      </c>
      <c r="Q661" s="17" t="n">
        <f aca="false">AVERAGE(B642:B661)-2*STDEV(B642:B661)</f>
        <v>6586.25401606756</v>
      </c>
      <c r="R661" s="19" t="n">
        <f aca="false">B661/B641-1</f>
        <v>0.0415646588381646</v>
      </c>
      <c r="S661" s="17" t="n">
        <f aca="false">STDEV(C642:C661)*SQRT(252)*100</f>
        <v>17.886695662552</v>
      </c>
      <c r="T661" s="19" t="n">
        <f aca="false">B640/B410-1</f>
        <v>-0.00771121279166287</v>
      </c>
      <c r="U661" s="19" t="n">
        <f aca="false">B661/MAX(B410:B661)-1</f>
        <v>-0.0774877352751503</v>
      </c>
      <c r="V661" s="17" t="n">
        <f aca="false">(B661-AVERAGE(B642:B661))/STDEV(B642:B661)</f>
        <v>1.2712272836947</v>
      </c>
    </row>
    <row r="662" customFormat="false" ht="15" hidden="false" customHeight="false" outlineLevel="0" collapsed="false">
      <c r="A662" s="17" t="s">
        <v>1226</v>
      </c>
      <c r="B662" s="17" t="n">
        <v>7062.34</v>
      </c>
      <c r="C662" s="19" t="n">
        <f aca="false">B662/B661-1</f>
        <v>-0.000604250128420802</v>
      </c>
      <c r="D662" s="17" t="n">
        <f aca="false">AVERAGE(B613:B662)</f>
        <v>6652.0534</v>
      </c>
      <c r="E662" s="17" t="n">
        <f aca="false">AVERAGE(B463:B662)</f>
        <v>7057.67445</v>
      </c>
      <c r="F662" s="17" t="n">
        <f aca="false">B662*2/13+F661*11/13</f>
        <v>6979.94656992344</v>
      </c>
      <c r="G662" s="17" t="n">
        <f aca="false">B662*2/27+G661*25/27</f>
        <v>6868.94294649938</v>
      </c>
      <c r="H662" s="17" t="n">
        <f aca="false">F662-G662</f>
        <v>111.003623424065</v>
      </c>
      <c r="I662" s="17" t="n">
        <f aca="false">H662*2/10+I661*8/10</f>
        <v>103.884194924521</v>
      </c>
      <c r="J662" s="17" t="n">
        <f aca="false">H662-I662</f>
        <v>7.11942849954383</v>
      </c>
      <c r="K662" s="17" t="n">
        <f aca="false">MAX(B662-B661,0)</f>
        <v>0</v>
      </c>
      <c r="L662" s="17" t="n">
        <f aca="false">MAX(B661-B662,0)</f>
        <v>4.26999999999953</v>
      </c>
      <c r="M662" s="17" t="n">
        <f aca="false">(M661*13+K662)/14</f>
        <v>34.3342509892602</v>
      </c>
      <c r="N662" s="17" t="n">
        <f aca="false">(N661*13+L662)/14</f>
        <v>19.0153211544294</v>
      </c>
      <c r="O662" s="17" t="n">
        <f aca="false">IF(N662=0,100,100-100/(1+M662/N662))</f>
        <v>64.3571252957488</v>
      </c>
      <c r="P662" s="17" t="n">
        <f aca="false">AVERAGE(B643:B662)+2*STDEV(B643:B662)</f>
        <v>7183.5513979484</v>
      </c>
      <c r="Q662" s="17" t="n">
        <f aca="false">AVERAGE(B643:B662)-2*STDEV(B643:B662)</f>
        <v>6617.8806020516</v>
      </c>
      <c r="R662" s="19" t="n">
        <f aca="false">B662/B642-1</f>
        <v>0.0625157030214494</v>
      </c>
      <c r="S662" s="17" t="n">
        <f aca="false">STDEV(C643:C662)*SQRT(252)*100</f>
        <v>15.8658093359419</v>
      </c>
      <c r="T662" s="19" t="n">
        <f aca="false">B641/B411-1</f>
        <v>0.000725696897645678</v>
      </c>
      <c r="U662" s="19" t="n">
        <f aca="false">B662/MAX(B411:B662)-1</f>
        <v>-0.07804516342958</v>
      </c>
      <c r="V662" s="17" t="n">
        <f aca="false">(B662-AVERAGE(B643:B662))/STDEV(B643:B662)</f>
        <v>1.14288381986391</v>
      </c>
    </row>
    <row r="663" customFormat="false" ht="15" hidden="false" customHeight="false" outlineLevel="0" collapsed="false">
      <c r="A663" s="17" t="s">
        <v>1227</v>
      </c>
      <c r="B663" s="17" t="n">
        <v>7035.16</v>
      </c>
      <c r="C663" s="19" t="n">
        <f aca="false">B663/B662-1</f>
        <v>-0.00384858276435296</v>
      </c>
      <c r="D663" s="17" t="n">
        <f aca="false">AVERAGE(B614:B663)</f>
        <v>6660.491</v>
      </c>
      <c r="E663" s="17" t="n">
        <f aca="false">AVERAGE(B464:B663)</f>
        <v>7059.00465</v>
      </c>
      <c r="F663" s="17" t="n">
        <f aca="false">B663*2/13+F662*11/13</f>
        <v>6988.44094378138</v>
      </c>
      <c r="G663" s="17" t="n">
        <f aca="false">B663*2/27+G662*25/27</f>
        <v>6881.25532083276</v>
      </c>
      <c r="H663" s="17" t="n">
        <f aca="false">F663-G663</f>
        <v>107.185622948617</v>
      </c>
      <c r="I663" s="17" t="n">
        <f aca="false">H663*2/10+I662*8/10</f>
        <v>104.544480529341</v>
      </c>
      <c r="J663" s="17" t="n">
        <f aca="false">H663-I663</f>
        <v>2.64114241927693</v>
      </c>
      <c r="K663" s="17" t="n">
        <f aca="false">MAX(B663-B662,0)</f>
        <v>0</v>
      </c>
      <c r="L663" s="17" t="n">
        <f aca="false">MAX(B662-B663,0)</f>
        <v>27.1800000000003</v>
      </c>
      <c r="M663" s="17" t="n">
        <f aca="false">(M662*13+K663)/14</f>
        <v>31.8818044900273</v>
      </c>
      <c r="N663" s="17" t="n">
        <f aca="false">(N662*13+L663)/14</f>
        <v>19.5985125005416</v>
      </c>
      <c r="O663" s="17" t="n">
        <f aca="false">IF(N663=0,100,100-100/(1+M663/N663))</f>
        <v>61.9300858148717</v>
      </c>
      <c r="P663" s="17" t="n">
        <f aca="false">AVERAGE(B644:B663)+2*STDEV(B644:B663)</f>
        <v>7184.0828742785</v>
      </c>
      <c r="Q663" s="17" t="n">
        <f aca="false">AVERAGE(B644:B663)-2*STDEV(B644:B663)</f>
        <v>6654.9891257215</v>
      </c>
      <c r="R663" s="19" t="n">
        <f aca="false">B663/B643-1</f>
        <v>0.0565270410707097</v>
      </c>
      <c r="S663" s="17" t="n">
        <f aca="false">STDEV(C644:C663)*SQRT(252)*100</f>
        <v>16.0520127039405</v>
      </c>
      <c r="T663" s="19" t="n">
        <f aca="false">B642/B412-1</f>
        <v>-0.0166364365329932</v>
      </c>
      <c r="U663" s="19" t="n">
        <f aca="false">B663/MAX(B412:B663)-1</f>
        <v>-0.0815933829231168</v>
      </c>
      <c r="V663" s="17" t="n">
        <f aca="false">(B663-AVERAGE(B644:B663))/STDEV(B644:B663)</f>
        <v>0.874128642157199</v>
      </c>
    </row>
    <row r="664" customFormat="false" ht="15" hidden="false" customHeight="false" outlineLevel="0" collapsed="false">
      <c r="A664" s="17" t="s">
        <v>1228</v>
      </c>
      <c r="B664" s="17" t="n">
        <v>7090.63</v>
      </c>
      <c r="C664" s="19" t="n">
        <f aca="false">B664/B663-1</f>
        <v>0.00788468208256821</v>
      </c>
      <c r="D664" s="17" t="n">
        <f aca="false">AVERAGE(B615:B664)</f>
        <v>6668.6488</v>
      </c>
      <c r="E664" s="17" t="n">
        <f aca="false">AVERAGE(B465:B664)</f>
        <v>7060.34845</v>
      </c>
      <c r="F664" s="17" t="n">
        <f aca="false">B664*2/13+F663*11/13</f>
        <v>7004.16233704578</v>
      </c>
      <c r="G664" s="17" t="n">
        <f aca="false">B664*2/27+G663*25/27</f>
        <v>6896.76455632663</v>
      </c>
      <c r="H664" s="17" t="n">
        <f aca="false">F664-G664</f>
        <v>107.397780719152</v>
      </c>
      <c r="I664" s="17" t="n">
        <f aca="false">H664*2/10+I663*8/10</f>
        <v>105.115140567303</v>
      </c>
      <c r="J664" s="17" t="n">
        <f aca="false">H664-I664</f>
        <v>2.28264015184935</v>
      </c>
      <c r="K664" s="17" t="n">
        <f aca="false">MAX(B664-B663,0)</f>
        <v>55.4700000000003</v>
      </c>
      <c r="L664" s="17" t="n">
        <f aca="false">MAX(B663-B664,0)</f>
        <v>0</v>
      </c>
      <c r="M664" s="17" t="n">
        <f aca="false">(M663*13+K664)/14</f>
        <v>33.5666755978825</v>
      </c>
      <c r="N664" s="17" t="n">
        <f aca="false">(N663*13+L664)/14</f>
        <v>18.1986187505029</v>
      </c>
      <c r="O664" s="17" t="n">
        <f aca="false">IF(N664=0,100,100-100/(1+M664/N664))</f>
        <v>64.8439770707678</v>
      </c>
      <c r="P664" s="17" t="n">
        <f aca="false">AVERAGE(B645:B664)+2*STDEV(B645:B664)</f>
        <v>7193.20422626452</v>
      </c>
      <c r="Q664" s="17" t="n">
        <f aca="false">AVERAGE(B645:B664)-2*STDEV(B645:B664)</f>
        <v>6684.67577373548</v>
      </c>
      <c r="R664" s="19" t="n">
        <f aca="false">B664/B644-1</f>
        <v>0.0579003513588112</v>
      </c>
      <c r="S664" s="17" t="n">
        <f aca="false">STDEV(C645:C664)*SQRT(252)*100</f>
        <v>16.0994697540708</v>
      </c>
      <c r="T664" s="19" t="n">
        <f aca="false">B643/B413-1</f>
        <v>-0.0152458276950834</v>
      </c>
      <c r="U664" s="19" t="n">
        <f aca="false">B664/MAX(B413:B664)-1</f>
        <v>-0.0743520387249386</v>
      </c>
      <c r="V664" s="17" t="n">
        <f aca="false">(B664-AVERAGE(B645:B664))/STDEV(B645:B664)</f>
        <v>1.1931682425682</v>
      </c>
    </row>
    <row r="665" customFormat="false" ht="15" hidden="false" customHeight="false" outlineLevel="0" collapsed="false">
      <c r="A665" s="17" t="s">
        <v>1229</v>
      </c>
      <c r="B665" s="17" t="n">
        <v>7115.43</v>
      </c>
      <c r="C665" s="19" t="n">
        <f aca="false">B665/B664-1</f>
        <v>0.00349757355834401</v>
      </c>
      <c r="D665" s="17" t="n">
        <f aca="false">AVERAGE(B616:B665)</f>
        <v>6676.8726</v>
      </c>
      <c r="E665" s="17" t="n">
        <f aca="false">AVERAGE(B466:B665)</f>
        <v>7061.8482</v>
      </c>
      <c r="F665" s="17" t="n">
        <f aca="false">B665*2/13+F664*11/13</f>
        <v>7021.28043903874</v>
      </c>
      <c r="G665" s="17" t="n">
        <f aca="false">B665*2/27+G664*25/27</f>
        <v>6912.96199659873</v>
      </c>
      <c r="H665" s="17" t="n">
        <f aca="false">F665-G665</f>
        <v>108.318442440008</v>
      </c>
      <c r="I665" s="17" t="n">
        <f aca="false">H665*2/10+I664*8/10</f>
        <v>105.755800941844</v>
      </c>
      <c r="J665" s="17" t="n">
        <f aca="false">H665-I665</f>
        <v>2.56264149816397</v>
      </c>
      <c r="K665" s="17" t="n">
        <f aca="false">MAX(B665-B664,0)</f>
        <v>24.8000000000002</v>
      </c>
      <c r="L665" s="17" t="n">
        <f aca="false">MAX(B664-B665,0)</f>
        <v>0</v>
      </c>
      <c r="M665" s="17" t="n">
        <f aca="false">(M664*13+K665)/14</f>
        <v>32.9404844837481</v>
      </c>
      <c r="N665" s="17" t="n">
        <f aca="false">(N664*13+L665)/14</f>
        <v>16.8987174111813</v>
      </c>
      <c r="O665" s="17" t="n">
        <f aca="false">IF(N665=0,100,100-100/(1+M665/N665))</f>
        <v>66.0935232333635</v>
      </c>
      <c r="P665" s="17" t="n">
        <f aca="false">AVERAGE(B646:B665)+2*STDEV(B646:B665)</f>
        <v>7210.76133451068</v>
      </c>
      <c r="Q665" s="17" t="n">
        <f aca="false">AVERAGE(B646:B665)-2*STDEV(B646:B665)</f>
        <v>6699.92466548932</v>
      </c>
      <c r="R665" s="19" t="n">
        <f aca="false">B665/B645-1</f>
        <v>0.0483338907411854</v>
      </c>
      <c r="S665" s="17" t="n">
        <f aca="false">STDEV(C646:C665)*SQRT(252)*100</f>
        <v>15.6838385582554</v>
      </c>
      <c r="T665" s="19" t="n">
        <f aca="false">B644/B414-1</f>
        <v>-0.0281370530406287</v>
      </c>
      <c r="U665" s="19" t="n">
        <f aca="false">B665/MAX(B414:B665)-1</f>
        <v>-0.071114516891248</v>
      </c>
      <c r="V665" s="17" t="n">
        <f aca="false">(B665-AVERAGE(B646:B665))/STDEV(B646:B665)</f>
        <v>1.25352786679693</v>
      </c>
    </row>
    <row r="666" customFormat="false" ht="15" hidden="false" customHeight="false" outlineLevel="0" collapsed="false">
      <c r="A666" s="17" t="s">
        <v>1230</v>
      </c>
      <c r="B666" s="17" t="n">
        <v>7123.22</v>
      </c>
      <c r="C666" s="19" t="n">
        <f aca="false">B666/B665-1</f>
        <v>0.00109480382773763</v>
      </c>
      <c r="D666" s="17" t="n">
        <f aca="false">AVERAGE(B617:B666)</f>
        <v>6684.0578</v>
      </c>
      <c r="E666" s="17" t="n">
        <f aca="false">AVERAGE(B467:B666)</f>
        <v>7062.99825</v>
      </c>
      <c r="F666" s="17" t="n">
        <f aca="false">B666*2/13+F665*11/13</f>
        <v>7036.96344841739</v>
      </c>
      <c r="G666" s="17" t="n">
        <f aca="false">B666*2/27+G665*25/27</f>
        <v>6928.53666351734</v>
      </c>
      <c r="H666" s="17" t="n">
        <f aca="false">F666-G666</f>
        <v>108.426784900051</v>
      </c>
      <c r="I666" s="17" t="n">
        <f aca="false">H666*2/10+I665*8/10</f>
        <v>106.289997733485</v>
      </c>
      <c r="J666" s="17" t="n">
        <f aca="false">H666-I666</f>
        <v>2.13678716656548</v>
      </c>
      <c r="K666" s="17" t="n">
        <f aca="false">MAX(B666-B665,0)</f>
        <v>7.78999999999996</v>
      </c>
      <c r="L666" s="17" t="n">
        <f aca="false">MAX(B665-B666,0)</f>
        <v>0</v>
      </c>
      <c r="M666" s="17" t="n">
        <f aca="false">(M665*13+K666)/14</f>
        <v>31.1440213063375</v>
      </c>
      <c r="N666" s="17" t="n">
        <f aca="false">(N665*13+L666)/14</f>
        <v>15.6916661675255</v>
      </c>
      <c r="O666" s="17" t="n">
        <f aca="false">IF(N666=0,100,100-100/(1+M666/N666))</f>
        <v>66.4963470936936</v>
      </c>
      <c r="P666" s="17" t="n">
        <f aca="false">AVERAGE(B647:B666)+2*STDEV(B647:B666)</f>
        <v>7211.63739796162</v>
      </c>
      <c r="Q666" s="17" t="n">
        <f aca="false">AVERAGE(B647:B666)-2*STDEV(B647:B666)</f>
        <v>6741.66160203838</v>
      </c>
      <c r="R666" s="19" t="n">
        <f aca="false">B666/B646-1</f>
        <v>0.063629128472217</v>
      </c>
      <c r="S666" s="17" t="n">
        <f aca="false">STDEV(C647:C666)*SQRT(252)*100</f>
        <v>14.5637470662311</v>
      </c>
      <c r="T666" s="19" t="n">
        <f aca="false">B645/B415-1</f>
        <v>-0.0288635160464152</v>
      </c>
      <c r="U666" s="19" t="n">
        <f aca="false">B666/MAX(B415:B666)-1</f>
        <v>-0.0700975695088105</v>
      </c>
      <c r="V666" s="17" t="n">
        <f aca="false">(B666-AVERAGE(B647:B666))/STDEV(B647:B666)</f>
        <v>1.24747275303462</v>
      </c>
    </row>
    <row r="667" customFormat="false" ht="15" hidden="false" customHeight="false" outlineLevel="0" collapsed="false">
      <c r="A667" s="17" t="s">
        <v>1231</v>
      </c>
      <c r="B667" s="17" t="n">
        <v>7117</v>
      </c>
      <c r="C667" s="19" t="n">
        <f aca="false">B667/B666-1</f>
        <v>-0.000873200603098034</v>
      </c>
      <c r="D667" s="17" t="n">
        <f aca="false">AVERAGE(B618:B667)</f>
        <v>6691.0384</v>
      </c>
      <c r="E667" s="17" t="n">
        <f aca="false">AVERAGE(B468:B667)</f>
        <v>7063.7655</v>
      </c>
      <c r="F667" s="17" t="n">
        <f aca="false">B667*2/13+F666*11/13</f>
        <v>7049.27676404549</v>
      </c>
      <c r="G667" s="17" t="n">
        <f aca="false">B667*2/27+G666*25/27</f>
        <v>6942.49691066421</v>
      </c>
      <c r="H667" s="17" t="n">
        <f aca="false">F667-G667</f>
        <v>106.779853381279</v>
      </c>
      <c r="I667" s="17" t="n">
        <f aca="false">H667*2/10+I666*8/10</f>
        <v>106.387968863044</v>
      </c>
      <c r="J667" s="17" t="n">
        <f aca="false">H667-I667</f>
        <v>0.39188451823523</v>
      </c>
      <c r="K667" s="17" t="n">
        <f aca="false">MAX(B667-B666,0)</f>
        <v>0</v>
      </c>
      <c r="L667" s="17" t="n">
        <f aca="false">MAX(B666-B667,0)</f>
        <v>6.22000000000026</v>
      </c>
      <c r="M667" s="17" t="n">
        <f aca="false">(M666*13+K667)/14</f>
        <v>28.9194483558848</v>
      </c>
      <c r="N667" s="17" t="n">
        <f aca="false">(N666*13+L667)/14</f>
        <v>15.0151185841308</v>
      </c>
      <c r="O667" s="17" t="n">
        <f aca="false">IF(N667=0,100,100-100/(1+M667/N667))</f>
        <v>65.8239067096504</v>
      </c>
      <c r="P667" s="17" t="n">
        <f aca="false">AVERAGE(B648:B667)+2*STDEV(B648:B667)</f>
        <v>7179.76172180043</v>
      </c>
      <c r="Q667" s="17" t="n">
        <f aca="false">AVERAGE(B648:B667)-2*STDEV(B648:B667)</f>
        <v>6821.95827819957</v>
      </c>
      <c r="R667" s="19" t="n">
        <f aca="false">B667/B647-1</f>
        <v>0.0730024620107075</v>
      </c>
      <c r="S667" s="17" t="n">
        <f aca="false">STDEV(C648:C667)*SQRT(252)*100</f>
        <v>13.8646486844906</v>
      </c>
      <c r="T667" s="19" t="n">
        <f aca="false">B646/B416-1</f>
        <v>-0.0294564768453774</v>
      </c>
      <c r="U667" s="19" t="n">
        <f aca="false">B667/MAX(B416:B667)-1</f>
        <v>-0.0709095608719378</v>
      </c>
      <c r="V667" s="17" t="n">
        <f aca="false">(B667-AVERAGE(B648:B667))/STDEV(B648:B667)</f>
        <v>1.2983664867078</v>
      </c>
    </row>
    <row r="668" customFormat="false" ht="15" hidden="false" customHeight="false" outlineLevel="0" collapsed="false">
      <c r="A668" s="17" t="s">
        <v>1232</v>
      </c>
      <c r="B668" s="17" t="n">
        <v>7097.53</v>
      </c>
      <c r="C668" s="19" t="n">
        <f aca="false">B668/B667-1</f>
        <v>-0.00273570324574968</v>
      </c>
      <c r="D668" s="17" t="n">
        <f aca="false">AVERAGE(B619:B668)</f>
        <v>6701.0898</v>
      </c>
      <c r="E668" s="17" t="n">
        <f aca="false">AVERAGE(B469:B668)</f>
        <v>7064.49035</v>
      </c>
      <c r="F668" s="17" t="n">
        <f aca="false">B668*2/13+F667*11/13</f>
        <v>7056.70033880772</v>
      </c>
      <c r="G668" s="17" t="n">
        <f aca="false">B668*2/27+G667*25/27</f>
        <v>6953.9808432076</v>
      </c>
      <c r="H668" s="17" t="n">
        <f aca="false">F668-G668</f>
        <v>102.71949560012</v>
      </c>
      <c r="I668" s="17" t="n">
        <f aca="false">H668*2/10+I667*8/10</f>
        <v>105.654274210459</v>
      </c>
      <c r="J668" s="17" t="n">
        <f aca="false">H668-I668</f>
        <v>-2.93477861033895</v>
      </c>
      <c r="K668" s="17" t="n">
        <f aca="false">MAX(B668-B667,0)</f>
        <v>0</v>
      </c>
      <c r="L668" s="17" t="n">
        <f aca="false">MAX(B667-B668,0)</f>
        <v>19.4700000000003</v>
      </c>
      <c r="M668" s="17" t="n">
        <f aca="false">(M667*13+K668)/14</f>
        <v>26.8537734733216</v>
      </c>
      <c r="N668" s="17" t="n">
        <f aca="false">(N667*13+L668)/14</f>
        <v>15.3333243995501</v>
      </c>
      <c r="O668" s="17" t="n">
        <f aca="false">IF(N668=0,100,100-100/(1+M668/N668))</f>
        <v>63.6539957174676</v>
      </c>
      <c r="P668" s="17" t="n">
        <f aca="false">AVERAGE(B649:B668)+2*STDEV(B649:B668)</f>
        <v>7174.25115202574</v>
      </c>
      <c r="Q668" s="17" t="n">
        <f aca="false">AVERAGE(B649:B668)-2*STDEV(B649:B668)</f>
        <v>6856.43084797427</v>
      </c>
      <c r="R668" s="19" t="n">
        <f aca="false">B668/B648-1</f>
        <v>0.0425416904747566</v>
      </c>
      <c r="S668" s="17" t="n">
        <f aca="false">STDEV(C649:C668)*SQRT(252)*100</f>
        <v>11.0766844738846</v>
      </c>
      <c r="T668" s="19" t="n">
        <f aca="false">B647/B417-1</f>
        <v>-0.0323338809118787</v>
      </c>
      <c r="U668" s="19" t="n">
        <f aca="false">B668/MAX(B417:B668)-1</f>
        <v>-0.0734512766018554</v>
      </c>
      <c r="V668" s="17" t="n">
        <f aca="false">(B668-AVERAGE(B649:B668))/STDEV(B649:B668)</f>
        <v>1.03440842453778</v>
      </c>
    </row>
    <row r="669" customFormat="false" ht="15" hidden="false" customHeight="false" outlineLevel="0" collapsed="false">
      <c r="A669" s="17" t="s">
        <v>1233</v>
      </c>
      <c r="B669" s="17" t="n">
        <v>7151.57</v>
      </c>
      <c r="C669" s="19" t="n">
        <f aca="false">B669/B668-1</f>
        <v>0.00761391639063169</v>
      </c>
      <c r="D669" s="17" t="n">
        <f aca="false">AVERAGE(B620:B669)</f>
        <v>6715.1534</v>
      </c>
      <c r="E669" s="17" t="n">
        <f aca="false">AVERAGE(B470:B669)</f>
        <v>7065.42635</v>
      </c>
      <c r="F669" s="17" t="n">
        <f aca="false">B669*2/13+F668*11/13</f>
        <v>7071.29567129884</v>
      </c>
      <c r="G669" s="17" t="n">
        <f aca="false">B669*2/27+G668*25/27</f>
        <v>6968.61707704407</v>
      </c>
      <c r="H669" s="17" t="n">
        <f aca="false">F669-G669</f>
        <v>102.678594254767</v>
      </c>
      <c r="I669" s="17" t="n">
        <f aca="false">H669*2/10+I668*8/10</f>
        <v>105.059138219321</v>
      </c>
      <c r="J669" s="17" t="n">
        <f aca="false">H669-I669</f>
        <v>-2.38054396455406</v>
      </c>
      <c r="K669" s="17" t="n">
        <f aca="false">MAX(B669-B668,0)</f>
        <v>54.04</v>
      </c>
      <c r="L669" s="17" t="n">
        <f aca="false">MAX(B668-B669,0)</f>
        <v>0</v>
      </c>
      <c r="M669" s="17" t="n">
        <f aca="false">(M668*13+K669)/14</f>
        <v>28.7956467966558</v>
      </c>
      <c r="N669" s="17" t="n">
        <f aca="false">(N668*13+L669)/14</f>
        <v>14.2380869424393</v>
      </c>
      <c r="O669" s="17" t="n">
        <f aca="false">IF(N669=0,100,100-100/(1+M669/N669))</f>
        <v>66.9141259534625</v>
      </c>
      <c r="P669" s="17" t="n">
        <f aca="false">AVERAGE(B650:B669)+2*STDEV(B650:B669)</f>
        <v>7188.97945510131</v>
      </c>
      <c r="Q669" s="17" t="n">
        <f aca="false">AVERAGE(B650:B669)-2*STDEV(B650:B669)</f>
        <v>6866.17554489869</v>
      </c>
      <c r="R669" s="19" t="n">
        <f aca="false">B669/B649-1</f>
        <v>0.0354329910639308</v>
      </c>
      <c r="S669" s="17" t="n">
        <f aca="false">STDEV(C650:C669)*SQRT(252)*100</f>
        <v>10.2920204103954</v>
      </c>
      <c r="T669" s="19" t="n">
        <f aca="false">B648/B418-1</f>
        <v>0.00849857937290932</v>
      </c>
      <c r="U669" s="19" t="n">
        <f aca="false">B669/MAX(B418:B669)-1</f>
        <v>-0.0663966120900554</v>
      </c>
      <c r="V669" s="17" t="n">
        <f aca="false">(B669-AVERAGE(B650:B669))/STDEV(B650:B669)</f>
        <v>1.53644359415807</v>
      </c>
    </row>
    <row r="670" customFormat="false" ht="15" hidden="false" customHeight="false" outlineLevel="0" collapsed="false">
      <c r="A670" s="17" t="s">
        <v>1234</v>
      </c>
      <c r="B670" s="17" t="n">
        <v>7150.83</v>
      </c>
      <c r="C670" s="19" t="n">
        <f aca="false">B670/B669-1</f>
        <v>-0.00010347378267983</v>
      </c>
      <c r="D670" s="17" t="n">
        <f aca="false">AVERAGE(B621:B670)</f>
        <v>6728.3396</v>
      </c>
      <c r="E670" s="17" t="n">
        <f aca="false">AVERAGE(B471:B670)</f>
        <v>7066.7378</v>
      </c>
      <c r="F670" s="17" t="n">
        <f aca="false">B670*2/13+F669*11/13</f>
        <v>7083.53172186825</v>
      </c>
      <c r="G670" s="17" t="n">
        <f aca="false">B670*2/27+G669*25/27</f>
        <v>6982.11433059636</v>
      </c>
      <c r="H670" s="17" t="n">
        <f aca="false">F670-G670</f>
        <v>101.417391271885</v>
      </c>
      <c r="I670" s="17" t="n">
        <f aca="false">H670*2/10+I669*8/10</f>
        <v>104.330788829834</v>
      </c>
      <c r="J670" s="17" t="n">
        <f aca="false">H670-I670</f>
        <v>-2.91339755794847</v>
      </c>
      <c r="K670" s="17" t="n">
        <f aca="false">MAX(B670-B669,0)</f>
        <v>0</v>
      </c>
      <c r="L670" s="17" t="n">
        <f aca="false">MAX(B669-B670,0)</f>
        <v>0.739999999999782</v>
      </c>
      <c r="M670" s="17" t="n">
        <f aca="false">(M669*13+K670)/14</f>
        <v>26.7388148826089</v>
      </c>
      <c r="N670" s="17" t="n">
        <f aca="false">(N669*13+L670)/14</f>
        <v>13.2739378751222</v>
      </c>
      <c r="O670" s="17" t="n">
        <f aca="false">IF(N670=0,100,100-100/(1+M670/N670))</f>
        <v>66.825731897295</v>
      </c>
      <c r="P670" s="17" t="n">
        <f aca="false">AVERAGE(B651:B670)+2*STDEV(B651:B670)</f>
        <v>7194.91124193344</v>
      </c>
      <c r="Q670" s="17" t="n">
        <f aca="false">AVERAGE(B651:B670)-2*STDEV(B651:B670)</f>
        <v>6887.77475806656</v>
      </c>
      <c r="R670" s="19" t="n">
        <f aca="false">B670/B650-1</f>
        <v>0.0400420622731079</v>
      </c>
      <c r="S670" s="17" t="n">
        <f aca="false">STDEV(C651:C670)*SQRT(252)*100</f>
        <v>10.0497761899412</v>
      </c>
      <c r="T670" s="19" t="n">
        <f aca="false">B649/B419-1</f>
        <v>0.0140653997040099</v>
      </c>
      <c r="U670" s="19" t="n">
        <f aca="false">B670/MAX(B419:B670)-1</f>
        <v>-0.0664932155641251</v>
      </c>
      <c r="V670" s="17" t="n">
        <f aca="false">(B670-AVERAGE(B651:B670))/STDEV(B651:B670)</f>
        <v>1.42590679715482</v>
      </c>
    </row>
    <row r="671" customFormat="false" ht="15" hidden="false" customHeight="false" outlineLevel="0" collapsed="false">
      <c r="A671" s="17" t="s">
        <v>1235</v>
      </c>
      <c r="B671" s="17" t="n">
        <v>7156.79</v>
      </c>
      <c r="C671" s="19" t="n">
        <f aca="false">B671/B670-1</f>
        <v>0.000833469681141841</v>
      </c>
      <c r="D671" s="17" t="n">
        <f aca="false">AVERAGE(B622:B671)</f>
        <v>6744.616</v>
      </c>
      <c r="E671" s="17" t="n">
        <f aca="false">AVERAGE(B472:B671)</f>
        <v>7067.8719</v>
      </c>
      <c r="F671" s="17" t="n">
        <f aca="false">B671*2/13+F670*11/13</f>
        <v>7094.80222619621</v>
      </c>
      <c r="G671" s="17" t="n">
        <f aca="false">B671*2/27+G670*25/27</f>
        <v>6995.05326907071</v>
      </c>
      <c r="H671" s="17" t="n">
        <f aca="false">F671-G671</f>
        <v>99.7489571255037</v>
      </c>
      <c r="I671" s="17" t="n">
        <f aca="false">H671*2/10+I670*8/10</f>
        <v>103.414422488968</v>
      </c>
      <c r="J671" s="17" t="n">
        <f aca="false">H671-I671</f>
        <v>-3.66546536346399</v>
      </c>
      <c r="K671" s="17" t="n">
        <f aca="false">MAX(B671-B670,0)</f>
        <v>5.96000000000004</v>
      </c>
      <c r="L671" s="17" t="n">
        <f aca="false">MAX(B670-B671,0)</f>
        <v>0</v>
      </c>
      <c r="M671" s="17" t="n">
        <f aca="false">(M670*13+K671)/14</f>
        <v>25.2546138195654</v>
      </c>
      <c r="N671" s="17" t="n">
        <f aca="false">(N670*13+L671)/14</f>
        <v>12.3257994554706</v>
      </c>
      <c r="O671" s="17" t="n">
        <f aca="false">IF(N671=0,100,100-100/(1+M671/N671))</f>
        <v>67.2015329760665</v>
      </c>
      <c r="P671" s="17" t="n">
        <f aca="false">AVERAGE(B652:B671)+2*STDEV(B652:B671)</f>
        <v>7207.98671406533</v>
      </c>
      <c r="Q671" s="17" t="n">
        <f aca="false">AVERAGE(B652:B671)-2*STDEV(B652:B671)</f>
        <v>6894.38228593467</v>
      </c>
      <c r="R671" s="19" t="n">
        <f aca="false">B671/B651-1</f>
        <v>0.0282803349444536</v>
      </c>
      <c r="S671" s="17" t="n">
        <f aca="false">STDEV(C652:C671)*SQRT(252)*100</f>
        <v>9.28660661404237</v>
      </c>
      <c r="T671" s="19" t="n">
        <f aca="false">B650/B420-1</f>
        <v>-0.000837053571428492</v>
      </c>
      <c r="U671" s="19" t="n">
        <f aca="false">B671/MAX(B420:B671)-1</f>
        <v>-0.0657151659621575</v>
      </c>
      <c r="V671" s="17" t="n">
        <f aca="false">(B671-AVERAGE(B652:B671))/STDEV(B652:B671)</f>
        <v>1.34698990865015</v>
      </c>
    </row>
    <row r="672" customFormat="false" ht="15" hidden="false" customHeight="false" outlineLevel="0" collapsed="false">
      <c r="A672" s="17" t="s">
        <v>1236</v>
      </c>
      <c r="B672" s="17" t="n">
        <v>7112.47</v>
      </c>
      <c r="C672" s="19" t="n">
        <f aca="false">B672/B671-1</f>
        <v>-0.00619272047943276</v>
      </c>
      <c r="D672" s="17" t="n">
        <f aca="false">AVERAGE(B623:B672)</f>
        <v>6762.0016</v>
      </c>
      <c r="E672" s="17" t="n">
        <f aca="false">AVERAGE(B473:B672)</f>
        <v>7068.9261</v>
      </c>
      <c r="F672" s="17" t="n">
        <f aca="false">B672*2/13+F671*11/13</f>
        <v>7097.52034524295</v>
      </c>
      <c r="G672" s="17" t="n">
        <f aca="false">B672*2/27+G671*25/27</f>
        <v>7003.7508046951</v>
      </c>
      <c r="H672" s="17" t="n">
        <f aca="false">F672-G672</f>
        <v>93.7695405478489</v>
      </c>
      <c r="I672" s="17" t="n">
        <f aca="false">H672*2/10+I671*8/10</f>
        <v>101.485446100744</v>
      </c>
      <c r="J672" s="17" t="n">
        <f aca="false">H672-I672</f>
        <v>-7.71590555289501</v>
      </c>
      <c r="K672" s="17" t="n">
        <f aca="false">MAX(B672-B671,0)</f>
        <v>0</v>
      </c>
      <c r="L672" s="17" t="n">
        <f aca="false">MAX(B671-B672,0)</f>
        <v>44.3199999999997</v>
      </c>
      <c r="M672" s="17" t="n">
        <f aca="false">(M671*13+K672)/14</f>
        <v>23.4507128324536</v>
      </c>
      <c r="N672" s="17" t="n">
        <f aca="false">(N671*13+L672)/14</f>
        <v>14.6110994943656</v>
      </c>
      <c r="O672" s="17" t="n">
        <f aca="false">IF(N672=0,100,100-100/(1+M672/N672))</f>
        <v>61.6121813409545</v>
      </c>
      <c r="P672" s="17" t="n">
        <f aca="false">AVERAGE(B653:B672)+2*STDEV(B653:B672)</f>
        <v>7214.16668550911</v>
      </c>
      <c r="Q672" s="17" t="n">
        <f aca="false">AVERAGE(B653:B672)-2*STDEV(B653:B672)</f>
        <v>6897.09731449089</v>
      </c>
      <c r="R672" s="19" t="n">
        <f aca="false">B672/B652-1</f>
        <v>0.0126645898352962</v>
      </c>
      <c r="S672" s="17" t="n">
        <f aca="false">STDEV(C653:C672)*SQRT(252)*100</f>
        <v>9.18951405829805</v>
      </c>
      <c r="T672" s="19" t="n">
        <f aca="false">B651/B421-1</f>
        <v>0.00679008595375108</v>
      </c>
      <c r="U672" s="19" t="n">
        <f aca="false">B672/MAX(B421:B672)-1</f>
        <v>-0.0715009307875272</v>
      </c>
      <c r="V672" s="17" t="n">
        <f aca="false">(B672-AVERAGE(B653:B672))/STDEV(B653:B672)</f>
        <v>0.717041823591749</v>
      </c>
    </row>
    <row r="673" customFormat="false" ht="15" hidden="false" customHeight="false" outlineLevel="0" collapsed="false">
      <c r="A673" s="17" t="s">
        <v>1237</v>
      </c>
      <c r="B673" s="17" t="n">
        <v>7026.88</v>
      </c>
      <c r="C673" s="19" t="n">
        <f aca="false">B673/B672-1</f>
        <v>-0.0120337941671459</v>
      </c>
      <c r="D673" s="17" t="n">
        <f aca="false">AVERAGE(B624:B673)</f>
        <v>6781.608</v>
      </c>
      <c r="E673" s="17" t="n">
        <f aca="false">AVERAGE(B474:B673)</f>
        <v>7069.72925</v>
      </c>
      <c r="F673" s="17" t="n">
        <f aca="false">B673*2/13+F672*11/13</f>
        <v>7086.65259982095</v>
      </c>
      <c r="G673" s="17" t="n">
        <f aca="false">B673*2/27+G672*25/27</f>
        <v>7005.46407842139</v>
      </c>
      <c r="H673" s="17" t="n">
        <f aca="false">F673-G673</f>
        <v>81.1885213995674</v>
      </c>
      <c r="I673" s="17" t="n">
        <f aca="false">H673*2/10+I672*8/10</f>
        <v>97.4260611605086</v>
      </c>
      <c r="J673" s="17" t="n">
        <f aca="false">H673-I673</f>
        <v>-16.2375397609412</v>
      </c>
      <c r="K673" s="17" t="n">
        <f aca="false">MAX(B673-B672,0)</f>
        <v>0</v>
      </c>
      <c r="L673" s="17" t="n">
        <f aca="false">MAX(B672-B673,0)</f>
        <v>85.5900000000002</v>
      </c>
      <c r="M673" s="17" t="n">
        <f aca="false">(M672*13+K673)/14</f>
        <v>21.7756619158498</v>
      </c>
      <c r="N673" s="17" t="n">
        <f aca="false">(N672*13+L673)/14</f>
        <v>19.6810209590538</v>
      </c>
      <c r="O673" s="17" t="n">
        <f aca="false">IF(N673=0,100,100-100/(1+M673/N673))</f>
        <v>52.5263007210643</v>
      </c>
      <c r="P673" s="17" t="n">
        <f aca="false">AVERAGE(B654:B673)+2*STDEV(B654:B673)</f>
        <v>7213.90625020059</v>
      </c>
      <c r="Q673" s="17" t="n">
        <f aca="false">AVERAGE(B654:B673)-2*STDEV(B654:B673)</f>
        <v>6900.2837497994</v>
      </c>
      <c r="R673" s="19" t="n">
        <f aca="false">B673/B653-1</f>
        <v>0.00418142168337243</v>
      </c>
      <c r="S673" s="17" t="n">
        <f aca="false">STDEV(C654:C673)*SQRT(252)*100</f>
        <v>10.1398749448629</v>
      </c>
      <c r="T673" s="19" t="n">
        <f aca="false">B652/B422-1</f>
        <v>0.0135841683034148</v>
      </c>
      <c r="U673" s="19" t="n">
        <f aca="false">B673/MAX(B422:B673)-1</f>
        <v>-0.0826742974708167</v>
      </c>
      <c r="V673" s="17" t="n">
        <f aca="false">(B673-AVERAGE(B654:B673))/STDEV(B654:B673)</f>
        <v>-0.38536775851666</v>
      </c>
    </row>
    <row r="674" customFormat="false" ht="15" hidden="false" customHeight="false" outlineLevel="0" collapsed="false">
      <c r="A674" s="17" t="s">
        <v>1238</v>
      </c>
      <c r="B674" s="17" t="n">
        <v>7015.69</v>
      </c>
      <c r="C674" s="19" t="n">
        <f aca="false">B674/B673-1</f>
        <v>-0.0015924563960108</v>
      </c>
      <c r="D674" s="17" t="n">
        <f aca="false">AVERAGE(B625:B674)</f>
        <v>6803.9348</v>
      </c>
      <c r="E674" s="17" t="n">
        <f aca="false">AVERAGE(B475:B674)</f>
        <v>7070.28005</v>
      </c>
      <c r="F674" s="17" t="n">
        <f aca="false">B674*2/13+F673*11/13</f>
        <v>7075.73527677158</v>
      </c>
      <c r="G674" s="17" t="n">
        <f aca="false">B674*2/27+G673*25/27</f>
        <v>7006.22155409388</v>
      </c>
      <c r="H674" s="17" t="n">
        <f aca="false">F674-G674</f>
        <v>69.5137226777006</v>
      </c>
      <c r="I674" s="17" t="n">
        <f aca="false">H674*2/10+I673*8/10</f>
        <v>91.843593463947</v>
      </c>
      <c r="J674" s="17" t="n">
        <f aca="false">H674-I674</f>
        <v>-22.3298707862464</v>
      </c>
      <c r="K674" s="17" t="n">
        <f aca="false">MAX(B674-B673,0)</f>
        <v>0</v>
      </c>
      <c r="L674" s="17" t="n">
        <f aca="false">MAX(B673-B674,0)</f>
        <v>11.1900000000005</v>
      </c>
      <c r="M674" s="17" t="n">
        <f aca="false">(M673*13+K674)/14</f>
        <v>20.2202574932891</v>
      </c>
      <c r="N674" s="17" t="n">
        <f aca="false">(N673*13+L674)/14</f>
        <v>19.0745194619785</v>
      </c>
      <c r="O674" s="17" t="n">
        <f aca="false">IF(N674=0,100,100-100/(1+M674/N674))</f>
        <v>51.4578757281341</v>
      </c>
      <c r="P674" s="17" t="n">
        <f aca="false">AVERAGE(B655:B674)+2*STDEV(B655:B674)</f>
        <v>7203.87606033638</v>
      </c>
      <c r="Q674" s="17" t="n">
        <f aca="false">AVERAGE(B655:B674)-2*STDEV(B655:B674)</f>
        <v>6921.38493966362</v>
      </c>
      <c r="R674" s="19" t="n">
        <f aca="false">B674/B654-1</f>
        <v>0.0160333556360772</v>
      </c>
      <c r="S674" s="17" t="n">
        <f aca="false">STDEV(C655:C674)*SQRT(252)*100</f>
        <v>8.8489374002247</v>
      </c>
      <c r="T674" s="19" t="n">
        <f aca="false">B653/B423-1</f>
        <v>0.00447718558860122</v>
      </c>
      <c r="U674" s="19" t="n">
        <f aca="false">B674/MAX(B423:B674)-1</f>
        <v>-0.0841350986530344</v>
      </c>
      <c r="V674" s="17" t="n">
        <f aca="false">(B674-AVERAGE(B655:B674))/STDEV(B655:B674)</f>
        <v>-0.664665139041695</v>
      </c>
    </row>
    <row r="675" customFormat="false" ht="15" hidden="false" customHeight="false" outlineLevel="0" collapsed="false">
      <c r="A675" s="17" t="s">
        <v>1239</v>
      </c>
      <c r="B675" s="17" t="n">
        <v>7164.02</v>
      </c>
      <c r="C675" s="19" t="n">
        <f aca="false">B675/B674-1</f>
        <v>0.021142610349089</v>
      </c>
      <c r="D675" s="17" t="n">
        <f aca="false">AVERAGE(B626:B675)</f>
        <v>6821.9598</v>
      </c>
      <c r="E675" s="17" t="n">
        <f aca="false">AVERAGE(B476:B675)</f>
        <v>7071.63205</v>
      </c>
      <c r="F675" s="17" t="n">
        <f aca="false">B675*2/13+F674*11/13</f>
        <v>7089.31754188364</v>
      </c>
      <c r="G675" s="17" t="n">
        <f aca="false">B675*2/27+G674*25/27</f>
        <v>7017.9103278647</v>
      </c>
      <c r="H675" s="17" t="n">
        <f aca="false">F675-G675</f>
        <v>71.4072140189419</v>
      </c>
      <c r="I675" s="17" t="n">
        <f aca="false">H675*2/10+I674*8/10</f>
        <v>87.756317574946</v>
      </c>
      <c r="J675" s="17" t="n">
        <f aca="false">H675-I675</f>
        <v>-16.3491035560041</v>
      </c>
      <c r="K675" s="17" t="n">
        <f aca="false">MAX(B675-B674,0)</f>
        <v>148.330000000001</v>
      </c>
      <c r="L675" s="17" t="n">
        <f aca="false">MAX(B674-B675,0)</f>
        <v>0</v>
      </c>
      <c r="M675" s="17" t="n">
        <f aca="false">(M674*13+K675)/14</f>
        <v>29.3709533866256</v>
      </c>
      <c r="N675" s="17" t="n">
        <f aca="false">(N674*13+L675)/14</f>
        <v>17.7120537861229</v>
      </c>
      <c r="O675" s="17" t="n">
        <f aca="false">IF(N675=0,100,100-100/(1+M675/N675))</f>
        <v>62.3812180875852</v>
      </c>
      <c r="P675" s="17" t="n">
        <f aca="false">AVERAGE(B656:B675)+2*STDEV(B656:B675)</f>
        <v>7204.58345665037</v>
      </c>
      <c r="Q675" s="17" t="n">
        <f aca="false">AVERAGE(B656:B675)-2*STDEV(B656:B675)</f>
        <v>6945.76654334963</v>
      </c>
      <c r="R675" s="19" t="n">
        <f aca="false">B675/B655-1</f>
        <v>0.0362918099326934</v>
      </c>
      <c r="S675" s="17" t="n">
        <f aca="false">STDEV(C656:C675)*SQRT(252)*100</f>
        <v>11.4224723579722</v>
      </c>
      <c r="T675" s="19" t="n">
        <f aca="false">B654/B424-1</f>
        <v>-0.0276292109198754</v>
      </c>
      <c r="U675" s="19" t="n">
        <f aca="false">B675/MAX(B424:B675)-1</f>
        <v>-0.0647713239114486</v>
      </c>
      <c r="V675" s="17" t="n">
        <f aca="false">(B675-AVERAGE(B656:B675))/STDEV(B656:B675)</f>
        <v>1.3730941902821</v>
      </c>
    </row>
    <row r="676" customFormat="false" ht="15" hidden="false" customHeight="false" outlineLevel="0" collapsed="false">
      <c r="A676" s="17" t="s">
        <v>1240</v>
      </c>
      <c r="B676" s="17" t="n">
        <v>7201.28</v>
      </c>
      <c r="C676" s="19" t="n">
        <f aca="false">B676/B675-1</f>
        <v>0.00520099050533074</v>
      </c>
      <c r="D676" s="17" t="n">
        <f aca="false">AVERAGE(B627:B676)</f>
        <v>6840.2194</v>
      </c>
      <c r="E676" s="17" t="n">
        <f aca="false">AVERAGE(B477:B676)</f>
        <v>7072.8703</v>
      </c>
      <c r="F676" s="17" t="n">
        <f aca="false">B676*2/13+F675*11/13</f>
        <v>7106.54253544001</v>
      </c>
      <c r="G676" s="17" t="n">
        <f aca="false">B676*2/27+G675*25/27</f>
        <v>7031.49326654139</v>
      </c>
      <c r="H676" s="17" t="n">
        <f aca="false">F676-G676</f>
        <v>75.0492688986151</v>
      </c>
      <c r="I676" s="17" t="n">
        <f aca="false">H676*2/10+I675*8/10</f>
        <v>85.2149078396798</v>
      </c>
      <c r="J676" s="17" t="n">
        <f aca="false">H676-I676</f>
        <v>-10.1656389410647</v>
      </c>
      <c r="K676" s="17" t="n">
        <f aca="false">MAX(B676-B675,0)</f>
        <v>37.2599999999993</v>
      </c>
      <c r="L676" s="17" t="n">
        <f aca="false">MAX(B675-B676,0)</f>
        <v>0</v>
      </c>
      <c r="M676" s="17" t="n">
        <f aca="false">(M675*13+K676)/14</f>
        <v>29.9344567161523</v>
      </c>
      <c r="N676" s="17" t="n">
        <f aca="false">(N675*13+L676)/14</f>
        <v>16.4469070871141</v>
      </c>
      <c r="O676" s="17" t="n">
        <f aca="false">IF(N676=0,100,100-100/(1+M676/N676))</f>
        <v>64.5398372568859</v>
      </c>
      <c r="P676" s="17" t="n">
        <f aca="false">AVERAGE(B657:B676)+2*STDEV(B657:B676)</f>
        <v>7205.51846797164</v>
      </c>
      <c r="Q676" s="17" t="n">
        <f aca="false">AVERAGE(B657:B676)-2*STDEV(B657:B676)</f>
        <v>6974.04153202837</v>
      </c>
      <c r="R676" s="19" t="n">
        <f aca="false">B676/B656-1</f>
        <v>0.0422770864270434</v>
      </c>
      <c r="S676" s="17" t="n">
        <f aca="false">STDEV(C657:C676)*SQRT(252)*100</f>
        <v>11.4467117681642</v>
      </c>
      <c r="T676" s="19" t="n">
        <f aca="false">B655/B425-1</f>
        <v>-0.0305688307026105</v>
      </c>
      <c r="U676" s="19" t="n">
        <f aca="false">B676/MAX(B425:B676)-1</f>
        <v>-0.059907208446799</v>
      </c>
      <c r="V676" s="17" t="n">
        <f aca="false">(B676-AVERAGE(B657:B676))/STDEV(B657:B676)</f>
        <v>1.92675783521389</v>
      </c>
    </row>
    <row r="677" customFormat="false" ht="15" hidden="false" customHeight="false" outlineLevel="0" collapsed="false">
      <c r="A677" s="17" t="s">
        <v>1241</v>
      </c>
      <c r="B677" s="17" t="n">
        <v>7256.98</v>
      </c>
      <c r="C677" s="19" t="n">
        <f aca="false">B677/B676-1</f>
        <v>0.00773473604692487</v>
      </c>
      <c r="D677" s="17" t="n">
        <f aca="false">AVERAGE(B628:B677)</f>
        <v>6859.6536</v>
      </c>
      <c r="E677" s="17" t="n">
        <f aca="false">AVERAGE(B478:B677)</f>
        <v>7074.4067</v>
      </c>
      <c r="F677" s="17" t="n">
        <f aca="false">B677*2/13+F676*11/13</f>
        <v>7129.68676075693</v>
      </c>
      <c r="G677" s="17" t="n">
        <f aca="false">B677*2/27+G676*25/27</f>
        <v>7048.19598753832</v>
      </c>
      <c r="H677" s="17" t="n">
        <f aca="false">F677-G677</f>
        <v>81.490773218603</v>
      </c>
      <c r="I677" s="17" t="n">
        <f aca="false">H677*2/10+I676*8/10</f>
        <v>84.4700809154644</v>
      </c>
      <c r="J677" s="17" t="n">
        <f aca="false">H677-I677</f>
        <v>-2.97930769686148</v>
      </c>
      <c r="K677" s="17" t="n">
        <f aca="false">MAX(B677-B676,0)</f>
        <v>55.6999999999998</v>
      </c>
      <c r="L677" s="17" t="n">
        <f aca="false">MAX(B676-B677,0)</f>
        <v>0</v>
      </c>
      <c r="M677" s="17" t="n">
        <f aca="false">(M676*13+K677)/14</f>
        <v>31.7748526649986</v>
      </c>
      <c r="N677" s="17" t="n">
        <f aca="false">(N676*13+L677)/14</f>
        <v>15.2721280094631</v>
      </c>
      <c r="O677" s="17" t="n">
        <f aca="false">IF(N677=0,100,100-100/(1+M677/N677))</f>
        <v>67.5385587119022</v>
      </c>
      <c r="P677" s="17" t="n">
        <f aca="false">AVERAGE(B658:B677)+2*STDEV(B658:B677)</f>
        <v>7234.08892900701</v>
      </c>
      <c r="Q677" s="17" t="n">
        <f aca="false">AVERAGE(B658:B677)-2*STDEV(B658:B677)</f>
        <v>6969.70207099299</v>
      </c>
      <c r="R677" s="19" t="n">
        <f aca="false">B677/B657-1</f>
        <v>0.0345433213536772</v>
      </c>
      <c r="S677" s="17" t="n">
        <f aca="false">STDEV(C658:C677)*SQRT(252)*100</f>
        <v>10.576293665493</v>
      </c>
      <c r="T677" s="19" t="n">
        <f aca="false">B656/B426-1</f>
        <v>-0.0194890804100185</v>
      </c>
      <c r="U677" s="19" t="n">
        <f aca="false">B677/MAX(B426:B677)-1</f>
        <v>-0.0526358388445181</v>
      </c>
      <c r="V677" s="17" t="n">
        <f aca="false">(B677-AVERAGE(B658:B677))/STDEV(B658:B677)</f>
        <v>2.34632691148021</v>
      </c>
    </row>
    <row r="678" customFormat="false" ht="15" hidden="false" customHeight="false" outlineLevel="0" collapsed="false">
      <c r="A678" s="17" t="s">
        <v>1242</v>
      </c>
      <c r="B678" s="17" t="n">
        <v>7243.01</v>
      </c>
      <c r="C678" s="19" t="n">
        <f aca="false">B678/B677-1</f>
        <v>-0.00192504319978826</v>
      </c>
      <c r="D678" s="17" t="n">
        <f aca="false">AVERAGE(B629:B678)</f>
        <v>6877.9144</v>
      </c>
      <c r="E678" s="17" t="n">
        <f aca="false">AVERAGE(B479:B678)</f>
        <v>7075.81715</v>
      </c>
      <c r="F678" s="17" t="n">
        <f aca="false">B678*2/13+F677*11/13</f>
        <v>7147.12110525586</v>
      </c>
      <c r="G678" s="17" t="n">
        <f aca="false">B678*2/27+G677*25/27</f>
        <v>7062.62665512808</v>
      </c>
      <c r="H678" s="17" t="n">
        <f aca="false">F678-G678</f>
        <v>84.4944501277851</v>
      </c>
      <c r="I678" s="17" t="n">
        <f aca="false">H678*2/10+I677*8/10</f>
        <v>84.4749547579286</v>
      </c>
      <c r="J678" s="17" t="n">
        <f aca="false">H678-I678</f>
        <v>0.0194953698565001</v>
      </c>
      <c r="K678" s="17" t="n">
        <f aca="false">MAX(B678-B677,0)</f>
        <v>0</v>
      </c>
      <c r="L678" s="17" t="n">
        <f aca="false">MAX(B677-B678,0)</f>
        <v>13.9699999999993</v>
      </c>
      <c r="M678" s="17" t="n">
        <f aca="false">(M677*13+K678)/14</f>
        <v>29.5052203317844</v>
      </c>
      <c r="N678" s="17" t="n">
        <f aca="false">(N677*13+L678)/14</f>
        <v>15.17911886593</v>
      </c>
      <c r="O678" s="17" t="n">
        <f aca="false">IF(N678=0,100,100-100/(1+M678/N678))</f>
        <v>66.0303382830233</v>
      </c>
      <c r="P678" s="17" t="n">
        <f aca="false">AVERAGE(B659:B678)+2*STDEV(B659:B678)</f>
        <v>7253.13313128089</v>
      </c>
      <c r="Q678" s="17" t="n">
        <f aca="false">AVERAGE(B659:B678)-2*STDEV(B659:B678)</f>
        <v>6973.37086871911</v>
      </c>
      <c r="R678" s="19" t="n">
        <f aca="false">B678/B658-1</f>
        <v>0.0323737008044607</v>
      </c>
      <c r="S678" s="17" t="n">
        <f aca="false">STDEV(C659:C678)*SQRT(252)*100</f>
        <v>10.6430076165153</v>
      </c>
      <c r="T678" s="19" t="n">
        <f aca="false">B657/B427-1</f>
        <v>-0.00373669574405833</v>
      </c>
      <c r="U678" s="19" t="n">
        <f aca="false">B678/MAX(B427:B678)-1</f>
        <v>-0.0544595557806735</v>
      </c>
      <c r="V678" s="17" t="n">
        <f aca="false">(B678-AVERAGE(B659:B678))/STDEV(B659:B678)</f>
        <v>1.85526094637367</v>
      </c>
    </row>
    <row r="679" customFormat="false" ht="15" hidden="false" customHeight="false" outlineLevel="0" collapsed="false">
      <c r="A679" s="17" t="s">
        <v>1243</v>
      </c>
      <c r="B679" s="17" t="n">
        <v>7306.99</v>
      </c>
      <c r="C679" s="19" t="n">
        <f aca="false">B679/B678-1</f>
        <v>0.00883334414835812</v>
      </c>
      <c r="D679" s="17" t="n">
        <f aca="false">AVERAGE(B630:B679)</f>
        <v>6896.8368</v>
      </c>
      <c r="E679" s="17" t="n">
        <f aca="false">AVERAGE(B480:B679)</f>
        <v>7077.7194</v>
      </c>
      <c r="F679" s="17" t="n">
        <f aca="false">B679*2/13+F678*11/13</f>
        <v>7171.71631983188</v>
      </c>
      <c r="G679" s="17" t="n">
        <f aca="false">B679*2/27+G678*25/27</f>
        <v>7080.72764363711</v>
      </c>
      <c r="H679" s="17" t="n">
        <f aca="false">F679-G679</f>
        <v>90.9886761947755</v>
      </c>
      <c r="I679" s="17" t="n">
        <f aca="false">H679*2/10+I678*8/10</f>
        <v>85.777699045298</v>
      </c>
      <c r="J679" s="17" t="n">
        <f aca="false">H679-I679</f>
        <v>5.21097714947756</v>
      </c>
      <c r="K679" s="17" t="n">
        <f aca="false">MAX(B679-B678,0)</f>
        <v>63.9799999999996</v>
      </c>
      <c r="L679" s="17" t="n">
        <f aca="false">MAX(B678-B679,0)</f>
        <v>0</v>
      </c>
      <c r="M679" s="17" t="n">
        <f aca="false">(M678*13+K679)/14</f>
        <v>31.9677045937998</v>
      </c>
      <c r="N679" s="17" t="n">
        <f aca="false">(N678*13+L679)/14</f>
        <v>14.0948960897921</v>
      </c>
      <c r="O679" s="17" t="n">
        <f aca="false">IF(N679=0,100,100-100/(1+M679/N679))</f>
        <v>69.4005638400419</v>
      </c>
      <c r="P679" s="17" t="n">
        <f aca="false">AVERAGE(B660:B679)+2*STDEV(B660:B679)</f>
        <v>7285.21240305405</v>
      </c>
      <c r="Q679" s="17" t="n">
        <f aca="false">AVERAGE(B660:B679)-2*STDEV(B660:B679)</f>
        <v>6969.74859694595</v>
      </c>
      <c r="R679" s="19" t="n">
        <f aca="false">B679/B659-1</f>
        <v>0.0405230675465154</v>
      </c>
      <c r="S679" s="17" t="n">
        <f aca="false">STDEV(C660:C679)*SQRT(252)*100</f>
        <v>10.9410846247054</v>
      </c>
      <c r="T679" s="19" t="n">
        <f aca="false">B658/B428-1</f>
        <v>-0.00214621880053534</v>
      </c>
      <c r="U679" s="19" t="n">
        <f aca="false">B679/MAX(B428:B679)-1</f>
        <v>-0.0461072716306928</v>
      </c>
      <c r="V679" s="17" t="n">
        <f aca="false">(B679-AVERAGE(B660:B679))/STDEV(B660:B679)</f>
        <v>2.27613433331222</v>
      </c>
    </row>
    <row r="680" customFormat="false" ht="15" hidden="false" customHeight="false" outlineLevel="0" collapsed="false">
      <c r="A680" s="17" t="s">
        <v>1244</v>
      </c>
      <c r="B680" s="17" t="n">
        <v>7326.28</v>
      </c>
      <c r="C680" s="19" t="n">
        <f aca="false">B680/B679-1</f>
        <v>0.00263993792245509</v>
      </c>
      <c r="D680" s="17" t="n">
        <f aca="false">AVERAGE(B631:B680)</f>
        <v>6920.4198</v>
      </c>
      <c r="E680" s="17" t="n">
        <f aca="false">AVERAGE(B481:B680)</f>
        <v>7079.46895</v>
      </c>
      <c r="F680" s="17" t="n">
        <f aca="false">B680*2/13+F679*11/13</f>
        <v>7195.49534755006</v>
      </c>
      <c r="G680" s="17" t="n">
        <f aca="false">B680*2/27+G679*25/27</f>
        <v>7098.9167070714</v>
      </c>
      <c r="H680" s="17" t="n">
        <f aca="false">F680-G680</f>
        <v>96.5786404786586</v>
      </c>
      <c r="I680" s="17" t="n">
        <f aca="false">H680*2/10+I679*8/10</f>
        <v>87.9378873319701</v>
      </c>
      <c r="J680" s="17" t="n">
        <f aca="false">H680-I680</f>
        <v>8.64075314668853</v>
      </c>
      <c r="K680" s="17" t="n">
        <f aca="false">MAX(B680-B679,0)</f>
        <v>19.29</v>
      </c>
      <c r="L680" s="17" t="n">
        <f aca="false">MAX(B679-B680,0)</f>
        <v>0</v>
      </c>
      <c r="M680" s="17" t="n">
        <f aca="false">(M679*13+K680)/14</f>
        <v>31.0621542656712</v>
      </c>
      <c r="N680" s="17" t="n">
        <f aca="false">(N679*13+L680)/14</f>
        <v>13.0881177976641</v>
      </c>
      <c r="O680" s="17" t="n">
        <f aca="false">IF(N680=0,100,100-100/(1+M680/N680))</f>
        <v>70.3555217533231</v>
      </c>
      <c r="P680" s="17" t="n">
        <f aca="false">AVERAGE(B661:B680)+2*STDEV(B661:B680)</f>
        <v>7318.02556590915</v>
      </c>
      <c r="Q680" s="17" t="n">
        <f aca="false">AVERAGE(B661:B680)-2*STDEV(B661:B680)</f>
        <v>6964.04543409085</v>
      </c>
      <c r="R680" s="19" t="n">
        <f aca="false">B680/B660-1</f>
        <v>0.0384256673819803</v>
      </c>
      <c r="S680" s="17" t="n">
        <f aca="false">STDEV(C661:C680)*SQRT(252)*100</f>
        <v>10.8994553105846</v>
      </c>
      <c r="T680" s="19" t="n">
        <f aca="false">B659/B429-1</f>
        <v>0.000351854357937054</v>
      </c>
      <c r="U680" s="19" t="n">
        <f aca="false">B680/MAX(B429:B680)-1</f>
        <v>-0.0435890540431165</v>
      </c>
      <c r="V680" s="17" t="n">
        <f aca="false">(B680-AVERAGE(B661:B680))/STDEV(B661:B680)</f>
        <v>2.09327567678385</v>
      </c>
    </row>
    <row r="681" customFormat="false" ht="15" hidden="false" customHeight="false" outlineLevel="0" collapsed="false">
      <c r="A681" s="17" t="s">
        <v>1245</v>
      </c>
      <c r="B681" s="17" t="n">
        <v>7349.28</v>
      </c>
      <c r="C681" s="19" t="n">
        <f aca="false">B681/B680-1</f>
        <v>0.00313938315215911</v>
      </c>
      <c r="D681" s="17" t="n">
        <f aca="false">AVERAGE(B632:B681)</f>
        <v>6938.952</v>
      </c>
      <c r="E681" s="17" t="n">
        <f aca="false">AVERAGE(B482:B681)</f>
        <v>7081.3767</v>
      </c>
      <c r="F681" s="17" t="n">
        <f aca="false">B681*2/13+F680*11/13</f>
        <v>7219.15452485005</v>
      </c>
      <c r="G681" s="17" t="n">
        <f aca="false">B681*2/27+G680*25/27</f>
        <v>7117.46213617722</v>
      </c>
      <c r="H681" s="17" t="n">
        <f aca="false">F681-G681</f>
        <v>101.692388672827</v>
      </c>
      <c r="I681" s="17" t="n">
        <f aca="false">H681*2/10+I680*8/10</f>
        <v>90.6887876001415</v>
      </c>
      <c r="J681" s="17" t="n">
        <f aca="false">H681-I681</f>
        <v>11.0036010726858</v>
      </c>
      <c r="K681" s="17" t="n">
        <f aca="false">MAX(B681-B680,0)</f>
        <v>23</v>
      </c>
      <c r="L681" s="17" t="n">
        <f aca="false">MAX(B680-B681,0)</f>
        <v>0</v>
      </c>
      <c r="M681" s="17" t="n">
        <f aca="false">(M680*13+K681)/14</f>
        <v>30.4862861038376</v>
      </c>
      <c r="N681" s="17" t="n">
        <f aca="false">(N680*13+L681)/14</f>
        <v>12.1532522406881</v>
      </c>
      <c r="O681" s="17" t="n">
        <f aca="false">IF(N681=0,100,100-100/(1+M681/N681))</f>
        <v>71.4976927224438</v>
      </c>
      <c r="P681" s="17" t="n">
        <f aca="false">AVERAGE(B662:B681)+2*STDEV(B662:B681)</f>
        <v>7351.25037224927</v>
      </c>
      <c r="Q681" s="17" t="n">
        <f aca="false">AVERAGE(B662:B681)-2*STDEV(B662:B681)</f>
        <v>6959.08762775073</v>
      </c>
      <c r="R681" s="19" t="n">
        <f aca="false">B681/B661-1</f>
        <v>0.0400007924591848</v>
      </c>
      <c r="S681" s="17" t="n">
        <f aca="false">STDEV(C662:C681)*SQRT(252)*100</f>
        <v>10.9074466081928</v>
      </c>
      <c r="T681" s="19" t="n">
        <f aca="false">B660/B430-1</f>
        <v>0.0277208050249969</v>
      </c>
      <c r="U681" s="19" t="n">
        <f aca="false">B681/MAX(B430:B681)-1</f>
        <v>-0.0405865136328389</v>
      </c>
      <c r="V681" s="17" t="n">
        <f aca="false">(B681-AVERAGE(B662:B681))/STDEV(B662:B681)</f>
        <v>1.97990250448913</v>
      </c>
    </row>
    <row r="682" customFormat="false" ht="15" hidden="false" customHeight="false" outlineLevel="0" collapsed="false">
      <c r="A682" s="17" t="s">
        <v>1246</v>
      </c>
      <c r="B682" s="17" t="n">
        <v>7380.75</v>
      </c>
      <c r="C682" s="19" t="n">
        <f aca="false">B682/B681-1</f>
        <v>0.00428205211939137</v>
      </c>
      <c r="D682" s="17" t="n">
        <f aca="false">AVERAGE(B633:B682)</f>
        <v>6956.802</v>
      </c>
      <c r="E682" s="17" t="n">
        <f aca="false">AVERAGE(B483:B682)</f>
        <v>7082.8608</v>
      </c>
      <c r="F682" s="17" t="n">
        <f aca="false">B682*2/13+F681*11/13</f>
        <v>7244.01536718081</v>
      </c>
      <c r="G682" s="17" t="n">
        <f aca="false">B682*2/27+G681*25/27</f>
        <v>7136.96494090483</v>
      </c>
      <c r="H682" s="17" t="n">
        <f aca="false">F682-G682</f>
        <v>107.050426275976</v>
      </c>
      <c r="I682" s="17" t="n">
        <f aca="false">H682*2/10+I681*8/10</f>
        <v>93.9611153353084</v>
      </c>
      <c r="J682" s="17" t="n">
        <f aca="false">H682-I682</f>
        <v>13.0893109406675</v>
      </c>
      <c r="K682" s="17" t="n">
        <f aca="false">MAX(B682-B681,0)</f>
        <v>31.4700000000003</v>
      </c>
      <c r="L682" s="17" t="n">
        <f aca="false">MAX(B681-B682,0)</f>
        <v>0</v>
      </c>
      <c r="M682" s="17" t="n">
        <f aca="false">(M681*13+K682)/14</f>
        <v>30.5565513821349</v>
      </c>
      <c r="N682" s="17" t="n">
        <f aca="false">(N681*13+L682)/14</f>
        <v>11.2851627949247</v>
      </c>
      <c r="O682" s="17" t="n">
        <f aca="false">IF(N682=0,100,100-100/(1+M682/N682))</f>
        <v>73.0289185878719</v>
      </c>
      <c r="P682" s="17" t="n">
        <f aca="false">AVERAGE(B663:B682)+2*STDEV(B663:B682)</f>
        <v>7386.21632403643</v>
      </c>
      <c r="Q682" s="17" t="n">
        <f aca="false">AVERAGE(B663:B682)-2*STDEV(B663:B682)</f>
        <v>6955.96267596357</v>
      </c>
      <c r="R682" s="19" t="n">
        <f aca="false">B682/B662-1</f>
        <v>0.0450856231787198</v>
      </c>
      <c r="S682" s="17" t="n">
        <f aca="false">STDEV(C663:C682)*SQRT(252)*100</f>
        <v>10.8914776718784</v>
      </c>
      <c r="T682" s="19" t="n">
        <f aca="false">B661/B431-1</f>
        <v>0.0262405023584358</v>
      </c>
      <c r="U682" s="19" t="n">
        <f aca="false">B682/MAX(B431:B682)-1</f>
        <v>-0.0364782550801679</v>
      </c>
      <c r="V682" s="17" t="n">
        <f aca="false">(B682-AVERAGE(B663:B682))/STDEV(B663:B682)</f>
        <v>1.94918045147637</v>
      </c>
    </row>
    <row r="683" customFormat="false" ht="15" hidden="false" customHeight="false" outlineLevel="0" collapsed="false">
      <c r="A683" s="17" t="s">
        <v>1247</v>
      </c>
      <c r="B683" s="17" t="n">
        <v>7493.27</v>
      </c>
      <c r="C683" s="19" t="n">
        <f aca="false">B683/B682-1</f>
        <v>0.015245063171087</v>
      </c>
      <c r="D683" s="17" t="n">
        <f aca="false">AVERAGE(B634:B683)</f>
        <v>6975.6304</v>
      </c>
      <c r="E683" s="17" t="n">
        <f aca="false">AVERAGE(B484:B683)</f>
        <v>7084.6093</v>
      </c>
      <c r="F683" s="17" t="n">
        <f aca="false">B683*2/13+F682*11/13</f>
        <v>7282.36223376838</v>
      </c>
      <c r="G683" s="17" t="n">
        <f aca="false">B683*2/27+G682*25/27</f>
        <v>7163.35790824522</v>
      </c>
      <c r="H683" s="17" t="n">
        <f aca="false">F683-G683</f>
        <v>119.004325523162</v>
      </c>
      <c r="I683" s="17" t="n">
        <f aca="false">H683*2/10+I682*8/10</f>
        <v>98.9697573728792</v>
      </c>
      <c r="J683" s="17" t="n">
        <f aca="false">H683-I683</f>
        <v>20.034568150283</v>
      </c>
      <c r="K683" s="17" t="n">
        <f aca="false">MAX(B683-B682,0)</f>
        <v>112.52</v>
      </c>
      <c r="L683" s="17" t="n">
        <f aca="false">MAX(B682-B683,0)</f>
        <v>0</v>
      </c>
      <c r="M683" s="17" t="n">
        <f aca="false">(M682*13+K683)/14</f>
        <v>36.4110834262681</v>
      </c>
      <c r="N683" s="17" t="n">
        <f aca="false">(N682*13+L683)/14</f>
        <v>10.4790797381444</v>
      </c>
      <c r="O683" s="17" t="n">
        <f aca="false">IF(N683=0,100,100-100/(1+M683/N683))</f>
        <v>77.6518590873715</v>
      </c>
      <c r="P683" s="17" t="n">
        <f aca="false">AVERAGE(B664:B683)+2*STDEV(B664:B683)</f>
        <v>7443.05980725009</v>
      </c>
      <c r="Q683" s="17" t="n">
        <f aca="false">AVERAGE(B664:B683)-2*STDEV(B664:B683)</f>
        <v>6944.93019274991</v>
      </c>
      <c r="R683" s="19" t="n">
        <f aca="false">B683/B663-1</f>
        <v>0.0651172112645626</v>
      </c>
      <c r="S683" s="17" t="n">
        <f aca="false">STDEV(C664:C683)*SQRT(252)*100</f>
        <v>11.5660972863025</v>
      </c>
      <c r="T683" s="19" t="n">
        <f aca="false">B662/B432-1</f>
        <v>0.0304795395020028</v>
      </c>
      <c r="U683" s="19" t="n">
        <f aca="false">B683/MAX(B432:B683)-1</f>
        <v>-0.0217893052121491</v>
      </c>
      <c r="V683" s="17" t="n">
        <f aca="false">(B683-AVERAGE(B664:B683))/STDEV(B664:B683)</f>
        <v>2.40318978264552</v>
      </c>
    </row>
    <row r="684" customFormat="false" ht="15" hidden="false" customHeight="false" outlineLevel="0" collapsed="false">
      <c r="A684" s="17" t="s">
        <v>1248</v>
      </c>
      <c r="B684" s="17" t="n">
        <v>7326.06</v>
      </c>
      <c r="C684" s="19" t="n">
        <f aca="false">B684/B683-1</f>
        <v>-0.0223146903821696</v>
      </c>
      <c r="D684" s="17" t="n">
        <f aca="false">AVERAGE(B635:B684)</f>
        <v>6990.1378</v>
      </c>
      <c r="E684" s="17" t="n">
        <f aca="false">AVERAGE(B485:B684)</f>
        <v>7085.40585</v>
      </c>
      <c r="F684" s="17" t="n">
        <f aca="false">B684*2/13+F683*11/13</f>
        <v>7289.08496703478</v>
      </c>
      <c r="G684" s="17" t="n">
        <f aca="false">B684*2/27+G683*25/27</f>
        <v>7175.40991504187</v>
      </c>
      <c r="H684" s="17" t="n">
        <f aca="false">F684-G684</f>
        <v>113.675051992915</v>
      </c>
      <c r="I684" s="17" t="n">
        <f aca="false">H684*2/10+I683*8/10</f>
        <v>101.910816296886</v>
      </c>
      <c r="J684" s="17" t="n">
        <f aca="false">H684-I684</f>
        <v>11.7642356960284</v>
      </c>
      <c r="K684" s="17" t="n">
        <f aca="false">MAX(B684-B683,0)</f>
        <v>0</v>
      </c>
      <c r="L684" s="17" t="n">
        <f aca="false">MAX(B683-B684,0)</f>
        <v>167.21</v>
      </c>
      <c r="M684" s="17" t="n">
        <f aca="false">(M683*13+K684)/14</f>
        <v>33.8102917529633</v>
      </c>
      <c r="N684" s="17" t="n">
        <f aca="false">(N683*13+L684)/14</f>
        <v>21.674145471134</v>
      </c>
      <c r="O684" s="17" t="n">
        <f aca="false">IF(N684=0,100,100-100/(1+M684/N684))</f>
        <v>60.9365318357761</v>
      </c>
      <c r="P684" s="17" t="n">
        <f aca="false">AVERAGE(B665:B684)+2*STDEV(B665:B684)</f>
        <v>7456.51004617501</v>
      </c>
      <c r="Q684" s="17" t="n">
        <f aca="false">AVERAGE(B665:B684)-2*STDEV(B665:B684)</f>
        <v>6955.02295382499</v>
      </c>
      <c r="R684" s="19" t="n">
        <f aca="false">B684/B664-1</f>
        <v>0.0332029735016495</v>
      </c>
      <c r="S684" s="17" t="n">
        <f aca="false">STDEV(C665:C684)*SQRT(252)*100</f>
        <v>14.5269820739281</v>
      </c>
      <c r="T684" s="19" t="n">
        <f aca="false">B663/B433-1</f>
        <v>0.0528114739624019</v>
      </c>
      <c r="U684" s="19" t="n">
        <f aca="false">B684/MAX(B433:B684)-1</f>
        <v>-0.043617773994867</v>
      </c>
      <c r="V684" s="17" t="n">
        <f aca="false">(B684-AVERAGE(B665:B684))/STDEV(B665:B684)</f>
        <v>0.959494286772498</v>
      </c>
    </row>
    <row r="685" customFormat="false" ht="15" hidden="false" customHeight="false" outlineLevel="0" collapsed="false">
      <c r="A685" s="17" t="s">
        <v>1249</v>
      </c>
      <c r="B685" s="17" t="n">
        <v>7316.96</v>
      </c>
      <c r="C685" s="19" t="n">
        <f aca="false">B685/B684-1</f>
        <v>-0.00124214106900578</v>
      </c>
      <c r="D685" s="17" t="n">
        <f aca="false">AVERAGE(B636:B685)</f>
        <v>7004.0582</v>
      </c>
      <c r="E685" s="17" t="n">
        <f aca="false">AVERAGE(B486:B685)</f>
        <v>7085.94025</v>
      </c>
      <c r="F685" s="17" t="n">
        <f aca="false">B685*2/13+F684*11/13</f>
        <v>7293.37343364481</v>
      </c>
      <c r="G685" s="17" t="n">
        <f aca="false">B685*2/27+G684*25/27</f>
        <v>7185.89510652025</v>
      </c>
      <c r="H685" s="17" t="n">
        <f aca="false">F685-G685</f>
        <v>107.478327124567</v>
      </c>
      <c r="I685" s="17" t="n">
        <f aca="false">H685*2/10+I684*8/10</f>
        <v>103.024318462422</v>
      </c>
      <c r="J685" s="17" t="n">
        <f aca="false">H685-I685</f>
        <v>4.45400866214453</v>
      </c>
      <c r="K685" s="17" t="n">
        <f aca="false">MAX(B685-B684,0)</f>
        <v>0</v>
      </c>
      <c r="L685" s="17" t="n">
        <f aca="false">MAX(B684-B685,0)</f>
        <v>9.10000000000036</v>
      </c>
      <c r="M685" s="17" t="n">
        <f aca="false">(M684*13+K685)/14</f>
        <v>31.3952709134659</v>
      </c>
      <c r="N685" s="17" t="n">
        <f aca="false">(N684*13+L685)/14</f>
        <v>20.7759922231959</v>
      </c>
      <c r="O685" s="17" t="n">
        <f aca="false">IF(N685=0,100,100-100/(1+M685/N685))</f>
        <v>60.1773256499971</v>
      </c>
      <c r="P685" s="17" t="n">
        <f aca="false">AVERAGE(B666:B685)+2*STDEV(B666:B685)</f>
        <v>7467.49695723828</v>
      </c>
      <c r="Q685" s="17" t="n">
        <f aca="false">AVERAGE(B666:B685)-2*STDEV(B666:B685)</f>
        <v>6964.18904276172</v>
      </c>
      <c r="R685" s="19" t="n">
        <f aca="false">B685/B665-1</f>
        <v>0.0283229544806147</v>
      </c>
      <c r="S685" s="17" t="n">
        <f aca="false">STDEV(C666:C685)*SQRT(252)*100</f>
        <v>14.5454970670542</v>
      </c>
      <c r="T685" s="19" t="n">
        <f aca="false">B664/B434-1</f>
        <v>0.08951013277321</v>
      </c>
      <c r="U685" s="19" t="n">
        <f aca="false">B685/MAX(B434:B685)-1</f>
        <v>-0.0448057356354551</v>
      </c>
      <c r="V685" s="17" t="n">
        <f aca="false">(B685-AVERAGE(B666:B685))/STDEV(B666:B685)</f>
        <v>0.803619391562035</v>
      </c>
    </row>
    <row r="686" customFormat="false" ht="15" hidden="false" customHeight="false" outlineLevel="0" collapsed="false">
      <c r="A686" s="17" t="s">
        <v>1250</v>
      </c>
      <c r="B686" s="17" t="n">
        <v>7351.15</v>
      </c>
      <c r="C686" s="19" t="n">
        <f aca="false">B686/B685-1</f>
        <v>0.00467270560451327</v>
      </c>
      <c r="D686" s="17" t="n">
        <f aca="false">AVERAGE(B637:B686)</f>
        <v>7019.0532</v>
      </c>
      <c r="E686" s="17" t="n">
        <f aca="false">AVERAGE(B487:B686)</f>
        <v>7086.93185</v>
      </c>
      <c r="F686" s="17" t="n">
        <f aca="false">B686*2/13+F685*11/13</f>
        <v>7302.262136161</v>
      </c>
      <c r="G686" s="17" t="n">
        <f aca="false">B686*2/27+G685*25/27</f>
        <v>7198.13620974097</v>
      </c>
      <c r="H686" s="17" t="n">
        <f aca="false">F686-G686</f>
        <v>104.125926420028</v>
      </c>
      <c r="I686" s="17" t="n">
        <f aca="false">H686*2/10+I685*8/10</f>
        <v>103.244640053944</v>
      </c>
      <c r="J686" s="17" t="n">
        <f aca="false">H686-I686</f>
        <v>0.881286366084495</v>
      </c>
      <c r="K686" s="17" t="n">
        <f aca="false">MAX(B686-B685,0)</f>
        <v>34.1899999999996</v>
      </c>
      <c r="L686" s="17" t="n">
        <f aca="false">MAX(B685-B686,0)</f>
        <v>0</v>
      </c>
      <c r="M686" s="17" t="n">
        <f aca="false">(M685*13+K686)/14</f>
        <v>31.5948944196469</v>
      </c>
      <c r="N686" s="17" t="n">
        <f aca="false">(N685*13+L686)/14</f>
        <v>19.2919927786819</v>
      </c>
      <c r="O686" s="17" t="n">
        <f aca="false">IF(N686=0,100,100-100/(1+M686/N686))</f>
        <v>62.0884792903672</v>
      </c>
      <c r="P686" s="17" t="n">
        <f aca="false">AVERAGE(B667:B686)+2*STDEV(B667:B686)</f>
        <v>7481.85892799939</v>
      </c>
      <c r="Q686" s="17" t="n">
        <f aca="false">AVERAGE(B667:B686)-2*STDEV(B667:B686)</f>
        <v>6972.62007200061</v>
      </c>
      <c r="R686" s="19" t="n">
        <f aca="false">B686/B666-1</f>
        <v>0.0319981693672242</v>
      </c>
      <c r="S686" s="17" t="n">
        <f aca="false">STDEV(C667:C686)*SQRT(252)*100</f>
        <v>14.5897001117334</v>
      </c>
      <c r="T686" s="19" t="n">
        <f aca="false">B665/B435-1</f>
        <v>0.0535399913826673</v>
      </c>
      <c r="U686" s="19" t="n">
        <f aca="false">B686/MAX(B435:B686)-1</f>
        <v>-0.0403423940429599</v>
      </c>
      <c r="V686" s="17" t="n">
        <f aca="false">(B686-AVERAGE(B667:B686))/STDEV(B667:B686)</f>
        <v>0.973299649391213</v>
      </c>
    </row>
    <row r="687" customFormat="false" ht="15" hidden="false" customHeight="false" outlineLevel="0" collapsed="false">
      <c r="A687" s="17" t="s">
        <v>1251</v>
      </c>
      <c r="B687" s="17" t="n">
        <v>7308.19</v>
      </c>
      <c r="C687" s="19" t="n">
        <f aca="false">B687/B686-1</f>
        <v>-0.00584398359440363</v>
      </c>
      <c r="D687" s="17" t="n">
        <f aca="false">AVERAGE(B638:B687)</f>
        <v>7034.3962</v>
      </c>
      <c r="E687" s="17" t="n">
        <f aca="false">AVERAGE(B488:B687)</f>
        <v>7087.7097</v>
      </c>
      <c r="F687" s="17" t="n">
        <f aca="false">B687*2/13+F686*11/13</f>
        <v>7303.17411521315</v>
      </c>
      <c r="G687" s="17" t="n">
        <f aca="false">B687*2/27+G686*25/27</f>
        <v>7206.28834235275</v>
      </c>
      <c r="H687" s="17" t="n">
        <f aca="false">F687-G687</f>
        <v>96.8857728604016</v>
      </c>
      <c r="I687" s="17" t="n">
        <f aca="false">H687*2/10+I686*8/10</f>
        <v>101.972866615235</v>
      </c>
      <c r="J687" s="17" t="n">
        <f aca="false">H687-I687</f>
        <v>-5.0870937548335</v>
      </c>
      <c r="K687" s="17" t="n">
        <f aca="false">MAX(B687-B686,0)</f>
        <v>0</v>
      </c>
      <c r="L687" s="17" t="n">
        <f aca="false">MAX(B686-B687,0)</f>
        <v>42.96</v>
      </c>
      <c r="M687" s="17" t="n">
        <f aca="false">(M686*13+K687)/14</f>
        <v>29.338116246815</v>
      </c>
      <c r="N687" s="17" t="n">
        <f aca="false">(N686*13+L687)/14</f>
        <v>20.9825647230618</v>
      </c>
      <c r="O687" s="17" t="n">
        <f aca="false">IF(N687=0,100,100-100/(1+M687/N687))</f>
        <v>58.3023037076496</v>
      </c>
      <c r="P687" s="17" t="n">
        <f aca="false">AVERAGE(B668:B687)+2*STDEV(B668:B687)</f>
        <v>7488.32907880402</v>
      </c>
      <c r="Q687" s="17" t="n">
        <f aca="false">AVERAGE(B668:B687)-2*STDEV(B668:B687)</f>
        <v>6985.26892119598</v>
      </c>
      <c r="R687" s="19" t="n">
        <f aca="false">B687/B667-1</f>
        <v>0.0268638471265983</v>
      </c>
      <c r="S687" s="17" t="n">
        <f aca="false">STDEV(C668:C687)*SQRT(252)*100</f>
        <v>14.8072666772329</v>
      </c>
      <c r="T687" s="19" t="n">
        <f aca="false">B666/B436-1</f>
        <v>0.0908720581208729</v>
      </c>
      <c r="U687" s="19" t="n">
        <f aca="false">B687/MAX(B436:B687)-1</f>
        <v>-0.0459506173484175</v>
      </c>
      <c r="V687" s="17" t="n">
        <f aca="false">(B687-AVERAGE(B668:B687))/STDEV(B668:B687)</f>
        <v>0.567653779933193</v>
      </c>
    </row>
    <row r="688" customFormat="false" ht="15" hidden="false" customHeight="false" outlineLevel="0" collapsed="false">
      <c r="A688" s="17" t="s">
        <v>1252</v>
      </c>
      <c r="B688" s="17" t="n">
        <v>7320.47</v>
      </c>
      <c r="C688" s="19" t="n">
        <f aca="false">B688/B687-1</f>
        <v>0.00168030661490737</v>
      </c>
      <c r="D688" s="17" t="n">
        <f aca="false">AVERAGE(B639:B688)</f>
        <v>7047.4128</v>
      </c>
      <c r="E688" s="17" t="n">
        <f aca="false">AVERAGE(B489:B688)</f>
        <v>7088.46965</v>
      </c>
      <c r="F688" s="17" t="n">
        <f aca="false">B688*2/13+F687*11/13</f>
        <v>7305.83502056497</v>
      </c>
      <c r="G688" s="17" t="n">
        <f aca="false">B688*2/27+G687*25/27</f>
        <v>7214.74624291921</v>
      </c>
      <c r="H688" s="17" t="n">
        <f aca="false">F688-G688</f>
        <v>91.0887776457612</v>
      </c>
      <c r="I688" s="17" t="n">
        <f aca="false">H688*2/10+I687*8/10</f>
        <v>99.7960488213404</v>
      </c>
      <c r="J688" s="17" t="n">
        <f aca="false">H688-I688</f>
        <v>-8.70727117557917</v>
      </c>
      <c r="K688" s="17" t="n">
        <f aca="false">MAX(B688-B687,0)</f>
        <v>12.2800000000007</v>
      </c>
      <c r="L688" s="17" t="n">
        <f aca="false">MAX(B687-B688,0)</f>
        <v>0</v>
      </c>
      <c r="M688" s="17" t="n">
        <f aca="false">(M687*13+K688)/14</f>
        <v>28.1196793720425</v>
      </c>
      <c r="N688" s="17" t="n">
        <f aca="false">(N687*13+L688)/14</f>
        <v>19.483810099986</v>
      </c>
      <c r="O688" s="17" t="n">
        <f aca="false">IF(N688=0,100,100-100/(1+M688/N688))</f>
        <v>59.0706263005477</v>
      </c>
      <c r="P688" s="17" t="n">
        <f aca="false">AVERAGE(B669:B688)+2*STDEV(B669:B688)</f>
        <v>7493.16981926035</v>
      </c>
      <c r="Q688" s="17" t="n">
        <f aca="false">AVERAGE(B669:B688)-2*STDEV(B669:B688)</f>
        <v>7002.72218073965</v>
      </c>
      <c r="R688" s="19" t="n">
        <f aca="false">B688/B668-1</f>
        <v>0.0314109274634979</v>
      </c>
      <c r="S688" s="17" t="n">
        <f aca="false">STDEV(C669:C688)*SQRT(252)*100</f>
        <v>14.7277130834844</v>
      </c>
      <c r="T688" s="19" t="n">
        <f aca="false">B667/B437-1</f>
        <v>0.101564664492533</v>
      </c>
      <c r="U688" s="19" t="n">
        <f aca="false">B688/MAX(B437:B688)-1</f>
        <v>-0.0443475218597996</v>
      </c>
      <c r="V688" s="17" t="n">
        <f aca="false">(B688-AVERAGE(B669:B688))/STDEV(B669:B688)</f>
        <v>0.591492296455938</v>
      </c>
    </row>
    <row r="689" customFormat="false" ht="15" hidden="false" customHeight="false" outlineLevel="0" collapsed="false">
      <c r="A689" s="17" t="s">
        <v>1253</v>
      </c>
      <c r="B689" s="17" t="n">
        <v>7378.77</v>
      </c>
      <c r="C689" s="19" t="n">
        <f aca="false">B689/B688-1</f>
        <v>0.00796396952654677</v>
      </c>
      <c r="D689" s="17" t="n">
        <f aca="false">AVERAGE(B640:B689)</f>
        <v>7061.617</v>
      </c>
      <c r="E689" s="17" t="n">
        <f aca="false">AVERAGE(B490:B689)</f>
        <v>7089.3176</v>
      </c>
      <c r="F689" s="17" t="n">
        <f aca="false">B689*2/13+F688*11/13</f>
        <v>7317.0557866319</v>
      </c>
      <c r="G689" s="17" t="n">
        <f aca="false">B689*2/27+G688*25/27</f>
        <v>7226.89615085112</v>
      </c>
      <c r="H689" s="17" t="n">
        <f aca="false">F689-G689</f>
        <v>90.1596357807784</v>
      </c>
      <c r="I689" s="17" t="n">
        <f aca="false">H689*2/10+I688*8/10</f>
        <v>97.868766213228</v>
      </c>
      <c r="J689" s="17" t="n">
        <f aca="false">H689-I689</f>
        <v>-7.70913043244953</v>
      </c>
      <c r="K689" s="17" t="n">
        <f aca="false">MAX(B689-B688,0)</f>
        <v>58.3000000000002</v>
      </c>
      <c r="L689" s="17" t="n">
        <f aca="false">MAX(B688-B689,0)</f>
        <v>0</v>
      </c>
      <c r="M689" s="17" t="n">
        <f aca="false">(M688*13+K689)/14</f>
        <v>30.2754165597538</v>
      </c>
      <c r="N689" s="17" t="n">
        <f aca="false">(N688*13+L689)/14</f>
        <v>18.0921093785584</v>
      </c>
      <c r="O689" s="17" t="n">
        <f aca="false">IF(N689=0,100,100-100/(1+M689/N689))</f>
        <v>62.59451144631</v>
      </c>
      <c r="P689" s="17" t="n">
        <f aca="false">AVERAGE(B670:B689)+2*STDEV(B670:B689)</f>
        <v>7506.77126428444</v>
      </c>
      <c r="Q689" s="17" t="n">
        <f aca="false">AVERAGE(B670:B689)-2*STDEV(B670:B689)</f>
        <v>7011.84073571556</v>
      </c>
      <c r="R689" s="19" t="n">
        <f aca="false">B689/B669-1</f>
        <v>0.0317692478714464</v>
      </c>
      <c r="S689" s="17" t="n">
        <f aca="false">STDEV(C670:C689)*SQRT(252)*100</f>
        <v>14.7472190137733</v>
      </c>
      <c r="T689" s="19" t="n">
        <f aca="false">B668/B438-1</f>
        <v>0.078466767865093</v>
      </c>
      <c r="U689" s="19" t="n">
        <f aca="false">B689/MAX(B438:B689)-1</f>
        <v>-0.0367367346459221</v>
      </c>
      <c r="V689" s="17" t="n">
        <f aca="false">(B689-AVERAGE(B670:B689))/STDEV(B670:B689)</f>
        <v>0.96550116110588</v>
      </c>
    </row>
    <row r="690" customFormat="false" ht="15" hidden="false" customHeight="false" outlineLevel="0" collapsed="false">
      <c r="A690" s="17" t="s">
        <v>1254</v>
      </c>
      <c r="B690" s="17" t="n">
        <v>7478.42</v>
      </c>
      <c r="C690" s="19" t="n">
        <f aca="false">B690/B689-1</f>
        <v>0.0135049608539093</v>
      </c>
      <c r="D690" s="17" t="n">
        <f aca="false">AVERAGE(B641:B690)</f>
        <v>7076.8164</v>
      </c>
      <c r="E690" s="17" t="n">
        <f aca="false">AVERAGE(B491:B690)</f>
        <v>7090.6834</v>
      </c>
      <c r="F690" s="17" t="n">
        <f aca="false">B690*2/13+F689*11/13</f>
        <v>7341.88105022699</v>
      </c>
      <c r="G690" s="17" t="n">
        <f aca="false">B690*2/27+G689*25/27</f>
        <v>7245.52754708437</v>
      </c>
      <c r="H690" s="17" t="n">
        <f aca="false">F690-G690</f>
        <v>96.3535031426209</v>
      </c>
      <c r="I690" s="17" t="n">
        <f aca="false">H690*2/10+I689*8/10</f>
        <v>97.5657135991065</v>
      </c>
      <c r="J690" s="17" t="n">
        <f aca="false">H690-I690</f>
        <v>-1.21221045648568</v>
      </c>
      <c r="K690" s="17" t="n">
        <f aca="false">MAX(B690-B689,0)</f>
        <v>99.6499999999996</v>
      </c>
      <c r="L690" s="17" t="n">
        <f aca="false">MAX(B689-B690,0)</f>
        <v>0</v>
      </c>
      <c r="M690" s="17" t="n">
        <f aca="false">(M689*13+K690)/14</f>
        <v>35.2307439483428</v>
      </c>
      <c r="N690" s="17" t="n">
        <f aca="false">(N689*13+L690)/14</f>
        <v>16.7998158515185</v>
      </c>
      <c r="O690" s="17" t="n">
        <f aca="false">IF(N690=0,100,100-100/(1+M690/N690))</f>
        <v>67.7116373221045</v>
      </c>
      <c r="P690" s="17" t="n">
        <f aca="false">AVERAGE(B671:B690)+2*STDEV(B671:B690)</f>
        <v>7535.95405073983</v>
      </c>
      <c r="Q690" s="17" t="n">
        <f aca="false">AVERAGE(B671:B690)-2*STDEV(B671:B690)</f>
        <v>7015.41694926017</v>
      </c>
      <c r="R690" s="19" t="n">
        <f aca="false">B690/B670-1</f>
        <v>0.0458114652424964</v>
      </c>
      <c r="S690" s="17" t="n">
        <f aca="false">STDEV(C671:C690)*SQRT(252)*100</f>
        <v>15.3180746315651</v>
      </c>
      <c r="T690" s="19" t="n">
        <f aca="false">B669/B439-1</f>
        <v>0.119034430528694</v>
      </c>
      <c r="U690" s="19" t="n">
        <f aca="false">B690/MAX(B439:B690)-1</f>
        <v>-0.0237279019553066</v>
      </c>
      <c r="V690" s="17" t="n">
        <f aca="false">(B690-AVERAGE(B671:B690))/STDEV(B671:B690)</f>
        <v>1.55788703186548</v>
      </c>
    </row>
    <row r="691" customFormat="false" ht="15" hidden="false" customHeight="false" outlineLevel="0" collapsed="false">
      <c r="A691" s="17" t="s">
        <v>1255</v>
      </c>
      <c r="B691" s="17" t="n">
        <v>7499.64</v>
      </c>
      <c r="C691" s="19" t="n">
        <f aca="false">B691/B690-1</f>
        <v>0.00283749776022213</v>
      </c>
      <c r="D691" s="17" t="n">
        <f aca="false">AVERAGE(B642:B691)</f>
        <v>7091.117</v>
      </c>
      <c r="E691" s="17" t="n">
        <f aca="false">AVERAGE(B492:B691)</f>
        <v>7091.78365</v>
      </c>
      <c r="F691" s="17" t="n">
        <f aca="false">B691*2/13+F690*11/13</f>
        <v>7366.15165788438</v>
      </c>
      <c r="G691" s="17" t="n">
        <f aca="false">B691*2/27+G690*25/27</f>
        <v>7264.35069174479</v>
      </c>
      <c r="H691" s="17" t="n">
        <f aca="false">F691-G691</f>
        <v>101.80096613959</v>
      </c>
      <c r="I691" s="17" t="n">
        <f aca="false">H691*2/10+I690*8/10</f>
        <v>98.4127641072032</v>
      </c>
      <c r="J691" s="17" t="n">
        <f aca="false">H691-I691</f>
        <v>3.38820203238672</v>
      </c>
      <c r="K691" s="17" t="n">
        <f aca="false">MAX(B691-B690,0)</f>
        <v>21.2200000000003</v>
      </c>
      <c r="L691" s="17" t="n">
        <f aca="false">MAX(B690-B691,0)</f>
        <v>0</v>
      </c>
      <c r="M691" s="17" t="n">
        <f aca="false">(M690*13+K691)/14</f>
        <v>34.2299765234612</v>
      </c>
      <c r="N691" s="17" t="n">
        <f aca="false">(N690*13+L691)/14</f>
        <v>15.5998290049815</v>
      </c>
      <c r="O691" s="17" t="n">
        <f aca="false">IF(N691=0,100,100-100/(1+M691/N691))</f>
        <v>68.693779075503</v>
      </c>
      <c r="P691" s="17" t="n">
        <f aca="false">AVERAGE(B672:B691)+2*STDEV(B672:B691)</f>
        <v>7565.01440474962</v>
      </c>
      <c r="Q691" s="17" t="n">
        <f aca="false">AVERAGE(B672:B691)-2*STDEV(B672:B691)</f>
        <v>7020.64159525038</v>
      </c>
      <c r="R691" s="19" t="n">
        <f aca="false">B691/B671-1</f>
        <v>0.0479055554235908</v>
      </c>
      <c r="S691" s="17" t="n">
        <f aca="false">STDEV(C672:C691)*SQRT(252)*100</f>
        <v>15.3093779681334</v>
      </c>
      <c r="T691" s="19" t="n">
        <f aca="false">B670/B440-1</f>
        <v>0.107140147673805</v>
      </c>
      <c r="U691" s="19" t="n">
        <f aca="false">B691/MAX(B440:B691)-1</f>
        <v>-0.0209577320637374</v>
      </c>
      <c r="V691" s="17" t="n">
        <f aca="false">(B691-AVERAGE(B672:B691))/STDEV(B672:B691)</f>
        <v>1.51963504709385</v>
      </c>
    </row>
    <row r="692" customFormat="false" ht="15" hidden="false" customHeight="false" outlineLevel="0" collapsed="false">
      <c r="A692" s="17" t="s">
        <v>1256</v>
      </c>
      <c r="B692" s="17" t="n">
        <v>7544.97</v>
      </c>
      <c r="C692" s="19" t="n">
        <f aca="false">B692/B691-1</f>
        <v>0.00604429012592611</v>
      </c>
      <c r="D692" s="17" t="n">
        <f aca="false">AVERAGE(B643:B692)</f>
        <v>7109.0802</v>
      </c>
      <c r="E692" s="17" t="n">
        <f aca="false">AVERAGE(B493:B692)</f>
        <v>7093.2297</v>
      </c>
      <c r="F692" s="17" t="n">
        <f aca="false">B692*2/13+F691*11/13</f>
        <v>7393.66217205601</v>
      </c>
      <c r="G692" s="17" t="n">
        <f aca="false">B692*2/27+G691*25/27</f>
        <v>7285.1373071711</v>
      </c>
      <c r="H692" s="17" t="n">
        <f aca="false">F692-G692</f>
        <v>108.524864884912</v>
      </c>
      <c r="I692" s="17" t="n">
        <f aca="false">H692*2/10+I691*8/10</f>
        <v>100.435184262745</v>
      </c>
      <c r="J692" s="17" t="n">
        <f aca="false">H692-I692</f>
        <v>8.08968062216698</v>
      </c>
      <c r="K692" s="17" t="n">
        <f aca="false">MAX(B692-B691,0)</f>
        <v>45.3299999999999</v>
      </c>
      <c r="L692" s="17" t="n">
        <f aca="false">MAX(B691-B692,0)</f>
        <v>0</v>
      </c>
      <c r="M692" s="17" t="n">
        <f aca="false">(M691*13+K692)/14</f>
        <v>35.0228353432139</v>
      </c>
      <c r="N692" s="17" t="n">
        <f aca="false">(N691*13+L692)/14</f>
        <v>14.4855555046256</v>
      </c>
      <c r="O692" s="17" t="n">
        <f aca="false">IF(N692=0,100,100-100/(1+M692/N692))</f>
        <v>70.7412112238793</v>
      </c>
      <c r="P692" s="17" t="n">
        <f aca="false">AVERAGE(B673:B692)+2*STDEV(B673:B692)</f>
        <v>7594.90361575596</v>
      </c>
      <c r="Q692" s="17" t="n">
        <f aca="false">AVERAGE(B673:B692)-2*STDEV(B673:B692)</f>
        <v>7034.00238424404</v>
      </c>
      <c r="R692" s="19" t="n">
        <f aca="false">B692/B672-1</f>
        <v>0.0608086923389484</v>
      </c>
      <c r="S692" s="17" t="n">
        <f aca="false">STDEV(C673:C692)*SQRT(252)*100</f>
        <v>15.0131948093111</v>
      </c>
      <c r="T692" s="19" t="n">
        <f aca="false">B671/B441-1</f>
        <v>0.0909641070356062</v>
      </c>
      <c r="U692" s="19" t="n">
        <f aca="false">B692/MAX(B441:B692)-1</f>
        <v>-0.015040116550786</v>
      </c>
      <c r="V692" s="17" t="n">
        <f aca="false">(B692-AVERAGE(B673:B692))/STDEV(B673:B692)</f>
        <v>1.64390439563587</v>
      </c>
    </row>
    <row r="693" customFormat="false" ht="15" hidden="false" customHeight="false" outlineLevel="0" collapsed="false">
      <c r="A693" s="17" t="s">
        <v>1257</v>
      </c>
      <c r="B693" s="17" t="n">
        <v>7540.57</v>
      </c>
      <c r="C693" s="19" t="n">
        <f aca="false">B693/B692-1</f>
        <v>-0.000583169979469833</v>
      </c>
      <c r="D693" s="17" t="n">
        <f aca="false">AVERAGE(B644:B693)</f>
        <v>7126.7164</v>
      </c>
      <c r="E693" s="17" t="n">
        <f aca="false">AVERAGE(B494:B693)</f>
        <v>7094.6755</v>
      </c>
      <c r="F693" s="17" t="n">
        <f aca="false">B693*2/13+F692*11/13</f>
        <v>7416.26337635509</v>
      </c>
      <c r="G693" s="17" t="n">
        <f aca="false">B693*2/27+G692*25/27</f>
        <v>7304.05824738065</v>
      </c>
      <c r="H693" s="17" t="n">
        <f aca="false">F693-G693</f>
        <v>112.205128974439</v>
      </c>
      <c r="I693" s="17" t="n">
        <f aca="false">H693*2/10+I692*8/10</f>
        <v>102.789173205084</v>
      </c>
      <c r="J693" s="17" t="n">
        <f aca="false">H693-I693</f>
        <v>9.4159557693549</v>
      </c>
      <c r="K693" s="17" t="n">
        <f aca="false">MAX(B693-B692,0)</f>
        <v>0</v>
      </c>
      <c r="L693" s="17" t="n">
        <f aca="false">MAX(B692-B693,0)</f>
        <v>4.40000000000055</v>
      </c>
      <c r="M693" s="17" t="n">
        <f aca="false">(M692*13+K693)/14</f>
        <v>32.5212042472701</v>
      </c>
      <c r="N693" s="17" t="n">
        <f aca="false">(N692*13+L693)/14</f>
        <v>13.7651586828667</v>
      </c>
      <c r="O693" s="17" t="n">
        <f aca="false">IF(N693=0,100,100-100/(1+M693/N693))</f>
        <v>70.2608763975614</v>
      </c>
      <c r="P693" s="17" t="n">
        <f aca="false">AVERAGE(B674:B693)+2*STDEV(B674:B693)</f>
        <v>7603.25100321427</v>
      </c>
      <c r="Q693" s="17" t="n">
        <f aca="false">AVERAGE(B674:B693)-2*STDEV(B674:B693)</f>
        <v>7077.02399678573</v>
      </c>
      <c r="R693" s="19" t="n">
        <f aca="false">B693/B673-1</f>
        <v>0.0731035680131154</v>
      </c>
      <c r="S693" s="17" t="n">
        <f aca="false">STDEV(C674:C693)*SQRT(252)*100</f>
        <v>14.0091845543369</v>
      </c>
      <c r="T693" s="19" t="n">
        <f aca="false">B672/B442-1</f>
        <v>0.0784901529074247</v>
      </c>
      <c r="U693" s="19" t="n">
        <f aca="false">B693/MAX(B442:B693)-1</f>
        <v>-0.0156145155857957</v>
      </c>
      <c r="V693" s="17" t="n">
        <f aca="false">(B693-AVERAGE(B674:B693))/STDEV(B674:B693)</f>
        <v>1.52354400326445</v>
      </c>
    </row>
    <row r="694" customFormat="false" ht="15" hidden="false" customHeight="false" outlineLevel="0" collapsed="false">
      <c r="A694" s="17" t="s">
        <v>1258</v>
      </c>
      <c r="B694" s="17" t="n">
        <v>7578.84</v>
      </c>
      <c r="C694" s="19" t="n">
        <f aca="false">B694/B693-1</f>
        <v>0.00507521314701687</v>
      </c>
      <c r="D694" s="17" t="n">
        <f aca="false">AVERAGE(B645:B694)</f>
        <v>7144.2422</v>
      </c>
      <c r="E694" s="17" t="n">
        <f aca="false">AVERAGE(B495:B694)</f>
        <v>7096.4295</v>
      </c>
      <c r="F694" s="17" t="n">
        <f aca="false">B694*2/13+F693*11/13</f>
        <v>7441.27516460815</v>
      </c>
      <c r="G694" s="17" t="n">
        <f aca="false">B694*2/27+G693*25/27</f>
        <v>7324.41245127838</v>
      </c>
      <c r="H694" s="17" t="n">
        <f aca="false">F694-G694</f>
        <v>116.862713329772</v>
      </c>
      <c r="I694" s="17" t="n">
        <f aca="false">H694*2/10+I693*8/10</f>
        <v>105.603881230021</v>
      </c>
      <c r="J694" s="17" t="n">
        <f aca="false">H694-I694</f>
        <v>11.2588320997509</v>
      </c>
      <c r="K694" s="17" t="n">
        <f aca="false">MAX(B694-B693,0)</f>
        <v>38.2700000000004</v>
      </c>
      <c r="L694" s="17" t="n">
        <f aca="false">MAX(B693-B694,0)</f>
        <v>0</v>
      </c>
      <c r="M694" s="17" t="n">
        <f aca="false">(M693*13+K694)/14</f>
        <v>32.9318325153222</v>
      </c>
      <c r="N694" s="17" t="n">
        <f aca="false">(N693*13+L694)/14</f>
        <v>12.7819330626619</v>
      </c>
      <c r="O694" s="17" t="n">
        <f aca="false">IF(N694=0,100,100-100/(1+M694/N694))</f>
        <v>72.0392032879966</v>
      </c>
      <c r="P694" s="17" t="n">
        <f aca="false">AVERAGE(B675:B694)+2*STDEV(B675:B694)</f>
        <v>7604.35574423424</v>
      </c>
      <c r="Q694" s="17" t="n">
        <f aca="false">AVERAGE(B675:B694)-2*STDEV(B675:B694)</f>
        <v>7132.23425576577</v>
      </c>
      <c r="R694" s="19" t="n">
        <f aca="false">B694/B674-1</f>
        <v>0.0802700803484762</v>
      </c>
      <c r="S694" s="17" t="n">
        <f aca="false">STDEV(C675:C694)*SQRT(252)*100</f>
        <v>13.8825921967252</v>
      </c>
      <c r="T694" s="19" t="n">
        <f aca="false">B673/B443-1</f>
        <v>0.0922820800191506</v>
      </c>
      <c r="U694" s="19" t="n">
        <f aca="false">B694/MAX(B443:B694)-1</f>
        <v>-0.0106185494335642</v>
      </c>
      <c r="V694" s="17" t="n">
        <f aca="false">(B694-AVERAGE(B675:B694))/STDEV(B675:B694)</f>
        <v>1.78382052198466</v>
      </c>
    </row>
    <row r="695" customFormat="false" ht="15" hidden="false" customHeight="false" outlineLevel="0" collapsed="false">
      <c r="A695" s="17" t="s">
        <v>1259</v>
      </c>
      <c r="B695" s="17" t="n">
        <v>7599.74</v>
      </c>
      <c r="C695" s="19" t="n">
        <f aca="false">B695/B694-1</f>
        <v>0.00275767795599324</v>
      </c>
      <c r="D695" s="17" t="n">
        <f aca="false">AVERAGE(B646:B695)</f>
        <v>7160.4896</v>
      </c>
      <c r="E695" s="17" t="n">
        <f aca="false">AVERAGE(B496:B695)</f>
        <v>7098.0247</v>
      </c>
      <c r="F695" s="17" t="n">
        <f aca="false">B695*2/13+F694*11/13</f>
        <v>7465.65437005305</v>
      </c>
      <c r="G695" s="17" t="n">
        <f aca="false">B695*2/27+G694*25/27</f>
        <v>7344.80708451702</v>
      </c>
      <c r="H695" s="17" t="n">
        <f aca="false">F695-G695</f>
        <v>120.847285536034</v>
      </c>
      <c r="I695" s="17" t="n">
        <f aca="false">H695*2/10+I694*8/10</f>
        <v>108.652562091224</v>
      </c>
      <c r="J695" s="17" t="n">
        <f aca="false">H695-I695</f>
        <v>12.1947234448102</v>
      </c>
      <c r="K695" s="17" t="n">
        <f aca="false">MAX(B695-B694,0)</f>
        <v>20.8999999999996</v>
      </c>
      <c r="L695" s="17" t="n">
        <f aca="false">MAX(B694-B695,0)</f>
        <v>0</v>
      </c>
      <c r="M695" s="17" t="n">
        <f aca="false">(M694*13+K695)/14</f>
        <v>32.0724159070849</v>
      </c>
      <c r="N695" s="17" t="n">
        <f aca="false">(N694*13+L695)/14</f>
        <v>11.8689378439004</v>
      </c>
      <c r="O695" s="17" t="n">
        <f aca="false">IF(N695=0,100,100-100/(1+M695/N695))</f>
        <v>72.9891393170056</v>
      </c>
      <c r="P695" s="17" t="n">
        <f aca="false">AVERAGE(B676:B695)+2*STDEV(B676:B695)</f>
        <v>7627.18551729587</v>
      </c>
      <c r="Q695" s="17" t="n">
        <f aca="false">AVERAGE(B676:B695)-2*STDEV(B676:B695)</f>
        <v>7152.97648270413</v>
      </c>
      <c r="R695" s="19" t="n">
        <f aca="false">B695/B675-1</f>
        <v>0.0608206007241743</v>
      </c>
      <c r="S695" s="17" t="n">
        <f aca="false">STDEV(C676:C695)*SQRT(252)*100</f>
        <v>12.2982524536888</v>
      </c>
      <c r="T695" s="19" t="n">
        <f aca="false">B674/B444-1</f>
        <v>0.0839495452958281</v>
      </c>
      <c r="U695" s="19" t="n">
        <f aca="false">B695/MAX(B444:B695)-1</f>
        <v>-0.00789015401726856</v>
      </c>
      <c r="V695" s="17" t="n">
        <f aca="false">(B695-AVERAGE(B676:B695))/STDEV(B676:B695)</f>
        <v>1.76849435338578</v>
      </c>
    </row>
    <row r="696" customFormat="false" ht="15" hidden="false" customHeight="false" outlineLevel="0" collapsed="false">
      <c r="A696" s="17" t="s">
        <v>1260</v>
      </c>
      <c r="B696" s="17" t="n">
        <v>7568.49</v>
      </c>
      <c r="C696" s="19" t="n">
        <f aca="false">B696/B695-1</f>
        <v>-0.00411198277835823</v>
      </c>
      <c r="D696" s="17" t="n">
        <f aca="false">AVERAGE(B647:B696)</f>
        <v>7177.9176</v>
      </c>
      <c r="E696" s="17" t="n">
        <f aca="false">AVERAGE(B497:B696)</f>
        <v>7099.7797</v>
      </c>
      <c r="F696" s="17" t="n">
        <f aca="false">B696*2/13+F695*11/13</f>
        <v>7481.47523619874</v>
      </c>
      <c r="G696" s="17" t="n">
        <f aca="false">B696*2/27+G695*25/27</f>
        <v>7361.37618936761</v>
      </c>
      <c r="H696" s="17" t="n">
        <f aca="false">F696-G696</f>
        <v>120.099046831128</v>
      </c>
      <c r="I696" s="17" t="n">
        <f aca="false">H696*2/10+I695*8/10</f>
        <v>110.941859039205</v>
      </c>
      <c r="J696" s="17" t="n">
        <f aca="false">H696-I696</f>
        <v>9.15718779192352</v>
      </c>
      <c r="K696" s="17" t="n">
        <f aca="false">MAX(B696-B695,0)</f>
        <v>0</v>
      </c>
      <c r="L696" s="17" t="n">
        <f aca="false">MAX(B695-B696,0)</f>
        <v>31.25</v>
      </c>
      <c r="M696" s="17" t="n">
        <f aca="false">(M695*13+K696)/14</f>
        <v>29.7815290565788</v>
      </c>
      <c r="N696" s="17" t="n">
        <f aca="false">(N695*13+L696)/14</f>
        <v>13.2532994264789</v>
      </c>
      <c r="O696" s="17" t="n">
        <f aca="false">IF(N696=0,100,100-100/(1+M696/N696))</f>
        <v>69.2033176530573</v>
      </c>
      <c r="P696" s="17" t="n">
        <f aca="false">AVERAGE(B677:B696)+2*STDEV(B677:B696)</f>
        <v>7640.81140341173</v>
      </c>
      <c r="Q696" s="17" t="n">
        <f aca="false">AVERAGE(B677:B696)-2*STDEV(B677:B696)</f>
        <v>7176.07159658827</v>
      </c>
      <c r="R696" s="19" t="n">
        <f aca="false">B696/B676-1</f>
        <v>0.0509923235869179</v>
      </c>
      <c r="S696" s="17" t="n">
        <f aca="false">STDEV(C677:C696)*SQRT(252)*100</f>
        <v>12.5180351438535</v>
      </c>
      <c r="T696" s="19" t="n">
        <f aca="false">B675/B445-1</f>
        <v>0.0828538045638745</v>
      </c>
      <c r="U696" s="19" t="n">
        <f aca="false">B696/MAX(B445:B696)-1</f>
        <v>-0.0119696926181891</v>
      </c>
      <c r="V696" s="17" t="n">
        <f aca="false">(B696-AVERAGE(B677:B696))/STDEV(B677:B696)</f>
        <v>1.37753209559512</v>
      </c>
    </row>
    <row r="697" customFormat="false" ht="15" hidden="false" customHeight="false" outlineLevel="0" collapsed="false">
      <c r="A697" s="17" t="s">
        <v>1261</v>
      </c>
      <c r="B697" s="17" t="n">
        <v>7611.49</v>
      </c>
      <c r="C697" s="19" t="n">
        <f aca="false">B697/B696-1</f>
        <v>0.00568145032892953</v>
      </c>
      <c r="D697" s="17" t="n">
        <f aca="false">AVERAGE(B648:B697)</f>
        <v>7197.4916</v>
      </c>
      <c r="E697" s="17" t="n">
        <f aca="false">AVERAGE(B498:B697)</f>
        <v>7101.8496</v>
      </c>
      <c r="F697" s="17" t="n">
        <f aca="false">B697*2/13+F696*11/13</f>
        <v>7501.47750755278</v>
      </c>
      <c r="G697" s="17" t="n">
        <f aca="false">B697*2/27+G696*25/27</f>
        <v>7379.90313830334</v>
      </c>
      <c r="H697" s="17" t="n">
        <f aca="false">F697-G697</f>
        <v>121.574369249436</v>
      </c>
      <c r="I697" s="17" t="n">
        <f aca="false">H697*2/10+I696*8/10</f>
        <v>113.068361081251</v>
      </c>
      <c r="J697" s="17" t="n">
        <f aca="false">H697-I697</f>
        <v>8.50600816818502</v>
      </c>
      <c r="K697" s="17" t="n">
        <f aca="false">MAX(B697-B696,0)</f>
        <v>43</v>
      </c>
      <c r="L697" s="17" t="n">
        <f aca="false">MAX(B696-B697,0)</f>
        <v>0</v>
      </c>
      <c r="M697" s="17" t="n">
        <f aca="false">(M696*13+K697)/14</f>
        <v>30.7257055525375</v>
      </c>
      <c r="N697" s="17" t="n">
        <f aca="false">(N696*13+L697)/14</f>
        <v>12.3066351817304</v>
      </c>
      <c r="O697" s="17" t="n">
        <f aca="false">IF(N697=0,100,100-100/(1+M697/N697))</f>
        <v>71.4014274572559</v>
      </c>
      <c r="P697" s="17" t="n">
        <f aca="false">AVERAGE(B678:B697)+2*STDEV(B678:B697)</f>
        <v>7663.91262143071</v>
      </c>
      <c r="Q697" s="17" t="n">
        <f aca="false">AVERAGE(B678:B697)-2*STDEV(B678:B697)</f>
        <v>7188.42137856929</v>
      </c>
      <c r="R697" s="19" t="n">
        <f aca="false">B697/B677-1</f>
        <v>0.0488508994099475</v>
      </c>
      <c r="S697" s="17" t="n">
        <f aca="false">STDEV(C678:C697)*SQRT(252)*100</f>
        <v>12.4254531155754</v>
      </c>
      <c r="T697" s="19" t="n">
        <f aca="false">B676/B446-1</f>
        <v>0.0938475933554495</v>
      </c>
      <c r="U697" s="19" t="n">
        <f aca="false">B697/MAX(B446:B697)-1</f>
        <v>-0.00635624750332242</v>
      </c>
      <c r="V697" s="17" t="n">
        <f aca="false">(B697-AVERAGE(B678:B697))/STDEV(B678:B697)</f>
        <v>1.55900242355473</v>
      </c>
    </row>
    <row r="698" customFormat="false" ht="15" hidden="false" customHeight="false" outlineLevel="0" collapsed="false">
      <c r="A698" s="17" t="s">
        <v>1262</v>
      </c>
      <c r="B698" s="17" t="n">
        <v>7594.89</v>
      </c>
      <c r="C698" s="19" t="n">
        <f aca="false">B698/B697-1</f>
        <v>-0.00218091332971593</v>
      </c>
      <c r="D698" s="17" t="n">
        <f aca="false">AVERAGE(B649:B698)</f>
        <v>7213.2312</v>
      </c>
      <c r="E698" s="17" t="n">
        <f aca="false">AVERAGE(B499:B698)</f>
        <v>7104.6332</v>
      </c>
      <c r="F698" s="17" t="n">
        <f aca="false">B698*2/13+F697*11/13</f>
        <v>7515.84866023697</v>
      </c>
      <c r="G698" s="17" t="n">
        <f aca="false">B698*2/27+G697*25/27</f>
        <v>7395.82809102161</v>
      </c>
      <c r="H698" s="17" t="n">
        <f aca="false">F698-G698</f>
        <v>120.020569215353</v>
      </c>
      <c r="I698" s="17" t="n">
        <f aca="false">H698*2/10+I697*8/10</f>
        <v>114.458802708072</v>
      </c>
      <c r="J698" s="17" t="n">
        <f aca="false">H698-I698</f>
        <v>5.56176650728162</v>
      </c>
      <c r="K698" s="17" t="n">
        <f aca="false">MAX(B698-B697,0)</f>
        <v>0</v>
      </c>
      <c r="L698" s="17" t="n">
        <f aca="false">MAX(B697-B698,0)</f>
        <v>16.5999999999995</v>
      </c>
      <c r="M698" s="17" t="n">
        <f aca="false">(M697*13+K698)/14</f>
        <v>28.5310122987848</v>
      </c>
      <c r="N698" s="17" t="n">
        <f aca="false">(N697*13+L698)/14</f>
        <v>12.6133040973211</v>
      </c>
      <c r="O698" s="17" t="n">
        <f aca="false">IF(N698=0,100,100-100/(1+M698/N698))</f>
        <v>69.3437509669869</v>
      </c>
      <c r="P698" s="17" t="n">
        <f aca="false">AVERAGE(B679:B698)+2*STDEV(B679:B698)</f>
        <v>7676.46326958385</v>
      </c>
      <c r="Q698" s="17" t="n">
        <f aca="false">AVERAGE(B679:B698)-2*STDEV(B679:B698)</f>
        <v>7211.05873041615</v>
      </c>
      <c r="R698" s="19" t="n">
        <f aca="false">B698/B678-1</f>
        <v>0.0485820121744964</v>
      </c>
      <c r="S698" s="17" t="n">
        <f aca="false">STDEV(C679:C698)*SQRT(252)*100</f>
        <v>12.4376376661013</v>
      </c>
      <c r="T698" s="19" t="n">
        <f aca="false">B677/B447-1</f>
        <v>0.0902488784993374</v>
      </c>
      <c r="U698" s="19" t="n">
        <f aca="false">B698/MAX(B447:B698)-1</f>
        <v>-0.00852329840813138</v>
      </c>
      <c r="V698" s="17" t="n">
        <f aca="false">(B698-AVERAGE(B679:B698))/STDEV(B679:B698)</f>
        <v>1.29890439203942</v>
      </c>
    </row>
    <row r="699" customFormat="false" ht="15" hidden="false" customHeight="false" outlineLevel="0" collapsed="false">
      <c r="A699" s="17" t="s">
        <v>1263</v>
      </c>
      <c r="B699" s="17" t="n">
        <v>7628.15</v>
      </c>
      <c r="C699" s="19" t="n">
        <f aca="false">B699/B698-1</f>
        <v>0.00437926026578395</v>
      </c>
      <c r="D699" s="17" t="n">
        <f aca="false">AVERAGE(B650:B699)</f>
        <v>7227.6574</v>
      </c>
      <c r="E699" s="17" t="n">
        <f aca="false">AVERAGE(B500:B699)</f>
        <v>7107.43295</v>
      </c>
      <c r="F699" s="17" t="n">
        <f aca="false">B699*2/13+F698*11/13</f>
        <v>7533.12578943128</v>
      </c>
      <c r="G699" s="17" t="n">
        <f aca="false">B699*2/27+G698*25/27</f>
        <v>7413.03712131631</v>
      </c>
      <c r="H699" s="17" t="n">
        <f aca="false">F699-G699</f>
        <v>120.08866811497</v>
      </c>
      <c r="I699" s="17" t="n">
        <f aca="false">H699*2/10+I698*8/10</f>
        <v>115.584775789451</v>
      </c>
      <c r="J699" s="17" t="n">
        <f aca="false">H699-I699</f>
        <v>4.50389232551916</v>
      </c>
      <c r="K699" s="17" t="n">
        <f aca="false">MAX(B699-B698,0)</f>
        <v>33.2599999999993</v>
      </c>
      <c r="L699" s="17" t="n">
        <f aca="false">MAX(B698-B699,0)</f>
        <v>0</v>
      </c>
      <c r="M699" s="17" t="n">
        <f aca="false">(M698*13+K699)/14</f>
        <v>28.8687971345859</v>
      </c>
      <c r="N699" s="17" t="n">
        <f aca="false">(N698*13+L699)/14</f>
        <v>11.7123538046553</v>
      </c>
      <c r="O699" s="17" t="n">
        <f aca="false">IF(N699=0,100,100-100/(1+M699/N699))</f>
        <v>71.1384385765913</v>
      </c>
      <c r="P699" s="17" t="n">
        <f aca="false">AVERAGE(B680:B699)+2*STDEV(B680:B699)</f>
        <v>7697.0619154308</v>
      </c>
      <c r="Q699" s="17" t="n">
        <f aca="false">AVERAGE(B680:B699)-2*STDEV(B680:B699)</f>
        <v>7222.5760845692</v>
      </c>
      <c r="R699" s="19" t="n">
        <f aca="false">B699/B679-1</f>
        <v>0.0439524345866083</v>
      </c>
      <c r="S699" s="17" t="n">
        <f aca="false">STDEV(C680:C699)*SQRT(252)*100</f>
        <v>12.2310378439983</v>
      </c>
      <c r="T699" s="19" t="n">
        <f aca="false">B678/B448-1</f>
        <v>0.0927336256136528</v>
      </c>
      <c r="U699" s="19" t="n">
        <f aca="false">B699/MAX(B448:B699)-1</f>
        <v>-0.00418136388439971</v>
      </c>
      <c r="V699" s="17" t="n">
        <f aca="false">(B699-AVERAGE(B680:B699))/STDEV(B680:B699)</f>
        <v>1.41906028843335</v>
      </c>
    </row>
    <row r="700" customFormat="false" ht="15" hidden="false" customHeight="false" outlineLevel="0" collapsed="false">
      <c r="A700" s="17" t="s">
        <v>1264</v>
      </c>
      <c r="B700" s="17" t="n">
        <v>7629.12</v>
      </c>
      <c r="C700" s="19" t="n">
        <f aca="false">B700/B699-1</f>
        <v>0.000127160582841235</v>
      </c>
      <c r="D700" s="17" t="n">
        <f aca="false">AVERAGE(B651:B700)</f>
        <v>7242.7294</v>
      </c>
      <c r="E700" s="17" t="n">
        <f aca="false">AVERAGE(B501:B700)</f>
        <v>7110.7302</v>
      </c>
      <c r="F700" s="17" t="n">
        <f aca="false">B700*2/13+F699*11/13</f>
        <v>7547.89412951877</v>
      </c>
      <c r="G700" s="17" t="n">
        <f aca="false">B700*2/27+G699*25/27</f>
        <v>7429.04326047806</v>
      </c>
      <c r="H700" s="17" t="n">
        <f aca="false">F700-G700</f>
        <v>118.850869040712</v>
      </c>
      <c r="I700" s="17" t="n">
        <f aca="false">H700*2/10+I699*8/10</f>
        <v>116.237994439703</v>
      </c>
      <c r="J700" s="17" t="n">
        <f aca="false">H700-I700</f>
        <v>2.61287460100823</v>
      </c>
      <c r="K700" s="17" t="n">
        <f aca="false">MAX(B700-B699,0)</f>
        <v>0.970000000000255</v>
      </c>
      <c r="L700" s="17" t="n">
        <f aca="false">MAX(B699-B700,0)</f>
        <v>0</v>
      </c>
      <c r="M700" s="17" t="n">
        <f aca="false">(M699*13+K700)/14</f>
        <v>26.8760259106869</v>
      </c>
      <c r="N700" s="17" t="n">
        <f aca="false">(N699*13+L700)/14</f>
        <v>10.8757571043228</v>
      </c>
      <c r="O700" s="17" t="n">
        <f aca="false">IF(N700=0,100,100-100/(1+M700/N700))</f>
        <v>71.1914080985296</v>
      </c>
      <c r="P700" s="17" t="n">
        <f aca="false">AVERAGE(B681:B700)+2*STDEV(B681:B700)</f>
        <v>7714.95859436514</v>
      </c>
      <c r="Q700" s="17" t="n">
        <f aca="false">AVERAGE(B681:B700)-2*STDEV(B681:B700)</f>
        <v>7234.96340563486</v>
      </c>
      <c r="R700" s="19" t="n">
        <f aca="false">B700/B680-1</f>
        <v>0.0413361214695589</v>
      </c>
      <c r="S700" s="17" t="n">
        <f aca="false">STDEV(C681:C700)*SQRT(252)*100</f>
        <v>12.2510482312473</v>
      </c>
      <c r="T700" s="19" t="n">
        <f aca="false">B679/B449-1</f>
        <v>0.0946506311440289</v>
      </c>
      <c r="U700" s="19" t="n">
        <f aca="false">B700/MAX(B449:B700)-1</f>
        <v>-0.00405473500622711</v>
      </c>
      <c r="V700" s="17" t="n">
        <f aca="false">(B700-AVERAGE(B681:B700))/STDEV(B681:B700)</f>
        <v>1.28467121020771</v>
      </c>
    </row>
    <row r="701" customFormat="false" ht="15" hidden="false" customHeight="false" outlineLevel="0" collapsed="false">
      <c r="A701" s="17" t="s">
        <v>1265</v>
      </c>
      <c r="B701" s="17" t="n">
        <v>7654.73</v>
      </c>
      <c r="C701" s="19" t="n">
        <f aca="false">B701/B700-1</f>
        <v>0.00335687471163126</v>
      </c>
      <c r="D701" s="17" t="n">
        <f aca="false">AVERAGE(B652:B701)</f>
        <v>7256.6248</v>
      </c>
      <c r="E701" s="17" t="n">
        <f aca="false">AVERAGE(B502:B701)</f>
        <v>7113.84585</v>
      </c>
      <c r="F701" s="17" t="n">
        <f aca="false">B701*2/13+F700*11/13</f>
        <v>7564.33041728512</v>
      </c>
      <c r="G701" s="17" t="n">
        <f aca="false">B701*2/27+G700*25/27</f>
        <v>7445.76079673895</v>
      </c>
      <c r="H701" s="17" t="n">
        <f aca="false">F701-G701</f>
        <v>118.56962054617</v>
      </c>
      <c r="I701" s="17" t="n">
        <f aca="false">H701*2/10+I700*8/10</f>
        <v>116.704319660997</v>
      </c>
      <c r="J701" s="17" t="n">
        <f aca="false">H701-I701</f>
        <v>1.8653008851733</v>
      </c>
      <c r="K701" s="17" t="n">
        <f aca="false">MAX(B701-B700,0)</f>
        <v>25.6099999999997</v>
      </c>
      <c r="L701" s="17" t="n">
        <f aca="false">MAX(B700-B701,0)</f>
        <v>0</v>
      </c>
      <c r="M701" s="17" t="n">
        <f aca="false">(M700*13+K701)/14</f>
        <v>26.7855954884949</v>
      </c>
      <c r="N701" s="17" t="n">
        <f aca="false">(N700*13+L701)/14</f>
        <v>10.0989173111569</v>
      </c>
      <c r="O701" s="17" t="n">
        <f aca="false">IF(N701=0,100,100-100/(1+M701/N701))</f>
        <v>72.6201688876525</v>
      </c>
      <c r="P701" s="17" t="n">
        <f aca="false">AVERAGE(B682:B701)+2*STDEV(B682:B701)</f>
        <v>7735.37608349613</v>
      </c>
      <c r="Q701" s="17" t="n">
        <f aca="false">AVERAGE(B682:B701)-2*STDEV(B682:B701)</f>
        <v>7245.09091650387</v>
      </c>
      <c r="R701" s="19" t="n">
        <f aca="false">B701/B681-1</f>
        <v>0.0415618944985088</v>
      </c>
      <c r="S701" s="17" t="n">
        <f aca="false">STDEV(C682:C701)*SQRT(252)*100</f>
        <v>12.2538427833746</v>
      </c>
      <c r="T701" s="19" t="n">
        <f aca="false">B680/B450-1</f>
        <v>0.0748066786280675</v>
      </c>
      <c r="U701" s="19" t="n">
        <f aca="false">B701/MAX(B450:B701)-1</f>
        <v>-0.000711471532000685</v>
      </c>
      <c r="V701" s="17" t="n">
        <f aca="false">(B701-AVERAGE(B682:B701))/STDEV(B682:B701)</f>
        <v>1.3420475353895</v>
      </c>
    </row>
    <row r="702" customFormat="false" ht="15" hidden="false" customHeight="false" outlineLevel="0" collapsed="false">
      <c r="A702" s="17" t="s">
        <v>1266</v>
      </c>
      <c r="B702" s="17" t="n">
        <v>7680.72</v>
      </c>
      <c r="C702" s="19" t="n">
        <f aca="false">B702/B701-1</f>
        <v>0.00339528631316854</v>
      </c>
      <c r="D702" s="17" t="n">
        <f aca="false">AVERAGE(B653:B702)</f>
        <v>7269.7688</v>
      </c>
      <c r="E702" s="17" t="n">
        <f aca="false">AVERAGE(B503:B702)</f>
        <v>7117.04545</v>
      </c>
      <c r="F702" s="17" t="n">
        <f aca="false">B702*2/13+F701*11/13</f>
        <v>7582.23650693356</v>
      </c>
      <c r="G702" s="17" t="n">
        <f aca="false">B702*2/27+G701*25/27</f>
        <v>7463.16518216569</v>
      </c>
      <c r="H702" s="17" t="n">
        <f aca="false">F702-G702</f>
        <v>119.071324767869</v>
      </c>
      <c r="I702" s="17" t="n">
        <f aca="false">H702*2/10+I701*8/10</f>
        <v>117.177720682371</v>
      </c>
      <c r="J702" s="17" t="n">
        <f aca="false">H702-I702</f>
        <v>1.89360408549759</v>
      </c>
      <c r="K702" s="17" t="n">
        <f aca="false">MAX(B702-B701,0)</f>
        <v>25.9900000000007</v>
      </c>
      <c r="L702" s="17" t="n">
        <f aca="false">MAX(B701-B702,0)</f>
        <v>0</v>
      </c>
      <c r="M702" s="17" t="n">
        <f aca="false">(M701*13+K702)/14</f>
        <v>26.7287672393168</v>
      </c>
      <c r="N702" s="17" t="n">
        <f aca="false">(N701*13+L702)/14</f>
        <v>9.37756607464565</v>
      </c>
      <c r="O702" s="17" t="n">
        <f aca="false">IF(N702=0,100,100-100/(1+M702/N702))</f>
        <v>74.027919165585</v>
      </c>
      <c r="P702" s="17" t="n">
        <f aca="false">AVERAGE(B683:B702)+2*STDEV(B683:B702)</f>
        <v>7758.73382373267</v>
      </c>
      <c r="Q702" s="17" t="n">
        <f aca="false">AVERAGE(B683:B702)-2*STDEV(B683:B702)</f>
        <v>7251.73017626733</v>
      </c>
      <c r="R702" s="19" t="n">
        <f aca="false">B702/B682-1</f>
        <v>0.0406422111574027</v>
      </c>
      <c r="S702" s="17" t="n">
        <f aca="false">STDEV(C683:C702)*SQRT(252)*100</f>
        <v>12.2366092618321</v>
      </c>
      <c r="T702" s="19" t="n">
        <f aca="false">B681/B451-1</f>
        <v>0.0755238021369167</v>
      </c>
      <c r="U702" s="19" t="n">
        <f aca="false">B702/MAX(B451:B702)-1</f>
        <v>0</v>
      </c>
      <c r="V702" s="17" t="n">
        <f aca="false">(B702-AVERAGE(B683:B702))/STDEV(B683:B702)</f>
        <v>1.38451074959571</v>
      </c>
    </row>
    <row r="703" customFormat="false" ht="15" hidden="false" customHeight="false" outlineLevel="0" collapsed="false">
      <c r="A703" s="17" t="s">
        <v>1267</v>
      </c>
      <c r="B703" s="17" t="n">
        <v>7689.72</v>
      </c>
      <c r="C703" s="19" t="n">
        <f aca="false">B703/B702-1</f>
        <v>0.00117176514701756</v>
      </c>
      <c r="D703" s="17" t="n">
        <f aca="false">AVERAGE(B654:B703)</f>
        <v>7283.6108</v>
      </c>
      <c r="E703" s="17" t="n">
        <f aca="false">AVERAGE(B504:B703)</f>
        <v>7120.00495</v>
      </c>
      <c r="F703" s="17" t="n">
        <f aca="false">B703*2/13+F702*11/13</f>
        <v>7598.77242894378</v>
      </c>
      <c r="G703" s="17" t="n">
        <f aca="false">B703*2/27+G702*25/27</f>
        <v>7479.94702052379</v>
      </c>
      <c r="H703" s="17" t="n">
        <f aca="false">F703-G703</f>
        <v>118.825408419995</v>
      </c>
      <c r="I703" s="17" t="n">
        <f aca="false">H703*2/10+I702*8/10</f>
        <v>117.507258229896</v>
      </c>
      <c r="J703" s="17" t="n">
        <f aca="false">H703-I703</f>
        <v>1.31815019009935</v>
      </c>
      <c r="K703" s="17" t="n">
        <f aca="false">MAX(B703-B702,0)</f>
        <v>9</v>
      </c>
      <c r="L703" s="17" t="n">
        <f aca="false">MAX(B702-B703,0)</f>
        <v>0</v>
      </c>
      <c r="M703" s="17" t="n">
        <f aca="false">(M702*13+K703)/14</f>
        <v>25.4624267222227</v>
      </c>
      <c r="N703" s="17" t="n">
        <f aca="false">(N702*13+L703)/14</f>
        <v>8.70773992645667</v>
      </c>
      <c r="O703" s="17" t="n">
        <f aca="false">IF(N703=0,100,100-100/(1+M703/N703))</f>
        <v>74.5165424096835</v>
      </c>
      <c r="P703" s="17" t="n">
        <f aca="false">AVERAGE(B684:B703)+2*STDEV(B684:B703)</f>
        <v>7781.49820674142</v>
      </c>
      <c r="Q703" s="17" t="n">
        <f aca="false">AVERAGE(B684:B703)-2*STDEV(B684:B703)</f>
        <v>7248.61079325859</v>
      </c>
      <c r="R703" s="19" t="n">
        <f aca="false">B703/B683-1</f>
        <v>0.0262168585944453</v>
      </c>
      <c r="S703" s="17" t="n">
        <f aca="false">STDEV(C684:C703)*SQRT(252)*100</f>
        <v>11.1949721215682</v>
      </c>
      <c r="T703" s="19" t="n">
        <f aca="false">B682/B452-1</f>
        <v>0.0894272822141762</v>
      </c>
      <c r="U703" s="19" t="n">
        <f aca="false">B703/MAX(B452:B703)-1</f>
        <v>0</v>
      </c>
      <c r="V703" s="17" t="n">
        <f aca="false">(B703-AVERAGE(B684:B703))/STDEV(B684:B703)</f>
        <v>1.31108744984931</v>
      </c>
    </row>
    <row r="704" customFormat="false" ht="15" hidden="false" customHeight="false" outlineLevel="0" collapsed="false">
      <c r="A704" s="17" t="s">
        <v>1268</v>
      </c>
      <c r="B704" s="17" t="n">
        <v>7713.49</v>
      </c>
      <c r="C704" s="19" t="n">
        <f aca="false">B704/B703-1</f>
        <v>0.00309113985944864</v>
      </c>
      <c r="D704" s="17" t="n">
        <f aca="false">AVERAGE(B655:B704)</f>
        <v>7299.781</v>
      </c>
      <c r="E704" s="17" t="n">
        <f aca="false">AVERAGE(B505:B704)</f>
        <v>7123.49965</v>
      </c>
      <c r="F704" s="17" t="n">
        <f aca="false">B704*2/13+F703*11/13</f>
        <v>7616.42128602936</v>
      </c>
      <c r="G704" s="17" t="n">
        <f aca="false">B704*2/27+G703*25/27</f>
        <v>7497.24650048499</v>
      </c>
      <c r="H704" s="17" t="n">
        <f aca="false">F704-G704</f>
        <v>119.174785544367</v>
      </c>
      <c r="I704" s="17" t="n">
        <f aca="false">H704*2/10+I703*8/10</f>
        <v>117.84076369279</v>
      </c>
      <c r="J704" s="17" t="n">
        <f aca="false">H704-I704</f>
        <v>1.33402185157712</v>
      </c>
      <c r="K704" s="17" t="n">
        <f aca="false">MAX(B704-B703,0)</f>
        <v>23.7699999999995</v>
      </c>
      <c r="L704" s="17" t="n">
        <f aca="false">MAX(B703-B704,0)</f>
        <v>0</v>
      </c>
      <c r="M704" s="17" t="n">
        <f aca="false">(M703*13+K704)/14</f>
        <v>25.3415390992068</v>
      </c>
      <c r="N704" s="17" t="n">
        <f aca="false">(N703*13+L704)/14</f>
        <v>8.08575850313834</v>
      </c>
      <c r="O704" s="17" t="n">
        <f aca="false">IF(N704=0,100,100-100/(1+M704/N704))</f>
        <v>75.8109117903355</v>
      </c>
      <c r="P704" s="17" t="n">
        <f aca="false">AVERAGE(B685:B704)+2*STDEV(B685:B704)</f>
        <v>7799.34537541349</v>
      </c>
      <c r="Q704" s="17" t="n">
        <f aca="false">AVERAGE(B685:B704)-2*STDEV(B685:B704)</f>
        <v>7269.50662458651</v>
      </c>
      <c r="R704" s="19" t="n">
        <f aca="false">B704/B684-1</f>
        <v>0.0528838147653719</v>
      </c>
      <c r="S704" s="17" t="n">
        <f aca="false">STDEV(C685:C704)*SQRT(252)*100</f>
        <v>6.88366483511334</v>
      </c>
      <c r="T704" s="19" t="n">
        <f aca="false">B683/B453-1</f>
        <v>0.123807881219302</v>
      </c>
      <c r="U704" s="19" t="n">
        <f aca="false">B704/MAX(B453:B704)-1</f>
        <v>0</v>
      </c>
      <c r="V704" s="17" t="n">
        <f aca="false">(B704-AVERAGE(B685:B704))/STDEV(B685:B704)</f>
        <v>1.35183770322963</v>
      </c>
    </row>
    <row r="705" customFormat="false" ht="15" hidden="false" customHeight="false" outlineLevel="0" collapsed="false">
      <c r="A705" s="17" t="s">
        <v>1269</v>
      </c>
      <c r="B705" s="17" t="n">
        <v>7810.71</v>
      </c>
      <c r="C705" s="19" t="n">
        <f aca="false">B705/B704-1</f>
        <v>0.0126038926607801</v>
      </c>
      <c r="D705" s="17" t="n">
        <f aca="false">AVERAGE(B656:B705)</f>
        <v>7317.7326</v>
      </c>
      <c r="E705" s="17" t="n">
        <f aca="false">AVERAGE(B506:B705)</f>
        <v>7127.04795</v>
      </c>
      <c r="F705" s="17" t="n">
        <f aca="false">B705*2/13+F704*11/13</f>
        <v>7646.31185740945</v>
      </c>
      <c r="G705" s="17" t="n">
        <f aca="false">B705*2/27+G704*25/27</f>
        <v>7520.46601896758</v>
      </c>
      <c r="H705" s="17" t="n">
        <f aca="false">F705-G705</f>
        <v>125.845838441872</v>
      </c>
      <c r="I705" s="17" t="n">
        <f aca="false">H705*2/10+I704*8/10</f>
        <v>119.441778642607</v>
      </c>
      <c r="J705" s="17" t="n">
        <f aca="false">H705-I705</f>
        <v>6.40405979926533</v>
      </c>
      <c r="K705" s="17" t="n">
        <f aca="false">MAX(B705-B704,0)</f>
        <v>97.2200000000003</v>
      </c>
      <c r="L705" s="17" t="n">
        <f aca="false">MAX(B704-B705,0)</f>
        <v>0</v>
      </c>
      <c r="M705" s="17" t="n">
        <f aca="false">(M704*13+K705)/14</f>
        <v>30.4757148778349</v>
      </c>
      <c r="N705" s="17" t="n">
        <f aca="false">(N704*13+L705)/14</f>
        <v>7.50820432434274</v>
      </c>
      <c r="O705" s="17" t="n">
        <f aca="false">IF(N705=0,100,100-100/(1+M705/N705))</f>
        <v>80.2332026761675</v>
      </c>
      <c r="P705" s="17" t="n">
        <f aca="false">AVERAGE(B686:B705)+2*STDEV(B686:B705)</f>
        <v>7830.64628094434</v>
      </c>
      <c r="Q705" s="17" t="n">
        <f aca="false">AVERAGE(B686:B705)-2*STDEV(B686:B705)</f>
        <v>7287.58071905566</v>
      </c>
      <c r="R705" s="19" t="n">
        <f aca="false">B705/B685-1</f>
        <v>0.0674802103605869</v>
      </c>
      <c r="S705" s="17" t="n">
        <f aca="false">STDEV(C686:C705)*SQRT(252)*100</f>
        <v>7.58089312416663</v>
      </c>
      <c r="T705" s="19" t="n">
        <f aca="false">B684/B454-1</f>
        <v>0.101861990133558</v>
      </c>
      <c r="U705" s="19" t="n">
        <f aca="false">B705/MAX(B454:B705)-1</f>
        <v>0</v>
      </c>
      <c r="V705" s="17" t="n">
        <f aca="false">(B705-AVERAGE(B686:B705))/STDEV(B686:B705)</f>
        <v>1.85315746500288</v>
      </c>
    </row>
    <row r="706" customFormat="false" ht="15" hidden="false" customHeight="false" outlineLevel="0" collapsed="false">
      <c r="A706" s="17" t="s">
        <v>1270</v>
      </c>
      <c r="B706" s="17" t="n">
        <v>7784.41</v>
      </c>
      <c r="C706" s="19" t="n">
        <f aca="false">B706/B705-1</f>
        <v>-0.00336717148633092</v>
      </c>
      <c r="D706" s="17" t="n">
        <f aca="false">AVERAGE(B657:B706)</f>
        <v>7335.2372</v>
      </c>
      <c r="E706" s="17" t="n">
        <f aca="false">AVERAGE(B507:B706)</f>
        <v>7129.93335</v>
      </c>
      <c r="F706" s="17" t="n">
        <f aca="false">B706*2/13+F705*11/13</f>
        <v>7667.55772550031</v>
      </c>
      <c r="G706" s="17" t="n">
        <f aca="false">B706*2/27+G705*25/27</f>
        <v>7540.01742496998</v>
      </c>
      <c r="H706" s="17" t="n">
        <f aca="false">F706-G706</f>
        <v>127.540300530324</v>
      </c>
      <c r="I706" s="17" t="n">
        <f aca="false">H706*2/10+I705*8/10</f>
        <v>121.06148302015</v>
      </c>
      <c r="J706" s="17" t="n">
        <f aca="false">H706-I706</f>
        <v>6.47881751017417</v>
      </c>
      <c r="K706" s="17" t="n">
        <f aca="false">MAX(B706-B705,0)</f>
        <v>0</v>
      </c>
      <c r="L706" s="17" t="n">
        <f aca="false">MAX(B705-B706,0)</f>
        <v>26.3000000000002</v>
      </c>
      <c r="M706" s="17" t="n">
        <f aca="false">(M705*13+K706)/14</f>
        <v>28.2988781008467</v>
      </c>
      <c r="N706" s="17" t="n">
        <f aca="false">(N705*13+L706)/14</f>
        <v>8.85047544403256</v>
      </c>
      <c r="O706" s="17" t="n">
        <f aca="false">IF(N706=0,100,100-100/(1+M706/N706))</f>
        <v>76.1759637799874</v>
      </c>
      <c r="P706" s="17" t="n">
        <f aca="false">AVERAGE(B687:B706)+2*STDEV(B687:B706)</f>
        <v>7851.58104285819</v>
      </c>
      <c r="Q706" s="17" t="n">
        <f aca="false">AVERAGE(B687:B706)-2*STDEV(B687:B706)</f>
        <v>7309.97195714181</v>
      </c>
      <c r="R706" s="19" t="n">
        <f aca="false">B706/B686-1</f>
        <v>0.0589377172279169</v>
      </c>
      <c r="S706" s="17" t="n">
        <f aca="false">STDEV(C687:C706)*SQRT(252)*100</f>
        <v>7.91497496779778</v>
      </c>
      <c r="T706" s="19" t="n">
        <f aca="false">B685/B455-1</f>
        <v>0.12412103148693</v>
      </c>
      <c r="U706" s="19" t="n">
        <f aca="false">B706/MAX(B455:B706)-1</f>
        <v>-0.00336717148633092</v>
      </c>
      <c r="V706" s="17" t="n">
        <f aca="false">(B706-AVERAGE(B687:B706))/STDEV(B687:B706)</f>
        <v>1.50391494803422</v>
      </c>
    </row>
    <row r="707" customFormat="false" ht="15" hidden="false" customHeight="false" outlineLevel="0" collapsed="false">
      <c r="A707" s="17" t="s">
        <v>1271</v>
      </c>
      <c r="B707" s="17" t="n">
        <v>7816.92</v>
      </c>
      <c r="C707" s="19" t="n">
        <f aca="false">B707/B706-1</f>
        <v>0.0041762959556344</v>
      </c>
      <c r="D707" s="17" t="n">
        <f aca="false">AVERAGE(B658:B707)</f>
        <v>7351.2822</v>
      </c>
      <c r="E707" s="17" t="n">
        <f aca="false">AVERAGE(B508:B707)</f>
        <v>7132.63795</v>
      </c>
      <c r="F707" s="17" t="n">
        <f aca="false">B707*2/13+F706*11/13</f>
        <v>7690.5365369618</v>
      </c>
      <c r="G707" s="17" t="n">
        <f aca="false">B707*2/27+G706*25/27</f>
        <v>7560.52872682406</v>
      </c>
      <c r="H707" s="17" t="n">
        <f aca="false">F707-G707</f>
        <v>130.007810137741</v>
      </c>
      <c r="I707" s="17" t="n">
        <f aca="false">H707*2/10+I706*8/10</f>
        <v>122.850748443668</v>
      </c>
      <c r="J707" s="17" t="n">
        <f aca="false">H707-I707</f>
        <v>7.15706169407294</v>
      </c>
      <c r="K707" s="17" t="n">
        <f aca="false">MAX(B707-B706,0)</f>
        <v>32.5100000000002</v>
      </c>
      <c r="L707" s="17" t="n">
        <f aca="false">MAX(B706-B707,0)</f>
        <v>0</v>
      </c>
      <c r="M707" s="17" t="n">
        <f aca="false">(M706*13+K707)/14</f>
        <v>28.5996725222148</v>
      </c>
      <c r="N707" s="17" t="n">
        <f aca="false">(N706*13+L707)/14</f>
        <v>8.21829862660166</v>
      </c>
      <c r="O707" s="17" t="n">
        <f aca="false">IF(N707=0,100,100-100/(1+M707/N707))</f>
        <v>77.6785673675942</v>
      </c>
      <c r="P707" s="17" t="n">
        <f aca="false">AVERAGE(B688:B707)+2*STDEV(B688:B707)</f>
        <v>7864.49141730643</v>
      </c>
      <c r="Q707" s="17" t="n">
        <f aca="false">AVERAGE(B688:B707)-2*STDEV(B688:B707)</f>
        <v>7347.93458269357</v>
      </c>
      <c r="R707" s="19" t="n">
        <f aca="false">B707/B687-1</f>
        <v>0.0696109433389116</v>
      </c>
      <c r="S707" s="17" t="n">
        <f aca="false">STDEV(C688:C707)*SQRT(252)*100</f>
        <v>7.21884549477548</v>
      </c>
      <c r="T707" s="19" t="n">
        <f aca="false">B686/B456-1</f>
        <v>0.128525899839421</v>
      </c>
      <c r="U707" s="19" t="n">
        <f aca="false">B707/MAX(B456:B707)-1</f>
        <v>0</v>
      </c>
      <c r="V707" s="17" t="n">
        <f aca="false">(B707-AVERAGE(B688:B707))/STDEV(B688:B707)</f>
        <v>1.63162684824731</v>
      </c>
    </row>
    <row r="708" customFormat="false" ht="15" hidden="false" customHeight="false" outlineLevel="0" collapsed="false">
      <c r="A708" s="17" t="s">
        <v>1272</v>
      </c>
      <c r="B708" s="17" t="n">
        <v>7826.68</v>
      </c>
      <c r="C708" s="19" t="n">
        <f aca="false">B708/B707-1</f>
        <v>0.00124857360699604</v>
      </c>
      <c r="D708" s="17" t="n">
        <f aca="false">AVERAGE(B659:B708)</f>
        <v>7367.4982</v>
      </c>
      <c r="E708" s="17" t="n">
        <f aca="false">AVERAGE(B509:B708)</f>
        <v>7135.35835</v>
      </c>
      <c r="F708" s="17" t="n">
        <f aca="false">B708*2/13+F707*11/13</f>
        <v>7711.48168512152</v>
      </c>
      <c r="G708" s="17" t="n">
        <f aca="false">B708*2/27+G707*25/27</f>
        <v>7580.2436359482</v>
      </c>
      <c r="H708" s="17" t="n">
        <f aca="false">F708-G708</f>
        <v>131.23804917332</v>
      </c>
      <c r="I708" s="17" t="n">
        <f aca="false">H708*2/10+I707*8/10</f>
        <v>124.528208589599</v>
      </c>
      <c r="J708" s="17" t="n">
        <f aca="false">H708-I708</f>
        <v>6.70984058372152</v>
      </c>
      <c r="K708" s="17" t="n">
        <f aca="false">MAX(B708-B707,0)</f>
        <v>9.76000000000022</v>
      </c>
      <c r="L708" s="17" t="n">
        <f aca="false">MAX(B707-B708,0)</f>
        <v>0</v>
      </c>
      <c r="M708" s="17" t="n">
        <f aca="false">(M707*13+K708)/14</f>
        <v>27.2539816277709</v>
      </c>
      <c r="N708" s="17" t="n">
        <f aca="false">(N707*13+L708)/14</f>
        <v>7.63127729613012</v>
      </c>
      <c r="O708" s="17" t="n">
        <f aca="false">IF(N708=0,100,100-100/(1+M708/N708))</f>
        <v>78.1246362173288</v>
      </c>
      <c r="P708" s="17" t="n">
        <f aca="false">AVERAGE(B689:B708)+2*STDEV(B689:B708)</f>
        <v>7870.38306096462</v>
      </c>
      <c r="Q708" s="17" t="n">
        <f aca="false">AVERAGE(B689:B708)-2*STDEV(B689:B708)</f>
        <v>7392.66393903538</v>
      </c>
      <c r="R708" s="19" t="n">
        <f aca="false">B708/B688-1</f>
        <v>0.069149931630073</v>
      </c>
      <c r="S708" s="17" t="n">
        <f aca="false">STDEV(C689:C708)*SQRT(252)*100</f>
        <v>7.23394023873269</v>
      </c>
      <c r="T708" s="19" t="n">
        <f aca="false">B687/B457-1</f>
        <v>0.0990337837329784</v>
      </c>
      <c r="U708" s="19" t="n">
        <f aca="false">B708/MAX(B457:B708)-1</f>
        <v>0</v>
      </c>
      <c r="V708" s="17" t="n">
        <f aca="false">(B708-AVERAGE(B689:B708))/STDEV(B689:B708)</f>
        <v>1.63406898356401</v>
      </c>
    </row>
    <row r="709" customFormat="false" ht="15" hidden="false" customHeight="false" outlineLevel="0" collapsed="false">
      <c r="A709" s="17" t="s">
        <v>1273</v>
      </c>
      <c r="B709" s="17" t="n">
        <v>7839.04</v>
      </c>
      <c r="C709" s="19" t="n">
        <f aca="false">B709/B708-1</f>
        <v>0.00157921366403113</v>
      </c>
      <c r="D709" s="17" t="n">
        <f aca="false">AVERAGE(B660:B709)</f>
        <v>7383.8306</v>
      </c>
      <c r="E709" s="17" t="n">
        <f aca="false">AVERAGE(B510:B709)</f>
        <v>7138.33365</v>
      </c>
      <c r="F709" s="17" t="n">
        <f aca="false">B709*2/13+F708*11/13</f>
        <v>7731.10604125667</v>
      </c>
      <c r="G709" s="17" t="n">
        <f aca="false">B709*2/27+G708*25/27</f>
        <v>7599.41373698908</v>
      </c>
      <c r="H709" s="17" t="n">
        <f aca="false">F709-G709</f>
        <v>131.692304267597</v>
      </c>
      <c r="I709" s="17" t="n">
        <f aca="false">H709*2/10+I708*8/10</f>
        <v>125.961027725198</v>
      </c>
      <c r="J709" s="17" t="n">
        <f aca="false">H709-I709</f>
        <v>5.73127654239877</v>
      </c>
      <c r="K709" s="17" t="n">
        <f aca="false">MAX(B709-B708,0)</f>
        <v>12.3599999999997</v>
      </c>
      <c r="L709" s="17" t="n">
        <f aca="false">MAX(B708-B709,0)</f>
        <v>0</v>
      </c>
      <c r="M709" s="17" t="n">
        <f aca="false">(M708*13+K709)/14</f>
        <v>26.1901257972158</v>
      </c>
      <c r="N709" s="17" t="n">
        <f aca="false">(N708*13+L709)/14</f>
        <v>7.08618606069225</v>
      </c>
      <c r="O709" s="17" t="n">
        <f aca="false">IF(N709=0,100,100-100/(1+M709/N709))</f>
        <v>78.7050136717353</v>
      </c>
      <c r="P709" s="17" t="n">
        <f aca="false">AVERAGE(B690:B709)+2*STDEV(B690:B709)</f>
        <v>7879.1265996186</v>
      </c>
      <c r="Q709" s="17" t="n">
        <f aca="false">AVERAGE(B690:B709)-2*STDEV(B690:B709)</f>
        <v>7429.9474003814</v>
      </c>
      <c r="R709" s="19" t="n">
        <f aca="false">B709/B689-1</f>
        <v>0.0623776049395766</v>
      </c>
      <c r="S709" s="17" t="n">
        <f aca="false">STDEV(C690:C709)*SQRT(252)*100</f>
        <v>7.04744354966132</v>
      </c>
      <c r="T709" s="19" t="n">
        <f aca="false">B688/B458-1</f>
        <v>0.0997723977855731</v>
      </c>
      <c r="U709" s="19" t="n">
        <f aca="false">B709/MAX(B458:B709)-1</f>
        <v>0</v>
      </c>
      <c r="V709" s="17" t="n">
        <f aca="false">(B709-AVERAGE(B690:B709))/STDEV(B690:B709)</f>
        <v>1.64302354439677</v>
      </c>
    </row>
    <row r="710" customFormat="false" ht="15" hidden="false" customHeight="false" outlineLevel="0" collapsed="false">
      <c r="A710" s="17" t="s">
        <v>1274</v>
      </c>
      <c r="B710" s="17" t="n">
        <v>7781.46</v>
      </c>
      <c r="C710" s="19" t="n">
        <f aca="false">B710/B709-1</f>
        <v>-0.00734528717802174</v>
      </c>
      <c r="D710" s="17" t="n">
        <f aca="false">AVERAGE(B661:B710)</f>
        <v>7398.3562</v>
      </c>
      <c r="E710" s="17" t="n">
        <f aca="false">AVERAGE(B511:B710)</f>
        <v>7140.4097</v>
      </c>
      <c r="F710" s="17" t="n">
        <f aca="false">B710*2/13+F709*11/13</f>
        <v>7738.85280414026</v>
      </c>
      <c r="G710" s="17" t="n">
        <f aca="false">B710*2/27+G709*25/27</f>
        <v>7612.89864536026</v>
      </c>
      <c r="H710" s="17" t="n">
        <f aca="false">F710-G710</f>
        <v>125.954158780008</v>
      </c>
      <c r="I710" s="17" t="n">
        <f aca="false">H710*2/10+I709*8/10</f>
        <v>125.95965393616</v>
      </c>
      <c r="J710" s="17" t="n">
        <f aca="false">H710-I710</f>
        <v>-0.00549515615256269</v>
      </c>
      <c r="K710" s="17" t="n">
        <f aca="false">MAX(B710-B709,0)</f>
        <v>0</v>
      </c>
      <c r="L710" s="17" t="n">
        <f aca="false">MAX(B709-B710,0)</f>
        <v>57.5799999999999</v>
      </c>
      <c r="M710" s="17" t="n">
        <f aca="false">(M709*13+K710)/14</f>
        <v>24.3194025259861</v>
      </c>
      <c r="N710" s="17" t="n">
        <f aca="false">(N709*13+L710)/14</f>
        <v>10.6928870563571</v>
      </c>
      <c r="O710" s="17" t="n">
        <f aca="false">IF(N710=0,100,100-100/(1+M710/N710))</f>
        <v>69.459617797319</v>
      </c>
      <c r="P710" s="17" t="n">
        <f aca="false">AVERAGE(B691:B710)+2*STDEV(B691:B710)</f>
        <v>7884.94547242791</v>
      </c>
      <c r="Q710" s="17" t="n">
        <f aca="false">AVERAGE(B691:B710)-2*STDEV(B691:B710)</f>
        <v>7454.4325275721</v>
      </c>
      <c r="R710" s="19" t="n">
        <f aca="false">B710/B690-1</f>
        <v>0.0405219284287324</v>
      </c>
      <c r="S710" s="17" t="n">
        <f aca="false">STDEV(C691:C710)*SQRT(252)*100</f>
        <v>6.82346377710976</v>
      </c>
      <c r="T710" s="19" t="n">
        <f aca="false">B689/B459-1</f>
        <v>0.117052729741718</v>
      </c>
      <c r="U710" s="19" t="n">
        <f aca="false">B710/MAX(B459:B710)-1</f>
        <v>-0.00734528717802174</v>
      </c>
      <c r="V710" s="17" t="n">
        <f aca="false">(B710-AVERAGE(B691:B710))/STDEV(B691:B710)</f>
        <v>1.03849142132007</v>
      </c>
    </row>
    <row r="711" customFormat="false" ht="15" hidden="false" customHeight="false" outlineLevel="0" collapsed="false">
      <c r="A711" s="17" t="s">
        <v>1275</v>
      </c>
      <c r="B711" s="17" t="n">
        <v>7751.85</v>
      </c>
      <c r="C711" s="19" t="n">
        <f aca="false">B711/B710-1</f>
        <v>-0.00380519851030525</v>
      </c>
      <c r="D711" s="17" t="n">
        <f aca="false">AVERAGE(B662:B711)</f>
        <v>7412.061</v>
      </c>
      <c r="E711" s="17" t="n">
        <f aca="false">AVERAGE(B512:B711)</f>
        <v>7142.28985</v>
      </c>
      <c r="F711" s="17" t="n">
        <f aca="false">B711*2/13+F710*11/13</f>
        <v>7740.85237273407</v>
      </c>
      <c r="G711" s="17" t="n">
        <f aca="false">B711*2/27+G710*25/27</f>
        <v>7623.19133829653</v>
      </c>
      <c r="H711" s="17" t="n">
        <f aca="false">F711-G711</f>
        <v>117.661034437536</v>
      </c>
      <c r="I711" s="17" t="n">
        <f aca="false">H711*2/10+I710*8/10</f>
        <v>124.299930036435</v>
      </c>
      <c r="J711" s="17" t="n">
        <f aca="false">H711-I711</f>
        <v>-6.63889559889952</v>
      </c>
      <c r="K711" s="17" t="n">
        <f aca="false">MAX(B711-B710,0)</f>
        <v>0</v>
      </c>
      <c r="L711" s="17" t="n">
        <f aca="false">MAX(B710-B711,0)</f>
        <v>29.6099999999997</v>
      </c>
      <c r="M711" s="17" t="n">
        <f aca="false">(M710*13+K711)/14</f>
        <v>22.5823023455585</v>
      </c>
      <c r="N711" s="17" t="n">
        <f aca="false">(N710*13+L711)/14</f>
        <v>12.0441094094744</v>
      </c>
      <c r="O711" s="17" t="n">
        <f aca="false">IF(N711=0,100,100-100/(1+M711/N711))</f>
        <v>65.2169866901562</v>
      </c>
      <c r="P711" s="17" t="n">
        <f aca="false">AVERAGE(B692:B711)+2*STDEV(B692:B711)</f>
        <v>7884.78208180839</v>
      </c>
      <c r="Q711" s="17" t="n">
        <f aca="false">AVERAGE(B692:B711)-2*STDEV(B692:B711)</f>
        <v>7479.81691819161</v>
      </c>
      <c r="R711" s="19" t="n">
        <f aca="false">B711/B691-1</f>
        <v>0.0336296142214827</v>
      </c>
      <c r="S711" s="17" t="n">
        <f aca="false">STDEV(C692:C711)*SQRT(252)*100</f>
        <v>7.11605171510229</v>
      </c>
      <c r="T711" s="19" t="n">
        <f aca="false">B690/B460-1</f>
        <v>0.119195565373034</v>
      </c>
      <c r="U711" s="19" t="n">
        <f aca="false">B711/MAX(B460:B711)-1</f>
        <v>-0.0111225354124994</v>
      </c>
      <c r="V711" s="17" t="n">
        <f aca="false">(B711-AVERAGE(B692:B711))/STDEV(B692:B711)</f>
        <v>0.686977609420435</v>
      </c>
    </row>
    <row r="712" customFormat="false" ht="15" hidden="false" customHeight="false" outlineLevel="0" collapsed="false">
      <c r="A712" s="17" t="s">
        <v>1276</v>
      </c>
      <c r="B712" s="17" t="n">
        <v>7724.06</v>
      </c>
      <c r="C712" s="19" t="n">
        <f aca="false">B712/B711-1</f>
        <v>-0.00358495068919029</v>
      </c>
      <c r="D712" s="17" t="n">
        <f aca="false">AVERAGE(B663:B712)</f>
        <v>7425.2954</v>
      </c>
      <c r="E712" s="17" t="n">
        <f aca="false">AVERAGE(B513:B712)</f>
        <v>7144.12065</v>
      </c>
      <c r="F712" s="17" t="n">
        <f aca="false">B712*2/13+F711*11/13</f>
        <v>7738.26893077498</v>
      </c>
      <c r="G712" s="17" t="n">
        <f aca="false">B712*2/27+G711*25/27</f>
        <v>7630.66309101531</v>
      </c>
      <c r="H712" s="17" t="n">
        <f aca="false">F712-G712</f>
        <v>107.605839759672</v>
      </c>
      <c r="I712" s="17" t="n">
        <f aca="false">H712*2/10+I711*8/10</f>
        <v>120.961111981083</v>
      </c>
      <c r="J712" s="17" t="n">
        <f aca="false">H712-I712</f>
        <v>-13.355272221411</v>
      </c>
      <c r="K712" s="17" t="n">
        <f aca="false">MAX(B712-B711,0)</f>
        <v>0</v>
      </c>
      <c r="L712" s="17" t="n">
        <f aca="false">MAX(B711-B712,0)</f>
        <v>27.79</v>
      </c>
      <c r="M712" s="17" t="n">
        <f aca="false">(M711*13+K712)/14</f>
        <v>20.9692807494472</v>
      </c>
      <c r="N712" s="17" t="n">
        <f aca="false">(N711*13+L712)/14</f>
        <v>13.1688158802262</v>
      </c>
      <c r="O712" s="17" t="n">
        <f aca="false">IF(N712=0,100,100-100/(1+M712/N712))</f>
        <v>61.4248678739175</v>
      </c>
      <c r="P712" s="17" t="n">
        <f aca="false">AVERAGE(B693:B712)+2*STDEV(B693:B712)</f>
        <v>7883.75940229193</v>
      </c>
      <c r="Q712" s="17" t="n">
        <f aca="false">AVERAGE(B693:B712)-2*STDEV(B693:B712)</f>
        <v>7498.74859770807</v>
      </c>
      <c r="R712" s="19" t="n">
        <f aca="false">B712/B692-1</f>
        <v>0.0237363435507365</v>
      </c>
      <c r="S712" s="17" t="n">
        <f aca="false">STDEV(C693:C712)*SQRT(252)*100</f>
        <v>7.1508415356707</v>
      </c>
      <c r="T712" s="19" t="n">
        <f aca="false">B691/B461-1</f>
        <v>0.128702321325371</v>
      </c>
      <c r="U712" s="19" t="n">
        <f aca="false">B712/MAX(B461:B712)-1</f>
        <v>-0.0146676123606971</v>
      </c>
      <c r="V712" s="17" t="n">
        <f aca="false">(B712-AVERAGE(B693:B712))/STDEV(B693:B712)</f>
        <v>0.340831993382205</v>
      </c>
    </row>
    <row r="713" customFormat="false" ht="15" hidden="false" customHeight="false" outlineLevel="0" collapsed="false">
      <c r="A713" s="17" t="s">
        <v>1277</v>
      </c>
      <c r="B713" s="17" t="n">
        <v>7845.73</v>
      </c>
      <c r="C713" s="19" t="n">
        <f aca="false">B713/B712-1</f>
        <v>0.0157520785700784</v>
      </c>
      <c r="D713" s="17" t="n">
        <f aca="false">AVERAGE(B664:B713)</f>
        <v>7441.5068</v>
      </c>
      <c r="E713" s="17" t="n">
        <f aca="false">AVERAGE(B514:B713)</f>
        <v>7146.32985</v>
      </c>
      <c r="F713" s="17" t="n">
        <f aca="false">B713*2/13+F712*11/13</f>
        <v>7754.80140296344</v>
      </c>
      <c r="G713" s="17" t="n">
        <f aca="false">B713*2/27+G712*25/27</f>
        <v>7646.59397316232</v>
      </c>
      <c r="H713" s="17" t="n">
        <f aca="false">F713-G713</f>
        <v>108.207429801122</v>
      </c>
      <c r="I713" s="17" t="n">
        <f aca="false">H713*2/10+I712*8/10</f>
        <v>118.410375545091</v>
      </c>
      <c r="J713" s="17" t="n">
        <f aca="false">H713-I713</f>
        <v>-10.2029457439684</v>
      </c>
      <c r="K713" s="17" t="n">
        <f aca="false">MAX(B713-B712,0)</f>
        <v>121.669999999999</v>
      </c>
      <c r="L713" s="17" t="n">
        <f aca="false">MAX(B712-B713,0)</f>
        <v>0</v>
      </c>
      <c r="M713" s="17" t="n">
        <f aca="false">(M712*13+K713)/14</f>
        <v>28.1621892673438</v>
      </c>
      <c r="N713" s="17" t="n">
        <f aca="false">(N712*13+L713)/14</f>
        <v>12.2281861744958</v>
      </c>
      <c r="O713" s="17" t="n">
        <f aca="false">IF(N713=0,100,100-100/(1+M713/N713))</f>
        <v>69.7249999765319</v>
      </c>
      <c r="P713" s="17" t="n">
        <f aca="false">AVERAGE(B694:B713)+2*STDEV(B694:B713)</f>
        <v>7897.09454325537</v>
      </c>
      <c r="Q713" s="17" t="n">
        <f aca="false">AVERAGE(B694:B713)-2*STDEV(B694:B713)</f>
        <v>7515.92945674463</v>
      </c>
      <c r="R713" s="19" t="n">
        <f aca="false">B713/B693-1</f>
        <v>0.0404690892067841</v>
      </c>
      <c r="S713" s="17" t="n">
        <f aca="false">STDEV(C694:C713)*SQRT(252)*100</f>
        <v>8.78078843561721</v>
      </c>
      <c r="T713" s="19" t="n">
        <f aca="false">B692/B462-1</f>
        <v>0.135695448770825</v>
      </c>
      <c r="U713" s="19" t="n">
        <f aca="false">B713/MAX(B462:B713)-1</f>
        <v>0</v>
      </c>
      <c r="V713" s="17" t="n">
        <f aca="false">(B713-AVERAGE(B694:B713))/STDEV(B694:B713)</f>
        <v>1.46097326252444</v>
      </c>
    </row>
    <row r="714" customFormat="false" ht="15" hidden="false" customHeight="false" outlineLevel="0" collapsed="false">
      <c r="A714" s="17" t="s">
        <v>1278</v>
      </c>
      <c r="B714" s="17" t="n">
        <v>7794.09</v>
      </c>
      <c r="C714" s="19" t="n">
        <f aca="false">B714/B713-1</f>
        <v>-0.00658192418041403</v>
      </c>
      <c r="D714" s="17" t="n">
        <f aca="false">AVERAGE(B665:B714)</f>
        <v>7455.576</v>
      </c>
      <c r="E714" s="17" t="n">
        <f aca="false">AVERAGE(B515:B714)</f>
        <v>7148.34965</v>
      </c>
      <c r="F714" s="17" t="n">
        <f aca="false">B714*2/13+F713*11/13</f>
        <v>7760.84580250753</v>
      </c>
      <c r="G714" s="17" t="n">
        <f aca="false">B714*2/27+G713*25/27</f>
        <v>7657.51960477993</v>
      </c>
      <c r="H714" s="17" t="n">
        <f aca="false">F714-G714</f>
        <v>103.326197727602</v>
      </c>
      <c r="I714" s="17" t="n">
        <f aca="false">H714*2/10+I713*8/10</f>
        <v>115.393539981593</v>
      </c>
      <c r="J714" s="17" t="n">
        <f aca="false">H714-I714</f>
        <v>-12.0673422539904</v>
      </c>
      <c r="K714" s="17" t="n">
        <f aca="false">MAX(B714-B713,0)</f>
        <v>0</v>
      </c>
      <c r="L714" s="17" t="n">
        <f aca="false">MAX(B713-B714,0)</f>
        <v>51.6399999999994</v>
      </c>
      <c r="M714" s="17" t="n">
        <f aca="false">(M713*13+K714)/14</f>
        <v>26.1506043196764</v>
      </c>
      <c r="N714" s="17" t="n">
        <f aca="false">(N713*13+L714)/14</f>
        <v>15.0433157334603</v>
      </c>
      <c r="O714" s="17" t="n">
        <f aca="false">IF(N714=0,100,100-100/(1+M714/N714))</f>
        <v>63.4817086743487</v>
      </c>
      <c r="P714" s="17" t="n">
        <f aca="false">AVERAGE(B695:B714)+2*STDEV(B695:B714)</f>
        <v>7901.71176127417</v>
      </c>
      <c r="Q714" s="17" t="n">
        <f aca="false">AVERAGE(B695:B714)-2*STDEV(B695:B714)</f>
        <v>7532.83723872583</v>
      </c>
      <c r="R714" s="19" t="n">
        <f aca="false">B714/B694-1</f>
        <v>0.028401444020457</v>
      </c>
      <c r="S714" s="17" t="n">
        <f aca="false">STDEV(C695:C714)*SQRT(252)*100</f>
        <v>9.20408047273303</v>
      </c>
      <c r="T714" s="19" t="n">
        <f aca="false">B693/B463-1</f>
        <v>0.113966069444773</v>
      </c>
      <c r="U714" s="19" t="n">
        <f aca="false">B714/MAX(B463:B714)-1</f>
        <v>-0.00658192418041403</v>
      </c>
      <c r="V714" s="17" t="n">
        <f aca="false">(B714-AVERAGE(B695:B714))/STDEV(B695:B714)</f>
        <v>0.832971596621286</v>
      </c>
    </row>
    <row r="715" customFormat="false" ht="15" hidden="false" customHeight="false" outlineLevel="0" collapsed="false">
      <c r="A715" s="17" t="s">
        <v>1279</v>
      </c>
      <c r="B715" s="17" t="n">
        <v>7640.15</v>
      </c>
      <c r="C715" s="19" t="n">
        <f aca="false">B715/B714-1</f>
        <v>-0.0197508625124935</v>
      </c>
      <c r="D715" s="17" t="n">
        <f aca="false">AVERAGE(B666:B715)</f>
        <v>7466.0704</v>
      </c>
      <c r="E715" s="17" t="n">
        <f aca="false">AVERAGE(B516:B715)</f>
        <v>7149.7886</v>
      </c>
      <c r="F715" s="17" t="n">
        <f aca="false">B715*2/13+F714*11/13</f>
        <v>7742.27721750637</v>
      </c>
      <c r="G715" s="17" t="n">
        <f aca="false">B715*2/27+G714*25/27</f>
        <v>7656.23296738882</v>
      </c>
      <c r="H715" s="17" t="n">
        <f aca="false">F715-G715</f>
        <v>86.0442501175494</v>
      </c>
      <c r="I715" s="17" t="n">
        <f aca="false">H715*2/10+I714*8/10</f>
        <v>109.523682008784</v>
      </c>
      <c r="J715" s="17" t="n">
        <f aca="false">H715-I715</f>
        <v>-23.4794318912348</v>
      </c>
      <c r="K715" s="17" t="n">
        <f aca="false">MAX(B715-B714,0)</f>
        <v>0</v>
      </c>
      <c r="L715" s="17" t="n">
        <f aca="false">MAX(B714-B715,0)</f>
        <v>153.940000000001</v>
      </c>
      <c r="M715" s="17" t="n">
        <f aca="false">(M714*13+K715)/14</f>
        <v>24.282704011128</v>
      </c>
      <c r="N715" s="17" t="n">
        <f aca="false">(N714*13+L715)/14</f>
        <v>24.9645074667846</v>
      </c>
      <c r="O715" s="17" t="n">
        <f aca="false">IF(N715=0,100,100-100/(1+M715/N715))</f>
        <v>49.3077745569793</v>
      </c>
      <c r="P715" s="17" t="n">
        <f aca="false">AVERAGE(B696:B715)+2*STDEV(B696:B715)</f>
        <v>7899.13903904202</v>
      </c>
      <c r="Q715" s="17" t="n">
        <f aca="false">AVERAGE(B696:B715)-2*STDEV(B696:B715)</f>
        <v>7539.45096095798</v>
      </c>
      <c r="R715" s="19" t="n">
        <f aca="false">B715/B695-1</f>
        <v>0.00531728717035063</v>
      </c>
      <c r="S715" s="17" t="n">
        <f aca="false">STDEV(C696:C715)*SQRT(252)*100</f>
        <v>11.8552617381515</v>
      </c>
      <c r="T715" s="19" t="n">
        <f aca="false">B694/B464-1</f>
        <v>0.110962243490421</v>
      </c>
      <c r="U715" s="19" t="n">
        <f aca="false">B715/MAX(B464:B715)-1</f>
        <v>-0.0262027880133525</v>
      </c>
      <c r="V715" s="17" t="n">
        <f aca="false">(B715-AVERAGE(B696:B715))/STDEV(B696:B715)</f>
        <v>-0.880151495947093</v>
      </c>
    </row>
    <row r="716" customFormat="false" ht="15" hidden="false" customHeight="false" outlineLevel="0" collapsed="false">
      <c r="A716" s="17" t="s">
        <v>1280</v>
      </c>
      <c r="B716" s="17" t="n">
        <v>7617.55</v>
      </c>
      <c r="C716" s="19" t="n">
        <f aca="false">B716/B715-1</f>
        <v>-0.00295805710620856</v>
      </c>
      <c r="D716" s="17" t="n">
        <f aca="false">AVERAGE(B667:B716)</f>
        <v>7475.957</v>
      </c>
      <c r="E716" s="17" t="n">
        <f aca="false">AVERAGE(B517:B716)</f>
        <v>7151.1252</v>
      </c>
      <c r="F716" s="17" t="n">
        <f aca="false">B716*2/13+F715*11/13</f>
        <v>7723.08841481308</v>
      </c>
      <c r="G716" s="17" t="n">
        <f aca="false">B716*2/27+G715*25/27</f>
        <v>7653.36756239706</v>
      </c>
      <c r="H716" s="17" t="n">
        <f aca="false">F716-G716</f>
        <v>69.720852416026</v>
      </c>
      <c r="I716" s="17" t="n">
        <f aca="false">H716*2/10+I715*8/10</f>
        <v>101.563116090233</v>
      </c>
      <c r="J716" s="17" t="n">
        <f aca="false">H716-I716</f>
        <v>-31.8422636742066</v>
      </c>
      <c r="K716" s="17" t="n">
        <f aca="false">MAX(B716-B715,0)</f>
        <v>0</v>
      </c>
      <c r="L716" s="17" t="n">
        <f aca="false">MAX(B715-B716,0)</f>
        <v>22.5999999999995</v>
      </c>
      <c r="M716" s="17" t="n">
        <f aca="false">(M715*13+K716)/14</f>
        <v>22.5482251531903</v>
      </c>
      <c r="N716" s="17" t="n">
        <f aca="false">(N715*13+L716)/14</f>
        <v>24.7956140763</v>
      </c>
      <c r="O716" s="17" t="n">
        <f aca="false">IF(N716=0,100,100-100/(1+M716/N716))</f>
        <v>47.6265244225169</v>
      </c>
      <c r="P716" s="17" t="n">
        <f aca="false">AVERAGE(B697:B716)+2*STDEV(B697:B716)</f>
        <v>7894.11418005068</v>
      </c>
      <c r="Q716" s="17" t="n">
        <f aca="false">AVERAGE(B697:B716)-2*STDEV(B697:B716)</f>
        <v>7549.38181994932</v>
      </c>
      <c r="R716" s="19" t="n">
        <f aca="false">B716/B696-1</f>
        <v>0.00648213844505308</v>
      </c>
      <c r="S716" s="17" t="n">
        <f aca="false">STDEV(C697:C716)*SQRT(252)*100</f>
        <v>11.8053824172958</v>
      </c>
      <c r="T716" s="19" t="n">
        <f aca="false">B695/B465-1</f>
        <v>0.115070398563271</v>
      </c>
      <c r="U716" s="19" t="n">
        <f aca="false">B716/MAX(B465:B716)-1</f>
        <v>-0.0290833357762756</v>
      </c>
      <c r="V716" s="17" t="n">
        <f aca="false">(B716-AVERAGE(B697:B716))/STDEV(B697:B716)</f>
        <v>-1.20903068072128</v>
      </c>
    </row>
    <row r="717" customFormat="false" ht="15" hidden="false" customHeight="false" outlineLevel="0" collapsed="false">
      <c r="A717" s="17" t="s">
        <v>1281</v>
      </c>
      <c r="B717" s="17" t="n">
        <v>7582.75</v>
      </c>
      <c r="C717" s="19" t="n">
        <f aca="false">B717/B716-1</f>
        <v>-0.00456839797572717</v>
      </c>
      <c r="D717" s="17" t="n">
        <f aca="false">AVERAGE(B668:B717)</f>
        <v>7485.272</v>
      </c>
      <c r="E717" s="17" t="n">
        <f aca="false">AVERAGE(B518:B717)</f>
        <v>7152.18005</v>
      </c>
      <c r="F717" s="17" t="n">
        <f aca="false">B717*2/13+F716*11/13</f>
        <v>7701.49788945722</v>
      </c>
      <c r="G717" s="17" t="n">
        <f aca="false">B717*2/27+G716*25/27</f>
        <v>7648.13663184913</v>
      </c>
      <c r="H717" s="17" t="n">
        <f aca="false">F717-G717</f>
        <v>53.3612576080968</v>
      </c>
      <c r="I717" s="17" t="n">
        <f aca="false">H717*2/10+I716*8/10</f>
        <v>91.9227443938054</v>
      </c>
      <c r="J717" s="17" t="n">
        <f aca="false">H717-I717</f>
        <v>-38.5614867857086</v>
      </c>
      <c r="K717" s="17" t="n">
        <f aca="false">MAX(B717-B716,0)</f>
        <v>0</v>
      </c>
      <c r="L717" s="17" t="n">
        <f aca="false">MAX(B716-B717,0)</f>
        <v>34.8000000000002</v>
      </c>
      <c r="M717" s="17" t="n">
        <f aca="false">(M716*13+K717)/14</f>
        <v>20.9376376422482</v>
      </c>
      <c r="N717" s="17" t="n">
        <f aca="false">(N716*13+L717)/14</f>
        <v>25.51021307085</v>
      </c>
      <c r="O717" s="17" t="n">
        <f aca="false">IF(N717=0,100,100-100/(1+M717/N717))</f>
        <v>45.0777319527162</v>
      </c>
      <c r="P717" s="17" t="n">
        <f aca="false">AVERAGE(B698:B717)+2*STDEV(B698:B717)</f>
        <v>7896.97320706851</v>
      </c>
      <c r="Q717" s="17" t="n">
        <f aca="false">AVERAGE(B698:B717)-2*STDEV(B698:B717)</f>
        <v>7543.64879293149</v>
      </c>
      <c r="R717" s="19" t="n">
        <f aca="false">B717/B697-1</f>
        <v>-0.00377587042747207</v>
      </c>
      <c r="S717" s="17" t="n">
        <f aca="false">STDEV(C698:C717)*SQRT(252)*100</f>
        <v>11.7519050682445</v>
      </c>
      <c r="T717" s="19" t="n">
        <f aca="false">B696/B466-1</f>
        <v>0.0979630680046015</v>
      </c>
      <c r="U717" s="19" t="n">
        <f aca="false">B717/MAX(B466:B717)-1</f>
        <v>-0.0335188694997151</v>
      </c>
      <c r="V717" s="17" t="n">
        <f aca="false">(B717-AVERAGE(B698:B717))/STDEV(B698:B717)</f>
        <v>-1.55733365140917</v>
      </c>
    </row>
    <row r="718" customFormat="false" ht="15" hidden="false" customHeight="false" outlineLevel="0" collapsed="false">
      <c r="A718" s="17" t="s">
        <v>1282</v>
      </c>
      <c r="B718" s="17" t="n">
        <v>7586.53</v>
      </c>
      <c r="C718" s="19" t="n">
        <f aca="false">B718/B717-1</f>
        <v>0.000498499884606485</v>
      </c>
      <c r="D718" s="17" t="n">
        <f aca="false">AVERAGE(B669:B718)</f>
        <v>7495.052</v>
      </c>
      <c r="E718" s="17" t="n">
        <f aca="false">AVERAGE(B519:B718)</f>
        <v>7153.08145</v>
      </c>
      <c r="F718" s="17" t="n">
        <f aca="false">B718*2/13+F717*11/13</f>
        <v>7683.81052184842</v>
      </c>
      <c r="G718" s="17" t="n">
        <f aca="false">B718*2/27+G717*25/27</f>
        <v>7643.57317763808</v>
      </c>
      <c r="H718" s="17" t="n">
        <f aca="false">F718-G718</f>
        <v>40.2373442103399</v>
      </c>
      <c r="I718" s="17" t="n">
        <f aca="false">H718*2/10+I717*8/10</f>
        <v>81.5856643571123</v>
      </c>
      <c r="J718" s="17" t="n">
        <f aca="false">H718-I718</f>
        <v>-41.3483201467724</v>
      </c>
      <c r="K718" s="17" t="n">
        <f aca="false">MAX(B718-B717,0)</f>
        <v>3.77999999999975</v>
      </c>
      <c r="L718" s="17" t="n">
        <f aca="false">MAX(B717-B718,0)</f>
        <v>0</v>
      </c>
      <c r="M718" s="17" t="n">
        <f aca="false">(M717*13+K718)/14</f>
        <v>19.7120920963733</v>
      </c>
      <c r="N718" s="17" t="n">
        <f aca="false">(N717*13+L718)/14</f>
        <v>23.6880549943607</v>
      </c>
      <c r="O718" s="17" t="n">
        <f aca="false">IF(N718=0,100,100-100/(1+M718/N718))</f>
        <v>45.4194131074313</v>
      </c>
      <c r="P718" s="17" t="n">
        <f aca="false">AVERAGE(B699:B718)+2*STDEV(B699:B718)</f>
        <v>7897.83960785279</v>
      </c>
      <c r="Q718" s="17" t="n">
        <f aca="false">AVERAGE(B699:B718)-2*STDEV(B699:B718)</f>
        <v>7541.94639214721</v>
      </c>
      <c r="R718" s="19" t="n">
        <f aca="false">B718/B698-1</f>
        <v>-0.00110074010288508</v>
      </c>
      <c r="S718" s="17" t="n">
        <f aca="false">STDEV(C699:C718)*SQRT(252)*100</f>
        <v>11.7293508424523</v>
      </c>
      <c r="T718" s="19" t="n">
        <f aca="false">B697/B467-1</f>
        <v>0.0930473680809356</v>
      </c>
      <c r="U718" s="19" t="n">
        <f aca="false">B718/MAX(B467:B718)-1</f>
        <v>-0.0330370787676864</v>
      </c>
      <c r="V718" s="17" t="n">
        <f aca="false">(B718-AVERAGE(B699:B718))/STDEV(B699:B718)</f>
        <v>-1.49891028111448</v>
      </c>
    </row>
    <row r="719" customFormat="false" ht="15" hidden="false" customHeight="false" outlineLevel="0" collapsed="false">
      <c r="A719" s="17" t="s">
        <v>1283</v>
      </c>
      <c r="B719" s="17" t="n">
        <v>7324.13</v>
      </c>
      <c r="C719" s="19" t="n">
        <f aca="false">B719/B718-1</f>
        <v>-0.0345876177910058</v>
      </c>
      <c r="D719" s="17" t="n">
        <f aca="false">AVERAGE(B670:B719)</f>
        <v>7498.5032</v>
      </c>
      <c r="E719" s="17" t="n">
        <f aca="false">AVERAGE(B520:B719)</f>
        <v>7152.15915</v>
      </c>
      <c r="F719" s="17" t="n">
        <f aca="false">B719*2/13+F718*11/13</f>
        <v>7628.47505694866</v>
      </c>
      <c r="G719" s="17" t="n">
        <f aca="false">B719*2/27+G718*25/27</f>
        <v>7619.91072003526</v>
      </c>
      <c r="H719" s="17" t="n">
        <f aca="false">F719-G719</f>
        <v>8.56433691340317</v>
      </c>
      <c r="I719" s="17" t="n">
        <f aca="false">H719*2/10+I718*8/10</f>
        <v>66.9813988683705</v>
      </c>
      <c r="J719" s="17" t="n">
        <f aca="false">H719-I719</f>
        <v>-58.4170619549673</v>
      </c>
      <c r="K719" s="17" t="n">
        <f aca="false">MAX(B719-B718,0)</f>
        <v>0</v>
      </c>
      <c r="L719" s="17" t="n">
        <f aca="false">MAX(B718-B719,0)</f>
        <v>262.4</v>
      </c>
      <c r="M719" s="17" t="n">
        <f aca="false">(M718*13+K719)/14</f>
        <v>18.3040855180609</v>
      </c>
      <c r="N719" s="17" t="n">
        <f aca="false">(N718*13+L719)/14</f>
        <v>40.7389082090492</v>
      </c>
      <c r="O719" s="17" t="n">
        <f aca="false">IF(N719=0,100,100-100/(1+M719/N719))</f>
        <v>31.0012829001528</v>
      </c>
      <c r="P719" s="17" t="n">
        <f aca="false">AVERAGE(B700:B719)+2*STDEV(B700:B719)</f>
        <v>7953.47806049967</v>
      </c>
      <c r="Q719" s="17" t="n">
        <f aca="false">AVERAGE(B700:B719)-2*STDEV(B700:B719)</f>
        <v>7455.90593950033</v>
      </c>
      <c r="R719" s="19" t="n">
        <f aca="false">B719/B699-1</f>
        <v>-0.0398550107168841</v>
      </c>
      <c r="S719" s="17" t="n">
        <f aca="false">STDEV(C700:C719)*SQRT(252)*100</f>
        <v>16.8324529085625</v>
      </c>
      <c r="T719" s="19" t="n">
        <f aca="false">B698/B468-1</f>
        <v>0.0923875522109841</v>
      </c>
      <c r="U719" s="19" t="n">
        <f aca="false">B719/MAX(B468:B719)-1</f>
        <v>-0.0664820227053441</v>
      </c>
      <c r="V719" s="17" t="n">
        <f aca="false">(B719-AVERAGE(B700:B719))/STDEV(B700:B719)</f>
        <v>-3.05935147038111</v>
      </c>
    </row>
    <row r="720" customFormat="false" ht="15" hidden="false" customHeight="false" outlineLevel="0" collapsed="false">
      <c r="A720" s="17" t="s">
        <v>1284</v>
      </c>
      <c r="B720" s="17" t="n">
        <v>7401.88</v>
      </c>
      <c r="C720" s="19" t="n">
        <f aca="false">B720/B719-1</f>
        <v>0.0106155952993734</v>
      </c>
      <c r="D720" s="17" t="n">
        <f aca="false">AVERAGE(B671:B720)</f>
        <v>7503.5242</v>
      </c>
      <c r="E720" s="17" t="n">
        <f aca="false">AVERAGE(B521:B720)</f>
        <v>7152.1648</v>
      </c>
      <c r="F720" s="17" t="n">
        <f aca="false">B720*2/13+F719*11/13</f>
        <v>7593.61427895656</v>
      </c>
      <c r="G720" s="17" t="n">
        <f aca="false">B720*2/27+G719*25/27</f>
        <v>7603.76029632895</v>
      </c>
      <c r="H720" s="17" t="n">
        <f aca="false">F720-G720</f>
        <v>-10.1460173723835</v>
      </c>
      <c r="I720" s="17" t="n">
        <f aca="false">H720*2/10+I719*8/10</f>
        <v>51.5559156202197</v>
      </c>
      <c r="J720" s="17" t="n">
        <f aca="false">H720-I720</f>
        <v>-61.7019329926032</v>
      </c>
      <c r="K720" s="17" t="n">
        <f aca="false">MAX(B720-B719,0)</f>
        <v>77.75</v>
      </c>
      <c r="L720" s="17" t="n">
        <f aca="false">MAX(B719-B720,0)</f>
        <v>0</v>
      </c>
      <c r="M720" s="17" t="n">
        <f aca="false">(M719*13+K720)/14</f>
        <v>22.5502222667708</v>
      </c>
      <c r="N720" s="17" t="n">
        <f aca="false">(N719*13+L720)/14</f>
        <v>37.8289861941171</v>
      </c>
      <c r="O720" s="17" t="n">
        <f aca="false">IF(N720=0,100,100-100/(1+M720/N720))</f>
        <v>37.3476612920129</v>
      </c>
      <c r="P720" s="17" t="n">
        <f aca="false">AVERAGE(B701:B720)+2*STDEV(B701:B720)</f>
        <v>7975.20379512638</v>
      </c>
      <c r="Q720" s="17" t="n">
        <f aca="false">AVERAGE(B701:B720)-2*STDEV(B701:B720)</f>
        <v>7411.45620487362</v>
      </c>
      <c r="R720" s="19" t="n">
        <f aca="false">B720/B700-1</f>
        <v>-0.0297858730757937</v>
      </c>
      <c r="S720" s="17" t="n">
        <f aca="false">STDEV(C701:C720)*SQRT(252)*100</f>
        <v>17.4082675795011</v>
      </c>
      <c r="T720" s="19" t="n">
        <f aca="false">B699/B469-1</f>
        <v>0.0953108464943706</v>
      </c>
      <c r="U720" s="19" t="n">
        <f aca="false">B720/MAX(B469:B720)-1</f>
        <v>-0.0565721736536944</v>
      </c>
      <c r="V720" s="17" t="n">
        <f aca="false">(B720-AVERAGE(B701:B720))/STDEV(B701:B720)</f>
        <v>-2.06794675517338</v>
      </c>
    </row>
    <row r="721" customFormat="false" ht="15" hidden="false" customHeight="false" outlineLevel="0" collapsed="false">
      <c r="A721" s="17" t="s">
        <v>1285</v>
      </c>
      <c r="B721" s="17" t="n">
        <v>7503.25</v>
      </c>
      <c r="C721" s="19" t="n">
        <f aca="false">B721/B720-1</f>
        <v>0.013695169335358</v>
      </c>
      <c r="D721" s="17" t="n">
        <f aca="false">AVERAGE(B672:B721)</f>
        <v>7510.4534</v>
      </c>
      <c r="E721" s="17" t="n">
        <f aca="false">AVERAGE(B522:B721)</f>
        <v>7153.19715</v>
      </c>
      <c r="F721" s="17" t="n">
        <f aca="false">B721*2/13+F720*11/13</f>
        <v>7579.71208219401</v>
      </c>
      <c r="G721" s="17" t="n">
        <f aca="false">B721*2/27+G720*25/27</f>
        <v>7596.31508919347</v>
      </c>
      <c r="H721" s="17" t="n">
        <f aca="false">F721-G721</f>
        <v>-16.603006999454</v>
      </c>
      <c r="I721" s="17" t="n">
        <f aca="false">H721*2/10+I720*8/10</f>
        <v>37.9241310962849</v>
      </c>
      <c r="J721" s="17" t="n">
        <f aca="false">H721-I721</f>
        <v>-54.5271380957389</v>
      </c>
      <c r="K721" s="17" t="n">
        <f aca="false">MAX(B721-B720,0)</f>
        <v>101.37</v>
      </c>
      <c r="L721" s="17" t="n">
        <f aca="false">MAX(B720-B721,0)</f>
        <v>0</v>
      </c>
      <c r="M721" s="17" t="n">
        <f aca="false">(M720*13+K721)/14</f>
        <v>28.1802063905729</v>
      </c>
      <c r="N721" s="17" t="n">
        <f aca="false">(N720*13+L721)/14</f>
        <v>35.1269157516802</v>
      </c>
      <c r="O721" s="17" t="n">
        <f aca="false">IF(N721=0,100,100-100/(1+M721/N721))</f>
        <v>44.5134851134934</v>
      </c>
      <c r="P721" s="17" t="n">
        <f aca="false">AVERAGE(B702:B721)+2*STDEV(B702:B721)</f>
        <v>7979.87166277661</v>
      </c>
      <c r="Q721" s="17" t="n">
        <f aca="false">AVERAGE(B702:B721)-2*STDEV(B702:B721)</f>
        <v>7391.64033722339</v>
      </c>
      <c r="R721" s="19" t="n">
        <f aca="false">B721/B701-1</f>
        <v>-0.0197890715936421</v>
      </c>
      <c r="S721" s="17" t="n">
        <f aca="false">STDEV(C702:C721)*SQRT(252)*100</f>
        <v>18.1577858424801</v>
      </c>
      <c r="T721" s="19" t="n">
        <f aca="false">B700/B470-1</f>
        <v>0.107508993197397</v>
      </c>
      <c r="U721" s="19" t="n">
        <f aca="false">B721/MAX(B470:B721)-1</f>
        <v>-0.043651769816193</v>
      </c>
      <c r="V721" s="17" t="n">
        <f aca="false">(B721-AVERAGE(B702:B721))/STDEV(B702:B721)</f>
        <v>-1.2410491728121</v>
      </c>
    </row>
    <row r="722" customFormat="false" ht="15" hidden="false" customHeight="false" outlineLevel="0" collapsed="false">
      <c r="A722" s="17" t="s">
        <v>1286</v>
      </c>
      <c r="B722" s="17" t="n">
        <v>7580.14</v>
      </c>
      <c r="C722" s="19" t="n">
        <f aca="false">B722/B721-1</f>
        <v>0.0102475593909306</v>
      </c>
      <c r="D722" s="17" t="n">
        <f aca="false">AVERAGE(B673:B722)</f>
        <v>7519.8068</v>
      </c>
      <c r="E722" s="17" t="n">
        <f aca="false">AVERAGE(B523:B722)</f>
        <v>7155.13235</v>
      </c>
      <c r="F722" s="17" t="n">
        <f aca="false">B722*2/13+F721*11/13</f>
        <v>7579.77791570263</v>
      </c>
      <c r="G722" s="17" t="n">
        <f aca="false">B722*2/27+G721*25/27</f>
        <v>7595.1169344384</v>
      </c>
      <c r="H722" s="17" t="n">
        <f aca="false">F722-G722</f>
        <v>-15.3390187357682</v>
      </c>
      <c r="I722" s="17" t="n">
        <f aca="false">H722*2/10+I721*8/10</f>
        <v>27.2715011298743</v>
      </c>
      <c r="J722" s="17" t="n">
        <f aca="false">H722-I722</f>
        <v>-42.6105198656425</v>
      </c>
      <c r="K722" s="17" t="n">
        <f aca="false">MAX(B722-B721,0)</f>
        <v>76.8900000000003</v>
      </c>
      <c r="L722" s="17" t="n">
        <f aca="false">MAX(B721-B722,0)</f>
        <v>0</v>
      </c>
      <c r="M722" s="17" t="n">
        <f aca="false">(M721*13+K722)/14</f>
        <v>31.6594773626749</v>
      </c>
      <c r="N722" s="17" t="n">
        <f aca="false">(N721*13+L722)/14</f>
        <v>32.6178503408459</v>
      </c>
      <c r="O722" s="17" t="n">
        <f aca="false">IF(N722=0,100,100-100/(1+M722/N722))</f>
        <v>49.2545015385584</v>
      </c>
      <c r="P722" s="17" t="n">
        <f aca="false">AVERAGE(B703:B722)+2*STDEV(B703:B722)</f>
        <v>7978.62054192396</v>
      </c>
      <c r="Q722" s="17" t="n">
        <f aca="false">AVERAGE(B703:B722)-2*STDEV(B703:B722)</f>
        <v>7382.83345807605</v>
      </c>
      <c r="R722" s="19" t="n">
        <f aca="false">B722/B702-1</f>
        <v>-0.0130951264985574</v>
      </c>
      <c r="S722" s="17" t="n">
        <f aca="false">STDEV(C703:C722)*SQRT(252)*100</f>
        <v>18.5335995103809</v>
      </c>
      <c r="T722" s="19" t="n">
        <f aca="false">B701/B471-1</f>
        <v>0.104583425325073</v>
      </c>
      <c r="U722" s="19" t="n">
        <f aca="false">B722/MAX(B471:B722)-1</f>
        <v>-0.0338515345289729</v>
      </c>
      <c r="V722" s="17" t="n">
        <f aca="false">(B722-AVERAGE(B703:B722))/STDEV(B703:B722)</f>
        <v>-0.675321790129156</v>
      </c>
    </row>
    <row r="723" customFormat="false" ht="15" hidden="false" customHeight="false" outlineLevel="0" collapsed="false">
      <c r="A723" s="17" t="s">
        <v>1287</v>
      </c>
      <c r="B723" s="17" t="n">
        <v>7503.68</v>
      </c>
      <c r="C723" s="19" t="n">
        <f aca="false">B723/B722-1</f>
        <v>-0.0100868849388006</v>
      </c>
      <c r="D723" s="17" t="n">
        <f aca="false">AVERAGE(B674:B723)</f>
        <v>7529.3428</v>
      </c>
      <c r="E723" s="17" t="n">
        <f aca="false">AVERAGE(B524:B723)</f>
        <v>7156.49085</v>
      </c>
      <c r="F723" s="17" t="n">
        <f aca="false">B723*2/13+F722*11/13</f>
        <v>7568.07054405607</v>
      </c>
      <c r="G723" s="17" t="n">
        <f aca="false">B723*2/27+G722*25/27</f>
        <v>7588.3438281837</v>
      </c>
      <c r="H723" s="17" t="n">
        <f aca="false">F723-G723</f>
        <v>-20.2732841276302</v>
      </c>
      <c r="I723" s="17" t="n">
        <f aca="false">H723*2/10+I722*8/10</f>
        <v>17.7625440783734</v>
      </c>
      <c r="J723" s="17" t="n">
        <f aca="false">H723-I723</f>
        <v>-38.0358282060036</v>
      </c>
      <c r="K723" s="17" t="n">
        <f aca="false">MAX(B723-B722,0)</f>
        <v>0</v>
      </c>
      <c r="L723" s="17" t="n">
        <f aca="false">MAX(B722-B723,0)</f>
        <v>76.46</v>
      </c>
      <c r="M723" s="17" t="n">
        <f aca="false">(M722*13+K723)/14</f>
        <v>29.3980861224838</v>
      </c>
      <c r="N723" s="17" t="n">
        <f aca="false">(N722*13+L723)/14</f>
        <v>35.7494324593569</v>
      </c>
      <c r="O723" s="17" t="n">
        <f aca="false">IF(N723=0,100,100-100/(1+M723/N723))</f>
        <v>45.1254119303913</v>
      </c>
      <c r="P723" s="17" t="n">
        <f aca="false">AVERAGE(B704:B723)+2*STDEV(B704:B723)</f>
        <v>7979.57803549407</v>
      </c>
      <c r="Q723" s="17" t="n">
        <f aca="false">AVERAGE(B704:B723)-2*STDEV(B704:B723)</f>
        <v>7363.27196450593</v>
      </c>
      <c r="R723" s="19" t="n">
        <f aca="false">B723/B703-1</f>
        <v>-0.0241933386391182</v>
      </c>
      <c r="S723" s="17" t="n">
        <f aca="false">STDEV(C704:C723)*SQRT(252)*100</f>
        <v>18.8200369842841</v>
      </c>
      <c r="T723" s="19" t="n">
        <f aca="false">B702/B472-1</f>
        <v>0.112884927183868</v>
      </c>
      <c r="U723" s="19" t="n">
        <f aca="false">B723/MAX(B472:B723)-1</f>
        <v>-0.043596962933978</v>
      </c>
      <c r="V723" s="17" t="n">
        <f aca="false">(B723-AVERAGE(B704:B723))/STDEV(B704:B723)</f>
        <v>-1.08871229991974</v>
      </c>
    </row>
    <row r="724" customFormat="false" ht="15" hidden="false" customHeight="false" outlineLevel="0" collapsed="false">
      <c r="A724" s="17" t="s">
        <v>1288</v>
      </c>
      <c r="B724" s="17" t="n">
        <v>7376.7</v>
      </c>
      <c r="C724" s="19" t="n">
        <f aca="false">B724/B723-1</f>
        <v>-0.0169223634270119</v>
      </c>
      <c r="D724" s="17" t="n">
        <f aca="false">AVERAGE(B675:B724)</f>
        <v>7536.563</v>
      </c>
      <c r="E724" s="17" t="n">
        <f aca="false">AVERAGE(B525:B724)</f>
        <v>7157.0099</v>
      </c>
      <c r="F724" s="17" t="n">
        <f aca="false">B724*2/13+F723*11/13</f>
        <v>7538.6289218936</v>
      </c>
      <c r="G724" s="17" t="n">
        <f aca="false">B724*2/27+G723*25/27</f>
        <v>7572.6665075775</v>
      </c>
      <c r="H724" s="17" t="n">
        <f aca="false">F724-G724</f>
        <v>-34.0375856839028</v>
      </c>
      <c r="I724" s="17" t="n">
        <f aca="false">H724*2/10+I723*8/10</f>
        <v>7.40251812591818</v>
      </c>
      <c r="J724" s="17" t="n">
        <f aca="false">H724-I724</f>
        <v>-41.4401038098209</v>
      </c>
      <c r="K724" s="17" t="n">
        <f aca="false">MAX(B724-B723,0)</f>
        <v>0</v>
      </c>
      <c r="L724" s="17" t="n">
        <f aca="false">MAX(B723-B724,0)</f>
        <v>126.98</v>
      </c>
      <c r="M724" s="17" t="n">
        <f aca="false">(M723*13+K724)/14</f>
        <v>27.2982228280207</v>
      </c>
      <c r="N724" s="17" t="n">
        <f aca="false">(N723*13+L724)/14</f>
        <v>42.2659015694029</v>
      </c>
      <c r="O724" s="17" t="n">
        <f aca="false">IF(N724=0,100,100-100/(1+M724/N724))</f>
        <v>39.2418118742708</v>
      </c>
      <c r="P724" s="17" t="n">
        <f aca="false">AVERAGE(B705:B724)+2*STDEV(B705:B724)</f>
        <v>7988.7691492567</v>
      </c>
      <c r="Q724" s="17" t="n">
        <f aca="false">AVERAGE(B705:B724)-2*STDEV(B705:B724)</f>
        <v>7320.4018507433</v>
      </c>
      <c r="R724" s="19" t="n">
        <f aca="false">B724/B704-1</f>
        <v>-0.0436624666655431</v>
      </c>
      <c r="S724" s="17" t="n">
        <f aca="false">STDEV(C705:C724)*SQRT(252)*100</f>
        <v>19.5476917266038</v>
      </c>
      <c r="T724" s="19" t="n">
        <f aca="false">B703/B473-1</f>
        <v>0.11993009284544</v>
      </c>
      <c r="U724" s="19" t="n">
        <f aca="false">B724/MAX(B473:B724)-1</f>
        <v>-0.0597815627099071</v>
      </c>
      <c r="V724" s="17" t="n">
        <f aca="false">(B724-AVERAGE(B705:B724))/STDEV(B705:B724)</f>
        <v>-1.66307059377727</v>
      </c>
    </row>
    <row r="725" customFormat="false" ht="15" hidden="false" customHeight="false" outlineLevel="0" collapsed="false">
      <c r="A725" s="17" t="s">
        <v>1289</v>
      </c>
      <c r="B725" s="17" t="n">
        <v>7451.02</v>
      </c>
      <c r="C725" s="19" t="n">
        <f aca="false">B725/B724-1</f>
        <v>0.0100749657706021</v>
      </c>
      <c r="D725" s="17" t="n">
        <f aca="false">AVERAGE(B676:B725)</f>
        <v>7542.303</v>
      </c>
      <c r="E725" s="17" t="n">
        <f aca="false">AVERAGE(B526:B725)</f>
        <v>7157.40425</v>
      </c>
      <c r="F725" s="17" t="n">
        <f aca="false">B725*2/13+F724*11/13</f>
        <v>7525.15062621766</v>
      </c>
      <c r="G725" s="17" t="n">
        <f aca="false">B725*2/27+G724*25/27</f>
        <v>7563.65565516435</v>
      </c>
      <c r="H725" s="17" t="n">
        <f aca="false">F725-G725</f>
        <v>-38.5050289466935</v>
      </c>
      <c r="I725" s="17" t="n">
        <f aca="false">H725*2/10+I724*8/10</f>
        <v>-1.77899128860416</v>
      </c>
      <c r="J725" s="17" t="n">
        <f aca="false">H725-I725</f>
        <v>-36.7260376580894</v>
      </c>
      <c r="K725" s="17" t="n">
        <f aca="false">MAX(B725-B724,0)</f>
        <v>74.3200000000006</v>
      </c>
      <c r="L725" s="17" t="n">
        <f aca="false">MAX(B724-B725,0)</f>
        <v>0</v>
      </c>
      <c r="M725" s="17" t="n">
        <f aca="false">(M724*13+K725)/14</f>
        <v>30.6569211974478</v>
      </c>
      <c r="N725" s="17" t="n">
        <f aca="false">(N724*13+L725)/14</f>
        <v>39.2469086001598</v>
      </c>
      <c r="O725" s="17" t="n">
        <f aca="false">IF(N725=0,100,100-100/(1+M725/N725))</f>
        <v>43.8558535150488</v>
      </c>
      <c r="P725" s="17" t="n">
        <f aca="false">AVERAGE(B706:B725)+2*STDEV(B706:B725)</f>
        <v>7974.10549128552</v>
      </c>
      <c r="Q725" s="17" t="n">
        <f aca="false">AVERAGE(B706:B725)-2*STDEV(B706:B725)</f>
        <v>7299.09650871448</v>
      </c>
      <c r="R725" s="19" t="n">
        <f aca="false">B725/B705-1</f>
        <v>-0.0460508711756037</v>
      </c>
      <c r="S725" s="17" t="n">
        <f aca="false">STDEV(C706:C725)*SQRT(252)*100</f>
        <v>19.3136209249849</v>
      </c>
      <c r="T725" s="19" t="n">
        <f aca="false">B704/B474-1</f>
        <v>0.117001881101089</v>
      </c>
      <c r="U725" s="19" t="n">
        <f aca="false">B725/MAX(B474:B725)-1</f>
        <v>-0.0503088941373204</v>
      </c>
      <c r="V725" s="17" t="n">
        <f aca="false">(B725-AVERAGE(B706:B725))/STDEV(B706:B725)</f>
        <v>-1.09972462465991</v>
      </c>
    </row>
    <row r="726" customFormat="false" ht="15" hidden="false" customHeight="false" outlineLevel="0" collapsed="false">
      <c r="A726" s="17" t="s">
        <v>1290</v>
      </c>
      <c r="B726" s="17" t="n">
        <v>7420.66</v>
      </c>
      <c r="C726" s="19" t="n">
        <f aca="false">B726/B725-1</f>
        <v>-0.00407460991917896</v>
      </c>
      <c r="D726" s="17" t="n">
        <f aca="false">AVERAGE(B677:B726)</f>
        <v>7546.6906</v>
      </c>
      <c r="E726" s="17" t="n">
        <f aca="false">AVERAGE(B527:B726)</f>
        <v>7157.5301</v>
      </c>
      <c r="F726" s="17" t="n">
        <f aca="false">B726*2/13+F725*11/13</f>
        <v>7509.0751452611</v>
      </c>
      <c r="G726" s="17" t="n">
        <f aca="false">B726*2/27+G725*25/27</f>
        <v>7553.06338441144</v>
      </c>
      <c r="H726" s="17" t="n">
        <f aca="false">F726-G726</f>
        <v>-43.9882391503415</v>
      </c>
      <c r="I726" s="17" t="n">
        <f aca="false">H726*2/10+I725*8/10</f>
        <v>-10.2208408609516</v>
      </c>
      <c r="J726" s="17" t="n">
        <f aca="false">H726-I726</f>
        <v>-33.7673982893899</v>
      </c>
      <c r="K726" s="17" t="n">
        <f aca="false">MAX(B726-B725,0)</f>
        <v>0</v>
      </c>
      <c r="L726" s="17" t="n">
        <f aca="false">MAX(B725-B726,0)</f>
        <v>30.3600000000006</v>
      </c>
      <c r="M726" s="17" t="n">
        <f aca="false">(M725*13+K726)/14</f>
        <v>28.4671411119158</v>
      </c>
      <c r="N726" s="17" t="n">
        <f aca="false">(N725*13+L726)/14</f>
        <v>38.6121294144341</v>
      </c>
      <c r="O726" s="17" t="n">
        <f aca="false">IF(N726=0,100,100-100/(1+M726/N726))</f>
        <v>42.4380600572176</v>
      </c>
      <c r="P726" s="17" t="n">
        <f aca="false">AVERAGE(B707:B726)+2*STDEV(B707:B726)</f>
        <v>7961.53735354961</v>
      </c>
      <c r="Q726" s="17" t="n">
        <f aca="false">AVERAGE(B707:B726)-2*STDEV(B707:B726)</f>
        <v>7275.28964645039</v>
      </c>
      <c r="R726" s="19" t="n">
        <f aca="false">B726/B706-1</f>
        <v>-0.0467280114999081</v>
      </c>
      <c r="S726" s="17" t="n">
        <f aca="false">STDEV(C707:C726)*SQRT(252)*100</f>
        <v>19.3205166622435</v>
      </c>
      <c r="T726" s="19" t="n">
        <f aca="false">B705/B475-1</f>
        <v>0.13303460300974</v>
      </c>
      <c r="U726" s="19" t="n">
        <f aca="false">B726/MAX(B475:B726)-1</f>
        <v>-0.0541785149374245</v>
      </c>
      <c r="V726" s="17" t="n">
        <f aca="false">(B726-AVERAGE(B707:B726))/STDEV(B707:B726)</f>
        <v>-1.15266541777403</v>
      </c>
    </row>
    <row r="727" customFormat="false" ht="15" hidden="false" customHeight="false" outlineLevel="0" collapsed="false">
      <c r="A727" s="17" t="s">
        <v>1291</v>
      </c>
      <c r="B727" s="17" t="n">
        <v>7307.93</v>
      </c>
      <c r="C727" s="19" t="n">
        <f aca="false">B727/B726-1</f>
        <v>-0.0151913711179329</v>
      </c>
      <c r="D727" s="17" t="n">
        <f aca="false">AVERAGE(B678:B727)</f>
        <v>7547.7096</v>
      </c>
      <c r="E727" s="17" t="n">
        <f aca="false">AVERAGE(B528:B727)</f>
        <v>7156.8748</v>
      </c>
      <c r="F727" s="17" t="n">
        <f aca="false">B727*2/13+F726*11/13</f>
        <v>7478.12973829785</v>
      </c>
      <c r="G727" s="17" t="n">
        <f aca="false">B727*2/27+G726*25/27</f>
        <v>7534.90535593652</v>
      </c>
      <c r="H727" s="17" t="n">
        <f aca="false">F727-G727</f>
        <v>-56.7756176386665</v>
      </c>
      <c r="I727" s="17" t="n">
        <f aca="false">H727*2/10+I726*8/10</f>
        <v>-19.5317962164946</v>
      </c>
      <c r="J727" s="17" t="n">
        <f aca="false">H727-I727</f>
        <v>-37.2438214221719</v>
      </c>
      <c r="K727" s="17" t="n">
        <f aca="false">MAX(B727-B726,0)</f>
        <v>0</v>
      </c>
      <c r="L727" s="17" t="n">
        <f aca="false">MAX(B726-B727,0)</f>
        <v>112.73</v>
      </c>
      <c r="M727" s="17" t="n">
        <f aca="false">(M726*13+K727)/14</f>
        <v>26.4337738896361</v>
      </c>
      <c r="N727" s="17" t="n">
        <f aca="false">(N726*13+L727)/14</f>
        <v>43.9062630276888</v>
      </c>
      <c r="O727" s="17" t="n">
        <f aca="false">IF(N727=0,100,100-100/(1+M727/N727))</f>
        <v>37.5799829629112</v>
      </c>
      <c r="P727" s="17" t="n">
        <f aca="false">AVERAGE(B708:B727)+2*STDEV(B708:B727)</f>
        <v>7949.34287345972</v>
      </c>
      <c r="Q727" s="17" t="n">
        <f aca="false">AVERAGE(B708:B727)-2*STDEV(B708:B727)</f>
        <v>7236.58512654028</v>
      </c>
      <c r="R727" s="19" t="n">
        <f aca="false">B727/B707-1</f>
        <v>-0.0651138811705889</v>
      </c>
      <c r="S727" s="17" t="n">
        <f aca="false">STDEV(C708:C727)*SQRT(252)*100</f>
        <v>19.6768005530025</v>
      </c>
      <c r="T727" s="19" t="n">
        <f aca="false">B706/B476-1</f>
        <v>0.119474288968496</v>
      </c>
      <c r="U727" s="19" t="n">
        <f aca="false">B727/MAX(B476:B727)-1</f>
        <v>-0.0685468401283245</v>
      </c>
      <c r="V727" s="17" t="n">
        <f aca="false">(B727-AVERAGE(B708:B727))/STDEV(B708:B727)</f>
        <v>-1.59961221737356</v>
      </c>
    </row>
    <row r="728" customFormat="false" ht="15" hidden="false" customHeight="false" outlineLevel="0" collapsed="false">
      <c r="A728" s="17" t="s">
        <v>1292</v>
      </c>
      <c r="B728" s="17" t="n">
        <v>7300.96</v>
      </c>
      <c r="C728" s="19" t="n">
        <f aca="false">B728/B727-1</f>
        <v>-0.000953758451435638</v>
      </c>
      <c r="D728" s="17" t="n">
        <f aca="false">AVERAGE(B679:B728)</f>
        <v>7548.8686</v>
      </c>
      <c r="E728" s="17" t="n">
        <f aca="false">AVERAGE(B529:B728)</f>
        <v>7156.06635</v>
      </c>
      <c r="F728" s="17" t="n">
        <f aca="false">B728*2/13+F727*11/13</f>
        <v>7450.8728554828</v>
      </c>
      <c r="G728" s="17" t="n">
        <f aca="false">B728*2/27+G727*25/27</f>
        <v>7517.57607031159</v>
      </c>
      <c r="H728" s="17" t="n">
        <f aca="false">F728-G728</f>
        <v>-66.7032148287935</v>
      </c>
      <c r="I728" s="17" t="n">
        <f aca="false">H728*2/10+I727*8/10</f>
        <v>-28.9660799389544</v>
      </c>
      <c r="J728" s="17" t="n">
        <f aca="false">H728-I728</f>
        <v>-37.7371348898391</v>
      </c>
      <c r="K728" s="17" t="n">
        <f aca="false">MAX(B728-B727,0)</f>
        <v>0</v>
      </c>
      <c r="L728" s="17" t="n">
        <f aca="false">MAX(B727-B728,0)</f>
        <v>6.97000000000026</v>
      </c>
      <c r="M728" s="17" t="n">
        <f aca="false">(M727*13+K728)/14</f>
        <v>24.5456471832335</v>
      </c>
      <c r="N728" s="17" t="n">
        <f aca="false">(N727*13+L728)/14</f>
        <v>41.2679585257111</v>
      </c>
      <c r="O728" s="17" t="n">
        <f aca="false">IF(N728=0,100,100-100/(1+M728/N728))</f>
        <v>37.2957034017931</v>
      </c>
      <c r="P728" s="17" t="n">
        <f aca="false">AVERAGE(B709:B728)+2*STDEV(B709:B728)</f>
        <v>7927.99201223284</v>
      </c>
      <c r="Q728" s="17" t="n">
        <f aca="false">AVERAGE(B709:B728)-2*STDEV(B709:B728)</f>
        <v>7205.36398776717</v>
      </c>
      <c r="R728" s="19" t="n">
        <f aca="false">B728/B708-1</f>
        <v>-0.0671702433215616</v>
      </c>
      <c r="S728" s="17" t="n">
        <f aca="false">STDEV(C709:C728)*SQRT(252)*100</f>
        <v>19.6249272891764</v>
      </c>
      <c r="T728" s="19" t="n">
        <f aca="false">B707/B477-1</f>
        <v>0.124785242528455</v>
      </c>
      <c r="U728" s="19" t="n">
        <f aca="false">B728/MAX(B477:B728)-1</f>
        <v>-0.0694352214516686</v>
      </c>
      <c r="V728" s="17" t="n">
        <f aca="false">(B728-AVERAGE(B709:B728))/STDEV(B709:B728)</f>
        <v>-1.47084248605763</v>
      </c>
    </row>
    <row r="729" customFormat="false" ht="15" hidden="false" customHeight="false" outlineLevel="0" collapsed="false">
      <c r="A729" s="17" t="s">
        <v>1293</v>
      </c>
      <c r="B729" s="17" t="n">
        <v>7278.38</v>
      </c>
      <c r="C729" s="19" t="n">
        <f aca="false">B729/B728-1</f>
        <v>-0.00309274396791659</v>
      </c>
      <c r="D729" s="17" t="n">
        <f aca="false">AVERAGE(B680:B729)</f>
        <v>7548.2964</v>
      </c>
      <c r="E729" s="17" t="n">
        <f aca="false">AVERAGE(B530:B729)</f>
        <v>7155.1105</v>
      </c>
      <c r="F729" s="17" t="n">
        <f aca="false">B729*2/13+F728*11/13</f>
        <v>7424.33549310083</v>
      </c>
      <c r="G729" s="17" t="n">
        <f aca="false">B729*2/27+G728*25/27</f>
        <v>7499.8578428811</v>
      </c>
      <c r="H729" s="17" t="n">
        <f aca="false">F729-G729</f>
        <v>-75.5223497802745</v>
      </c>
      <c r="I729" s="17" t="n">
        <f aca="false">H729*2/10+I728*8/10</f>
        <v>-38.2773339072184</v>
      </c>
      <c r="J729" s="17" t="n">
        <f aca="false">H729-I729</f>
        <v>-37.2450158730561</v>
      </c>
      <c r="K729" s="17" t="n">
        <f aca="false">MAX(B729-B728,0)</f>
        <v>0</v>
      </c>
      <c r="L729" s="17" t="n">
        <f aca="false">MAX(B728-B729,0)</f>
        <v>22.5799999999999</v>
      </c>
      <c r="M729" s="17" t="n">
        <f aca="false">(M728*13+K729)/14</f>
        <v>22.7923866701454</v>
      </c>
      <c r="N729" s="17" t="n">
        <f aca="false">(N728*13+L729)/14</f>
        <v>39.9331043453031</v>
      </c>
      <c r="O729" s="17" t="n">
        <f aca="false">IF(N729=0,100,100-100/(1+M729/N729))</f>
        <v>36.336721006348</v>
      </c>
      <c r="P729" s="17" t="n">
        <f aca="false">AVERAGE(B710:B729)+2*STDEV(B710:B729)</f>
        <v>7897.97766196923</v>
      </c>
      <c r="Q729" s="17" t="n">
        <f aca="false">AVERAGE(B710:B729)-2*STDEV(B710:B729)</f>
        <v>7179.31233803077</v>
      </c>
      <c r="R729" s="19" t="n">
        <f aca="false">B729/B709-1</f>
        <v>-0.0715215128383068</v>
      </c>
      <c r="S729" s="17" t="n">
        <f aca="false">STDEV(C710:C729)*SQRT(252)*100</f>
        <v>19.5376681251411</v>
      </c>
      <c r="T729" s="19" t="n">
        <f aca="false">B708/B478-1</f>
        <v>0.124374364308166</v>
      </c>
      <c r="U729" s="19" t="n">
        <f aca="false">B729/MAX(B478:B729)-1</f>
        <v>-0.0723132200572795</v>
      </c>
      <c r="V729" s="17" t="n">
        <f aca="false">(B729-AVERAGE(B710:B729))/STDEV(B710:B729)</f>
        <v>-1.44860196439523</v>
      </c>
    </row>
    <row r="730" customFormat="false" ht="15" hidden="false" customHeight="false" outlineLevel="0" collapsed="false">
      <c r="A730" s="17" t="s">
        <v>1294</v>
      </c>
      <c r="B730" s="17" t="n">
        <v>7216.86</v>
      </c>
      <c r="C730" s="19" t="n">
        <f aca="false">B730/B729-1</f>
        <v>-0.00845243034851173</v>
      </c>
      <c r="D730" s="17" t="n">
        <f aca="false">AVERAGE(B681:B730)</f>
        <v>7546.108</v>
      </c>
      <c r="E730" s="17" t="n">
        <f aca="false">AVERAGE(B531:B730)</f>
        <v>7153.86</v>
      </c>
      <c r="F730" s="17" t="n">
        <f aca="false">B730*2/13+F729*11/13</f>
        <v>7392.41618646993</v>
      </c>
      <c r="G730" s="17" t="n">
        <f aca="false">B730*2/27+G729*25/27</f>
        <v>7478.89503970473</v>
      </c>
      <c r="H730" s="17" t="n">
        <f aca="false">F730-G730</f>
        <v>-86.4788532347939</v>
      </c>
      <c r="I730" s="17" t="n">
        <f aca="false">H730*2/10+I729*8/10</f>
        <v>-47.9176377727335</v>
      </c>
      <c r="J730" s="17" t="n">
        <f aca="false">H730-I730</f>
        <v>-38.5612154620604</v>
      </c>
      <c r="K730" s="17" t="n">
        <f aca="false">MAX(B730-B729,0)</f>
        <v>0</v>
      </c>
      <c r="L730" s="17" t="n">
        <f aca="false">MAX(B729-B730,0)</f>
        <v>61.5200000000004</v>
      </c>
      <c r="M730" s="17" t="n">
        <f aca="false">(M729*13+K730)/14</f>
        <v>21.1643590508493</v>
      </c>
      <c r="N730" s="17" t="n">
        <f aca="false">(N729*13+L730)/14</f>
        <v>41.4750254634958</v>
      </c>
      <c r="O730" s="17" t="n">
        <f aca="false">IF(N730=0,100,100-100/(1+M730/N730))</f>
        <v>33.7876229387319</v>
      </c>
      <c r="P730" s="17" t="n">
        <f aca="false">AVERAGE(B711:B730)+2*STDEV(B711:B730)</f>
        <v>7878.04399584972</v>
      </c>
      <c r="Q730" s="17" t="n">
        <f aca="false">AVERAGE(B711:B730)-2*STDEV(B711:B730)</f>
        <v>7142.78600415028</v>
      </c>
      <c r="R730" s="19" t="n">
        <f aca="false">B730/B710-1</f>
        <v>-0.0725570779776547</v>
      </c>
      <c r="S730" s="17" t="n">
        <f aca="false">STDEV(C711:C730)*SQRT(252)*100</f>
        <v>19.5695106670575</v>
      </c>
      <c r="T730" s="19" t="n">
        <f aca="false">B709/B479-1</f>
        <v>0.13173965645185</v>
      </c>
      <c r="U730" s="19" t="n">
        <f aca="false">B730/MAX(B479:B730)-1</f>
        <v>-0.0801544279499804</v>
      </c>
      <c r="V730" s="17" t="n">
        <f aca="false">(B730-AVERAGE(B711:B730))/STDEV(B711:B730)</f>
        <v>-1.59701766353598</v>
      </c>
    </row>
    <row r="731" customFormat="false" ht="15" hidden="false" customHeight="false" outlineLevel="0" collapsed="false">
      <c r="A731" s="17" t="s">
        <v>1295</v>
      </c>
      <c r="B731" s="17" t="n">
        <v>7245.4</v>
      </c>
      <c r="C731" s="19" t="n">
        <f aca="false">B731/B730-1</f>
        <v>0.00395462846722805</v>
      </c>
      <c r="D731" s="17" t="n">
        <f aca="false">AVERAGE(B682:B731)</f>
        <v>7544.0304</v>
      </c>
      <c r="E731" s="17" t="n">
        <f aca="false">AVERAGE(B532:B731)</f>
        <v>7153.0455</v>
      </c>
      <c r="F731" s="17" t="n">
        <f aca="false">B731*2/13+F730*11/13</f>
        <v>7369.7983116284</v>
      </c>
      <c r="G731" s="17" t="n">
        <f aca="false">B731*2/27+G730*25/27</f>
        <v>7461.59911083771</v>
      </c>
      <c r="H731" s="17" t="n">
        <f aca="false">F731-G731</f>
        <v>-91.8007992093053</v>
      </c>
      <c r="I731" s="17" t="n">
        <f aca="false">H731*2/10+I730*8/10</f>
        <v>-56.6942700600479</v>
      </c>
      <c r="J731" s="17" t="n">
        <f aca="false">H731-I731</f>
        <v>-35.1065291492574</v>
      </c>
      <c r="K731" s="17" t="n">
        <f aca="false">MAX(B731-B730,0)</f>
        <v>28.54</v>
      </c>
      <c r="L731" s="17" t="n">
        <f aca="false">MAX(B730-B731,0)</f>
        <v>0</v>
      </c>
      <c r="M731" s="17" t="n">
        <f aca="false">(M730*13+K731)/14</f>
        <v>21.6911905472172</v>
      </c>
      <c r="N731" s="17" t="n">
        <f aca="false">(N730*13+L731)/14</f>
        <v>38.5125236446747</v>
      </c>
      <c r="O731" s="17" t="n">
        <f aca="false">IF(N731=0,100,100-100/(1+M731/N731))</f>
        <v>36.0296550443371</v>
      </c>
      <c r="P731" s="17" t="n">
        <f aca="false">AVERAGE(B712:B731)+2*STDEV(B712:B731)</f>
        <v>7852.46872596633</v>
      </c>
      <c r="Q731" s="17" t="n">
        <f aca="false">AVERAGE(B712:B731)-2*STDEV(B712:B731)</f>
        <v>7117.71627403367</v>
      </c>
      <c r="R731" s="19" t="n">
        <f aca="false">B731/B711-1</f>
        <v>-0.065332791527184</v>
      </c>
      <c r="S731" s="17" t="n">
        <f aca="false">STDEV(C712:C731)*SQRT(252)*100</f>
        <v>19.7562198011721</v>
      </c>
      <c r="T731" s="19" t="n">
        <f aca="false">B710/B480-1</f>
        <v>0.11540242274994</v>
      </c>
      <c r="U731" s="19" t="n">
        <f aca="false">B731/MAX(B480:B731)-1</f>
        <v>-0.0765167804652976</v>
      </c>
      <c r="V731" s="17" t="n">
        <f aca="false">(B731-AVERAGE(B712:B731))/STDEV(B712:B731)</f>
        <v>-1.3048884661468</v>
      </c>
    </row>
    <row r="732" customFormat="false" ht="15" hidden="false" customHeight="false" outlineLevel="0" collapsed="false">
      <c r="A732" s="17" t="s">
        <v>1296</v>
      </c>
      <c r="B732" s="17" t="n">
        <v>7127.96</v>
      </c>
      <c r="C732" s="19" t="n">
        <f aca="false">B732/B731-1</f>
        <v>-0.0162089049603886</v>
      </c>
      <c r="D732" s="17" t="n">
        <f aca="false">AVERAGE(B683:B732)</f>
        <v>7538.9746</v>
      </c>
      <c r="E732" s="17" t="n">
        <f aca="false">AVERAGE(B533:B732)</f>
        <v>7151.67945</v>
      </c>
      <c r="F732" s="17" t="n">
        <f aca="false">B732*2/13+F731*11/13</f>
        <v>7332.59241753173</v>
      </c>
      <c r="G732" s="17" t="n">
        <f aca="false">B732*2/27+G731*25/27</f>
        <v>7436.88510262751</v>
      </c>
      <c r="H732" s="17" t="n">
        <f aca="false">F732-G732</f>
        <v>-104.292685095783</v>
      </c>
      <c r="I732" s="17" t="n">
        <f aca="false">H732*2/10+I731*8/10</f>
        <v>-66.2139530671949</v>
      </c>
      <c r="J732" s="17" t="n">
        <f aca="false">H732-I732</f>
        <v>-38.078732028588</v>
      </c>
      <c r="K732" s="17" t="n">
        <f aca="false">MAX(B732-B731,0)</f>
        <v>0</v>
      </c>
      <c r="L732" s="17" t="n">
        <f aca="false">MAX(B731-B732,0)</f>
        <v>117.44</v>
      </c>
      <c r="M732" s="17" t="n">
        <f aca="false">(M731*13+K732)/14</f>
        <v>20.1418197938446</v>
      </c>
      <c r="N732" s="17" t="n">
        <f aca="false">(N731*13+L732)/14</f>
        <v>44.1502005271979</v>
      </c>
      <c r="O732" s="17" t="n">
        <f aca="false">IF(N732=0,100,100-100/(1+M732/N732))</f>
        <v>31.3286465307301</v>
      </c>
      <c r="P732" s="17" t="n">
        <f aca="false">AVERAGE(B713:B732)+2*STDEV(B713:B732)</f>
        <v>7837.45762749904</v>
      </c>
      <c r="Q732" s="17" t="n">
        <f aca="false">AVERAGE(B713:B732)-2*STDEV(B713:B732)</f>
        <v>7073.11737250096</v>
      </c>
      <c r="R732" s="19" t="n">
        <f aca="false">B732/B712-1</f>
        <v>-0.0771744393492542</v>
      </c>
      <c r="S732" s="17" t="n">
        <f aca="false">STDEV(C713:C732)*SQRT(252)*100</f>
        <v>20.2817100907977</v>
      </c>
      <c r="T732" s="19" t="n">
        <f aca="false">B711/B481-1</f>
        <v>0.112535933510627</v>
      </c>
      <c r="U732" s="19" t="n">
        <f aca="false">B732/MAX(B481:B732)-1</f>
        <v>-0.0914854322032493</v>
      </c>
      <c r="V732" s="17" t="n">
        <f aca="false">(B732-AVERAGE(B713:B732))/STDEV(B713:B732)</f>
        <v>-1.71299364574655</v>
      </c>
    </row>
    <row r="733" customFormat="false" ht="15" hidden="false" customHeight="false" outlineLevel="0" collapsed="false">
      <c r="A733" s="17" t="s">
        <v>1297</v>
      </c>
      <c r="B733" s="17" t="n">
        <v>6978.02</v>
      </c>
      <c r="C733" s="19" t="n">
        <f aca="false">B733/B732-1</f>
        <v>-0.0210354715795262</v>
      </c>
      <c r="D733" s="17" t="n">
        <f aca="false">AVERAGE(B684:B733)</f>
        <v>7528.6696</v>
      </c>
      <c r="E733" s="17" t="n">
        <f aca="false">AVERAGE(B534:B733)</f>
        <v>7149.3337</v>
      </c>
      <c r="F733" s="17" t="n">
        <f aca="false">B733*2/13+F732*11/13</f>
        <v>7278.04281483454</v>
      </c>
      <c r="G733" s="17" t="n">
        <f aca="false">B733*2/27+G732*25/27</f>
        <v>7402.89509502547</v>
      </c>
      <c r="H733" s="17" t="n">
        <f aca="false">F733-G733</f>
        <v>-124.852280190935</v>
      </c>
      <c r="I733" s="17" t="n">
        <f aca="false">H733*2/10+I732*8/10</f>
        <v>-77.9416184919429</v>
      </c>
      <c r="J733" s="17" t="n">
        <f aca="false">H733-I733</f>
        <v>-46.910661698992</v>
      </c>
      <c r="K733" s="17" t="n">
        <f aca="false">MAX(B733-B732,0)</f>
        <v>0</v>
      </c>
      <c r="L733" s="17" t="n">
        <f aca="false">MAX(B732-B733,0)</f>
        <v>149.94</v>
      </c>
      <c r="M733" s="17" t="n">
        <f aca="false">(M732*13+K733)/14</f>
        <v>18.7031183799985</v>
      </c>
      <c r="N733" s="17" t="n">
        <f aca="false">(N732*13+L733)/14</f>
        <v>51.7066147752551</v>
      </c>
      <c r="O733" s="17" t="n">
        <f aca="false">IF(N733=0,100,100-100/(1+M733/N733))</f>
        <v>26.5632570127174</v>
      </c>
      <c r="P733" s="17" t="n">
        <f aca="false">AVERAGE(B714:B733)+2*STDEV(B714:B733)</f>
        <v>7804.31676948437</v>
      </c>
      <c r="Q733" s="17" t="n">
        <f aca="false">AVERAGE(B714:B733)-2*STDEV(B714:B733)</f>
        <v>7019.48723051563</v>
      </c>
      <c r="R733" s="19" t="n">
        <f aca="false">B733/B713-1</f>
        <v>-0.110596464573723</v>
      </c>
      <c r="S733" s="17" t="n">
        <f aca="false">STDEV(C714:C733)*SQRT(252)*100</f>
        <v>19.7434929653988</v>
      </c>
      <c r="T733" s="19" t="n">
        <f aca="false">B712/B482-1</f>
        <v>0.0903636823062906</v>
      </c>
      <c r="U733" s="19" t="n">
        <f aca="false">B733/MAX(B482:B733)-1</f>
        <v>-0.110596464573723</v>
      </c>
      <c r="V733" s="17" t="n">
        <f aca="false">(B733-AVERAGE(B714:B733))/STDEV(B714:B733)</f>
        <v>-2.21134388274995</v>
      </c>
    </row>
    <row r="734" customFormat="false" ht="15" hidden="false" customHeight="false" outlineLevel="0" collapsed="false">
      <c r="A734" s="17" t="s">
        <v>1298</v>
      </c>
      <c r="B734" s="17" t="n">
        <v>7166.75</v>
      </c>
      <c r="C734" s="19" t="n">
        <f aca="false">B734/B733-1</f>
        <v>0.0270463541233759</v>
      </c>
      <c r="D734" s="17" t="n">
        <f aca="false">AVERAGE(B685:B734)</f>
        <v>7525.4834</v>
      </c>
      <c r="E734" s="17" t="n">
        <f aca="false">AVERAGE(B535:B734)</f>
        <v>7148.39415</v>
      </c>
      <c r="F734" s="17" t="n">
        <f aca="false">B734*2/13+F733*11/13</f>
        <v>7260.92084332153</v>
      </c>
      <c r="G734" s="17" t="n">
        <f aca="false">B734*2/27+G733*25/27</f>
        <v>7385.40286576433</v>
      </c>
      <c r="H734" s="17" t="n">
        <f aca="false">F734-G734</f>
        <v>-124.482022442794</v>
      </c>
      <c r="I734" s="17" t="n">
        <f aca="false">H734*2/10+I733*8/10</f>
        <v>-87.2496992821131</v>
      </c>
      <c r="J734" s="17" t="n">
        <f aca="false">H734-I734</f>
        <v>-37.2323231606809</v>
      </c>
      <c r="K734" s="17" t="n">
        <f aca="false">MAX(B734-B733,0)</f>
        <v>188.73</v>
      </c>
      <c r="L734" s="17" t="n">
        <f aca="false">MAX(B733-B734,0)</f>
        <v>0</v>
      </c>
      <c r="M734" s="17" t="n">
        <f aca="false">(M733*13+K734)/14</f>
        <v>30.84789563857</v>
      </c>
      <c r="N734" s="17" t="n">
        <f aca="false">(N733*13+L734)/14</f>
        <v>48.0132851484512</v>
      </c>
      <c r="O734" s="17" t="n">
        <f aca="false">IF(N734=0,100,100-100/(1+M734/N734))</f>
        <v>39.1167052416832</v>
      </c>
      <c r="P734" s="17" t="n">
        <f aca="false">AVERAGE(B715:B734)+2*STDEV(B715:B734)</f>
        <v>7743.50621263263</v>
      </c>
      <c r="Q734" s="17" t="n">
        <f aca="false">AVERAGE(B715:B734)-2*STDEV(B715:B734)</f>
        <v>7017.56378736737</v>
      </c>
      <c r="R734" s="19" t="n">
        <f aca="false">B734/B714-1</f>
        <v>-0.0804891911692064</v>
      </c>
      <c r="S734" s="17" t="n">
        <f aca="false">STDEV(C715:C734)*SQRT(252)*100</f>
        <v>22.9137948764884</v>
      </c>
      <c r="T734" s="19" t="n">
        <f aca="false">B713/B483-1</f>
        <v>0.098292590399478</v>
      </c>
      <c r="U734" s="19" t="n">
        <f aca="false">B734/MAX(B483:B734)-1</f>
        <v>-0.0865413415960018</v>
      </c>
      <c r="V734" s="17" t="n">
        <f aca="false">(B734-AVERAGE(B715:B734))/STDEV(B715:B734)</f>
        <v>-1.17797220583649</v>
      </c>
    </row>
    <row r="735" customFormat="false" ht="15" hidden="false" customHeight="false" outlineLevel="0" collapsed="false">
      <c r="A735" s="17" t="s">
        <v>1299</v>
      </c>
      <c r="B735" s="17" t="n">
        <v>7220.9</v>
      </c>
      <c r="C735" s="19" t="n">
        <f aca="false">B735/B734-1</f>
        <v>0.00755572609620803</v>
      </c>
      <c r="D735" s="17" t="n">
        <f aca="false">AVERAGE(B686:B735)</f>
        <v>7523.5622</v>
      </c>
      <c r="E735" s="17" t="n">
        <f aca="false">AVERAGE(B536:B735)</f>
        <v>7147.6272</v>
      </c>
      <c r="F735" s="17" t="n">
        <f aca="false">B735*2/13+F734*11/13</f>
        <v>7254.76379050283</v>
      </c>
      <c r="G735" s="17" t="n">
        <f aca="false">B735*2/27+G734*25/27</f>
        <v>7373.2174683003</v>
      </c>
      <c r="H735" s="17" t="n">
        <f aca="false">F735-G735</f>
        <v>-118.453677797468</v>
      </c>
      <c r="I735" s="17" t="n">
        <f aca="false">H735*2/10+I734*8/10</f>
        <v>-93.4904949851841</v>
      </c>
      <c r="J735" s="17" t="n">
        <f aca="false">H735-I735</f>
        <v>-24.963182812284</v>
      </c>
      <c r="K735" s="17" t="n">
        <f aca="false">MAX(B735-B734,0)</f>
        <v>54.1499999999996</v>
      </c>
      <c r="L735" s="17" t="n">
        <f aca="false">MAX(B734-B735,0)</f>
        <v>0</v>
      </c>
      <c r="M735" s="17" t="n">
        <f aca="false">(M734*13+K735)/14</f>
        <v>32.5123316643864</v>
      </c>
      <c r="N735" s="17" t="n">
        <f aca="false">(N734*13+L735)/14</f>
        <v>44.5837647807047</v>
      </c>
      <c r="O735" s="17" t="n">
        <f aca="false">IF(N735=0,100,100-100/(1+M735/N735))</f>
        <v>42.1711774830807</v>
      </c>
      <c r="P735" s="17" t="n">
        <f aca="false">AVERAGE(B716:B735)+2*STDEV(B716:B735)</f>
        <v>7707.52843719078</v>
      </c>
      <c r="Q735" s="17" t="n">
        <f aca="false">AVERAGE(B716:B735)-2*STDEV(B716:B735)</f>
        <v>7011.61656280922</v>
      </c>
      <c r="R735" s="19" t="n">
        <f aca="false">B735/B715-1</f>
        <v>-0.0548745770698219</v>
      </c>
      <c r="S735" s="17" t="n">
        <f aca="false">STDEV(C716:C735)*SQRT(252)*100</f>
        <v>22.4841638091871</v>
      </c>
      <c r="T735" s="19" t="n">
        <f aca="false">B714/B484-1</f>
        <v>0.0875347961070221</v>
      </c>
      <c r="U735" s="19" t="n">
        <f aca="false">B735/MAX(B484:B735)-1</f>
        <v>-0.0796394981728915</v>
      </c>
      <c r="V735" s="17" t="n">
        <f aca="false">(B735-AVERAGE(B716:B735))/STDEV(B716:B735)</f>
        <v>-0.797069313543382</v>
      </c>
    </row>
    <row r="736" customFormat="false" ht="15" hidden="false" customHeight="false" outlineLevel="0" collapsed="false">
      <c r="A736" s="17" t="s">
        <v>1300</v>
      </c>
      <c r="B736" s="17" t="n">
        <v>7275.93</v>
      </c>
      <c r="C736" s="19" t="n">
        <f aca="false">B736/B735-1</f>
        <v>0.00762093367862748</v>
      </c>
      <c r="D736" s="17" t="n">
        <f aca="false">AVERAGE(B687:B736)</f>
        <v>7522.0578</v>
      </c>
      <c r="E736" s="17" t="n">
        <f aca="false">AVERAGE(B537:B736)</f>
        <v>7147.11915</v>
      </c>
      <c r="F736" s="17" t="n">
        <f aca="false">B736*2/13+F735*11/13</f>
        <v>7258.02013042547</v>
      </c>
      <c r="G736" s="17" t="n">
        <f aca="false">B736*2/27+G735*25/27</f>
        <v>7366.01098916695</v>
      </c>
      <c r="H736" s="17" t="n">
        <f aca="false">F736-G736</f>
        <v>-107.990858741471</v>
      </c>
      <c r="I736" s="17" t="n">
        <f aca="false">H736*2/10+I735*8/10</f>
        <v>-96.3905677364415</v>
      </c>
      <c r="J736" s="17" t="n">
        <f aca="false">H736-I736</f>
        <v>-11.6002910050296</v>
      </c>
      <c r="K736" s="17" t="n">
        <f aca="false">MAX(B736-B735,0)</f>
        <v>55.0300000000007</v>
      </c>
      <c r="L736" s="17" t="n">
        <f aca="false">MAX(B735-B736,0)</f>
        <v>0</v>
      </c>
      <c r="M736" s="17" t="n">
        <f aca="false">(M735*13+K736)/14</f>
        <v>34.1207365455017</v>
      </c>
      <c r="N736" s="17" t="n">
        <f aca="false">(N735*13+L736)/14</f>
        <v>41.3992101535115</v>
      </c>
      <c r="O736" s="17" t="n">
        <f aca="false">IF(N736=0,100,100-100/(1+M736/N736))</f>
        <v>45.1810919325604</v>
      </c>
      <c r="P736" s="17" t="n">
        <f aca="false">AVERAGE(B717:B736)+2*STDEV(B717:B736)</f>
        <v>7670.06850698663</v>
      </c>
      <c r="Q736" s="17" t="n">
        <f aca="false">AVERAGE(B717:B736)-2*STDEV(B717:B736)</f>
        <v>7014.91449301337</v>
      </c>
      <c r="R736" s="19" t="n">
        <f aca="false">B736/B716-1</f>
        <v>-0.0448464401283877</v>
      </c>
      <c r="S736" s="17" t="n">
        <f aca="false">STDEV(C717:C736)*SQRT(252)*100</f>
        <v>22.7810681878449</v>
      </c>
      <c r="T736" s="19" t="n">
        <f aca="false">B715/B485-1</f>
        <v>0.059648436633158</v>
      </c>
      <c r="U736" s="19" t="n">
        <f aca="false">B736/MAX(B485:B736)-1</f>
        <v>-0.0726254918280389</v>
      </c>
      <c r="V736" s="17" t="n">
        <f aca="false">(B736-AVERAGE(B717:B736))/STDEV(B717:B736)</f>
        <v>-0.406386886627342</v>
      </c>
    </row>
    <row r="737" customFormat="false" ht="15" hidden="false" customHeight="false" outlineLevel="0" collapsed="false">
      <c r="A737" s="17" t="s">
        <v>1301</v>
      </c>
      <c r="B737" s="17" t="n">
        <v>7417.29</v>
      </c>
      <c r="C737" s="19" t="n">
        <f aca="false">B737/B736-1</f>
        <v>0.0194284441988859</v>
      </c>
      <c r="D737" s="17" t="n">
        <f aca="false">AVERAGE(B688:B737)</f>
        <v>7524.2398</v>
      </c>
      <c r="E737" s="17" t="n">
        <f aca="false">AVERAGE(B538:B737)</f>
        <v>7147.3485</v>
      </c>
      <c r="F737" s="17" t="n">
        <f aca="false">B737*2/13+F736*11/13</f>
        <v>7282.52318728309</v>
      </c>
      <c r="G737" s="17" t="n">
        <f aca="false">B737*2/27+G736*25/27</f>
        <v>7369.80943441384</v>
      </c>
      <c r="H737" s="17" t="n">
        <f aca="false">F737-G737</f>
        <v>-87.2862471307444</v>
      </c>
      <c r="I737" s="17" t="n">
        <f aca="false">H737*2/10+I736*8/10</f>
        <v>-94.5697036153021</v>
      </c>
      <c r="J737" s="17" t="n">
        <f aca="false">H737-I737</f>
        <v>7.28345648455766</v>
      </c>
      <c r="K737" s="17" t="n">
        <f aca="false">MAX(B737-B736,0)</f>
        <v>141.36</v>
      </c>
      <c r="L737" s="17" t="n">
        <f aca="false">MAX(B736-B737,0)</f>
        <v>0</v>
      </c>
      <c r="M737" s="17" t="n">
        <f aca="false">(M736*13+K737)/14</f>
        <v>41.7806839351087</v>
      </c>
      <c r="N737" s="17" t="n">
        <f aca="false">(N736*13+L737)/14</f>
        <v>38.442123713975</v>
      </c>
      <c r="O737" s="17" t="n">
        <f aca="false">IF(N737=0,100,100-100/(1+M737/N737))</f>
        <v>52.0808048976156</v>
      </c>
      <c r="P737" s="17" t="n">
        <f aca="false">AVERAGE(B718:B737)+2*STDEV(B718:B737)</f>
        <v>7644.12803581735</v>
      </c>
      <c r="Q737" s="17" t="n">
        <f aca="false">AVERAGE(B718:B737)-2*STDEV(B718:B737)</f>
        <v>7024.30896418265</v>
      </c>
      <c r="R737" s="19" t="n">
        <f aca="false">B737/B717-1</f>
        <v>-0.0218205796050246</v>
      </c>
      <c r="S737" s="17" t="n">
        <f aca="false">STDEV(C718:C737)*SQRT(252)*100</f>
        <v>24.0086454630019</v>
      </c>
      <c r="T737" s="19" t="n">
        <f aca="false">B716/B486-1</f>
        <v>0.0649700887620703</v>
      </c>
      <c r="U737" s="19" t="n">
        <f aca="false">B737/MAX(B486:B737)-1</f>
        <v>-0.0546080479445507</v>
      </c>
      <c r="V737" s="17" t="n">
        <f aca="false">(B737-AVERAGE(B718:B737))/STDEV(B718:B737)</f>
        <v>0.536101606431104</v>
      </c>
    </row>
    <row r="738" customFormat="false" ht="15" hidden="false" customHeight="false" outlineLevel="0" collapsed="false">
      <c r="A738" s="17" t="s">
        <v>1302</v>
      </c>
      <c r="B738" s="17" t="n">
        <v>7501.93</v>
      </c>
      <c r="C738" s="19" t="n">
        <f aca="false">B738/B737-1</f>
        <v>0.0114111757798334</v>
      </c>
      <c r="D738" s="17" t="n">
        <f aca="false">AVERAGE(B689:B738)</f>
        <v>7527.869</v>
      </c>
      <c r="E738" s="17" t="n">
        <f aca="false">AVERAGE(B539:B738)</f>
        <v>7147.872</v>
      </c>
      <c r="F738" s="17" t="n">
        <f aca="false">B738*2/13+F737*11/13</f>
        <v>7316.27808154723</v>
      </c>
      <c r="G738" s="17" t="n">
        <f aca="false">B738*2/27+G737*25/27</f>
        <v>7379.59614297578</v>
      </c>
      <c r="H738" s="17" t="n">
        <f aca="false">F738-G738</f>
        <v>-63.3180614285429</v>
      </c>
      <c r="I738" s="17" t="n">
        <f aca="false">H738*2/10+I737*8/10</f>
        <v>-88.3193751779502</v>
      </c>
      <c r="J738" s="17" t="n">
        <f aca="false">H738-I738</f>
        <v>25.0013137494073</v>
      </c>
      <c r="K738" s="17" t="n">
        <f aca="false">MAX(B738-B737,0)</f>
        <v>84.6400000000003</v>
      </c>
      <c r="L738" s="17" t="n">
        <f aca="false">MAX(B737-B738,0)</f>
        <v>0</v>
      </c>
      <c r="M738" s="17" t="n">
        <f aca="false">(M737*13+K738)/14</f>
        <v>44.8420636540296</v>
      </c>
      <c r="N738" s="17" t="n">
        <f aca="false">(N737*13+L738)/14</f>
        <v>35.6962577344053</v>
      </c>
      <c r="O738" s="17" t="n">
        <f aca="false">IF(N738=0,100,100-100/(1+M738/N738))</f>
        <v>55.6779218649928</v>
      </c>
      <c r="P738" s="17" t="n">
        <f aca="false">AVERAGE(B719:B738)+2*STDEV(B719:B738)</f>
        <v>7627.45740790379</v>
      </c>
      <c r="Q738" s="17" t="n">
        <f aca="false">AVERAGE(B719:B738)-2*STDEV(B719:B738)</f>
        <v>7032.51959209621</v>
      </c>
      <c r="R738" s="19" t="n">
        <f aca="false">B738/B718-1</f>
        <v>-0.0111513432359721</v>
      </c>
      <c r="S738" s="17" t="n">
        <f aca="false">STDEV(C719:C738)*SQRT(252)*100</f>
        <v>24.4077578768608</v>
      </c>
      <c r="T738" s="19" t="n">
        <f aca="false">B717/B487-1</f>
        <v>0.0601360061068532</v>
      </c>
      <c r="U738" s="19" t="n">
        <f aca="false">B738/MAX(B487:B738)-1</f>
        <v>-0.0438200141988061</v>
      </c>
      <c r="V738" s="17" t="n">
        <f aca="false">(B738-AVERAGE(B719:B738))/STDEV(B719:B738)</f>
        <v>1.1560300618417</v>
      </c>
    </row>
    <row r="739" customFormat="false" ht="15" hidden="false" customHeight="false" outlineLevel="0" collapsed="false">
      <c r="A739" s="17" t="s">
        <v>1303</v>
      </c>
      <c r="B739" s="17" t="n">
        <v>7513.85</v>
      </c>
      <c r="C739" s="19" t="n">
        <f aca="false">B739/B738-1</f>
        <v>0.00158892445010816</v>
      </c>
      <c r="D739" s="17" t="n">
        <f aca="false">AVERAGE(B690:B739)</f>
        <v>7530.5706</v>
      </c>
      <c r="E739" s="17" t="n">
        <f aca="false">AVERAGE(B540:B739)</f>
        <v>7148.31825</v>
      </c>
      <c r="F739" s="17" t="n">
        <f aca="false">B739*2/13+F738*11/13</f>
        <v>7346.6737613092</v>
      </c>
      <c r="G739" s="17" t="n">
        <f aca="false">B739*2/27+G738*25/27</f>
        <v>7389.54087312572</v>
      </c>
      <c r="H739" s="17" t="n">
        <f aca="false">F739-G739</f>
        <v>-42.8671118165212</v>
      </c>
      <c r="I739" s="17" t="n">
        <f aca="false">H739*2/10+I738*8/10</f>
        <v>-79.2289225056644</v>
      </c>
      <c r="J739" s="17" t="n">
        <f aca="false">H739-I739</f>
        <v>36.3618106891432</v>
      </c>
      <c r="K739" s="17" t="n">
        <f aca="false">MAX(B739-B738,0)</f>
        <v>11.9200000000001</v>
      </c>
      <c r="L739" s="17" t="n">
        <f aca="false">MAX(B738-B739,0)</f>
        <v>0</v>
      </c>
      <c r="M739" s="17" t="n">
        <f aca="false">(M738*13+K739)/14</f>
        <v>42.4904876787418</v>
      </c>
      <c r="N739" s="17" t="n">
        <f aca="false">(N738*13+L739)/14</f>
        <v>33.1465250390907</v>
      </c>
      <c r="O739" s="17" t="n">
        <f aca="false">IF(N739=0,100,100-100/(1+M739/N739))</f>
        <v>56.176845372324</v>
      </c>
      <c r="P739" s="17" t="n">
        <f aca="false">AVERAGE(B720:B739)+2*STDEV(B720:B739)</f>
        <v>7648.04944638384</v>
      </c>
      <c r="Q739" s="17" t="n">
        <f aca="false">AVERAGE(B720:B739)-2*STDEV(B720:B739)</f>
        <v>7030.89955361616</v>
      </c>
      <c r="R739" s="19" t="n">
        <f aca="false">B739/B719-1</f>
        <v>0.025903417880349</v>
      </c>
      <c r="S739" s="17" t="n">
        <f aca="false">STDEV(C720:C739)*SQRT(252)*100</f>
        <v>20.8092265249717</v>
      </c>
      <c r="T739" s="19" t="n">
        <f aca="false">B718/B488-1</f>
        <v>0.058317802379305</v>
      </c>
      <c r="U739" s="19" t="n">
        <f aca="false">B739/MAX(B488:B739)-1</f>
        <v>-0.0423007164406626</v>
      </c>
      <c r="V739" s="17" t="n">
        <f aca="false">(B739-AVERAGE(B720:B739))/STDEV(B720:B739)</f>
        <v>1.13019868944962</v>
      </c>
    </row>
    <row r="740" customFormat="false" ht="15" hidden="false" customHeight="false" outlineLevel="0" collapsed="false">
      <c r="A740" s="17" t="s">
        <v>1304</v>
      </c>
      <c r="B740" s="17" t="n">
        <v>7472.29</v>
      </c>
      <c r="C740" s="19" t="n">
        <f aca="false">B740/B739-1</f>
        <v>-0.00553111919987759</v>
      </c>
      <c r="D740" s="17" t="n">
        <f aca="false">AVERAGE(B691:B740)</f>
        <v>7530.448</v>
      </c>
      <c r="E740" s="17" t="n">
        <f aca="false">AVERAGE(B541:B740)</f>
        <v>7148.6105</v>
      </c>
      <c r="F740" s="17" t="n">
        <f aca="false">B740*2/13+F739*11/13</f>
        <v>7365.9993364924</v>
      </c>
      <c r="G740" s="17" t="n">
        <f aca="false">B740*2/27+G739*25/27</f>
        <v>7395.67043807937</v>
      </c>
      <c r="H740" s="17" t="n">
        <f aca="false">F740-G740</f>
        <v>-29.6711015869705</v>
      </c>
      <c r="I740" s="17" t="n">
        <f aca="false">H740*2/10+I739*8/10</f>
        <v>-69.3173583219256</v>
      </c>
      <c r="J740" s="17" t="n">
        <f aca="false">H740-I740</f>
        <v>39.6462567349551</v>
      </c>
      <c r="K740" s="17" t="n">
        <f aca="false">MAX(B740-B739,0)</f>
        <v>0</v>
      </c>
      <c r="L740" s="17" t="n">
        <f aca="false">MAX(B739-B740,0)</f>
        <v>41.5600000000004</v>
      </c>
      <c r="M740" s="17" t="n">
        <f aca="false">(M739*13+K740)/14</f>
        <v>39.4554528445459</v>
      </c>
      <c r="N740" s="17" t="n">
        <f aca="false">(N739*13+L740)/14</f>
        <v>33.7474875362985</v>
      </c>
      <c r="O740" s="17" t="n">
        <f aca="false">IF(N740=0,100,100-100/(1+M740/N740))</f>
        <v>53.8987267987811</v>
      </c>
      <c r="P740" s="17" t="n">
        <f aca="false">AVERAGE(B721:B740)+2*STDEV(B721:B740)</f>
        <v>7656.14050023238</v>
      </c>
      <c r="Q740" s="17" t="n">
        <f aca="false">AVERAGE(B721:B740)-2*STDEV(B721:B740)</f>
        <v>7029.84949976762</v>
      </c>
      <c r="R740" s="19" t="n">
        <f aca="false">B740/B720-1</f>
        <v>0.00951244818883845</v>
      </c>
      <c r="S740" s="17" t="n">
        <f aca="false">STDEV(C721:C740)*SQRT(252)*100</f>
        <v>20.6454778044355</v>
      </c>
      <c r="T740" s="19" t="n">
        <f aca="false">B719/B489-1</f>
        <v>0.0159449479691172</v>
      </c>
      <c r="U740" s="19" t="n">
        <f aca="false">B740/MAX(B489:B740)-1</f>
        <v>-0.0475978653356666</v>
      </c>
      <c r="V740" s="17" t="n">
        <f aca="false">(B740-AVERAGE(B721:B740))/STDEV(B721:B740)</f>
        <v>0.825782263542354</v>
      </c>
    </row>
    <row r="741" customFormat="false" ht="15" hidden="false" customHeight="false" outlineLevel="0" collapsed="false">
      <c r="A741" s="17" t="s">
        <v>1305</v>
      </c>
      <c r="B741" s="17" t="n">
        <v>7510.68</v>
      </c>
      <c r="C741" s="19" t="n">
        <f aca="false">B741/B740-1</f>
        <v>0.00513764856556698</v>
      </c>
      <c r="D741" s="17" t="n">
        <f aca="false">AVERAGE(B692:B741)</f>
        <v>7530.6688</v>
      </c>
      <c r="E741" s="17" t="n">
        <f aca="false">AVERAGE(B542:B741)</f>
        <v>7148.7369</v>
      </c>
      <c r="F741" s="17" t="n">
        <f aca="false">B741*2/13+F740*11/13</f>
        <v>7388.25790010895</v>
      </c>
      <c r="G741" s="17" t="n">
        <f aca="false">B741*2/27+G740*25/27</f>
        <v>7404.1896648883</v>
      </c>
      <c r="H741" s="17" t="n">
        <f aca="false">F741-G741</f>
        <v>-15.9317647793514</v>
      </c>
      <c r="I741" s="17" t="n">
        <f aca="false">H741*2/10+I740*8/10</f>
        <v>-58.6402396134108</v>
      </c>
      <c r="J741" s="17" t="n">
        <f aca="false">H741-I741</f>
        <v>42.7084748340594</v>
      </c>
      <c r="K741" s="17" t="n">
        <f aca="false">MAX(B741-B740,0)</f>
        <v>38.3900000000003</v>
      </c>
      <c r="L741" s="17" t="n">
        <f aca="false">MAX(B740-B741,0)</f>
        <v>0</v>
      </c>
      <c r="M741" s="17" t="n">
        <f aca="false">(M740*13+K741)/14</f>
        <v>39.3793490699355</v>
      </c>
      <c r="N741" s="17" t="n">
        <f aca="false">(N740*13+L741)/14</f>
        <v>31.3369527122772</v>
      </c>
      <c r="O741" s="17" t="n">
        <f aca="false">IF(N741=0,100,100-100/(1+M741/N741))</f>
        <v>55.6863807601441</v>
      </c>
      <c r="P741" s="17" t="n">
        <f aca="false">AVERAGE(B722:B741)+2*STDEV(B722:B741)</f>
        <v>7657.32906211781</v>
      </c>
      <c r="Q741" s="17" t="n">
        <f aca="false">AVERAGE(B722:B741)-2*STDEV(B722:B741)</f>
        <v>7029.40393788219</v>
      </c>
      <c r="R741" s="19" t="n">
        <f aca="false">B741/B721-1</f>
        <v>0.000990237563722518</v>
      </c>
      <c r="S741" s="17" t="n">
        <f aca="false">STDEV(C722:C741)*SQRT(252)*100</f>
        <v>20.1403037723384</v>
      </c>
      <c r="T741" s="19" t="n">
        <f aca="false">B720/B490-1</f>
        <v>0.0272883976428331</v>
      </c>
      <c r="U741" s="19" t="n">
        <f aca="false">B741/MAX(B490:B741)-1</f>
        <v>-0.0427047578746655</v>
      </c>
      <c r="V741" s="17" t="n">
        <f aca="false">(B741-AVERAGE(B722:B741))/STDEV(B722:B741)</f>
        <v>1.06581815915503</v>
      </c>
    </row>
    <row r="742" customFormat="false" ht="15" hidden="false" customHeight="false" outlineLevel="0" collapsed="false">
      <c r="A742" s="17" t="s">
        <v>1306</v>
      </c>
      <c r="B742" s="17" t="n">
        <v>7479.11</v>
      </c>
      <c r="C742" s="19" t="n">
        <f aca="false">B742/B741-1</f>
        <v>-0.00420334776611442</v>
      </c>
      <c r="D742" s="17" t="n">
        <f aca="false">AVERAGE(B693:B742)</f>
        <v>7529.3516</v>
      </c>
      <c r="E742" s="17" t="n">
        <f aca="false">AVERAGE(B543:B742)</f>
        <v>7148.3368</v>
      </c>
      <c r="F742" s="17" t="n">
        <f aca="false">B742*2/13+F741*11/13</f>
        <v>7402.23514624604</v>
      </c>
      <c r="G742" s="17" t="n">
        <f aca="false">B742*2/27+G741*25/27</f>
        <v>7409.73931934102</v>
      </c>
      <c r="H742" s="17" t="n">
        <f aca="false">F742-G742</f>
        <v>-7.50417309498607</v>
      </c>
      <c r="I742" s="17" t="n">
        <f aca="false">H742*2/10+I741*8/10</f>
        <v>-48.4130263097258</v>
      </c>
      <c r="J742" s="17" t="n">
        <f aca="false">H742-I742</f>
        <v>40.9088532147398</v>
      </c>
      <c r="K742" s="17" t="n">
        <f aca="false">MAX(B742-B741,0)</f>
        <v>0</v>
      </c>
      <c r="L742" s="17" t="n">
        <f aca="false">MAX(B741-B742,0)</f>
        <v>31.5700000000006</v>
      </c>
      <c r="M742" s="17" t="n">
        <f aca="false">(M741*13+K742)/14</f>
        <v>36.566538422083</v>
      </c>
      <c r="N742" s="17" t="n">
        <f aca="false">(N741*13+L742)/14</f>
        <v>31.3535989471146</v>
      </c>
      <c r="O742" s="17" t="n">
        <f aca="false">IF(N742=0,100,100-100/(1+M742/N742))</f>
        <v>53.837550744805</v>
      </c>
      <c r="P742" s="17" t="n">
        <f aca="false">AVERAGE(B723:B742)+2*STDEV(B723:B742)</f>
        <v>7639.2166569194</v>
      </c>
      <c r="Q742" s="17" t="n">
        <f aca="false">AVERAGE(B723:B742)-2*STDEV(B723:B742)</f>
        <v>7037.4133430806</v>
      </c>
      <c r="R742" s="19" t="n">
        <f aca="false">B742/B722-1</f>
        <v>-0.0133282498740129</v>
      </c>
      <c r="S742" s="17" t="n">
        <f aca="false">STDEV(C723:C742)*SQRT(252)*100</f>
        <v>19.827877269401</v>
      </c>
      <c r="T742" s="19" t="n">
        <f aca="false">B721/B491-1</f>
        <v>0.0307242578222124</v>
      </c>
      <c r="U742" s="19" t="n">
        <f aca="false">B742/MAX(B491:B742)-1</f>
        <v>-0.0467286026921651</v>
      </c>
      <c r="V742" s="17" t="n">
        <f aca="false">(B742-AVERAGE(B723:B742))/STDEV(B723:B742)</f>
        <v>0.935820702627186</v>
      </c>
    </row>
    <row r="743" customFormat="false" ht="15" hidden="false" customHeight="false" outlineLevel="0" collapsed="false">
      <c r="A743" s="17" t="s">
        <v>1307</v>
      </c>
      <c r="B743" s="17" t="n">
        <v>7526.52</v>
      </c>
      <c r="C743" s="19" t="n">
        <f aca="false">B743/B742-1</f>
        <v>0.00633898953217704</v>
      </c>
      <c r="D743" s="17" t="n">
        <f aca="false">AVERAGE(B694:B743)</f>
        <v>7529.0706</v>
      </c>
      <c r="E743" s="17" t="n">
        <f aca="false">AVERAGE(B544:B743)</f>
        <v>7148.11815</v>
      </c>
      <c r="F743" s="17" t="n">
        <f aca="false">B743*2/13+F742*11/13</f>
        <v>7421.35589297742</v>
      </c>
      <c r="G743" s="17" t="n">
        <f aca="false">B743*2/27+G742*25/27</f>
        <v>7418.38974013058</v>
      </c>
      <c r="H743" s="17" t="n">
        <f aca="false">F743-G743</f>
        <v>2.96615284683867</v>
      </c>
      <c r="I743" s="17" t="n">
        <f aca="false">H743*2/10+I742*8/10</f>
        <v>-38.1371904784129</v>
      </c>
      <c r="J743" s="17" t="n">
        <f aca="false">H743-I743</f>
        <v>41.1033433252516</v>
      </c>
      <c r="K743" s="17" t="n">
        <f aca="false">MAX(B743-B742,0)</f>
        <v>47.4100000000008</v>
      </c>
      <c r="L743" s="17" t="n">
        <f aca="false">MAX(B742-B743,0)</f>
        <v>0</v>
      </c>
      <c r="M743" s="17" t="n">
        <f aca="false">(M742*13+K743)/14</f>
        <v>37.3410713919342</v>
      </c>
      <c r="N743" s="17" t="n">
        <f aca="false">(N742*13+L743)/14</f>
        <v>29.1140561651778</v>
      </c>
      <c r="O743" s="17" t="n">
        <f aca="false">IF(N743=0,100,100-100/(1+M743/N743))</f>
        <v>56.1899025170677</v>
      </c>
      <c r="P743" s="17" t="n">
        <f aca="false">AVERAGE(B724:B743)+2*STDEV(B724:B743)</f>
        <v>7643.1615099296</v>
      </c>
      <c r="Q743" s="17" t="n">
        <f aca="false">AVERAGE(B724:B743)-2*STDEV(B724:B743)</f>
        <v>7035.7524900704</v>
      </c>
      <c r="R743" s="19" t="n">
        <f aca="false">B743/B723-1</f>
        <v>0.00304383982259382</v>
      </c>
      <c r="S743" s="17" t="n">
        <f aca="false">STDEV(C724:C743)*SQRT(252)*100</f>
        <v>19.6415453123422</v>
      </c>
      <c r="T743" s="19" t="n">
        <f aca="false">B722/B492-1</f>
        <v>0.0447065503820414</v>
      </c>
      <c r="U743" s="19" t="n">
        <f aca="false">B743/MAX(B492:B743)-1</f>
        <v>-0.0406858252833069</v>
      </c>
      <c r="V743" s="17" t="n">
        <f aca="false">(B743-AVERAGE(B724:B743))/STDEV(B724:B743)</f>
        <v>1.23187502249052</v>
      </c>
    </row>
    <row r="744" customFormat="false" ht="15" hidden="false" customHeight="false" outlineLevel="0" collapsed="false">
      <c r="A744" s="17" t="s">
        <v>1308</v>
      </c>
      <c r="B744" s="17" t="n">
        <v>7635.4</v>
      </c>
      <c r="C744" s="19" t="n">
        <f aca="false">B744/B743-1</f>
        <v>0.0144661809176085</v>
      </c>
      <c r="D744" s="17" t="n">
        <f aca="false">AVERAGE(B695:B744)</f>
        <v>7530.2018</v>
      </c>
      <c r="E744" s="17" t="n">
        <f aca="false">AVERAGE(B545:B744)</f>
        <v>7147.99425</v>
      </c>
      <c r="F744" s="17" t="n">
        <f aca="false">B744*2/13+F743*11/13</f>
        <v>7454.28575559628</v>
      </c>
      <c r="G744" s="17" t="n">
        <f aca="false">B744*2/27+G743*25/27</f>
        <v>7434.46457419498</v>
      </c>
      <c r="H744" s="17" t="n">
        <f aca="false">F744-G744</f>
        <v>19.8211814012966</v>
      </c>
      <c r="I744" s="17" t="n">
        <f aca="false">H744*2/10+I743*8/10</f>
        <v>-26.545516102471</v>
      </c>
      <c r="J744" s="17" t="n">
        <f aca="false">H744-I744</f>
        <v>46.3666975037676</v>
      </c>
      <c r="K744" s="17" t="n">
        <f aca="false">MAX(B744-B743,0)</f>
        <v>108.879999999999</v>
      </c>
      <c r="L744" s="17" t="n">
        <f aca="false">MAX(B743-B744,0)</f>
        <v>0</v>
      </c>
      <c r="M744" s="17" t="n">
        <f aca="false">(M743*13+K744)/14</f>
        <v>42.4509948639389</v>
      </c>
      <c r="N744" s="17" t="n">
        <f aca="false">(N743*13+L744)/14</f>
        <v>27.034480724808</v>
      </c>
      <c r="O744" s="17" t="n">
        <f aca="false">IF(N744=0,100,100-100/(1+M744/N744))</f>
        <v>61.0933356996607</v>
      </c>
      <c r="P744" s="17" t="n">
        <f aca="false">AVERAGE(B725:B744)+2*STDEV(B725:B744)</f>
        <v>7683.56915822581</v>
      </c>
      <c r="Q744" s="17" t="n">
        <f aca="false">AVERAGE(B725:B744)-2*STDEV(B725:B744)</f>
        <v>7021.21484177419</v>
      </c>
      <c r="R744" s="19" t="n">
        <f aca="false">B744/B724-1</f>
        <v>0.0350698821966462</v>
      </c>
      <c r="S744" s="17" t="n">
        <f aca="false">STDEV(C725:C744)*SQRT(252)*100</f>
        <v>19.1614536170236</v>
      </c>
      <c r="T744" s="19" t="n">
        <f aca="false">B723/B493-1</f>
        <v>0.0347890961895687</v>
      </c>
      <c r="U744" s="19" t="n">
        <f aca="false">B744/MAX(B493:B744)-1</f>
        <v>-0.0268082128750289</v>
      </c>
      <c r="V744" s="17" t="n">
        <f aca="false">(B744-AVERAGE(B725:B744))/STDEV(B725:B744)</f>
        <v>1.70910337848258</v>
      </c>
    </row>
    <row r="745" customFormat="false" ht="15" hidden="false" customHeight="false" outlineLevel="0" collapsed="false">
      <c r="A745" s="17" t="s">
        <v>1309</v>
      </c>
      <c r="B745" s="17" t="n">
        <v>7667.74</v>
      </c>
      <c r="C745" s="19" t="n">
        <f aca="false">B745/B744-1</f>
        <v>0.0042355344841134</v>
      </c>
      <c r="D745" s="17" t="n">
        <f aca="false">AVERAGE(B696:B745)</f>
        <v>7531.5618</v>
      </c>
      <c r="E745" s="17" t="n">
        <f aca="false">AVERAGE(B546:B745)</f>
        <v>7148.1196</v>
      </c>
      <c r="F745" s="17" t="n">
        <f aca="false">B745*2/13+F744*11/13</f>
        <v>7487.12487011993</v>
      </c>
      <c r="G745" s="17" t="n">
        <f aca="false">B745*2/27+G744*25/27</f>
        <v>7451.74423536572</v>
      </c>
      <c r="H745" s="17" t="n">
        <f aca="false">F745-G745</f>
        <v>35.380634754205</v>
      </c>
      <c r="I745" s="17" t="n">
        <f aca="false">H745*2/10+I744*8/10</f>
        <v>-14.1602859311358</v>
      </c>
      <c r="J745" s="17" t="n">
        <f aca="false">H745-I745</f>
        <v>49.5409206853408</v>
      </c>
      <c r="K745" s="17" t="n">
        <f aca="false">MAX(B745-B744,0)</f>
        <v>32.3400000000001</v>
      </c>
      <c r="L745" s="17" t="n">
        <f aca="false">MAX(B744-B745,0)</f>
        <v>0</v>
      </c>
      <c r="M745" s="17" t="n">
        <f aca="false">(M744*13+K745)/14</f>
        <v>41.7287809450861</v>
      </c>
      <c r="N745" s="17" t="n">
        <f aca="false">(N744*13+L745)/14</f>
        <v>25.1034463873217</v>
      </c>
      <c r="O745" s="17" t="n">
        <f aca="false">IF(N745=0,100,100-100/(1+M745/N745))</f>
        <v>62.4381119868068</v>
      </c>
      <c r="P745" s="17" t="n">
        <f aca="false">AVERAGE(B726:B745)+2*STDEV(B726:B745)</f>
        <v>7721.09903643631</v>
      </c>
      <c r="Q745" s="17" t="n">
        <f aca="false">AVERAGE(B726:B745)-2*STDEV(B726:B745)</f>
        <v>7005.35696356369</v>
      </c>
      <c r="R745" s="19" t="n">
        <f aca="false">B745/B725-1</f>
        <v>0.0290859506483676</v>
      </c>
      <c r="S745" s="17" t="n">
        <f aca="false">STDEV(C726:C745)*SQRT(252)*100</f>
        <v>18.9375470978011</v>
      </c>
      <c r="T745" s="19" t="n">
        <f aca="false">B724/B494-1</f>
        <v>0.0205671246977051</v>
      </c>
      <c r="U745" s="19" t="n">
        <f aca="false">B745/MAX(B494:B745)-1</f>
        <v>-0.022686225501005</v>
      </c>
      <c r="V745" s="17" t="n">
        <f aca="false">(B745-AVERAGE(B726:B745))/STDEV(B726:B745)</f>
        <v>1.70179740183692</v>
      </c>
    </row>
    <row r="746" customFormat="false" ht="15" hidden="false" customHeight="false" outlineLevel="0" collapsed="false">
      <c r="A746" s="17" t="s">
        <v>1310</v>
      </c>
      <c r="B746" s="17" t="n">
        <v>7738.05</v>
      </c>
      <c r="C746" s="19" t="n">
        <f aca="false">B746/B745-1</f>
        <v>0.00916958582320215</v>
      </c>
      <c r="D746" s="17" t="n">
        <f aca="false">AVERAGE(B697:B746)</f>
        <v>7534.953</v>
      </c>
      <c r="E746" s="17" t="n">
        <f aca="false">AVERAGE(B547:B746)</f>
        <v>7148.5371</v>
      </c>
      <c r="F746" s="17" t="n">
        <f aca="false">B746*2/13+F745*11/13</f>
        <v>7525.72873625532</v>
      </c>
      <c r="G746" s="17" t="n">
        <f aca="false">B746*2/27+G745*25/27</f>
        <v>7472.95206978307</v>
      </c>
      <c r="H746" s="17" t="n">
        <f aca="false">F746-G746</f>
        <v>52.7766664722476</v>
      </c>
      <c r="I746" s="17" t="n">
        <f aca="false">H746*2/10+I745*8/10</f>
        <v>-0.772895450459147</v>
      </c>
      <c r="J746" s="17" t="n">
        <f aca="false">H746-I746</f>
        <v>53.5495619227067</v>
      </c>
      <c r="K746" s="17" t="n">
        <f aca="false">MAX(B746-B745,0)</f>
        <v>70.3100000000004</v>
      </c>
      <c r="L746" s="17" t="n">
        <f aca="false">MAX(B745-B746,0)</f>
        <v>0</v>
      </c>
      <c r="M746" s="17" t="n">
        <f aca="false">(M745*13+K746)/14</f>
        <v>43.7702965918657</v>
      </c>
      <c r="N746" s="17" t="n">
        <f aca="false">(N745*13+L746)/14</f>
        <v>23.3103430739416</v>
      </c>
      <c r="O746" s="17" t="n">
        <f aca="false">IF(N746=0,100,100-100/(1+M746/N746))</f>
        <v>65.2502671559594</v>
      </c>
      <c r="P746" s="17" t="n">
        <f aca="false">AVERAGE(B727:B746)+2*STDEV(B727:B746)</f>
        <v>7773.9317091442</v>
      </c>
      <c r="Q746" s="17" t="n">
        <f aca="false">AVERAGE(B727:B746)-2*STDEV(B727:B746)</f>
        <v>6984.2632908558</v>
      </c>
      <c r="R746" s="19" t="n">
        <f aca="false">B746/B726-1</f>
        <v>0.0427711281745828</v>
      </c>
      <c r="S746" s="17" t="n">
        <f aca="false">STDEV(C727:C746)*SQRT(252)*100</f>
        <v>19.0036923015961</v>
      </c>
      <c r="T746" s="19" t="n">
        <f aca="false">B725/B495-1</f>
        <v>0.0233933550345435</v>
      </c>
      <c r="U746" s="19" t="n">
        <f aca="false">B746/MAX(B495:B746)-1</f>
        <v>-0.0137246629695388</v>
      </c>
      <c r="V746" s="17" t="n">
        <f aca="false">(B746-AVERAGE(B727:B746))/STDEV(B727:B746)</f>
        <v>1.8182441728037</v>
      </c>
    </row>
    <row r="747" customFormat="false" ht="15" hidden="false" customHeight="false" outlineLevel="0" collapsed="false">
      <c r="A747" s="17" t="s">
        <v>1311</v>
      </c>
      <c r="B747" s="17" t="n">
        <v>7728.78</v>
      </c>
      <c r="C747" s="19" t="n">
        <f aca="false">B747/B746-1</f>
        <v>-0.00119797623432261</v>
      </c>
      <c r="D747" s="17" t="n">
        <f aca="false">AVERAGE(B698:B747)</f>
        <v>7537.2988</v>
      </c>
      <c r="E747" s="17" t="n">
        <f aca="false">AVERAGE(B548:B747)</f>
        <v>7149.0694</v>
      </c>
      <c r="F747" s="17" t="n">
        <f aca="false">B747*2/13+F746*11/13</f>
        <v>7556.96739221604</v>
      </c>
      <c r="G747" s="17" t="n">
        <f aca="false">B747*2/27+G746*25/27</f>
        <v>7491.90228683618</v>
      </c>
      <c r="H747" s="17" t="n">
        <f aca="false">F747-G747</f>
        <v>65.0651053798629</v>
      </c>
      <c r="I747" s="17" t="n">
        <f aca="false">H747*2/10+I746*8/10</f>
        <v>12.3947047156053</v>
      </c>
      <c r="J747" s="17" t="n">
        <f aca="false">H747-I747</f>
        <v>52.6704006642576</v>
      </c>
      <c r="K747" s="17" t="n">
        <f aca="false">MAX(B747-B746,0)</f>
        <v>0</v>
      </c>
      <c r="L747" s="17" t="n">
        <f aca="false">MAX(B746-B747,0)</f>
        <v>9.27000000000044</v>
      </c>
      <c r="M747" s="17" t="n">
        <f aca="false">(M746*13+K747)/14</f>
        <v>40.6438468353039</v>
      </c>
      <c r="N747" s="17" t="n">
        <f aca="false">(N746*13+L747)/14</f>
        <v>22.3074614258029</v>
      </c>
      <c r="O747" s="17" t="n">
        <f aca="false">IF(N747=0,100,100-100/(1+M747/N747))</f>
        <v>64.563943082363</v>
      </c>
      <c r="P747" s="17" t="n">
        <f aca="false">AVERAGE(B728:B747)+2*STDEV(B728:B747)</f>
        <v>7822.87646188911</v>
      </c>
      <c r="Q747" s="17" t="n">
        <f aca="false">AVERAGE(B728:B747)-2*STDEV(B728:B747)</f>
        <v>6977.40353811089</v>
      </c>
      <c r="R747" s="19" t="n">
        <f aca="false">B747/B727-1</f>
        <v>0.0575881268703997</v>
      </c>
      <c r="S747" s="17" t="n">
        <f aca="false">STDEV(C728:C747)*SQRT(252)*100</f>
        <v>17.9273573138752</v>
      </c>
      <c r="T747" s="19" t="n">
        <f aca="false">B726/B496-1</f>
        <v>0.0281496753026329</v>
      </c>
      <c r="U747" s="19" t="n">
        <f aca="false">B747/MAX(B496:B747)-1</f>
        <v>-0.0149061973837998</v>
      </c>
      <c r="V747" s="17" t="n">
        <f aca="false">(B747-AVERAGE(B728:B747))/STDEV(B728:B747)</f>
        <v>1.55482211556288</v>
      </c>
    </row>
    <row r="748" customFormat="false" ht="15" hidden="false" customHeight="false" outlineLevel="0" collapsed="false">
      <c r="A748" s="17" t="s">
        <v>1312</v>
      </c>
      <c r="B748" s="17" t="n">
        <v>7723.02</v>
      </c>
      <c r="C748" s="19" t="n">
        <f aca="false">B748/B747-1</f>
        <v>-0.000745266393919808</v>
      </c>
      <c r="D748" s="17" t="n">
        <f aca="false">AVERAGE(B699:B748)</f>
        <v>7539.8614</v>
      </c>
      <c r="E748" s="17" t="n">
        <f aca="false">AVERAGE(B549:B748)</f>
        <v>7150.0682</v>
      </c>
      <c r="F748" s="17" t="n">
        <f aca="false">B748*2/13+F747*11/13</f>
        <v>7582.51394725973</v>
      </c>
      <c r="G748" s="17" t="n">
        <f aca="false">B748*2/27+G747*25/27</f>
        <v>7509.02211744091</v>
      </c>
      <c r="H748" s="17" t="n">
        <f aca="false">F748-G748</f>
        <v>73.4918298188204</v>
      </c>
      <c r="I748" s="17" t="n">
        <f aca="false">H748*2/10+I747*8/10</f>
        <v>24.6141297362483</v>
      </c>
      <c r="J748" s="17" t="n">
        <f aca="false">H748-I748</f>
        <v>48.8777000825721</v>
      </c>
      <c r="K748" s="17" t="n">
        <f aca="false">MAX(B748-B747,0)</f>
        <v>0</v>
      </c>
      <c r="L748" s="17" t="n">
        <f aca="false">MAX(B747-B748,0)</f>
        <v>5.75999999999931</v>
      </c>
      <c r="M748" s="17" t="n">
        <f aca="false">(M747*13+K748)/14</f>
        <v>37.7407149184965</v>
      </c>
      <c r="N748" s="17" t="n">
        <f aca="false">(N747*13+L748)/14</f>
        <v>21.1254998953884</v>
      </c>
      <c r="O748" s="17" t="n">
        <f aca="false">IF(N748=0,100,100-100/(1+M748/N748))</f>
        <v>64.1126918688757</v>
      </c>
      <c r="P748" s="17" t="n">
        <f aca="false">AVERAGE(B729:B748)+2*STDEV(B729:B748)</f>
        <v>7864.7605524492</v>
      </c>
      <c r="Q748" s="17" t="n">
        <f aca="false">AVERAGE(B729:B748)-2*STDEV(B729:B748)</f>
        <v>6977.7254475508</v>
      </c>
      <c r="R748" s="19" t="n">
        <f aca="false">B748/B728-1</f>
        <v>0.0578088360982665</v>
      </c>
      <c r="S748" s="17" t="n">
        <f aca="false">STDEV(C729:C748)*SQRT(252)*100</f>
        <v>17.9216204544447</v>
      </c>
      <c r="T748" s="19" t="n">
        <f aca="false">B727/B497-1</f>
        <v>0.015341416684381</v>
      </c>
      <c r="U748" s="19" t="n">
        <f aca="false">B748/MAX(B497:B748)-1</f>
        <v>-0.0156403546897483</v>
      </c>
      <c r="V748" s="17" t="n">
        <f aca="false">(B748-AVERAGE(B729:B748))/STDEV(B729:B748)</f>
        <v>1.36083452992345</v>
      </c>
    </row>
    <row r="749" customFormat="false" ht="15" hidden="false" customHeight="false" outlineLevel="0" collapsed="false">
      <c r="A749" s="17" t="s">
        <v>1313</v>
      </c>
      <c r="B749" s="17" t="n">
        <v>7591.54</v>
      </c>
      <c r="C749" s="19" t="n">
        <f aca="false">B749/B748-1</f>
        <v>-0.0170244282676985</v>
      </c>
      <c r="D749" s="17" t="n">
        <f aca="false">AVERAGE(B700:B749)</f>
        <v>7539.1292</v>
      </c>
      <c r="E749" s="17" t="n">
        <f aca="false">AVERAGE(B550:B749)</f>
        <v>7150.76005</v>
      </c>
      <c r="F749" s="17" t="n">
        <f aca="false">B749*2/13+F748*11/13</f>
        <v>7583.90257075823</v>
      </c>
      <c r="G749" s="17" t="n">
        <f aca="false">B749*2/27+G748*25/27</f>
        <v>7515.13455318603</v>
      </c>
      <c r="H749" s="17" t="n">
        <f aca="false">F749-G749</f>
        <v>68.7680175722062</v>
      </c>
      <c r="I749" s="17" t="n">
        <f aca="false">H749*2/10+I748*8/10</f>
        <v>33.4449073034399</v>
      </c>
      <c r="J749" s="17" t="n">
        <f aca="false">H749-I749</f>
        <v>35.3231102687663</v>
      </c>
      <c r="K749" s="17" t="n">
        <f aca="false">MAX(B749-B748,0)</f>
        <v>0</v>
      </c>
      <c r="L749" s="17" t="n">
        <f aca="false">MAX(B748-B749,0)</f>
        <v>131.48</v>
      </c>
      <c r="M749" s="17" t="n">
        <f aca="false">(M748*13+K749)/14</f>
        <v>35.0449495671753</v>
      </c>
      <c r="N749" s="17" t="n">
        <f aca="false">(N748*13+L749)/14</f>
        <v>29.007964188575</v>
      </c>
      <c r="O749" s="17" t="n">
        <f aca="false">IF(N749=0,100,100-100/(1+M749/N749))</f>
        <v>54.7124986395005</v>
      </c>
      <c r="P749" s="17" t="n">
        <f aca="false">AVERAGE(B730:B749)+2*STDEV(B730:B749)</f>
        <v>7881.29293558934</v>
      </c>
      <c r="Q749" s="17" t="n">
        <f aca="false">AVERAGE(B730:B749)-2*STDEV(B730:B749)</f>
        <v>6992.50906441066</v>
      </c>
      <c r="R749" s="19" t="n">
        <f aca="false">B749/B729-1</f>
        <v>0.0430260579964223</v>
      </c>
      <c r="S749" s="17" t="n">
        <f aca="false">STDEV(C730:C749)*SQRT(252)*100</f>
        <v>19.1752912436716</v>
      </c>
      <c r="T749" s="19" t="n">
        <f aca="false">B728/B498-1</f>
        <v>0.037337830714518</v>
      </c>
      <c r="U749" s="19" t="n">
        <f aca="false">B749/MAX(B498:B749)-1</f>
        <v>-0.0323985148609498</v>
      </c>
      <c r="V749" s="17" t="n">
        <f aca="false">(B749-AVERAGE(B730:B749))/STDEV(B730:B749)</f>
        <v>0.695957723872381</v>
      </c>
    </row>
    <row r="750" customFormat="false" ht="15" hidden="false" customHeight="false" outlineLevel="0" collapsed="false">
      <c r="A750" s="17" t="s">
        <v>1314</v>
      </c>
      <c r="B750" s="17" t="n">
        <v>7627.05</v>
      </c>
      <c r="C750" s="19" t="n">
        <f aca="false">B750/B749-1</f>
        <v>0.00467757530092716</v>
      </c>
      <c r="D750" s="17" t="n">
        <f aca="false">AVERAGE(B701:B750)</f>
        <v>7539.0878</v>
      </c>
      <c r="E750" s="17" t="n">
        <f aca="false">AVERAGE(B551:B750)</f>
        <v>7151.744</v>
      </c>
      <c r="F750" s="17" t="n">
        <f aca="false">B750*2/13+F749*11/13</f>
        <v>7590.54063679543</v>
      </c>
      <c r="G750" s="17" t="n">
        <f aca="false">B750*2/27+G749*25/27</f>
        <v>7523.42458628336</v>
      </c>
      <c r="H750" s="17" t="n">
        <f aca="false">F750-G750</f>
        <v>67.1160505120706</v>
      </c>
      <c r="I750" s="17" t="n">
        <f aca="false">H750*2/10+I749*8/10</f>
        <v>40.179135945166</v>
      </c>
      <c r="J750" s="17" t="n">
        <f aca="false">H750-I750</f>
        <v>26.9369145669046</v>
      </c>
      <c r="K750" s="17" t="n">
        <f aca="false">MAX(B750-B749,0)</f>
        <v>35.5100000000002</v>
      </c>
      <c r="L750" s="17" t="n">
        <f aca="false">MAX(B749-B750,0)</f>
        <v>0</v>
      </c>
      <c r="M750" s="17" t="n">
        <f aca="false">(M749*13+K750)/14</f>
        <v>35.0781674552342</v>
      </c>
      <c r="N750" s="17" t="n">
        <f aca="false">(N749*13+L750)/14</f>
        <v>26.9359667465339</v>
      </c>
      <c r="O750" s="17" t="n">
        <f aca="false">IF(N750=0,100,100-100/(1+M750/N750))</f>
        <v>56.5647943114137</v>
      </c>
      <c r="P750" s="17" t="n">
        <f aca="false">AVERAGE(B731:B750)+2*STDEV(B731:B750)</f>
        <v>7896.87805408526</v>
      </c>
      <c r="Q750" s="17" t="n">
        <f aca="false">AVERAGE(B731:B750)-2*STDEV(B731:B750)</f>
        <v>7017.94294591474</v>
      </c>
      <c r="R750" s="19" t="n">
        <f aca="false">B750/B730-1</f>
        <v>0.0568377382961567</v>
      </c>
      <c r="S750" s="17" t="n">
        <f aca="false">STDEV(C731:C750)*SQRT(252)*100</f>
        <v>18.7720500684852</v>
      </c>
      <c r="T750" s="19" t="n">
        <f aca="false">B729/B499-1</f>
        <v>0.0297360006790979</v>
      </c>
      <c r="U750" s="19" t="n">
        <f aca="false">B750/MAX(B499:B750)-1</f>
        <v>-0.027872486052923</v>
      </c>
      <c r="V750" s="17" t="n">
        <f aca="false">(B750-AVERAGE(B731:B750))/STDEV(B731:B750)</f>
        <v>0.772022864591671</v>
      </c>
    </row>
    <row r="751" customFormat="false" ht="15" hidden="false" customHeight="false" outlineLevel="0" collapsed="false">
      <c r="A751" s="17" t="s">
        <v>1315</v>
      </c>
      <c r="B751" s="17" t="n">
        <v>7657.05</v>
      </c>
      <c r="C751" s="19" t="n">
        <f aca="false">B751/B750-1</f>
        <v>0.00393336873365202</v>
      </c>
      <c r="D751" s="17" t="n">
        <f aca="false">AVERAGE(B702:B751)</f>
        <v>7539.1342</v>
      </c>
      <c r="E751" s="17" t="n">
        <f aca="false">AVERAGE(B552:B751)</f>
        <v>7152.79085</v>
      </c>
      <c r="F751" s="17" t="n">
        <f aca="false">B751*2/13+F750*11/13</f>
        <v>7600.77284651921</v>
      </c>
      <c r="G751" s="17" t="n">
        <f aca="false">B751*2/27+G750*25/27</f>
        <v>7533.32276507718</v>
      </c>
      <c r="H751" s="17" t="n">
        <f aca="false">F751-G751</f>
        <v>67.4500814420253</v>
      </c>
      <c r="I751" s="17" t="n">
        <f aca="false">H751*2/10+I750*8/10</f>
        <v>45.6333250445379</v>
      </c>
      <c r="J751" s="17" t="n">
        <f aca="false">H751-I751</f>
        <v>21.8167563974874</v>
      </c>
      <c r="K751" s="17" t="n">
        <f aca="false">MAX(B751-B750,0)</f>
        <v>30</v>
      </c>
      <c r="L751" s="17" t="n">
        <f aca="false">MAX(B750-B751,0)</f>
        <v>0</v>
      </c>
      <c r="M751" s="17" t="n">
        <f aca="false">(M750*13+K751)/14</f>
        <v>34.7154412084318</v>
      </c>
      <c r="N751" s="17" t="n">
        <f aca="false">(N750*13+L751)/14</f>
        <v>25.0119691217815</v>
      </c>
      <c r="O751" s="17" t="n">
        <f aca="false">IF(N751=0,100,100-100/(1+M751/N751))</f>
        <v>58.1231314341296</v>
      </c>
      <c r="P751" s="17" t="n">
        <f aca="false">AVERAGE(B732:B751)+2*STDEV(B732:B751)</f>
        <v>7914.19923186745</v>
      </c>
      <c r="Q751" s="17" t="n">
        <f aca="false">AVERAGE(B732:B751)-2*STDEV(B732:B751)</f>
        <v>7041.78676813255</v>
      </c>
      <c r="R751" s="19" t="n">
        <f aca="false">B751/B731-1</f>
        <v>0.0568153587103542</v>
      </c>
      <c r="S751" s="17" t="n">
        <f aca="false">STDEV(C732:C751)*SQRT(252)*100</f>
        <v>18.7718832962005</v>
      </c>
      <c r="T751" s="19" t="n">
        <f aca="false">B730/B500-1</f>
        <v>0.0354665285443929</v>
      </c>
      <c r="U751" s="19" t="n">
        <f aca="false">B751/MAX(B500:B751)-1</f>
        <v>-0.0240487500844407</v>
      </c>
      <c r="V751" s="17" t="n">
        <f aca="false">(B751-AVERAGE(B732:B751))/STDEV(B732:B751)</f>
        <v>0.820974057309707</v>
      </c>
    </row>
    <row r="752" customFormat="false" ht="15" hidden="false" customHeight="false" outlineLevel="0" collapsed="false">
      <c r="A752" s="17" t="s">
        <v>1316</v>
      </c>
      <c r="B752" s="17" t="n">
        <v>7671.08</v>
      </c>
      <c r="C752" s="19" t="n">
        <f aca="false">B752/B751-1</f>
        <v>0.00183229833943876</v>
      </c>
      <c r="D752" s="17" t="n">
        <f aca="false">AVERAGE(B703:B752)</f>
        <v>7538.9414</v>
      </c>
      <c r="E752" s="17" t="n">
        <f aca="false">AVERAGE(B553:B752)</f>
        <v>7153.6069</v>
      </c>
      <c r="F752" s="17" t="n">
        <f aca="false">B752*2/13+F751*11/13</f>
        <v>7611.5893316701</v>
      </c>
      <c r="G752" s="17" t="n">
        <f aca="false">B752*2/27+G751*25/27</f>
        <v>7543.52700470109</v>
      </c>
      <c r="H752" s="17" t="n">
        <f aca="false">F752-G752</f>
        <v>68.0623269690032</v>
      </c>
      <c r="I752" s="17" t="n">
        <f aca="false">H752*2/10+I751*8/10</f>
        <v>50.1191254294309</v>
      </c>
      <c r="J752" s="17" t="n">
        <f aca="false">H752-I752</f>
        <v>17.9432015395722</v>
      </c>
      <c r="K752" s="17" t="n">
        <f aca="false">MAX(B752-B751,0)</f>
        <v>14.0299999999997</v>
      </c>
      <c r="L752" s="17" t="n">
        <f aca="false">MAX(B751-B752,0)</f>
        <v>0</v>
      </c>
      <c r="M752" s="17" t="n">
        <f aca="false">(M751*13+K752)/14</f>
        <v>33.2379096935438</v>
      </c>
      <c r="N752" s="17" t="n">
        <f aca="false">(N751*13+L752)/14</f>
        <v>23.2253998987971</v>
      </c>
      <c r="O752" s="17" t="n">
        <f aca="false">IF(N752=0,100,100-100/(1+M752/N752))</f>
        <v>58.8663858592739</v>
      </c>
      <c r="P752" s="17" t="n">
        <f aca="false">AVERAGE(B733:B752)+2*STDEV(B733:B752)</f>
        <v>7916.51922285093</v>
      </c>
      <c r="Q752" s="17" t="n">
        <f aca="false">AVERAGE(B733:B752)-2*STDEV(B733:B752)</f>
        <v>7093.77877714907</v>
      </c>
      <c r="R752" s="19" t="n">
        <f aca="false">B752/B732-1</f>
        <v>0.076195713780661</v>
      </c>
      <c r="S752" s="17" t="n">
        <f aca="false">STDEV(C733:C752)*SQRT(252)*100</f>
        <v>17.3857863507503</v>
      </c>
      <c r="T752" s="19" t="n">
        <f aca="false">B731/B501-1</f>
        <v>0.0304055975880311</v>
      </c>
      <c r="U752" s="19" t="n">
        <f aca="false">B752/MAX(B501:B752)-1</f>
        <v>-0.0222605162298473</v>
      </c>
      <c r="V752" s="17" t="n">
        <f aca="false">(B752-AVERAGE(B733:B752))/STDEV(B733:B752)</f>
        <v>0.8067234368596</v>
      </c>
    </row>
    <row r="753" customFormat="false" ht="15" hidden="false" customHeight="false" outlineLevel="0" collapsed="false">
      <c r="A753" s="17" t="s">
        <v>1317</v>
      </c>
      <c r="B753" s="17" t="n">
        <v>7768.14</v>
      </c>
      <c r="C753" s="19" t="n">
        <f aca="false">B753/B752-1</f>
        <v>0.0126527164362775</v>
      </c>
      <c r="D753" s="17" t="n">
        <f aca="false">AVERAGE(B704:B753)</f>
        <v>7540.5098</v>
      </c>
      <c r="E753" s="17" t="n">
        <f aca="false">AVERAGE(B554:B753)</f>
        <v>7155.0073</v>
      </c>
      <c r="F753" s="17" t="n">
        <f aca="false">B753*2/13+F752*11/13</f>
        <v>7635.6740498747</v>
      </c>
      <c r="G753" s="17" t="n">
        <f aca="false">B753*2/27+G752*25/27</f>
        <v>7560.16500435287</v>
      </c>
      <c r="H753" s="17" t="n">
        <f aca="false">F753-G753</f>
        <v>75.5090455218333</v>
      </c>
      <c r="I753" s="17" t="n">
        <f aca="false">H753*2/10+I752*8/10</f>
        <v>55.1971094479114</v>
      </c>
      <c r="J753" s="17" t="n">
        <f aca="false">H753-I753</f>
        <v>20.3119360739219</v>
      </c>
      <c r="K753" s="17" t="n">
        <f aca="false">MAX(B753-B752,0)</f>
        <v>97.0600000000004</v>
      </c>
      <c r="L753" s="17" t="n">
        <f aca="false">MAX(B752-B753,0)</f>
        <v>0</v>
      </c>
      <c r="M753" s="17" t="n">
        <f aca="false">(M752*13+K753)/14</f>
        <v>37.7966304297192</v>
      </c>
      <c r="N753" s="17" t="n">
        <f aca="false">(N752*13+L753)/14</f>
        <v>21.5664427631687</v>
      </c>
      <c r="O753" s="17" t="n">
        <f aca="false">IF(N753=0,100,100-100/(1+M753/N753))</f>
        <v>63.6702724384012</v>
      </c>
      <c r="P753" s="17" t="n">
        <f aca="false">AVERAGE(B734:B753)+2*STDEV(B734:B753)</f>
        <v>7889.20833065167</v>
      </c>
      <c r="Q753" s="17" t="n">
        <f aca="false">AVERAGE(B734:B753)-2*STDEV(B734:B753)</f>
        <v>7200.10166934833</v>
      </c>
      <c r="R753" s="19" t="n">
        <f aca="false">B753/B733-1</f>
        <v>0.113229827372235</v>
      </c>
      <c r="S753" s="17" t="n">
        <f aca="false">STDEV(C734:C753)*SQRT(252)*100</f>
        <v>14.963460884104</v>
      </c>
      <c r="T753" s="19" t="n">
        <f aca="false">B732/B502-1</f>
        <v>0.012379275082377</v>
      </c>
      <c r="U753" s="19" t="n">
        <f aca="false">B753/MAX(B502:B753)-1</f>
        <v>-0.00988945579315104</v>
      </c>
      <c r="V753" s="17" t="n">
        <f aca="false">(B753-AVERAGE(B734:B753))/STDEV(B734:B753)</f>
        <v>1.29724475208127</v>
      </c>
    </row>
    <row r="754" customFormat="false" ht="15" hidden="false" customHeight="false" outlineLevel="0" collapsed="false">
      <c r="A754" s="17" t="s">
        <v>1318</v>
      </c>
      <c r="B754" s="17" t="n">
        <v>7799.82</v>
      </c>
      <c r="C754" s="19" t="n">
        <f aca="false">B754/B753-1</f>
        <v>0.00407819632498896</v>
      </c>
      <c r="D754" s="17" t="n">
        <f aca="false">AVERAGE(B705:B754)</f>
        <v>7542.2364</v>
      </c>
      <c r="E754" s="17" t="n">
        <f aca="false">AVERAGE(B555:B754)</f>
        <v>7156.19795</v>
      </c>
      <c r="F754" s="17" t="n">
        <f aca="false">B754*2/13+F753*11/13</f>
        <v>7660.9272729709</v>
      </c>
      <c r="G754" s="17" t="n">
        <f aca="false">B754*2/27+G753*25/27</f>
        <v>7577.91722625265</v>
      </c>
      <c r="H754" s="17" t="n">
        <f aca="false">F754-G754</f>
        <v>83.0100467182465</v>
      </c>
      <c r="I754" s="17" t="n">
        <f aca="false">H754*2/10+I753*8/10</f>
        <v>60.7596969019784</v>
      </c>
      <c r="J754" s="17" t="n">
        <f aca="false">H754-I754</f>
        <v>22.2503498162681</v>
      </c>
      <c r="K754" s="17" t="n">
        <f aca="false">MAX(B754-B753,0)</f>
        <v>31.6799999999994</v>
      </c>
      <c r="L754" s="17" t="n">
        <f aca="false">MAX(B753-B754,0)</f>
        <v>0</v>
      </c>
      <c r="M754" s="17" t="n">
        <f aca="false">(M753*13+K754)/14</f>
        <v>37.3597282561678</v>
      </c>
      <c r="N754" s="17" t="n">
        <f aca="false">(N753*13+L754)/14</f>
        <v>20.0259825657995</v>
      </c>
      <c r="O754" s="17" t="n">
        <f aca="false">IF(N754=0,100,100-100/(1+M754/N754))</f>
        <v>65.1028413189341</v>
      </c>
      <c r="P754" s="17" t="n">
        <f aca="false">AVERAGE(B735:B754)+2*STDEV(B735:B754)</f>
        <v>7889.5811560396</v>
      </c>
      <c r="Q754" s="17" t="n">
        <f aca="false">AVERAGE(B735:B754)-2*STDEV(B735:B754)</f>
        <v>7263.0358439604</v>
      </c>
      <c r="R754" s="19" t="n">
        <f aca="false">B754/B734-1</f>
        <v>0.0883343216939339</v>
      </c>
      <c r="S754" s="17" t="n">
        <f aca="false">STDEV(C735:C754)*SQRT(252)*100</f>
        <v>12.5941192725973</v>
      </c>
      <c r="T754" s="19" t="n">
        <f aca="false">B733/B503-1</f>
        <v>-0.0168784218252928</v>
      </c>
      <c r="U754" s="19" t="n">
        <f aca="false">B754/MAX(B503:B754)-1</f>
        <v>-0.00585159061043394</v>
      </c>
      <c r="V754" s="17" t="n">
        <f aca="false">(B754-AVERAGE(B735:B754))/STDEV(B735:B754)</f>
        <v>1.42694547826572</v>
      </c>
    </row>
    <row r="755" customFormat="false" ht="15" hidden="false" customHeight="false" outlineLevel="0" collapsed="false">
      <c r="A755" s="17" t="s">
        <v>1319</v>
      </c>
      <c r="B755" s="17" t="n">
        <v>7857.69</v>
      </c>
      <c r="C755" s="19" t="n">
        <f aca="false">B755/B754-1</f>
        <v>0.00741940198619973</v>
      </c>
      <c r="D755" s="17" t="n">
        <f aca="false">AVERAGE(B706:B755)</f>
        <v>7543.176</v>
      </c>
      <c r="E755" s="17" t="n">
        <f aca="false">AVERAGE(B556:B755)</f>
        <v>7157.7589</v>
      </c>
      <c r="F755" s="17" t="n">
        <f aca="false">B755*2/13+F754*11/13</f>
        <v>7691.19846174461</v>
      </c>
      <c r="G755" s="17" t="n">
        <f aca="false">B755*2/27+G754*25/27</f>
        <v>7598.64113541912</v>
      </c>
      <c r="H755" s="17" t="n">
        <f aca="false">F755-G755</f>
        <v>92.5573263254846</v>
      </c>
      <c r="I755" s="17" t="n">
        <f aca="false">H755*2/10+I754*8/10</f>
        <v>67.1192227866797</v>
      </c>
      <c r="J755" s="17" t="n">
        <f aca="false">H755-I755</f>
        <v>25.438103538805</v>
      </c>
      <c r="K755" s="17" t="n">
        <f aca="false">MAX(B755-B754,0)</f>
        <v>57.8699999999999</v>
      </c>
      <c r="L755" s="17" t="n">
        <f aca="false">MAX(B754-B755,0)</f>
        <v>0</v>
      </c>
      <c r="M755" s="17" t="n">
        <f aca="false">(M754*13+K755)/14</f>
        <v>38.8247476664415</v>
      </c>
      <c r="N755" s="17" t="n">
        <f aca="false">(N754*13+L755)/14</f>
        <v>18.595555239671</v>
      </c>
      <c r="O755" s="17" t="n">
        <f aca="false">IF(N755=0,100,100-100/(1+M755/N755))</f>
        <v>67.6150171654851</v>
      </c>
      <c r="P755" s="17" t="n">
        <f aca="false">AVERAGE(B736:B755)+2*STDEV(B736:B755)</f>
        <v>7897.88440191333</v>
      </c>
      <c r="Q755" s="17" t="n">
        <f aca="false">AVERAGE(B736:B755)-2*STDEV(B736:B755)</f>
        <v>7318.41159808667</v>
      </c>
      <c r="R755" s="19" t="n">
        <f aca="false">B755/B735-1</f>
        <v>0.0881870680940049</v>
      </c>
      <c r="S755" s="17" t="n">
        <f aca="false">STDEV(C736:C755)*SQRT(252)*100</f>
        <v>12.5894960070329</v>
      </c>
      <c r="T755" s="19" t="n">
        <f aca="false">B734/B504-1</f>
        <v>0.021697756805497</v>
      </c>
      <c r="U755" s="19" t="n">
        <f aca="false">B755/MAX(B504:B755)-1</f>
        <v>0</v>
      </c>
      <c r="V755" s="17" t="n">
        <f aca="false">(B755-AVERAGE(B736:B755))/STDEV(B736:B755)</f>
        <v>1.72254503301691</v>
      </c>
    </row>
    <row r="756" customFormat="false" ht="15" hidden="false" customHeight="false" outlineLevel="0" collapsed="false">
      <c r="A756" s="17" t="s">
        <v>1320</v>
      </c>
      <c r="B756" s="17" t="n">
        <v>7841.3</v>
      </c>
      <c r="C756" s="19" t="n">
        <f aca="false">B756/B755-1</f>
        <v>-0.00208585474866019</v>
      </c>
      <c r="D756" s="17" t="n">
        <f aca="false">AVERAGE(B707:B756)</f>
        <v>7544.3138</v>
      </c>
      <c r="E756" s="17" t="n">
        <f aca="false">AVERAGE(B557:B756)</f>
        <v>7159.79175</v>
      </c>
      <c r="F756" s="17" t="n">
        <f aca="false">B756*2/13+F755*11/13</f>
        <v>7714.29100609159</v>
      </c>
      <c r="G756" s="17" t="n">
        <f aca="false">B756*2/27+G755*25/27</f>
        <v>7616.61586612882</v>
      </c>
      <c r="H756" s="17" t="n">
        <f aca="false">F756-G756</f>
        <v>97.6751399627729</v>
      </c>
      <c r="I756" s="17" t="n">
        <f aca="false">H756*2/10+I755*8/10</f>
        <v>73.2304062218983</v>
      </c>
      <c r="J756" s="17" t="n">
        <f aca="false">H756-I756</f>
        <v>24.4447337408746</v>
      </c>
      <c r="K756" s="17" t="n">
        <f aca="false">MAX(B756-B755,0)</f>
        <v>0</v>
      </c>
      <c r="L756" s="17" t="n">
        <f aca="false">MAX(B755-B756,0)</f>
        <v>16.3899999999994</v>
      </c>
      <c r="M756" s="17" t="n">
        <f aca="false">(M755*13+K756)/14</f>
        <v>36.0515514045528</v>
      </c>
      <c r="N756" s="17" t="n">
        <f aca="false">(N755*13+L756)/14</f>
        <v>18.4380155796944</v>
      </c>
      <c r="O756" s="17" t="n">
        <f aca="false">IF(N756=0,100,100-100/(1+M756/N756))</f>
        <v>66.1623011520264</v>
      </c>
      <c r="P756" s="17" t="n">
        <f aca="false">AVERAGE(B737:B756)+2*STDEV(B737:B756)</f>
        <v>7898.69718976214</v>
      </c>
      <c r="Q756" s="17" t="n">
        <f aca="false">AVERAGE(B737:B756)-2*STDEV(B737:B756)</f>
        <v>7374.13581023786</v>
      </c>
      <c r="R756" s="19" t="n">
        <f aca="false">B756/B736-1</f>
        <v>0.0777041560322873</v>
      </c>
      <c r="S756" s="17" t="n">
        <f aca="false">STDEV(C737:C756)*SQRT(252)*100</f>
        <v>12.7171095330616</v>
      </c>
      <c r="T756" s="19" t="n">
        <f aca="false">B735/B505-1</f>
        <v>0.0168777856795825</v>
      </c>
      <c r="U756" s="19" t="n">
        <f aca="false">B756/MAX(B505:B756)-1</f>
        <v>-0.00208585474866019</v>
      </c>
      <c r="V756" s="17" t="n">
        <f aca="false">(B756-AVERAGE(B737:B756))/STDEV(B737:B756)</f>
        <v>1.5623224125711</v>
      </c>
    </row>
    <row r="757" customFormat="false" ht="15" hidden="false" customHeight="false" outlineLevel="0" collapsed="false">
      <c r="A757" s="17" t="s">
        <v>1321</v>
      </c>
      <c r="B757" s="17" t="n">
        <v>7785.79</v>
      </c>
      <c r="C757" s="19" t="n">
        <f aca="false">B757/B756-1</f>
        <v>-0.00707918329868773</v>
      </c>
      <c r="D757" s="17" t="n">
        <f aca="false">AVERAGE(B708:B757)</f>
        <v>7543.6912</v>
      </c>
      <c r="E757" s="17" t="n">
        <f aca="false">AVERAGE(B558:B757)</f>
        <v>7161.2487</v>
      </c>
      <c r="F757" s="17" t="n">
        <f aca="false">B757*2/13+F756*11/13</f>
        <v>7725.29085130827</v>
      </c>
      <c r="G757" s="17" t="n">
        <f aca="false">B757*2/27+G756*25/27</f>
        <v>7629.14728345261</v>
      </c>
      <c r="H757" s="17" t="n">
        <f aca="false">F757-G757</f>
        <v>96.1435678556609</v>
      </c>
      <c r="I757" s="17" t="n">
        <f aca="false">H757*2/10+I756*8/10</f>
        <v>77.8130385486508</v>
      </c>
      <c r="J757" s="17" t="n">
        <f aca="false">H757-I757</f>
        <v>18.3305293070101</v>
      </c>
      <c r="K757" s="17" t="n">
        <f aca="false">MAX(B757-B756,0)</f>
        <v>0</v>
      </c>
      <c r="L757" s="17" t="n">
        <f aca="false">MAX(B756-B757,0)</f>
        <v>55.5100000000002</v>
      </c>
      <c r="M757" s="17" t="n">
        <f aca="false">(M756*13+K757)/14</f>
        <v>33.4764405899419</v>
      </c>
      <c r="N757" s="17" t="n">
        <f aca="false">(N756*13+L757)/14</f>
        <v>21.0860144668591</v>
      </c>
      <c r="O757" s="17" t="n">
        <f aca="false">IF(N757=0,100,100-100/(1+M757/N757))</f>
        <v>61.3543517334255</v>
      </c>
      <c r="P757" s="17" t="n">
        <f aca="false">AVERAGE(B738:B757)+2*STDEV(B738:B757)</f>
        <v>7903.73988047093</v>
      </c>
      <c r="Q757" s="17" t="n">
        <f aca="false">AVERAGE(B738:B757)-2*STDEV(B738:B757)</f>
        <v>7405.94311952907</v>
      </c>
      <c r="R757" s="19" t="n">
        <f aca="false">B757/B737-1</f>
        <v>0.0496812178032677</v>
      </c>
      <c r="S757" s="17" t="n">
        <f aca="false">STDEV(C738:C757)*SQRT(252)*100</f>
        <v>11.8414956469249</v>
      </c>
      <c r="T757" s="19" t="n">
        <f aca="false">B736/B506-1</f>
        <v>0.0095180878355785</v>
      </c>
      <c r="U757" s="19" t="n">
        <f aca="false">B757/MAX(B506:B757)-1</f>
        <v>-0.00915027189924766</v>
      </c>
      <c r="V757" s="17" t="n">
        <f aca="false">(B757-AVERAGE(B738:B757))/STDEV(B738:B757)</f>
        <v>1.05222460469399</v>
      </c>
    </row>
    <row r="758" customFormat="false" ht="15" hidden="false" customHeight="false" outlineLevel="0" collapsed="false">
      <c r="A758" s="17" t="s">
        <v>1322</v>
      </c>
      <c r="B758" s="17" t="n">
        <v>7826.86</v>
      </c>
      <c r="C758" s="19" t="n">
        <f aca="false">B758/B757-1</f>
        <v>0.00527499457344716</v>
      </c>
      <c r="D758" s="17" t="n">
        <f aca="false">AVERAGE(B709:B758)</f>
        <v>7543.6948</v>
      </c>
      <c r="E758" s="17" t="n">
        <f aca="false">AVERAGE(B559:B758)</f>
        <v>7162.9314</v>
      </c>
      <c r="F758" s="17" t="n">
        <f aca="false">B758*2/13+F757*11/13</f>
        <v>7740.91687418392</v>
      </c>
      <c r="G758" s="17" t="n">
        <f aca="false">B758*2/27+G757*25/27</f>
        <v>7643.79266986353</v>
      </c>
      <c r="H758" s="17" t="n">
        <f aca="false">F758-G758</f>
        <v>97.1242043203938</v>
      </c>
      <c r="I758" s="17" t="n">
        <f aca="false">H758*2/10+I757*8/10</f>
        <v>81.6752717029994</v>
      </c>
      <c r="J758" s="17" t="n">
        <f aca="false">H758-I758</f>
        <v>15.4489326173944</v>
      </c>
      <c r="K758" s="17" t="n">
        <f aca="false">MAX(B758-B757,0)</f>
        <v>41.0699999999997</v>
      </c>
      <c r="L758" s="17" t="n">
        <f aca="false">MAX(B757-B758,0)</f>
        <v>0</v>
      </c>
      <c r="M758" s="17" t="n">
        <f aca="false">(M757*13+K758)/14</f>
        <v>34.0188376906603</v>
      </c>
      <c r="N758" s="17" t="n">
        <f aca="false">(N757*13+L758)/14</f>
        <v>19.5798705763692</v>
      </c>
      <c r="O758" s="17" t="n">
        <f aca="false">IF(N758=0,100,100-100/(1+M758/N758))</f>
        <v>63.4695103493502</v>
      </c>
      <c r="P758" s="17" t="n">
        <f aca="false">AVERAGE(B739:B758)+2*STDEV(B739:B758)</f>
        <v>7920.37915521287</v>
      </c>
      <c r="Q758" s="17" t="n">
        <f aca="false">AVERAGE(B739:B758)-2*STDEV(B739:B758)</f>
        <v>7421.79684478713</v>
      </c>
      <c r="R758" s="19" t="n">
        <f aca="false">B758/B738-1</f>
        <v>0.043312854158863</v>
      </c>
      <c r="S758" s="17" t="n">
        <f aca="false">STDEV(C739:C758)*SQRT(252)*100</f>
        <v>11.4186333529487</v>
      </c>
      <c r="T758" s="19" t="n">
        <f aca="false">B737/B507-1</f>
        <v>0.0194186366135238</v>
      </c>
      <c r="U758" s="19" t="n">
        <f aca="false">B758/MAX(B507:B758)-1</f>
        <v>-0.00392354496041458</v>
      </c>
      <c r="V758" s="17" t="n">
        <f aca="false">(B758-AVERAGE(B739:B758))/STDEV(B739:B758)</f>
        <v>1.24971942840879</v>
      </c>
    </row>
    <row r="759" customFormat="false" ht="15" hidden="false" customHeight="false" outlineLevel="0" collapsed="false">
      <c r="A759" s="17" t="s">
        <v>1323</v>
      </c>
      <c r="B759" s="17" t="n">
        <v>7903.4</v>
      </c>
      <c r="C759" s="19" t="n">
        <f aca="false">B759/B758-1</f>
        <v>0.00977914514888467</v>
      </c>
      <c r="D759" s="17" t="n">
        <f aca="false">AVERAGE(B710:B759)</f>
        <v>7544.982</v>
      </c>
      <c r="E759" s="17" t="n">
        <f aca="false">AVERAGE(B560:B759)</f>
        <v>7164.60325</v>
      </c>
      <c r="F759" s="17" t="n">
        <f aca="false">B759*2/13+F758*11/13</f>
        <v>7765.91427815562</v>
      </c>
      <c r="G759" s="17" t="n">
        <f aca="false">B759*2/27+G758*25/27</f>
        <v>7663.02284246623</v>
      </c>
      <c r="H759" s="17" t="n">
        <f aca="false">F759-G759</f>
        <v>102.891435689396</v>
      </c>
      <c r="I759" s="17" t="n">
        <f aca="false">H759*2/10+I758*8/10</f>
        <v>85.9185045002787</v>
      </c>
      <c r="J759" s="17" t="n">
        <f aca="false">H759-I759</f>
        <v>16.972931189117</v>
      </c>
      <c r="K759" s="17" t="n">
        <f aca="false">MAX(B759-B758,0)</f>
        <v>76.54</v>
      </c>
      <c r="L759" s="17" t="n">
        <f aca="false">MAX(B758-B759,0)</f>
        <v>0</v>
      </c>
      <c r="M759" s="17" t="n">
        <f aca="false">(M758*13+K759)/14</f>
        <v>37.0560635698989</v>
      </c>
      <c r="N759" s="17" t="n">
        <f aca="false">(N758*13+L759)/14</f>
        <v>18.1813083923428</v>
      </c>
      <c r="O759" s="17" t="n">
        <f aca="false">IF(N759=0,100,100-100/(1+M759/N759))</f>
        <v>67.0851314128939</v>
      </c>
      <c r="P759" s="17" t="n">
        <f aca="false">AVERAGE(B740:B759)+2*STDEV(B740:B759)</f>
        <v>7948.83973079681</v>
      </c>
      <c r="Q759" s="17" t="n">
        <f aca="false">AVERAGE(B740:B759)-2*STDEV(B740:B759)</f>
        <v>7432.29126920319</v>
      </c>
      <c r="R759" s="19" t="n">
        <f aca="false">B759/B739-1</f>
        <v>0.0518442609314798</v>
      </c>
      <c r="S759" s="17" t="n">
        <f aca="false">STDEV(C740:C759)*SQRT(252)*100</f>
        <v>11.7313668531695</v>
      </c>
      <c r="T759" s="19" t="n">
        <f aca="false">B738/B508-1</f>
        <v>0.030116991184467</v>
      </c>
      <c r="U759" s="19" t="n">
        <f aca="false">B759/MAX(B508:B759)-1</f>
        <v>0</v>
      </c>
      <c r="V759" s="17" t="n">
        <f aca="false">(B759-AVERAGE(B740:B759))/STDEV(B740:B759)</f>
        <v>1.64812803308621</v>
      </c>
    </row>
    <row r="760" customFormat="false" ht="15" hidden="false" customHeight="false" outlineLevel="0" collapsed="false">
      <c r="A760" s="17" t="s">
        <v>1324</v>
      </c>
      <c r="B760" s="17" t="n">
        <v>7896.78</v>
      </c>
      <c r="C760" s="19" t="n">
        <f aca="false">B760/B759-1</f>
        <v>-0.000837614191360636</v>
      </c>
      <c r="D760" s="17" t="n">
        <f aca="false">AVERAGE(B711:B760)</f>
        <v>7547.2884</v>
      </c>
      <c r="E760" s="17" t="n">
        <f aca="false">AVERAGE(B561:B760)</f>
        <v>7166.4318</v>
      </c>
      <c r="F760" s="17" t="n">
        <f aca="false">B760*2/13+F759*11/13</f>
        <v>7786.04746613168</v>
      </c>
      <c r="G760" s="17" t="n">
        <f aca="false">B760*2/27+G759*25/27</f>
        <v>7680.33818746873</v>
      </c>
      <c r="H760" s="17" t="n">
        <f aca="false">F760-G760</f>
        <v>105.709278662952</v>
      </c>
      <c r="I760" s="17" t="n">
        <f aca="false">H760*2/10+I759*8/10</f>
        <v>89.8766593328133</v>
      </c>
      <c r="J760" s="17" t="n">
        <f aca="false">H760-I760</f>
        <v>15.8326193301386</v>
      </c>
      <c r="K760" s="17" t="n">
        <f aca="false">MAX(B760-B759,0)</f>
        <v>0</v>
      </c>
      <c r="L760" s="17" t="n">
        <f aca="false">MAX(B759-B760,0)</f>
        <v>6.61999999999989</v>
      </c>
      <c r="M760" s="17" t="n">
        <f aca="false">(M759*13+K760)/14</f>
        <v>34.4092018863347</v>
      </c>
      <c r="N760" s="17" t="n">
        <f aca="false">(N759*13+L760)/14</f>
        <v>17.3555006500326</v>
      </c>
      <c r="O760" s="17" t="n">
        <f aca="false">IF(N760=0,100,100-100/(1+M760/N760))</f>
        <v>66.4723261225359</v>
      </c>
      <c r="P760" s="17" t="n">
        <f aca="false">AVERAGE(B741:B760)+2*STDEV(B741:B760)</f>
        <v>7964.23994709739</v>
      </c>
      <c r="Q760" s="17" t="n">
        <f aca="false">AVERAGE(B741:B760)-2*STDEV(B741:B760)</f>
        <v>7459.34005290261</v>
      </c>
      <c r="R760" s="19" t="n">
        <f aca="false">B760/B740-1</f>
        <v>0.056808555342472</v>
      </c>
      <c r="S760" s="17" t="n">
        <f aca="false">STDEV(C741:C760)*SQRT(252)*100</f>
        <v>11.4162830173764</v>
      </c>
      <c r="T760" s="19" t="n">
        <f aca="false">B739/B509-1</f>
        <v>0.0372543822594762</v>
      </c>
      <c r="U760" s="19" t="n">
        <f aca="false">B760/MAX(B509:B760)-1</f>
        <v>-0.000837614191360636</v>
      </c>
      <c r="V760" s="17" t="n">
        <f aca="false">(B760-AVERAGE(B741:B760))/STDEV(B741:B760)</f>
        <v>1.46555784326338</v>
      </c>
    </row>
    <row r="761" customFormat="false" ht="15" hidden="false" customHeight="false" outlineLevel="0" collapsed="false">
      <c r="A761" s="17" t="s">
        <v>1325</v>
      </c>
      <c r="B761" s="17" t="n">
        <v>7943.24</v>
      </c>
      <c r="C761" s="19" t="n">
        <f aca="false">B761/B760-1</f>
        <v>0.00588341070664256</v>
      </c>
      <c r="D761" s="17" t="n">
        <f aca="false">AVERAGE(B712:B761)</f>
        <v>7551.1162</v>
      </c>
      <c r="E761" s="17" t="n">
        <f aca="false">AVERAGE(B562:B761)</f>
        <v>7168.40425</v>
      </c>
      <c r="F761" s="17" t="n">
        <f aca="false">B761*2/13+F760*11/13</f>
        <v>7810.23093288065</v>
      </c>
      <c r="G761" s="17" t="n">
        <f aca="false">B761*2/27+G760*25/27</f>
        <v>7699.81239580438</v>
      </c>
      <c r="H761" s="17" t="n">
        <f aca="false">F761-G761</f>
        <v>110.418537076273</v>
      </c>
      <c r="I761" s="17" t="n">
        <f aca="false">H761*2/10+I760*8/10</f>
        <v>93.9850348815053</v>
      </c>
      <c r="J761" s="17" t="n">
        <f aca="false">H761-I761</f>
        <v>16.4335021947681</v>
      </c>
      <c r="K761" s="17" t="n">
        <f aca="false">MAX(B761-B760,0)</f>
        <v>46.46</v>
      </c>
      <c r="L761" s="17" t="n">
        <f aca="false">MAX(B760-B761,0)</f>
        <v>0</v>
      </c>
      <c r="M761" s="17" t="n">
        <f aca="false">(M760*13+K761)/14</f>
        <v>35.2699731801679</v>
      </c>
      <c r="N761" s="17" t="n">
        <f aca="false">(N760*13+L761)/14</f>
        <v>16.1158220321732</v>
      </c>
      <c r="O761" s="17" t="n">
        <f aca="false">IF(N761=0,100,100-100/(1+M761/N761))</f>
        <v>68.6375933940929</v>
      </c>
      <c r="P761" s="17" t="n">
        <f aca="false">AVERAGE(B742:B761)+2*STDEV(B742:B761)</f>
        <v>7987.43440963155</v>
      </c>
      <c r="Q761" s="17" t="n">
        <f aca="false">AVERAGE(B742:B761)-2*STDEV(B742:B761)</f>
        <v>7479.40159036845</v>
      </c>
      <c r="R761" s="19" t="n">
        <f aca="false">B761/B741-1</f>
        <v>0.0575926547263363</v>
      </c>
      <c r="S761" s="17" t="n">
        <f aca="false">STDEV(C742:C761)*SQRT(252)*100</f>
        <v>11.4396589275398</v>
      </c>
      <c r="T761" s="19" t="n">
        <f aca="false">B740/B510-1</f>
        <v>0.0143953843543188</v>
      </c>
      <c r="U761" s="19" t="n">
        <f aca="false">B761/MAX(B510:B761)-1</f>
        <v>0</v>
      </c>
      <c r="V761" s="17" t="n">
        <f aca="false">(B761-AVERAGE(B742:B761))/STDEV(B742:B761)</f>
        <v>1.65203500281217</v>
      </c>
    </row>
    <row r="762" customFormat="false" ht="15" hidden="false" customHeight="false" outlineLevel="0" collapsed="false">
      <c r="A762" s="17" t="s">
        <v>1326</v>
      </c>
      <c r="B762" s="17" t="n">
        <v>7966.93</v>
      </c>
      <c r="C762" s="19" t="n">
        <f aca="false">B762/B761-1</f>
        <v>0.00298241020037171</v>
      </c>
      <c r="D762" s="17" t="n">
        <f aca="false">AVERAGE(B713:B762)</f>
        <v>7555.9736</v>
      </c>
      <c r="E762" s="17" t="n">
        <f aca="false">AVERAGE(B563:B762)</f>
        <v>7170.42295</v>
      </c>
      <c r="F762" s="17" t="n">
        <f aca="false">B762*2/13+F761*11/13</f>
        <v>7834.33848166825</v>
      </c>
      <c r="G762" s="17" t="n">
        <f aca="false">B762*2/27+G761*25/27</f>
        <v>7719.59888500406</v>
      </c>
      <c r="H762" s="17" t="n">
        <f aca="false">F762-G762</f>
        <v>114.73959666419</v>
      </c>
      <c r="I762" s="17" t="n">
        <f aca="false">H762*2/10+I761*8/10</f>
        <v>98.1359472380422</v>
      </c>
      <c r="J762" s="17" t="n">
        <f aca="false">H762-I762</f>
        <v>16.6036494261476</v>
      </c>
      <c r="K762" s="17" t="n">
        <f aca="false">MAX(B762-B761,0)</f>
        <v>23.6900000000005</v>
      </c>
      <c r="L762" s="17" t="n">
        <f aca="false">MAX(B761-B762,0)</f>
        <v>0</v>
      </c>
      <c r="M762" s="17" t="n">
        <f aca="false">(M761*13+K762)/14</f>
        <v>34.4428322387274</v>
      </c>
      <c r="N762" s="17" t="n">
        <f aca="false">(N761*13+L762)/14</f>
        <v>14.9646918870179</v>
      </c>
      <c r="O762" s="17" t="n">
        <f aca="false">IF(N762=0,100,100-100/(1+M762/N762))</f>
        <v>69.7117146592251</v>
      </c>
      <c r="P762" s="17" t="n">
        <f aca="false">AVERAGE(B743:B762)+2*STDEV(B743:B762)</f>
        <v>8002.5204198957</v>
      </c>
      <c r="Q762" s="17" t="n">
        <f aca="false">AVERAGE(B743:B762)-2*STDEV(B743:B762)</f>
        <v>7513.0975801043</v>
      </c>
      <c r="R762" s="19" t="n">
        <f aca="false">B762/B742-1</f>
        <v>0.065224338189972</v>
      </c>
      <c r="S762" s="17" t="n">
        <f aca="false">STDEV(C743:C762)*SQRT(252)*100</f>
        <v>11.1341148847805</v>
      </c>
      <c r="T762" s="19" t="n">
        <f aca="false">B741/B511-1</f>
        <v>0.0182840687543895</v>
      </c>
      <c r="U762" s="19" t="n">
        <f aca="false">B762/MAX(B511:B762)-1</f>
        <v>0</v>
      </c>
      <c r="V762" s="17" t="n">
        <f aca="false">(B762-AVERAGE(B743:B762))/STDEV(B743:B762)</f>
        <v>1.7091233428267</v>
      </c>
    </row>
    <row r="763" customFormat="false" ht="15" hidden="false" customHeight="false" outlineLevel="0" collapsed="false">
      <c r="A763" s="17" t="s">
        <v>1327</v>
      </c>
      <c r="B763" s="17" t="n">
        <v>7927.08</v>
      </c>
      <c r="C763" s="19" t="n">
        <f aca="false">B763/B762-1</f>
        <v>-0.00500192671455635</v>
      </c>
      <c r="D763" s="17" t="n">
        <f aca="false">AVERAGE(B714:B763)</f>
        <v>7557.6006</v>
      </c>
      <c r="E763" s="17" t="n">
        <f aca="false">AVERAGE(B564:B763)</f>
        <v>7172.2429</v>
      </c>
      <c r="F763" s="17" t="n">
        <f aca="false">B763*2/13+F762*11/13</f>
        <v>7848.60640756544</v>
      </c>
      <c r="G763" s="17" t="n">
        <f aca="false">B763*2/27+G762*25/27</f>
        <v>7734.96785648524</v>
      </c>
      <c r="H763" s="17" t="n">
        <f aca="false">F763-G763</f>
        <v>113.638551080201</v>
      </c>
      <c r="I763" s="17" t="n">
        <f aca="false">H763*2/10+I762*8/10</f>
        <v>101.236468006474</v>
      </c>
      <c r="J763" s="17" t="n">
        <f aca="false">H763-I763</f>
        <v>12.4020830737271</v>
      </c>
      <c r="K763" s="17" t="n">
        <f aca="false">MAX(B763-B762,0)</f>
        <v>0</v>
      </c>
      <c r="L763" s="17" t="n">
        <f aca="false">MAX(B762-B763,0)</f>
        <v>39.8500000000004</v>
      </c>
      <c r="M763" s="17" t="n">
        <f aca="false">(M762*13+K763)/14</f>
        <v>31.9826299359611</v>
      </c>
      <c r="N763" s="17" t="n">
        <f aca="false">(N762*13+L763)/14</f>
        <v>16.7422138950881</v>
      </c>
      <c r="O763" s="17" t="n">
        <f aca="false">IF(N763=0,100,100-100/(1+M763/N763))</f>
        <v>65.6392661757094</v>
      </c>
      <c r="P763" s="17" t="n">
        <f aca="false">AVERAGE(B744:B763)+2*STDEV(B744:B763)</f>
        <v>8007.97797721545</v>
      </c>
      <c r="Q763" s="17" t="n">
        <f aca="false">AVERAGE(B744:B763)-2*STDEV(B744:B763)</f>
        <v>7547.69602278455</v>
      </c>
      <c r="R763" s="19" t="n">
        <f aca="false">B763/B743-1</f>
        <v>0.0532198147350966</v>
      </c>
      <c r="S763" s="17" t="n">
        <f aca="false">STDEV(C744:C763)*SQRT(252)*100</f>
        <v>11.4321472484621</v>
      </c>
      <c r="T763" s="19" t="n">
        <f aca="false">B742/B512-1</f>
        <v>0.0164734503051143</v>
      </c>
      <c r="U763" s="19" t="n">
        <f aca="false">B763/MAX(B512:B763)-1</f>
        <v>-0.00500192671455635</v>
      </c>
      <c r="V763" s="17" t="n">
        <f aca="false">(B763-AVERAGE(B744:B763))/STDEV(B744:B763)</f>
        <v>1.29697024672214</v>
      </c>
    </row>
    <row r="764" customFormat="false" ht="15" hidden="false" customHeight="false" outlineLevel="0" collapsed="false">
      <c r="A764" s="17" t="s">
        <v>1328</v>
      </c>
      <c r="B764" s="17" t="n">
        <v>7888.76</v>
      </c>
      <c r="C764" s="19" t="n">
        <f aca="false">B764/B763-1</f>
        <v>-0.00483406247950058</v>
      </c>
      <c r="D764" s="17" t="n">
        <f aca="false">AVERAGE(B715:B764)</f>
        <v>7559.494</v>
      </c>
      <c r="E764" s="17" t="n">
        <f aca="false">AVERAGE(B565:B764)</f>
        <v>7173.53885</v>
      </c>
      <c r="F764" s="17" t="n">
        <f aca="false">B764*2/13+F763*11/13</f>
        <v>7854.7838833246</v>
      </c>
      <c r="G764" s="17" t="n">
        <f aca="false">B764*2/27+G763*25/27</f>
        <v>7746.35986711596</v>
      </c>
      <c r="H764" s="17" t="n">
        <f aca="false">F764-G764</f>
        <v>108.424016208641</v>
      </c>
      <c r="I764" s="17" t="n">
        <f aca="false">H764*2/10+I763*8/10</f>
        <v>102.673977646907</v>
      </c>
      <c r="J764" s="17" t="n">
        <f aca="false">H764-I764</f>
        <v>5.75003856173342</v>
      </c>
      <c r="K764" s="17" t="n">
        <f aca="false">MAX(B764-B763,0)</f>
        <v>0</v>
      </c>
      <c r="L764" s="17" t="n">
        <f aca="false">MAX(B763-B764,0)</f>
        <v>38.3199999999997</v>
      </c>
      <c r="M764" s="17" t="n">
        <f aca="false">(M763*13+K764)/14</f>
        <v>29.6981563691068</v>
      </c>
      <c r="N764" s="17" t="n">
        <f aca="false">(N763*13+L764)/14</f>
        <v>18.2834843311532</v>
      </c>
      <c r="O764" s="17" t="n">
        <f aca="false">IF(N764=0,100,100-100/(1+M764/N764))</f>
        <v>61.8948329729497</v>
      </c>
      <c r="P764" s="17" t="n">
        <f aca="false">AVERAGE(B745:B764)+2*STDEV(B745:B764)</f>
        <v>8015.4677703</v>
      </c>
      <c r="Q764" s="17" t="n">
        <f aca="false">AVERAGE(B745:B764)-2*STDEV(B745:B764)</f>
        <v>7565.5422297</v>
      </c>
      <c r="R764" s="19" t="n">
        <f aca="false">B764/B744-1</f>
        <v>0.0331822825261283</v>
      </c>
      <c r="S764" s="17" t="n">
        <f aca="false">STDEV(C745:C764)*SQRT(252)*100</f>
        <v>10.8159099803856</v>
      </c>
      <c r="T764" s="19" t="n">
        <f aca="false">B743/B513-1</f>
        <v>0.0165629149001403</v>
      </c>
      <c r="U764" s="19" t="n">
        <f aca="false">B764/MAX(B513:B764)-1</f>
        <v>-0.00981180956780092</v>
      </c>
      <c r="V764" s="17" t="n">
        <f aca="false">(B764-AVERAGE(B745:B764))/STDEV(B745:B764)</f>
        <v>0.87352231543886</v>
      </c>
    </row>
    <row r="765" customFormat="false" ht="15" hidden="false" customHeight="false" outlineLevel="0" collapsed="false">
      <c r="A765" s="17" t="s">
        <v>1329</v>
      </c>
      <c r="B765" s="17" t="n">
        <v>7904.13</v>
      </c>
      <c r="C765" s="19" t="n">
        <f aca="false">B765/B764-1</f>
        <v>0.00194834169121627</v>
      </c>
      <c r="D765" s="17" t="n">
        <f aca="false">AVERAGE(B716:B765)</f>
        <v>7564.7736</v>
      </c>
      <c r="E765" s="17" t="n">
        <f aca="false">AVERAGE(B566:B765)</f>
        <v>7174.92125</v>
      </c>
      <c r="F765" s="17" t="n">
        <f aca="false">B765*2/13+F764*11/13</f>
        <v>7862.37559358236</v>
      </c>
      <c r="G765" s="17" t="n">
        <f aca="false">B765*2/27+G764*25/27</f>
        <v>7758.04654362589</v>
      </c>
      <c r="H765" s="17" t="n">
        <f aca="false">F765-G765</f>
        <v>104.329049956466</v>
      </c>
      <c r="I765" s="17" t="n">
        <f aca="false">H765*2/10+I764*8/10</f>
        <v>103.004992108819</v>
      </c>
      <c r="J765" s="17" t="n">
        <f aca="false">H765-I765</f>
        <v>1.32405784764654</v>
      </c>
      <c r="K765" s="17" t="n">
        <f aca="false">MAX(B765-B764,0)</f>
        <v>15.3699999999999</v>
      </c>
      <c r="L765" s="17" t="n">
        <f aca="false">MAX(B764-B765,0)</f>
        <v>0</v>
      </c>
      <c r="M765" s="17" t="n">
        <f aca="false">(M764*13+K765)/14</f>
        <v>28.6747166284563</v>
      </c>
      <c r="N765" s="17" t="n">
        <f aca="false">(N764*13+L765)/14</f>
        <v>16.9775211646423</v>
      </c>
      <c r="O765" s="17" t="n">
        <f aca="false">IF(N765=0,100,100-100/(1+M765/N765))</f>
        <v>62.8111961529981</v>
      </c>
      <c r="P765" s="17" t="n">
        <f aca="false">AVERAGE(B746:B765)+2*STDEV(B746:B765)</f>
        <v>8024.95686720042</v>
      </c>
      <c r="Q765" s="17" t="n">
        <f aca="false">AVERAGE(B746:B765)-2*STDEV(B746:B765)</f>
        <v>7579.69213279958</v>
      </c>
      <c r="R765" s="19" t="n">
        <f aca="false">B765/B745-1</f>
        <v>0.0308291621781647</v>
      </c>
      <c r="S765" s="17" t="n">
        <f aca="false">STDEV(C746:C765)*SQRT(252)*100</f>
        <v>10.7739402888532</v>
      </c>
      <c r="T765" s="19" t="n">
        <f aca="false">B744/B514-1</f>
        <v>0.0331888613596782</v>
      </c>
      <c r="U765" s="19" t="n">
        <f aca="false">B765/MAX(B514:B765)-1</f>
        <v>-0.00788258463423175</v>
      </c>
      <c r="V765" s="17" t="n">
        <f aca="false">(B765-AVERAGE(B746:B765))/STDEV(B746:B765)</f>
        <v>0.914561537302002</v>
      </c>
    </row>
    <row r="766" customFormat="false" ht="15" hidden="false" customHeight="false" outlineLevel="0" collapsed="false">
      <c r="A766" s="17" t="s">
        <v>1330</v>
      </c>
      <c r="B766" s="17" t="n">
        <v>7834.9</v>
      </c>
      <c r="C766" s="19" t="n">
        <f aca="false">B766/B765-1</f>
        <v>-0.00875871221753699</v>
      </c>
      <c r="D766" s="17" t="n">
        <f aca="false">AVERAGE(B717:B766)</f>
        <v>7569.1206</v>
      </c>
      <c r="E766" s="17" t="n">
        <f aca="false">AVERAGE(B567:B766)</f>
        <v>7175.8685</v>
      </c>
      <c r="F766" s="17" t="n">
        <f aca="false">B766*2/13+F765*11/13</f>
        <v>7858.14857918507</v>
      </c>
      <c r="G766" s="17" t="n">
        <f aca="false">B766*2/27+G765*25/27</f>
        <v>7763.73939224619</v>
      </c>
      <c r="H766" s="17" t="n">
        <f aca="false">F766-G766</f>
        <v>94.4091869388767</v>
      </c>
      <c r="I766" s="17" t="n">
        <f aca="false">H766*2/10+I765*8/10</f>
        <v>101.285831074831</v>
      </c>
      <c r="J766" s="17" t="n">
        <f aca="false">H766-I766</f>
        <v>-6.8766441359538</v>
      </c>
      <c r="K766" s="17" t="n">
        <f aca="false">MAX(B766-B765,0)</f>
        <v>0</v>
      </c>
      <c r="L766" s="17" t="n">
        <f aca="false">MAX(B765-B766,0)</f>
        <v>69.2300000000005</v>
      </c>
      <c r="M766" s="17" t="n">
        <f aca="false">(M765*13+K766)/14</f>
        <v>26.6265225835666</v>
      </c>
      <c r="N766" s="17" t="n">
        <f aca="false">(N765*13+L766)/14</f>
        <v>20.7098410814536</v>
      </c>
      <c r="O766" s="17" t="n">
        <f aca="false">IF(N766=0,100,100-100/(1+M766/N766))</f>
        <v>56.2496155640333</v>
      </c>
      <c r="P766" s="17" t="n">
        <f aca="false">AVERAGE(B747:B766)+2*STDEV(B747:B766)</f>
        <v>8028.11973017691</v>
      </c>
      <c r="Q766" s="17" t="n">
        <f aca="false">AVERAGE(B747:B766)-2*STDEV(B747:B766)</f>
        <v>7586.21426982309</v>
      </c>
      <c r="R766" s="19" t="n">
        <f aca="false">B766/B746-1</f>
        <v>0.0125160731708893</v>
      </c>
      <c r="S766" s="17" t="n">
        <f aca="false">STDEV(C747:C766)*SQRT(252)*100</f>
        <v>10.9680911125683</v>
      </c>
      <c r="T766" s="19" t="n">
        <f aca="false">B745/B515-1</f>
        <v>0.0428950704263664</v>
      </c>
      <c r="U766" s="19" t="n">
        <f aca="false">B766/MAX(B515:B766)-1</f>
        <v>-0.0165722555614272</v>
      </c>
      <c r="V766" s="17" t="n">
        <f aca="false">(B766-AVERAGE(B747:B766))/STDEV(B747:B766)</f>
        <v>0.25103106875208</v>
      </c>
    </row>
    <row r="767" customFormat="false" ht="15" hidden="false" customHeight="false" outlineLevel="0" collapsed="false">
      <c r="A767" s="17" t="s">
        <v>1331</v>
      </c>
      <c r="B767" s="17" t="n">
        <v>7905.12</v>
      </c>
      <c r="C767" s="19" t="n">
        <f aca="false">B767/B766-1</f>
        <v>0.00896246282658364</v>
      </c>
      <c r="D767" s="17" t="n">
        <f aca="false">AVERAGE(B718:B767)</f>
        <v>7575.568</v>
      </c>
      <c r="E767" s="17" t="n">
        <f aca="false">AVERAGE(B568:B767)</f>
        <v>7177.2527</v>
      </c>
      <c r="F767" s="17" t="n">
        <f aca="false">B767*2/13+F766*11/13</f>
        <v>7865.37495161814</v>
      </c>
      <c r="G767" s="17" t="n">
        <f aca="false">B767*2/27+G766*25/27</f>
        <v>7774.21202985759</v>
      </c>
      <c r="H767" s="17" t="n">
        <f aca="false">F767-G767</f>
        <v>91.1629217605487</v>
      </c>
      <c r="I767" s="17" t="n">
        <f aca="false">H767*2/10+I766*8/10</f>
        <v>99.2612492119741</v>
      </c>
      <c r="J767" s="17" t="n">
        <f aca="false">H767-I767</f>
        <v>-8.09832745142546</v>
      </c>
      <c r="K767" s="17" t="n">
        <f aca="false">MAX(B767-B766,0)</f>
        <v>70.2200000000003</v>
      </c>
      <c r="L767" s="17" t="n">
        <f aca="false">MAX(B766-B767,0)</f>
        <v>0</v>
      </c>
      <c r="M767" s="17" t="n">
        <f aca="false">(M766*13+K767)/14</f>
        <v>29.7403423990261</v>
      </c>
      <c r="N767" s="17" t="n">
        <f aca="false">(N766*13+L767)/14</f>
        <v>19.2305667184926</v>
      </c>
      <c r="O767" s="17" t="n">
        <f aca="false">IF(N767=0,100,100-100/(1+M767/N767))</f>
        <v>60.730631583041</v>
      </c>
      <c r="P767" s="17" t="n">
        <f aca="false">AVERAGE(B748:B767)+2*STDEV(B748:B767)</f>
        <v>8037.83790938989</v>
      </c>
      <c r="Q767" s="17" t="n">
        <f aca="false">AVERAGE(B748:B767)-2*STDEV(B748:B767)</f>
        <v>7594.13009061011</v>
      </c>
      <c r="R767" s="19" t="n">
        <f aca="false">B767/B747-1</f>
        <v>0.0228160201221928</v>
      </c>
      <c r="S767" s="17" t="n">
        <f aca="false">STDEV(C748:C767)*SQRT(252)*100</f>
        <v>11.3287169417863</v>
      </c>
      <c r="T767" s="19" t="n">
        <f aca="false">B746/B516-1</f>
        <v>0.052762974764055</v>
      </c>
      <c r="U767" s="19" t="n">
        <f aca="false">B767/MAX(B516:B767)-1</f>
        <v>-0.00775832095926543</v>
      </c>
      <c r="V767" s="17" t="n">
        <f aca="false">(B767-AVERAGE(B748:B767))/STDEV(B748:B767)</f>
        <v>0.803555819639401</v>
      </c>
    </row>
    <row r="768" customFormat="false" ht="15" hidden="false" customHeight="false" outlineLevel="0" collapsed="false">
      <c r="A768" s="17" t="s">
        <v>1332</v>
      </c>
      <c r="B768" s="17" t="n">
        <v>7954.56</v>
      </c>
      <c r="C768" s="19" t="n">
        <f aca="false">B768/B767-1</f>
        <v>0.00625417450968491</v>
      </c>
      <c r="D768" s="17" t="n">
        <f aca="false">AVERAGE(B719:B768)</f>
        <v>7582.9286</v>
      </c>
      <c r="E768" s="17" t="n">
        <f aca="false">AVERAGE(B569:B768)</f>
        <v>7178.83835</v>
      </c>
      <c r="F768" s="17" t="n">
        <f aca="false">B768*2/13+F767*11/13</f>
        <v>7879.09572829227</v>
      </c>
      <c r="G768" s="17" t="n">
        <f aca="false">B768*2/27+G767*25/27</f>
        <v>7787.57113875703</v>
      </c>
      <c r="H768" s="17" t="n">
        <f aca="false">F768-G768</f>
        <v>91.5245895352437</v>
      </c>
      <c r="I768" s="17" t="n">
        <f aca="false">H768*2/10+I767*8/10</f>
        <v>97.713917276628</v>
      </c>
      <c r="J768" s="17" t="n">
        <f aca="false">H768-I768</f>
        <v>-6.18932774138439</v>
      </c>
      <c r="K768" s="17" t="n">
        <f aca="false">MAX(B768-B767,0)</f>
        <v>49.4400000000005</v>
      </c>
      <c r="L768" s="17" t="n">
        <f aca="false">MAX(B767-B768,0)</f>
        <v>0</v>
      </c>
      <c r="M768" s="17" t="n">
        <f aca="false">(M767*13+K768)/14</f>
        <v>31.1474607990957</v>
      </c>
      <c r="N768" s="17" t="n">
        <f aca="false">(N767*13+L768)/14</f>
        <v>17.8569548100288</v>
      </c>
      <c r="O768" s="17" t="n">
        <f aca="false">IF(N768=0,100,100-100/(1+M768/N768))</f>
        <v>63.560518806179</v>
      </c>
      <c r="P768" s="17" t="n">
        <f aca="false">AVERAGE(B749:B768)+2*STDEV(B749:B768)</f>
        <v>8053.12296962954</v>
      </c>
      <c r="Q768" s="17" t="n">
        <f aca="false">AVERAGE(B749:B768)-2*STDEV(B749:B768)</f>
        <v>7601.99903037046</v>
      </c>
      <c r="R768" s="19" t="n">
        <f aca="false">B768/B748-1</f>
        <v>0.0299804998562738</v>
      </c>
      <c r="S768" s="17" t="n">
        <f aca="false">STDEV(C749:C768)*SQRT(252)*100</f>
        <v>11.4450249004572</v>
      </c>
      <c r="T768" s="19" t="n">
        <f aca="false">B747/B517-1</f>
        <v>0.0484279237850289</v>
      </c>
      <c r="U768" s="19" t="n">
        <f aca="false">B768/MAX(B517:B768)-1</f>
        <v>-0.00155266834276191</v>
      </c>
      <c r="V768" s="17" t="n">
        <f aca="false">(B768-AVERAGE(B749:B768))/STDEV(B749:B768)</f>
        <v>1.12606748565445</v>
      </c>
    </row>
    <row r="769" customFormat="false" ht="15" hidden="false" customHeight="false" outlineLevel="0" collapsed="false">
      <c r="A769" s="17" t="s">
        <v>1333</v>
      </c>
      <c r="B769" s="17" t="n">
        <v>8010.61</v>
      </c>
      <c r="C769" s="19" t="n">
        <f aca="false">B769/B768-1</f>
        <v>0.00704627282967252</v>
      </c>
      <c r="D769" s="17" t="n">
        <f aca="false">AVERAGE(B720:B769)</f>
        <v>7596.6582</v>
      </c>
      <c r="E769" s="17" t="n">
        <f aca="false">AVERAGE(B570:B769)</f>
        <v>7181.4414</v>
      </c>
      <c r="F769" s="17" t="n">
        <f aca="false">B769*2/13+F768*11/13</f>
        <v>7899.32869317038</v>
      </c>
      <c r="G769" s="17" t="n">
        <f aca="false">B769*2/27+G768*25/27</f>
        <v>7804.09253588613</v>
      </c>
      <c r="H769" s="17" t="n">
        <f aca="false">F769-G769</f>
        <v>95.2361572842474</v>
      </c>
      <c r="I769" s="17" t="n">
        <f aca="false">H769*2/10+I768*8/10</f>
        <v>97.2183652781519</v>
      </c>
      <c r="J769" s="17" t="n">
        <f aca="false">H769-I769</f>
        <v>-1.98220799390452</v>
      </c>
      <c r="K769" s="17" t="n">
        <f aca="false">MAX(B769-B768,0)</f>
        <v>56.0499999999993</v>
      </c>
      <c r="L769" s="17" t="n">
        <f aca="false">MAX(B768-B769,0)</f>
        <v>0</v>
      </c>
      <c r="M769" s="17" t="n">
        <f aca="false">(M768*13+K769)/14</f>
        <v>32.9262135991602</v>
      </c>
      <c r="N769" s="17" t="n">
        <f aca="false">(N768*13+L769)/14</f>
        <v>16.5814580378839</v>
      </c>
      <c r="O769" s="17" t="n">
        <f aca="false">IF(N769=0,100,100-100/(1+M769/N769))</f>
        <v>66.5072957592358</v>
      </c>
      <c r="P769" s="17" t="n">
        <f aca="false">AVERAGE(B750:B769)+2*STDEV(B750:B769)</f>
        <v>8059.12339214746</v>
      </c>
      <c r="Q769" s="17" t="n">
        <f aca="false">AVERAGE(B750:B769)-2*STDEV(B750:B769)</f>
        <v>7637.90560785254</v>
      </c>
      <c r="R769" s="19" t="n">
        <f aca="false">B769/B749-1</f>
        <v>0.0552022382810338</v>
      </c>
      <c r="S769" s="17" t="n">
        <f aca="false">STDEV(C750:C769)*SQRT(252)*100</f>
        <v>9.25715636567099</v>
      </c>
      <c r="T769" s="19" t="n">
        <f aca="false">B748/B518-1</f>
        <v>0.0427706329113924</v>
      </c>
      <c r="U769" s="19" t="n">
        <f aca="false">B769/MAX(B518:B769)-1</f>
        <v>0</v>
      </c>
      <c r="V769" s="17" t="n">
        <f aca="false">(B769-AVERAGE(B750:B769))/STDEV(B750:B769)</f>
        <v>1.53930347714387</v>
      </c>
    </row>
    <row r="770" customFormat="false" ht="15" hidden="false" customHeight="false" outlineLevel="0" collapsed="false">
      <c r="A770" s="17" t="s">
        <v>1334</v>
      </c>
      <c r="B770" s="17" t="n">
        <v>7929.87</v>
      </c>
      <c r="C770" s="19" t="n">
        <f aca="false">B770/B769-1</f>
        <v>-0.0100791325504549</v>
      </c>
      <c r="D770" s="17" t="n">
        <f aca="false">AVERAGE(B721:B770)</f>
        <v>7607.218</v>
      </c>
      <c r="E770" s="17" t="n">
        <f aca="false">AVERAGE(B571:B770)</f>
        <v>7184.0957</v>
      </c>
      <c r="F770" s="17" t="n">
        <f aca="false">B770*2/13+F769*11/13</f>
        <v>7904.02735575955</v>
      </c>
      <c r="G770" s="17" t="n">
        <f aca="false">B770*2/27+G769*25/27</f>
        <v>7813.40938507975</v>
      </c>
      <c r="H770" s="17" t="n">
        <f aca="false">F770-G770</f>
        <v>90.6179706798012</v>
      </c>
      <c r="I770" s="17" t="n">
        <f aca="false">H770*2/10+I769*8/10</f>
        <v>95.8982863584818</v>
      </c>
      <c r="J770" s="17" t="n">
        <f aca="false">H770-I770</f>
        <v>-5.28031567868061</v>
      </c>
      <c r="K770" s="17" t="n">
        <f aca="false">MAX(B770-B769,0)</f>
        <v>0</v>
      </c>
      <c r="L770" s="17" t="n">
        <f aca="false">MAX(B769-B770,0)</f>
        <v>80.7399999999998</v>
      </c>
      <c r="M770" s="17" t="n">
        <f aca="false">(M769*13+K770)/14</f>
        <v>30.5743411992202</v>
      </c>
      <c r="N770" s="17" t="n">
        <f aca="false">(N769*13+L770)/14</f>
        <v>21.1642110351779</v>
      </c>
      <c r="O770" s="17" t="n">
        <f aca="false">IF(N770=0,100,100-100/(1+M770/N770))</f>
        <v>59.0939248951249</v>
      </c>
      <c r="P770" s="17" t="n">
        <f aca="false">AVERAGE(B751:B770)+2*STDEV(B751:B770)</f>
        <v>8049.28597384522</v>
      </c>
      <c r="Q770" s="17" t="n">
        <f aca="false">AVERAGE(B751:B770)-2*STDEV(B751:B770)</f>
        <v>7678.02502615478</v>
      </c>
      <c r="R770" s="19" t="n">
        <f aca="false">B770/B750-1</f>
        <v>0.0397034239974825</v>
      </c>
      <c r="S770" s="17" t="n">
        <f aca="false">STDEV(C751:C770)*SQRT(252)*100</f>
        <v>10.2672612360732</v>
      </c>
      <c r="T770" s="19" t="n">
        <f aca="false">B749/B519-1</f>
        <v>0.0110473471051156</v>
      </c>
      <c r="U770" s="19" t="n">
        <f aca="false">B770/MAX(B519:B770)-1</f>
        <v>-0.0100791325504549</v>
      </c>
      <c r="V770" s="17" t="n">
        <f aca="false">(B770-AVERAGE(B751:B770))/STDEV(B751:B770)</f>
        <v>0.713401184928418</v>
      </c>
    </row>
    <row r="771" customFormat="false" ht="15" hidden="false" customHeight="false" outlineLevel="0" collapsed="false">
      <c r="A771" s="17" t="s">
        <v>1335</v>
      </c>
      <c r="B771" s="17" t="n">
        <v>8016.95</v>
      </c>
      <c r="C771" s="19" t="n">
        <f aca="false">B771/B770-1</f>
        <v>0.0109812645100109</v>
      </c>
      <c r="D771" s="17" t="n">
        <f aca="false">AVERAGE(B722:B771)</f>
        <v>7617.492</v>
      </c>
      <c r="E771" s="17" t="n">
        <f aca="false">AVERAGE(B572:B771)</f>
        <v>7187.41635</v>
      </c>
      <c r="F771" s="17" t="n">
        <f aca="false">B771*2/13+F770*11/13</f>
        <v>7921.40007025808</v>
      </c>
      <c r="G771" s="17" t="n">
        <f aca="false">B771*2/27+G770*25/27</f>
        <v>7828.48646766644</v>
      </c>
      <c r="H771" s="17" t="n">
        <f aca="false">F771-G771</f>
        <v>92.9136025916459</v>
      </c>
      <c r="I771" s="17" t="n">
        <f aca="false">H771*2/10+I770*8/10</f>
        <v>95.3013496051146</v>
      </c>
      <c r="J771" s="17" t="n">
        <f aca="false">H771-I771</f>
        <v>-2.38774701346864</v>
      </c>
      <c r="K771" s="17" t="n">
        <f aca="false">MAX(B771-B770,0)</f>
        <v>87.0799999999999</v>
      </c>
      <c r="L771" s="17" t="n">
        <f aca="false">MAX(B770-B771,0)</f>
        <v>0</v>
      </c>
      <c r="M771" s="17" t="n">
        <f aca="false">(M770*13+K771)/14</f>
        <v>34.6104596849902</v>
      </c>
      <c r="N771" s="17" t="n">
        <f aca="false">(N770*13+L771)/14</f>
        <v>19.6524816755224</v>
      </c>
      <c r="O771" s="17" t="n">
        <f aca="false">IF(N771=0,100,100-100/(1+M771/N771))</f>
        <v>63.782866938681</v>
      </c>
      <c r="P771" s="17" t="n">
        <f aca="false">AVERAGE(B752:B771)+2*STDEV(B752:B771)</f>
        <v>8052.10850007163</v>
      </c>
      <c r="Q771" s="17" t="n">
        <f aca="false">AVERAGE(B752:B771)-2*STDEV(B752:B771)</f>
        <v>7711.19249992837</v>
      </c>
      <c r="R771" s="19" t="n">
        <f aca="false">B771/B751-1</f>
        <v>0.0470024356638652</v>
      </c>
      <c r="S771" s="17" t="n">
        <f aca="false">STDEV(C752:C771)*SQRT(252)*100</f>
        <v>10.7400548841973</v>
      </c>
      <c r="T771" s="19" t="n">
        <f aca="false">B750/B520-1</f>
        <v>0.0305779819612877</v>
      </c>
      <c r="U771" s="19" t="n">
        <f aca="false">B771/MAX(B520:B771)-1</f>
        <v>0</v>
      </c>
      <c r="V771" s="17" t="n">
        <f aca="false">(B771-AVERAGE(B752:B771))/STDEV(B752:B771)</f>
        <v>1.58748195969847</v>
      </c>
    </row>
    <row r="772" customFormat="false" ht="15" hidden="false" customHeight="false" outlineLevel="0" collapsed="false">
      <c r="A772" s="17" t="s">
        <v>1336</v>
      </c>
      <c r="B772" s="17" t="n">
        <v>7989.08</v>
      </c>
      <c r="C772" s="19" t="n">
        <f aca="false">B772/B771-1</f>
        <v>-0.00347638441053022</v>
      </c>
      <c r="D772" s="17" t="n">
        <f aca="false">AVERAGE(B723:B772)</f>
        <v>7625.6708</v>
      </c>
      <c r="E772" s="17" t="n">
        <f aca="false">AVERAGE(B573:B772)</f>
        <v>7190.50365</v>
      </c>
      <c r="F772" s="17" t="n">
        <f aca="false">B772*2/13+F771*11/13</f>
        <v>7931.81236714146</v>
      </c>
      <c r="G772" s="17" t="n">
        <f aca="false">B772*2/27+G771*25/27</f>
        <v>7840.38228487633</v>
      </c>
      <c r="H772" s="17" t="n">
        <f aca="false">F772-G772</f>
        <v>91.4300822651239</v>
      </c>
      <c r="I772" s="17" t="n">
        <f aca="false">H772*2/10+I771*8/10</f>
        <v>94.5270961371164</v>
      </c>
      <c r="J772" s="17" t="n">
        <f aca="false">H772-I772</f>
        <v>-3.09701387199252</v>
      </c>
      <c r="K772" s="17" t="n">
        <f aca="false">MAX(B772-B771,0)</f>
        <v>0</v>
      </c>
      <c r="L772" s="17" t="n">
        <f aca="false">MAX(B771-B772,0)</f>
        <v>27.8699999999999</v>
      </c>
      <c r="M772" s="17" t="n">
        <f aca="false">(M771*13+K772)/14</f>
        <v>32.1382839932052</v>
      </c>
      <c r="N772" s="17" t="n">
        <f aca="false">(N771*13+L772)/14</f>
        <v>20.2394472701279</v>
      </c>
      <c r="O772" s="17" t="n">
        <f aca="false">IF(N772=0,100,100-100/(1+M772/N772))</f>
        <v>61.3586789997213</v>
      </c>
      <c r="P772" s="17" t="n">
        <f aca="false">AVERAGE(B753:B772)+2*STDEV(B753:B772)</f>
        <v>8042.7622354218</v>
      </c>
      <c r="Q772" s="17" t="n">
        <f aca="false">AVERAGE(B753:B772)-2*STDEV(B753:B772)</f>
        <v>7752.3387645782</v>
      </c>
      <c r="R772" s="19" t="n">
        <f aca="false">B772/B752-1</f>
        <v>0.0414543975554942</v>
      </c>
      <c r="S772" s="17" t="n">
        <f aca="false">STDEV(C753:C772)*SQRT(252)*100</f>
        <v>10.9356214030994</v>
      </c>
      <c r="T772" s="19" t="n">
        <f aca="false">B751/B521-1</f>
        <v>0.0493738333895226</v>
      </c>
      <c r="U772" s="19" t="n">
        <f aca="false">B772/MAX(B521:B772)-1</f>
        <v>-0.00347638441053022</v>
      </c>
      <c r="V772" s="17" t="n">
        <f aca="false">(B772-AVERAGE(B753:B772))/STDEV(B753:B772)</f>
        <v>1.26063502697123</v>
      </c>
    </row>
    <row r="773" customFormat="false" ht="15" hidden="false" customHeight="false" outlineLevel="0" collapsed="false">
      <c r="A773" s="17" t="s">
        <v>1337</v>
      </c>
      <c r="B773" s="17" t="n">
        <v>7952.47</v>
      </c>
      <c r="C773" s="19" t="n">
        <f aca="false">B773/B772-1</f>
        <v>-0.0045825051194881</v>
      </c>
      <c r="D773" s="17" t="n">
        <f aca="false">AVERAGE(B724:B773)</f>
        <v>7634.6466</v>
      </c>
      <c r="E773" s="17" t="n">
        <f aca="false">AVERAGE(B574:B773)</f>
        <v>7195.0435</v>
      </c>
      <c r="F773" s="17" t="n">
        <f aca="false">B773*2/13+F772*11/13</f>
        <v>7934.99046450431</v>
      </c>
      <c r="G773" s="17" t="n">
        <f aca="false">B773*2/27+G772*25/27</f>
        <v>7848.6850785892</v>
      </c>
      <c r="H773" s="17" t="n">
        <f aca="false">F773-G773</f>
        <v>86.3053859151132</v>
      </c>
      <c r="I773" s="17" t="n">
        <f aca="false">H773*2/10+I772*8/10</f>
        <v>92.8827540927158</v>
      </c>
      <c r="J773" s="17" t="n">
        <f aca="false">H773-I773</f>
        <v>-6.57736817760258</v>
      </c>
      <c r="K773" s="17" t="n">
        <f aca="false">MAX(B773-B772,0)</f>
        <v>0</v>
      </c>
      <c r="L773" s="17" t="n">
        <f aca="false">MAX(B772-B773,0)</f>
        <v>36.6099999999997</v>
      </c>
      <c r="M773" s="17" t="n">
        <f aca="false">(M772*13+K773)/14</f>
        <v>29.8426922794048</v>
      </c>
      <c r="N773" s="17" t="n">
        <f aca="false">(N772*13+L773)/14</f>
        <v>21.4087724651187</v>
      </c>
      <c r="O773" s="17" t="n">
        <f aca="false">IF(N773=0,100,100-100/(1+M773/N773))</f>
        <v>58.2279792941794</v>
      </c>
      <c r="P773" s="17" t="n">
        <f aca="false">AVERAGE(B754:B773)+2*STDEV(B754:B773)</f>
        <v>8040.3262318983</v>
      </c>
      <c r="Q773" s="17" t="n">
        <f aca="false">AVERAGE(B754:B773)-2*STDEV(B754:B773)</f>
        <v>7773.2077681017</v>
      </c>
      <c r="R773" s="19" t="n">
        <f aca="false">B773/B753-1</f>
        <v>0.0237289750184728</v>
      </c>
      <c r="S773" s="17" t="n">
        <f aca="false">STDEV(C754:C773)*SQRT(252)*100</f>
        <v>10.4195666708071</v>
      </c>
      <c r="T773" s="19" t="n">
        <f aca="false">B752/B522-1</f>
        <v>0.0664497921619329</v>
      </c>
      <c r="U773" s="19" t="n">
        <f aca="false">B773/MAX(B522:B773)-1</f>
        <v>-0.00804295898065965</v>
      </c>
      <c r="V773" s="17" t="n">
        <f aca="false">(B773-AVERAGE(B754:B773))/STDEV(B754:B773)</f>
        <v>0.684385487254109</v>
      </c>
    </row>
    <row r="774" customFormat="false" ht="15" hidden="false" customHeight="false" outlineLevel="0" collapsed="false">
      <c r="A774" s="17" t="s">
        <v>1338</v>
      </c>
      <c r="B774" s="17" t="n">
        <v>7848.78</v>
      </c>
      <c r="C774" s="19" t="n">
        <f aca="false">B774/B773-1</f>
        <v>-0.0130387162730574</v>
      </c>
      <c r="D774" s="17" t="n">
        <f aca="false">AVERAGE(B725:B774)</f>
        <v>7644.0882</v>
      </c>
      <c r="E774" s="17" t="n">
        <f aca="false">AVERAGE(B575:B774)</f>
        <v>7199.46725</v>
      </c>
      <c r="F774" s="17" t="n">
        <f aca="false">B774*2/13+F773*11/13</f>
        <v>7921.72731611903</v>
      </c>
      <c r="G774" s="17" t="n">
        <f aca="false">B774*2/27+G773*25/27</f>
        <v>7848.69210980481</v>
      </c>
      <c r="H774" s="17" t="n">
        <f aca="false">F774-G774</f>
        <v>73.03520631422</v>
      </c>
      <c r="I774" s="17" t="n">
        <f aca="false">H774*2/10+I773*8/10</f>
        <v>88.9132445370166</v>
      </c>
      <c r="J774" s="17" t="n">
        <f aca="false">H774-I774</f>
        <v>-15.8780382227967</v>
      </c>
      <c r="K774" s="17" t="n">
        <f aca="false">MAX(B774-B773,0)</f>
        <v>0</v>
      </c>
      <c r="L774" s="17" t="n">
        <f aca="false">MAX(B773-B774,0)</f>
        <v>103.690000000001</v>
      </c>
      <c r="M774" s="17" t="n">
        <f aca="false">(M773*13+K774)/14</f>
        <v>27.7110714023045</v>
      </c>
      <c r="N774" s="17" t="n">
        <f aca="false">(N773*13+L774)/14</f>
        <v>27.2860030033246</v>
      </c>
      <c r="O774" s="17" t="n">
        <f aca="false">IF(N774=0,100,100-100/(1+M774/N774))</f>
        <v>50.3864463733515</v>
      </c>
      <c r="P774" s="17" t="n">
        <f aca="false">AVERAGE(B755:B774)+2*STDEV(B755:B774)</f>
        <v>8036.15120635662</v>
      </c>
      <c r="Q774" s="17" t="n">
        <f aca="false">AVERAGE(B755:B774)-2*STDEV(B755:B774)</f>
        <v>7782.27879364338</v>
      </c>
      <c r="R774" s="19" t="n">
        <f aca="false">B774/B754-1</f>
        <v>0.00627706793233696</v>
      </c>
      <c r="S774" s="17" t="n">
        <f aca="false">STDEV(C755:C774)*SQRT(252)*100</f>
        <v>11.5059588136599</v>
      </c>
      <c r="T774" s="19" t="n">
        <f aca="false">B753/B523-1</f>
        <v>0.0741373731675143</v>
      </c>
      <c r="U774" s="19" t="n">
        <f aca="false">B774/MAX(B523:B774)-1</f>
        <v>-0.0209768053935724</v>
      </c>
      <c r="V774" s="17" t="n">
        <f aca="false">(B774-AVERAGE(B755:B774))/STDEV(B755:B774)</f>
        <v>-0.952210590415954</v>
      </c>
    </row>
    <row r="775" customFormat="false" ht="15" hidden="false" customHeight="false" outlineLevel="0" collapsed="false">
      <c r="A775" s="17" t="s">
        <v>1339</v>
      </c>
      <c r="B775" s="17" t="n">
        <v>7801.15</v>
      </c>
      <c r="C775" s="19" t="n">
        <f aca="false">B775/B774-1</f>
        <v>-0.0060684590471386</v>
      </c>
      <c r="D775" s="17" t="n">
        <f aca="false">AVERAGE(B726:B775)</f>
        <v>7651.0908</v>
      </c>
      <c r="E775" s="17" t="n">
        <f aca="false">AVERAGE(B576:B775)</f>
        <v>7202.68695</v>
      </c>
      <c r="F775" s="17" t="n">
        <f aca="false">B775*2/13+F774*11/13</f>
        <v>7903.17695979303</v>
      </c>
      <c r="G775" s="17" t="n">
        <f aca="false">B775*2/27+G774*25/27</f>
        <v>7845.17047204149</v>
      </c>
      <c r="H775" s="17" t="n">
        <f aca="false">F775-G775</f>
        <v>58.0064877515351</v>
      </c>
      <c r="I775" s="17" t="n">
        <f aca="false">H775*2/10+I774*8/10</f>
        <v>82.7318931799203</v>
      </c>
      <c r="J775" s="17" t="n">
        <f aca="false">H775-I775</f>
        <v>-24.7254054283852</v>
      </c>
      <c r="K775" s="17" t="n">
        <f aca="false">MAX(B775-B774,0)</f>
        <v>0</v>
      </c>
      <c r="L775" s="17" t="n">
        <f aca="false">MAX(B774-B775,0)</f>
        <v>47.6300000000001</v>
      </c>
      <c r="M775" s="17" t="n">
        <f aca="false">(M774*13+K775)/14</f>
        <v>25.7317091592827</v>
      </c>
      <c r="N775" s="17" t="n">
        <f aca="false">(N774*13+L775)/14</f>
        <v>28.7391456459443</v>
      </c>
      <c r="O775" s="17" t="n">
        <f aca="false">IF(N775=0,100,100-100/(1+M775/N775))</f>
        <v>47.2394076635888</v>
      </c>
      <c r="P775" s="17" t="n">
        <f aca="false">AVERAGE(B756:B775)+2*STDEV(B756:B775)</f>
        <v>8040.47295525324</v>
      </c>
      <c r="Q775" s="17" t="n">
        <f aca="false">AVERAGE(B756:B775)-2*STDEV(B756:B775)</f>
        <v>7772.30304474676</v>
      </c>
      <c r="R775" s="19" t="n">
        <f aca="false">B775/B755-1</f>
        <v>-0.00719549893161986</v>
      </c>
      <c r="S775" s="17" t="n">
        <f aca="false">STDEV(C756:C775)*SQRT(252)*100</f>
        <v>11.4005632832464</v>
      </c>
      <c r="T775" s="19" t="n">
        <f aca="false">B754/B524-1</f>
        <v>0.0724512539031939</v>
      </c>
      <c r="U775" s="19" t="n">
        <f aca="false">B775/MAX(B524:B775)-1</f>
        <v>-0.0269179675562402</v>
      </c>
      <c r="V775" s="17" t="n">
        <f aca="false">(B775-AVERAGE(B756:B775))/STDEV(B756:B775)</f>
        <v>-1.56972122340264</v>
      </c>
    </row>
    <row r="776" customFormat="false" ht="15" hidden="false" customHeight="false" outlineLevel="0" collapsed="false">
      <c r="A776" s="17" t="s">
        <v>1340</v>
      </c>
      <c r="B776" s="17" t="n">
        <v>7692.8</v>
      </c>
      <c r="C776" s="19" t="n">
        <f aca="false">B776/B775-1</f>
        <v>-0.0138889779071034</v>
      </c>
      <c r="D776" s="17" t="n">
        <f aca="false">AVERAGE(B727:B776)</f>
        <v>7656.5336</v>
      </c>
      <c r="E776" s="17" t="n">
        <f aca="false">AVERAGE(B577:B776)</f>
        <v>7205.8076</v>
      </c>
      <c r="F776" s="17" t="n">
        <f aca="false">B776*2/13+F775*11/13</f>
        <v>7870.81127367102</v>
      </c>
      <c r="G776" s="17" t="n">
        <f aca="false">B776*2/27+G775*25/27</f>
        <v>7833.88377040879</v>
      </c>
      <c r="H776" s="17" t="n">
        <f aca="false">F776-G776</f>
        <v>36.9275032622354</v>
      </c>
      <c r="I776" s="17" t="n">
        <f aca="false">H776*2/10+I775*8/10</f>
        <v>73.5710151963833</v>
      </c>
      <c r="J776" s="17" t="n">
        <f aca="false">H776-I776</f>
        <v>-36.6435119341479</v>
      </c>
      <c r="K776" s="17" t="n">
        <f aca="false">MAX(B776-B775,0)</f>
        <v>0</v>
      </c>
      <c r="L776" s="17" t="n">
        <f aca="false">MAX(B775-B776,0)</f>
        <v>108.349999999999</v>
      </c>
      <c r="M776" s="17" t="n">
        <f aca="false">(M775*13+K776)/14</f>
        <v>23.8937299336197</v>
      </c>
      <c r="N776" s="17" t="n">
        <f aca="false">(N775*13+L776)/14</f>
        <v>34.4256352426625</v>
      </c>
      <c r="O776" s="17" t="n">
        <f aca="false">IF(N776=0,100,100-100/(1+M776/N776))</f>
        <v>40.9704904389751</v>
      </c>
      <c r="P776" s="17" t="n">
        <f aca="false">AVERAGE(B757:B776)+2*STDEV(B757:B776)</f>
        <v>8061.62503634336</v>
      </c>
      <c r="Q776" s="17" t="n">
        <f aca="false">AVERAGE(B757:B776)-2*STDEV(B757:B776)</f>
        <v>7736.30096365664</v>
      </c>
      <c r="R776" s="19" t="n">
        <f aca="false">B776/B756-1</f>
        <v>-0.0189381862701338</v>
      </c>
      <c r="S776" s="17" t="n">
        <f aca="false">STDEV(C757:C776)*SQRT(252)*100</f>
        <v>12.3694572884045</v>
      </c>
      <c r="T776" s="19" t="n">
        <f aca="false">B755/B525-1</f>
        <v>0.0658613837211668</v>
      </c>
      <c r="U776" s="19" t="n">
        <f aca="false">B776/MAX(B525:B776)-1</f>
        <v>-0.0404330824066509</v>
      </c>
      <c r="V776" s="17" t="n">
        <f aca="false">(B776-AVERAGE(B757:B776))/STDEV(B757:B776)</f>
        <v>-2.53486313874512</v>
      </c>
    </row>
    <row r="777" customFormat="false" ht="15" hidden="false" customHeight="false" outlineLevel="0" collapsed="false">
      <c r="A777" s="17" t="s">
        <v>1341</v>
      </c>
      <c r="B777" s="17" t="n">
        <v>7415.69</v>
      </c>
      <c r="C777" s="19" t="n">
        <f aca="false">B777/B776-1</f>
        <v>-0.0360219945923461</v>
      </c>
      <c r="D777" s="17" t="n">
        <f aca="false">AVERAGE(B728:B777)</f>
        <v>7658.6888</v>
      </c>
      <c r="E777" s="17" t="n">
        <f aca="false">AVERAGE(B578:B777)</f>
        <v>7206.5039</v>
      </c>
      <c r="F777" s="17" t="n">
        <f aca="false">B777*2/13+F776*11/13</f>
        <v>7800.79261618317</v>
      </c>
      <c r="G777" s="17" t="n">
        <f aca="false">B777*2/27+G776*25/27</f>
        <v>7802.90645408221</v>
      </c>
      <c r="H777" s="17" t="n">
        <f aca="false">F777-G777</f>
        <v>-2.11383789903721</v>
      </c>
      <c r="I777" s="17" t="n">
        <f aca="false">H777*2/10+I776*8/10</f>
        <v>58.4340445772992</v>
      </c>
      <c r="J777" s="17" t="n">
        <f aca="false">H777-I777</f>
        <v>-60.5478824763364</v>
      </c>
      <c r="K777" s="17" t="n">
        <f aca="false">MAX(B777-B776,0)</f>
        <v>0</v>
      </c>
      <c r="L777" s="17" t="n">
        <f aca="false">MAX(B776-B777,0)</f>
        <v>277.110000000001</v>
      </c>
      <c r="M777" s="17" t="n">
        <f aca="false">(M776*13+K777)/14</f>
        <v>22.1870349383611</v>
      </c>
      <c r="N777" s="17" t="n">
        <f aca="false">(N776*13+L777)/14</f>
        <v>51.7602327253295</v>
      </c>
      <c r="O777" s="17" t="n">
        <f aca="false">IF(N777=0,100,100-100/(1+M777/N777))</f>
        <v>30.0038603715109</v>
      </c>
      <c r="P777" s="17" t="n">
        <f aca="false">AVERAGE(B758:B777)+2*STDEV(B758:B777)</f>
        <v>8147.83351748726</v>
      </c>
      <c r="Q777" s="17" t="n">
        <f aca="false">AVERAGE(B758:B777)-2*STDEV(B758:B777)</f>
        <v>7613.08248251274</v>
      </c>
      <c r="R777" s="19" t="n">
        <f aca="false">B777/B757-1</f>
        <v>-0.0475353175464532</v>
      </c>
      <c r="S777" s="17" t="n">
        <f aca="false">STDEV(C758:C777)*SQRT(252)*100</f>
        <v>17.4867868001019</v>
      </c>
      <c r="T777" s="19" t="n">
        <f aca="false">B756/B526-1</f>
        <v>0.0602813336236003</v>
      </c>
      <c r="U777" s="19" t="n">
        <f aca="false">B777/MAX(B526:B777)-1</f>
        <v>-0.0749985967231928</v>
      </c>
      <c r="V777" s="17" t="n">
        <f aca="false">(B777-AVERAGE(B758:B777))/STDEV(B758:B777)</f>
        <v>-3.4765187506156</v>
      </c>
    </row>
    <row r="778" customFormat="false" ht="15" hidden="false" customHeight="false" outlineLevel="0" collapsed="false">
      <c r="A778" s="17" t="s">
        <v>1342</v>
      </c>
      <c r="B778" s="17" t="n">
        <v>7521.32</v>
      </c>
      <c r="C778" s="19" t="n">
        <f aca="false">B778/B777-1</f>
        <v>0.0142441229339414</v>
      </c>
      <c r="D778" s="17" t="n">
        <f aca="false">AVERAGE(B729:B778)</f>
        <v>7663.096</v>
      </c>
      <c r="E778" s="17" t="n">
        <f aca="false">AVERAGE(B579:B778)</f>
        <v>7207.71735</v>
      </c>
      <c r="F778" s="17" t="n">
        <f aca="false">B778*2/13+F777*11/13</f>
        <v>7757.79682907807</v>
      </c>
      <c r="G778" s="17" t="n">
        <f aca="false">B778*2/27+G777*25/27</f>
        <v>7782.04819822427</v>
      </c>
      <c r="H778" s="17" t="n">
        <f aca="false">F778-G778</f>
        <v>-24.2513691462</v>
      </c>
      <c r="I778" s="17" t="n">
        <f aca="false">H778*2/10+I777*8/10</f>
        <v>41.8969618325994</v>
      </c>
      <c r="J778" s="17" t="n">
        <f aca="false">H778-I778</f>
        <v>-66.1483309787994</v>
      </c>
      <c r="K778" s="17" t="n">
        <f aca="false">MAX(B778-B777,0)</f>
        <v>105.63</v>
      </c>
      <c r="L778" s="17" t="n">
        <f aca="false">MAX(B777-B778,0)</f>
        <v>0</v>
      </c>
      <c r="M778" s="17" t="n">
        <f aca="false">(M777*13+K778)/14</f>
        <v>28.1472467284782</v>
      </c>
      <c r="N778" s="17" t="n">
        <f aca="false">(N777*13+L778)/14</f>
        <v>48.0630732449488</v>
      </c>
      <c r="O778" s="17" t="n">
        <f aca="false">IF(N778=0,100,100-100/(1+M778/N778))</f>
        <v>36.9336419769561</v>
      </c>
      <c r="P778" s="17" t="n">
        <f aca="false">AVERAGE(B759:B778)+2*STDEV(B759:B778)</f>
        <v>8176.71896517143</v>
      </c>
      <c r="Q778" s="17" t="n">
        <f aca="false">AVERAGE(B759:B778)-2*STDEV(B759:B778)</f>
        <v>7553.64303482857</v>
      </c>
      <c r="R778" s="19" t="n">
        <f aca="false">B778/B758-1</f>
        <v>-0.0390373661979389</v>
      </c>
      <c r="S778" s="17" t="n">
        <f aca="false">STDEV(C759:C778)*SQRT(252)*100</f>
        <v>18.2789953396115</v>
      </c>
      <c r="T778" s="19" t="n">
        <f aca="false">B757/B527-1</f>
        <v>0.046619231911859</v>
      </c>
      <c r="U778" s="19" t="n">
        <f aca="false">B778/MAX(B527:B778)-1</f>
        <v>-0.0618227630208496</v>
      </c>
      <c r="V778" s="17" t="n">
        <f aca="false">(B778-AVERAGE(B759:B778))/STDEV(B759:B778)</f>
        <v>-2.20750623321802</v>
      </c>
    </row>
    <row r="779" customFormat="false" ht="15" hidden="false" customHeight="false" outlineLevel="0" collapsed="false">
      <c r="A779" s="17" t="s">
        <v>1343</v>
      </c>
      <c r="B779" s="17" t="n">
        <v>7551.9</v>
      </c>
      <c r="C779" s="19" t="n">
        <f aca="false">B779/B778-1</f>
        <v>0.00406577568831001</v>
      </c>
      <c r="D779" s="17" t="n">
        <f aca="false">AVERAGE(B730:B779)</f>
        <v>7668.5664</v>
      </c>
      <c r="E779" s="17" t="n">
        <f aca="false">AVERAGE(B580:B779)</f>
        <v>7209.8964</v>
      </c>
      <c r="F779" s="17" t="n">
        <f aca="false">B779*2/13+F778*11/13</f>
        <v>7726.12039383529</v>
      </c>
      <c r="G779" s="17" t="n">
        <f aca="false">B779*2/27+G778*25/27</f>
        <v>7765.00018354099</v>
      </c>
      <c r="H779" s="17" t="n">
        <f aca="false">F779-G779</f>
        <v>-38.8797897057011</v>
      </c>
      <c r="I779" s="17" t="n">
        <f aca="false">H779*2/10+I778*8/10</f>
        <v>25.7416115249393</v>
      </c>
      <c r="J779" s="17" t="n">
        <f aca="false">H779-I779</f>
        <v>-64.6214012306404</v>
      </c>
      <c r="K779" s="17" t="n">
        <f aca="false">MAX(B779-B778,0)</f>
        <v>30.5799999999999</v>
      </c>
      <c r="L779" s="17" t="n">
        <f aca="false">MAX(B778-B779,0)</f>
        <v>0</v>
      </c>
      <c r="M779" s="17" t="n">
        <f aca="false">(M778*13+K779)/14</f>
        <v>28.3210148193012</v>
      </c>
      <c r="N779" s="17" t="n">
        <f aca="false">(N778*13+L779)/14</f>
        <v>44.6299965845953</v>
      </c>
      <c r="O779" s="17" t="n">
        <f aca="false">IF(N779=0,100,100-100/(1+M779/N779))</f>
        <v>38.8219632247463</v>
      </c>
      <c r="P779" s="17" t="n">
        <f aca="false">AVERAGE(B760:B779)+2*STDEV(B760:B779)</f>
        <v>8188.35508913034</v>
      </c>
      <c r="Q779" s="17" t="n">
        <f aca="false">AVERAGE(B760:B779)-2*STDEV(B760:B779)</f>
        <v>7506.85691086966</v>
      </c>
      <c r="R779" s="19" t="n">
        <f aca="false">B779/B759-1</f>
        <v>-0.0444745299491358</v>
      </c>
      <c r="S779" s="17" t="n">
        <f aca="false">STDEV(C760:C779)*SQRT(252)*100</f>
        <v>17.9024004071876</v>
      </c>
      <c r="T779" s="19" t="n">
        <f aca="false">B758/B528-1</f>
        <v>0.0488043791414579</v>
      </c>
      <c r="U779" s="19" t="n">
        <f aca="false">B779/MAX(B528:B779)-1</f>
        <v>-0.0580083448194139</v>
      </c>
      <c r="V779" s="17" t="n">
        <f aca="false">(B779-AVERAGE(B760:B779))/STDEV(B760:B779)</f>
        <v>-1.73562312817739</v>
      </c>
    </row>
    <row r="780" customFormat="false" ht="15" hidden="false" customHeight="false" outlineLevel="0" collapsed="false">
      <c r="A780" s="17" t="s">
        <v>1344</v>
      </c>
      <c r="B780" s="17" t="n">
        <v>7724.83</v>
      </c>
      <c r="C780" s="19" t="n">
        <f aca="false">B780/B779-1</f>
        <v>0.0228988731312649</v>
      </c>
      <c r="D780" s="17" t="n">
        <f aca="false">AVERAGE(B731:B780)</f>
        <v>7678.7258</v>
      </c>
      <c r="E780" s="17" t="n">
        <f aca="false">AVERAGE(B581:B780)</f>
        <v>7212.9844</v>
      </c>
      <c r="F780" s="17" t="n">
        <f aca="false">B780*2/13+F779*11/13</f>
        <v>7725.92187170678</v>
      </c>
      <c r="G780" s="17" t="n">
        <f aca="false">B780*2/27+G779*25/27</f>
        <v>7762.02461438981</v>
      </c>
      <c r="H780" s="17" t="n">
        <f aca="false">F780-G780</f>
        <v>-36.1027426830224</v>
      </c>
      <c r="I780" s="17" t="n">
        <f aca="false">H780*2/10+I779*8/10</f>
        <v>13.372740683347</v>
      </c>
      <c r="J780" s="17" t="n">
        <f aca="false">H780-I780</f>
        <v>-49.4754833663693</v>
      </c>
      <c r="K780" s="17" t="n">
        <f aca="false">MAX(B780-B779,0)</f>
        <v>172.93</v>
      </c>
      <c r="L780" s="17" t="n">
        <f aca="false">MAX(B779-B780,0)</f>
        <v>0</v>
      </c>
      <c r="M780" s="17" t="n">
        <f aca="false">(M779*13+K780)/14</f>
        <v>38.650228046494</v>
      </c>
      <c r="N780" s="17" t="n">
        <f aca="false">(N779*13+L780)/14</f>
        <v>41.4421396856956</v>
      </c>
      <c r="O780" s="17" t="n">
        <f aca="false">IF(N780=0,100,100-100/(1+M780/N780))</f>
        <v>48.2570676094025</v>
      </c>
      <c r="P780" s="17" t="n">
        <f aca="false">AVERAGE(B761:B780)+2*STDEV(B761:B780)</f>
        <v>8183.19319553883</v>
      </c>
      <c r="Q780" s="17" t="n">
        <f aca="false">AVERAGE(B761:B780)-2*STDEV(B761:B780)</f>
        <v>7494.82380446117</v>
      </c>
      <c r="R780" s="19" t="n">
        <f aca="false">B780/B760-1</f>
        <v>-0.0217746980414801</v>
      </c>
      <c r="S780" s="17" t="n">
        <f aca="false">STDEV(C761:C780)*SQRT(252)*100</f>
        <v>20.0033610016486</v>
      </c>
      <c r="T780" s="19" t="n">
        <f aca="false">B759/B529-1</f>
        <v>0.058082481541726</v>
      </c>
      <c r="U780" s="19" t="n">
        <f aca="false">B780/MAX(B529:B780)-1</f>
        <v>-0.0364377974167233</v>
      </c>
      <c r="V780" s="17" t="n">
        <f aca="false">(B780-AVERAGE(B761:B780))/STDEV(B761:B780)</f>
        <v>-0.663472266372851</v>
      </c>
    </row>
    <row r="781" customFormat="false" ht="15" hidden="false" customHeight="false" outlineLevel="0" collapsed="false">
      <c r="A781" s="17" t="s">
        <v>1345</v>
      </c>
      <c r="B781" s="17" t="n">
        <v>7646.27</v>
      </c>
      <c r="C781" s="19" t="n">
        <f aca="false">B781/B780-1</f>
        <v>-0.0101698030895178</v>
      </c>
      <c r="D781" s="17" t="n">
        <f aca="false">AVERAGE(B732:B781)</f>
        <v>7686.7432</v>
      </c>
      <c r="E781" s="17" t="n">
        <f aca="false">AVERAGE(B582:B781)</f>
        <v>7215.5097</v>
      </c>
      <c r="F781" s="17" t="n">
        <f aca="false">B781*2/13+F780*11/13</f>
        <v>7713.66773759805</v>
      </c>
      <c r="G781" s="17" t="n">
        <f aca="false">B781*2/27+G780*25/27</f>
        <v>7753.45019850908</v>
      </c>
      <c r="H781" s="17" t="n">
        <f aca="false">F781-G781</f>
        <v>-39.7824609110321</v>
      </c>
      <c r="I781" s="17" t="n">
        <f aca="false">H781*2/10+I780*8/10</f>
        <v>2.74170036447114</v>
      </c>
      <c r="J781" s="17" t="n">
        <f aca="false">H781-I781</f>
        <v>-42.5241612755032</v>
      </c>
      <c r="K781" s="17" t="n">
        <f aca="false">MAX(B781-B780,0)</f>
        <v>0</v>
      </c>
      <c r="L781" s="17" t="n">
        <f aca="false">MAX(B780-B781,0)</f>
        <v>78.5599999999995</v>
      </c>
      <c r="M781" s="17" t="n">
        <f aca="false">(M780*13+K781)/14</f>
        <v>35.8894974717444</v>
      </c>
      <c r="N781" s="17" t="n">
        <f aca="false">(N780*13+L781)/14</f>
        <v>44.0934154224316</v>
      </c>
      <c r="O781" s="17" t="n">
        <f aca="false">IF(N781=0,100,100-100/(1+M781/N781))</f>
        <v>44.8714558811195</v>
      </c>
      <c r="P781" s="17" t="n">
        <f aca="false">AVERAGE(B762:B781)+2*STDEV(B762:B781)</f>
        <v>8174.97082375428</v>
      </c>
      <c r="Q781" s="17" t="n">
        <f aca="false">AVERAGE(B762:B781)-2*STDEV(B762:B781)</f>
        <v>7473.34917624572</v>
      </c>
      <c r="R781" s="19" t="n">
        <f aca="false">B781/B761-1</f>
        <v>-0.037386507269074</v>
      </c>
      <c r="S781" s="17" t="n">
        <f aca="false">STDEV(C762:C781)*SQRT(252)*100</f>
        <v>20.0796055051619</v>
      </c>
      <c r="T781" s="19" t="n">
        <f aca="false">B760/B530-1</f>
        <v>0.0575629171711112</v>
      </c>
      <c r="U781" s="19" t="n">
        <f aca="false">B781/MAX(B530:B781)-1</f>
        <v>-0.0462370352814973</v>
      </c>
      <c r="V781" s="17" t="n">
        <f aca="false">(B781-AVERAGE(B762:B781))/STDEV(B762:B781)</f>
        <v>-1.01416483161078</v>
      </c>
    </row>
    <row r="782" customFormat="false" ht="15" hidden="false" customHeight="false" outlineLevel="0" collapsed="false">
      <c r="A782" s="17" t="s">
        <v>1346</v>
      </c>
      <c r="B782" s="17" t="n">
        <v>7561.68</v>
      </c>
      <c r="C782" s="19" t="n">
        <f aca="false">B782/B781-1</f>
        <v>-0.0110629104125279</v>
      </c>
      <c r="D782" s="17" t="n">
        <f aca="false">AVERAGE(B733:B782)</f>
        <v>7695.4176</v>
      </c>
      <c r="E782" s="17" t="n">
        <f aca="false">AVERAGE(B583:B782)</f>
        <v>7217.72475</v>
      </c>
      <c r="F782" s="17" t="n">
        <f aca="false">B782*2/13+F781*11/13</f>
        <v>7690.28500873681</v>
      </c>
      <c r="G782" s="17" t="n">
        <f aca="false">B782*2/27+G781*25/27</f>
        <v>7739.24499861952</v>
      </c>
      <c r="H782" s="17" t="n">
        <f aca="false">F782-G782</f>
        <v>-48.9599898827109</v>
      </c>
      <c r="I782" s="17" t="n">
        <f aca="false">H782*2/10+I781*8/10</f>
        <v>-7.59863768496527</v>
      </c>
      <c r="J782" s="17" t="n">
        <f aca="false">H782-I782</f>
        <v>-41.3613521977457</v>
      </c>
      <c r="K782" s="17" t="n">
        <f aca="false">MAX(B782-B781,0)</f>
        <v>0</v>
      </c>
      <c r="L782" s="17" t="n">
        <f aca="false">MAX(B781-B782,0)</f>
        <v>84.5900000000002</v>
      </c>
      <c r="M782" s="17" t="n">
        <f aca="false">(M781*13+K782)/14</f>
        <v>33.3259619380484</v>
      </c>
      <c r="N782" s="17" t="n">
        <f aca="false">(N781*13+L782)/14</f>
        <v>46.9860286065437</v>
      </c>
      <c r="O782" s="17" t="n">
        <f aca="false">IF(N782=0,100,100-100/(1+M782/N782))</f>
        <v>41.4956243919077</v>
      </c>
      <c r="P782" s="17" t="n">
        <f aca="false">AVERAGE(B763:B782)+2*STDEV(B763:B782)</f>
        <v>8166.59941071573</v>
      </c>
      <c r="Q782" s="17" t="n">
        <f aca="false">AVERAGE(B763:B782)-2*STDEV(B763:B782)</f>
        <v>7441.19558928427</v>
      </c>
      <c r="R782" s="19" t="n">
        <f aca="false">B782/B762-1</f>
        <v>-0.0508665194748793</v>
      </c>
      <c r="S782" s="17" t="n">
        <f aca="false">STDEV(C763:C782)*SQRT(252)*100</f>
        <v>20.2516375031161</v>
      </c>
      <c r="T782" s="19" t="n">
        <f aca="false">B761/B531-1</f>
        <v>0.0722081989120311</v>
      </c>
      <c r="U782" s="19" t="n">
        <f aca="false">B782/MAX(B531:B782)-1</f>
        <v>-0.0567884295149651</v>
      </c>
      <c r="V782" s="17" t="n">
        <f aca="false">(B782-AVERAGE(B763:B782))/STDEV(B763:B782)</f>
        <v>-1.33562847530649</v>
      </c>
    </row>
    <row r="783" customFormat="false" ht="15" hidden="false" customHeight="false" outlineLevel="0" collapsed="false">
      <c r="A783" s="17" t="s">
        <v>1347</v>
      </c>
      <c r="B783" s="17" t="n">
        <v>7728.15</v>
      </c>
      <c r="C783" s="19" t="n">
        <f aca="false">B783/B782-1</f>
        <v>0.0220149490589392</v>
      </c>
      <c r="D783" s="17" t="n">
        <f aca="false">AVERAGE(B734:B783)</f>
        <v>7710.4202</v>
      </c>
      <c r="E783" s="17" t="n">
        <f aca="false">AVERAGE(B584:B783)</f>
        <v>7222.41975</v>
      </c>
      <c r="F783" s="17" t="n">
        <f aca="false">B783*2/13+F782*11/13</f>
        <v>7696.11039200807</v>
      </c>
      <c r="G783" s="17" t="n">
        <f aca="false">B783*2/27+G782*25/27</f>
        <v>7738.42314686992</v>
      </c>
      <c r="H783" s="17" t="n">
        <f aca="false">F783-G783</f>
        <v>-42.3127548618559</v>
      </c>
      <c r="I783" s="17" t="n">
        <f aca="false">H783*2/10+I782*8/10</f>
        <v>-14.5414611203434</v>
      </c>
      <c r="J783" s="17" t="n">
        <f aca="false">H783-I783</f>
        <v>-27.7712937415125</v>
      </c>
      <c r="K783" s="17" t="n">
        <f aca="false">MAX(B783-B782,0)</f>
        <v>166.469999999999</v>
      </c>
      <c r="L783" s="17" t="n">
        <f aca="false">MAX(B782-B783,0)</f>
        <v>0</v>
      </c>
      <c r="M783" s="17" t="n">
        <f aca="false">(M782*13+K783)/14</f>
        <v>42.8362503710449</v>
      </c>
      <c r="N783" s="17" t="n">
        <f aca="false">(N782*13+L783)/14</f>
        <v>43.6298837060763</v>
      </c>
      <c r="O783" s="17" t="n">
        <f aca="false">IF(N783=0,100,100-100/(1+M783/N783))</f>
        <v>49.5410727312479</v>
      </c>
      <c r="P783" s="17" t="n">
        <f aca="false">AVERAGE(B764:B783)+2*STDEV(B764:B783)</f>
        <v>8153.32481487365</v>
      </c>
      <c r="Q783" s="17" t="n">
        <f aca="false">AVERAGE(B764:B783)-2*STDEV(B764:B783)</f>
        <v>7434.57718512635</v>
      </c>
      <c r="R783" s="19" t="n">
        <f aca="false">B783/B763-1</f>
        <v>-0.0250949908415204</v>
      </c>
      <c r="S783" s="17" t="n">
        <f aca="false">STDEV(C764:C783)*SQRT(252)*100</f>
        <v>22.0085454228615</v>
      </c>
      <c r="T783" s="19" t="n">
        <f aca="false">B762/B532-1</f>
        <v>0.07644196795912</v>
      </c>
      <c r="U783" s="19" t="n">
        <f aca="false">B783/MAX(B532:B783)-1</f>
        <v>-0.036023674838935</v>
      </c>
      <c r="V783" s="17" t="n">
        <f aca="false">(B783-AVERAGE(B764:B783))/STDEV(B764:B783)</f>
        <v>-0.366198077192316</v>
      </c>
    </row>
    <row r="784" customFormat="false" ht="15" hidden="false" customHeight="false" outlineLevel="0" collapsed="false">
      <c r="A784" s="17" t="s">
        <v>1348</v>
      </c>
      <c r="B784" s="17" t="n">
        <v>7490.13</v>
      </c>
      <c r="C784" s="19" t="n">
        <f aca="false">B784/B783-1</f>
        <v>-0.0307990916325381</v>
      </c>
      <c r="D784" s="17" t="n">
        <f aca="false">AVERAGE(B735:B784)</f>
        <v>7716.8878</v>
      </c>
      <c r="E784" s="17" t="n">
        <f aca="false">AVERAGE(B585:B784)</f>
        <v>7224.78845</v>
      </c>
      <c r="F784" s="17" t="n">
        <f aca="false">B784*2/13+F783*11/13</f>
        <v>7664.4211009299</v>
      </c>
      <c r="G784" s="17" t="n">
        <f aca="false">B784*2/27+G783*25/27</f>
        <v>7720.0310619166</v>
      </c>
      <c r="H784" s="17" t="n">
        <f aca="false">F784-G784</f>
        <v>-55.6099609866933</v>
      </c>
      <c r="I784" s="17" t="n">
        <f aca="false">H784*2/10+I783*8/10</f>
        <v>-22.7551610936134</v>
      </c>
      <c r="J784" s="17" t="n">
        <f aca="false">H784-I784</f>
        <v>-32.8547998930799</v>
      </c>
      <c r="K784" s="17" t="n">
        <f aca="false">MAX(B784-B783,0)</f>
        <v>0</v>
      </c>
      <c r="L784" s="17" t="n">
        <f aca="false">MAX(B783-B784,0)</f>
        <v>238.02</v>
      </c>
      <c r="M784" s="17" t="n">
        <f aca="false">(M783*13+K784)/14</f>
        <v>39.7765182016845</v>
      </c>
      <c r="N784" s="17" t="n">
        <f aca="false">(N783*13+L784)/14</f>
        <v>57.5148920127851</v>
      </c>
      <c r="O784" s="17" t="n">
        <f aca="false">IF(N784=0,100,100-100/(1+M784/N784))</f>
        <v>40.8838952113049</v>
      </c>
      <c r="P784" s="17" t="n">
        <f aca="false">AVERAGE(B765:B784)+2*STDEV(B765:B784)</f>
        <v>8154.83122833968</v>
      </c>
      <c r="Q784" s="17" t="n">
        <f aca="false">AVERAGE(B765:B784)-2*STDEV(B765:B784)</f>
        <v>7393.20777166032</v>
      </c>
      <c r="R784" s="19" t="n">
        <f aca="false">B784/B764-1</f>
        <v>-0.050531388963538</v>
      </c>
      <c r="S784" s="17" t="n">
        <f aca="false">STDEV(C765:C784)*SQRT(252)*100</f>
        <v>24.3824240007913</v>
      </c>
      <c r="T784" s="19" t="n">
        <f aca="false">B763/B533-1</f>
        <v>0.0644419289475062</v>
      </c>
      <c r="U784" s="19" t="n">
        <f aca="false">B784/MAX(B533:B784)-1</f>
        <v>-0.0657132700091681</v>
      </c>
      <c r="V784" s="17" t="n">
        <f aca="false">(B784-AVERAGE(B765:B784))/STDEV(B765:B784)</f>
        <v>-1.49097036080136</v>
      </c>
    </row>
    <row r="785" customFormat="false" ht="15" hidden="false" customHeight="false" outlineLevel="0" collapsed="false">
      <c r="A785" s="17" t="s">
        <v>1349</v>
      </c>
      <c r="B785" s="17" t="n">
        <v>7484.89</v>
      </c>
      <c r="C785" s="19" t="n">
        <f aca="false">B785/B784-1</f>
        <v>-0.000699587323584439</v>
      </c>
      <c r="D785" s="17" t="n">
        <f aca="false">AVERAGE(B736:B785)</f>
        <v>7722.1676</v>
      </c>
      <c r="E785" s="17" t="n">
        <f aca="false">AVERAGE(B586:B785)</f>
        <v>7227.9509</v>
      </c>
      <c r="F785" s="17" t="n">
        <f aca="false">B785*2/13+F784*11/13</f>
        <v>7636.80093155607</v>
      </c>
      <c r="G785" s="17" t="n">
        <f aca="false">B785*2/27+G784*25/27</f>
        <v>7702.61320547833</v>
      </c>
      <c r="H785" s="17" t="n">
        <f aca="false">F785-G785</f>
        <v>-65.8122739222581</v>
      </c>
      <c r="I785" s="17" t="n">
        <f aca="false">H785*2/10+I784*8/10</f>
        <v>-31.3665836593423</v>
      </c>
      <c r="J785" s="17" t="n">
        <f aca="false">H785-I785</f>
        <v>-34.4456902629158</v>
      </c>
      <c r="K785" s="17" t="n">
        <f aca="false">MAX(B785-B784,0)</f>
        <v>0</v>
      </c>
      <c r="L785" s="17" t="n">
        <f aca="false">MAX(B784-B785,0)</f>
        <v>5.23999999999978</v>
      </c>
      <c r="M785" s="17" t="n">
        <f aca="false">(M784*13+K785)/14</f>
        <v>36.9353383301356</v>
      </c>
      <c r="N785" s="17" t="n">
        <f aca="false">(N784*13+L785)/14</f>
        <v>53.780971154729</v>
      </c>
      <c r="O785" s="17" t="n">
        <f aca="false">IF(N785=0,100,100-100/(1+M785/N785))</f>
        <v>40.7152126666904</v>
      </c>
      <c r="P785" s="17" t="n">
        <f aca="false">AVERAGE(B766:B785)+2*STDEV(B766:B785)</f>
        <v>8149.54536688146</v>
      </c>
      <c r="Q785" s="17" t="n">
        <f aca="false">AVERAGE(B766:B785)-2*STDEV(B766:B785)</f>
        <v>7356.56963311854</v>
      </c>
      <c r="R785" s="19" t="n">
        <f aca="false">B785/B765-1</f>
        <v>-0.053040625596998</v>
      </c>
      <c r="S785" s="17" t="n">
        <f aca="false">STDEV(C766:C785)*SQRT(252)*100</f>
        <v>24.3367630730854</v>
      </c>
      <c r="T785" s="19" t="n">
        <f aca="false">B764/B534-1</f>
        <v>0.0726206242028864</v>
      </c>
      <c r="U785" s="19" t="n">
        <f aca="false">B785/MAX(B534:B785)-1</f>
        <v>-0.0663668851620628</v>
      </c>
      <c r="V785" s="17" t="n">
        <f aca="false">(B785-AVERAGE(B766:B785))/STDEV(B766:B785)</f>
        <v>-1.35271478599962</v>
      </c>
    </row>
    <row r="786" customFormat="false" ht="15" hidden="false" customHeight="false" outlineLevel="0" collapsed="false">
      <c r="A786" s="17" t="s">
        <v>1350</v>
      </c>
      <c r="B786" s="17" t="n">
        <v>7604.11</v>
      </c>
      <c r="C786" s="19" t="n">
        <f aca="false">B786/B785-1</f>
        <v>0.0159280897915666</v>
      </c>
      <c r="D786" s="17" t="n">
        <f aca="false">AVERAGE(B737:B786)</f>
        <v>7728.7312</v>
      </c>
      <c r="E786" s="17" t="n">
        <f aca="false">AVERAGE(B587:B786)</f>
        <v>7232.40195</v>
      </c>
      <c r="F786" s="17" t="n">
        <f aca="false">B786*2/13+F785*11/13</f>
        <v>7631.77155747052</v>
      </c>
      <c r="G786" s="17" t="n">
        <f aca="false">B786*2/27+G785*25/27</f>
        <v>7695.31667173919</v>
      </c>
      <c r="H786" s="17" t="n">
        <f aca="false">F786-G786</f>
        <v>-63.5451142686716</v>
      </c>
      <c r="I786" s="17" t="n">
        <f aca="false">H786*2/10+I785*8/10</f>
        <v>-37.8022897812082</v>
      </c>
      <c r="J786" s="17" t="n">
        <f aca="false">H786-I786</f>
        <v>-25.7428244874634</v>
      </c>
      <c r="K786" s="17" t="n">
        <f aca="false">MAX(B786-B785,0)</f>
        <v>119.219999999999</v>
      </c>
      <c r="L786" s="17" t="n">
        <f aca="false">MAX(B785-B786,0)</f>
        <v>0</v>
      </c>
      <c r="M786" s="17" t="n">
        <f aca="false">(M785*13+K786)/14</f>
        <v>42.8128141636973</v>
      </c>
      <c r="N786" s="17" t="n">
        <f aca="false">(N785*13+L786)/14</f>
        <v>49.9394732151055</v>
      </c>
      <c r="O786" s="17" t="n">
        <f aca="false">IF(N786=0,100,100-100/(1+M786/N786))</f>
        <v>46.1582300270921</v>
      </c>
      <c r="P786" s="17" t="n">
        <f aca="false">AVERAGE(B767:B786)+2*STDEV(B767:B786)</f>
        <v>8141.3959938984</v>
      </c>
      <c r="Q786" s="17" t="n">
        <f aca="false">AVERAGE(B767:B786)-2*STDEV(B767:B786)</f>
        <v>7341.6400061016</v>
      </c>
      <c r="R786" s="19" t="n">
        <f aca="false">B786/B766-1</f>
        <v>-0.0294566618591176</v>
      </c>
      <c r="S786" s="17" t="n">
        <f aca="false">STDEV(C767:C786)*SQRT(252)*100</f>
        <v>25.075791789095</v>
      </c>
      <c r="T786" s="19" t="n">
        <f aca="false">B765/B535-1</f>
        <v>0.0718496289134276</v>
      </c>
      <c r="U786" s="19" t="n">
        <f aca="false">B786/MAX(B535:B786)-1</f>
        <v>-0.0514958930765441</v>
      </c>
      <c r="V786" s="17" t="n">
        <f aca="false">(B786-AVERAGE(B767:B786))/STDEV(B767:B786)</f>
        <v>-0.687249621617893</v>
      </c>
    </row>
    <row r="787" customFormat="false" ht="15" hidden="false" customHeight="false" outlineLevel="0" collapsed="false">
      <c r="A787" s="17" t="s">
        <v>1351</v>
      </c>
      <c r="B787" s="17" t="n">
        <v>7719.32</v>
      </c>
      <c r="C787" s="19" t="n">
        <f aca="false">B787/B786-1</f>
        <v>0.015151017015798</v>
      </c>
      <c r="D787" s="17" t="n">
        <f aca="false">AVERAGE(B738:B787)</f>
        <v>7734.7718</v>
      </c>
      <c r="E787" s="17" t="n">
        <f aca="false">AVERAGE(B588:B787)</f>
        <v>7236.94795</v>
      </c>
      <c r="F787" s="17" t="n">
        <f aca="false">B787*2/13+F786*11/13</f>
        <v>7645.2405486289</v>
      </c>
      <c r="G787" s="17" t="n">
        <f aca="false">B787*2/27+G786*25/27</f>
        <v>7697.09469605481</v>
      </c>
      <c r="H787" s="17" t="n">
        <f aca="false">F787-G787</f>
        <v>-51.8541474259055</v>
      </c>
      <c r="I787" s="17" t="n">
        <f aca="false">H787*2/10+I786*8/10</f>
        <v>-40.6126613101476</v>
      </c>
      <c r="J787" s="17" t="n">
        <f aca="false">H787-I787</f>
        <v>-11.2414861157578</v>
      </c>
      <c r="K787" s="17" t="n">
        <f aca="false">MAX(B787-B786,0)</f>
        <v>115.21</v>
      </c>
      <c r="L787" s="17" t="n">
        <f aca="false">MAX(B786-B787,0)</f>
        <v>0</v>
      </c>
      <c r="M787" s="17" t="n">
        <f aca="false">(M786*13+K787)/14</f>
        <v>47.9840417234332</v>
      </c>
      <c r="N787" s="17" t="n">
        <f aca="false">(N786*13+L787)/14</f>
        <v>46.3723679854551</v>
      </c>
      <c r="O787" s="17" t="n">
        <f aca="false">IF(N787=0,100,100-100/(1+M787/N787))</f>
        <v>50.8540351116318</v>
      </c>
      <c r="P787" s="17" t="n">
        <f aca="false">AVERAGE(B768:B787)+2*STDEV(B768:B787)</f>
        <v>8124.6663967265</v>
      </c>
      <c r="Q787" s="17" t="n">
        <f aca="false">AVERAGE(B768:B787)-2*STDEV(B768:B787)</f>
        <v>7339.7896032735</v>
      </c>
      <c r="R787" s="19" t="n">
        <f aca="false">B787/B767-1</f>
        <v>-0.0235037545287106</v>
      </c>
      <c r="S787" s="17" t="n">
        <f aca="false">STDEV(C768:C787)*SQRT(252)*100</f>
        <v>25.5066686922042</v>
      </c>
      <c r="T787" s="19" t="n">
        <f aca="false">B766/B536-1</f>
        <v>0.0619935642504141</v>
      </c>
      <c r="U787" s="19" t="n">
        <f aca="false">B787/MAX(B536:B787)-1</f>
        <v>-0.0371250912129925</v>
      </c>
      <c r="V787" s="17" t="n">
        <f aca="false">(B787-AVERAGE(B768:B787))/STDEV(B768:B787)</f>
        <v>-0.0657835732062496</v>
      </c>
    </row>
    <row r="788" customFormat="false" ht="15" hidden="false" customHeight="false" outlineLevel="0" collapsed="false">
      <c r="A788" s="17" t="s">
        <v>1352</v>
      </c>
      <c r="B788" s="17" t="n">
        <v>7664.47</v>
      </c>
      <c r="C788" s="19" t="n">
        <f aca="false">B788/B787-1</f>
        <v>-0.00710554815709152</v>
      </c>
      <c r="D788" s="17" t="n">
        <f aca="false">AVERAGE(B739:B788)</f>
        <v>7738.0226</v>
      </c>
      <c r="E788" s="17" t="n">
        <f aca="false">AVERAGE(B589:B788)</f>
        <v>7240.4348</v>
      </c>
      <c r="F788" s="17" t="n">
        <f aca="false">B788*2/13+F787*11/13</f>
        <v>7648.19892576292</v>
      </c>
      <c r="G788" s="17" t="n">
        <f aca="false">B788*2/27+G787*25/27</f>
        <v>7694.6780519026</v>
      </c>
      <c r="H788" s="17" t="n">
        <f aca="false">F788-G788</f>
        <v>-46.4791261396822</v>
      </c>
      <c r="I788" s="17" t="n">
        <f aca="false">H788*2/10+I787*8/10</f>
        <v>-41.7859542760546</v>
      </c>
      <c r="J788" s="17" t="n">
        <f aca="false">H788-I788</f>
        <v>-4.69317186362765</v>
      </c>
      <c r="K788" s="17" t="n">
        <f aca="false">MAX(B788-B787,0)</f>
        <v>0</v>
      </c>
      <c r="L788" s="17" t="n">
        <f aca="false">MAX(B787-B788,0)</f>
        <v>54.8499999999995</v>
      </c>
      <c r="M788" s="17" t="n">
        <f aca="false">(M787*13+K788)/14</f>
        <v>44.5566101717594</v>
      </c>
      <c r="N788" s="17" t="n">
        <f aca="false">(N787*13+L788)/14</f>
        <v>46.9779131293511</v>
      </c>
      <c r="O788" s="17" t="n">
        <f aca="false">IF(N788=0,100,100-100/(1+M788/N788))</f>
        <v>48.6773826583296</v>
      </c>
      <c r="P788" s="17" t="n">
        <f aca="false">AVERAGE(B769:B788)+2*STDEV(B769:B788)</f>
        <v>8096.77759147536</v>
      </c>
      <c r="Q788" s="17" t="n">
        <f aca="false">AVERAGE(B769:B788)-2*STDEV(B769:B788)</f>
        <v>7338.66940852464</v>
      </c>
      <c r="R788" s="19" t="n">
        <f aca="false">B788/B768-1</f>
        <v>-0.0364683904578004</v>
      </c>
      <c r="S788" s="17" t="n">
        <f aca="false">STDEV(C769:C788)*SQRT(252)*100</f>
        <v>25.4389537595761</v>
      </c>
      <c r="T788" s="19" t="n">
        <f aca="false">B767/B537-1</f>
        <v>0.0724012469781941</v>
      </c>
      <c r="U788" s="19" t="n">
        <f aca="false">B788/MAX(B537:B788)-1</f>
        <v>-0.0439668452466336</v>
      </c>
      <c r="V788" s="17" t="n">
        <f aca="false">(B788-AVERAGE(B769:B788))/STDEV(B769:B788)</f>
        <v>-0.280981006128839</v>
      </c>
    </row>
    <row r="789" customFormat="false" ht="15" hidden="false" customHeight="false" outlineLevel="0" collapsed="false">
      <c r="A789" s="17" t="s">
        <v>1353</v>
      </c>
      <c r="B789" s="17" t="n">
        <v>7733.22</v>
      </c>
      <c r="C789" s="19" t="n">
        <f aca="false">B789/B788-1</f>
        <v>0.0089699613932861</v>
      </c>
      <c r="D789" s="17" t="n">
        <f aca="false">AVERAGE(B740:B789)</f>
        <v>7742.41</v>
      </c>
      <c r="E789" s="17" t="n">
        <f aca="false">AVERAGE(B590:B789)</f>
        <v>7243.75505</v>
      </c>
      <c r="F789" s="17" t="n">
        <f aca="false">B789*2/13+F788*11/13</f>
        <v>7661.27909103016</v>
      </c>
      <c r="G789" s="17" t="n">
        <f aca="false">B789*2/27+G788*25/27</f>
        <v>7697.53301102093</v>
      </c>
      <c r="H789" s="17" t="n">
        <f aca="false">F789-G789</f>
        <v>-36.2539199907642</v>
      </c>
      <c r="I789" s="17" t="n">
        <f aca="false">H789*2/10+I788*8/10</f>
        <v>-40.6795474189965</v>
      </c>
      <c r="J789" s="17" t="n">
        <f aca="false">H789-I789</f>
        <v>4.42562742823229</v>
      </c>
      <c r="K789" s="17" t="n">
        <f aca="false">MAX(B789-B788,0)</f>
        <v>68.75</v>
      </c>
      <c r="L789" s="17" t="n">
        <f aca="false">MAX(B788-B789,0)</f>
        <v>0</v>
      </c>
      <c r="M789" s="17" t="n">
        <f aca="false">(M788*13+K789)/14</f>
        <v>46.2847094452052</v>
      </c>
      <c r="N789" s="17" t="n">
        <f aca="false">(N788*13+L789)/14</f>
        <v>43.622347905826</v>
      </c>
      <c r="O789" s="17" t="n">
        <f aca="false">IF(N789=0,100,100-100/(1+M789/N789))</f>
        <v>51.4806187733318</v>
      </c>
      <c r="P789" s="17" t="n">
        <f aca="false">AVERAGE(B770:B789)+2*STDEV(B770:B789)</f>
        <v>8057.21378363493</v>
      </c>
      <c r="Q789" s="17" t="n">
        <f aca="false">AVERAGE(B770:B789)-2*STDEV(B770:B789)</f>
        <v>7350.49421636507</v>
      </c>
      <c r="R789" s="19" t="n">
        <f aca="false">B789/B769-1</f>
        <v>-0.0346278248472962</v>
      </c>
      <c r="S789" s="17" t="n">
        <f aca="false">STDEV(C770:C789)*SQRT(252)*100</f>
        <v>25.5359869805776</v>
      </c>
      <c r="T789" s="19" t="n">
        <f aca="false">B768/B538-1</f>
        <v>0.0753430676077398</v>
      </c>
      <c r="U789" s="19" t="n">
        <f aca="false">B789/MAX(B538:B789)-1</f>
        <v>-0.0353912647577944</v>
      </c>
      <c r="V789" s="17" t="n">
        <f aca="false">(B789-AVERAGE(B770:B789))/STDEV(B770:B789)</f>
        <v>0.166210199122942</v>
      </c>
    </row>
    <row r="790" customFormat="false" ht="15" hidden="false" customHeight="false" outlineLevel="0" collapsed="false">
      <c r="A790" s="17" t="s">
        <v>1354</v>
      </c>
      <c r="B790" s="17" t="n">
        <v>7707.43</v>
      </c>
      <c r="C790" s="19" t="n">
        <f aca="false">B790/B789-1</f>
        <v>-0.00333496266755629</v>
      </c>
      <c r="D790" s="17" t="n">
        <f aca="false">AVERAGE(B741:B790)</f>
        <v>7747.1128</v>
      </c>
      <c r="E790" s="17" t="n">
        <f aca="false">AVERAGE(B591:B790)</f>
        <v>7247.46575</v>
      </c>
      <c r="F790" s="17" t="n">
        <f aca="false">B790*2/13+F789*11/13</f>
        <v>7668.37923087168</v>
      </c>
      <c r="G790" s="17" t="n">
        <f aca="false">B790*2/27+G789*25/27</f>
        <v>7698.26612131567</v>
      </c>
      <c r="H790" s="17" t="n">
        <f aca="false">F790-G790</f>
        <v>-29.8868904439969</v>
      </c>
      <c r="I790" s="17" t="n">
        <f aca="false">H790*2/10+I789*8/10</f>
        <v>-38.5210160239966</v>
      </c>
      <c r="J790" s="17" t="n">
        <f aca="false">H790-I790</f>
        <v>8.63412557999967</v>
      </c>
      <c r="K790" s="17" t="n">
        <f aca="false">MAX(B790-B789,0)</f>
        <v>0</v>
      </c>
      <c r="L790" s="17" t="n">
        <f aca="false">MAX(B789-B790,0)</f>
        <v>25.79</v>
      </c>
      <c r="M790" s="17" t="n">
        <f aca="false">(M789*13+K790)/14</f>
        <v>42.9786587705477</v>
      </c>
      <c r="N790" s="17" t="n">
        <f aca="false">(N789*13+L790)/14</f>
        <v>42.3486087696956</v>
      </c>
      <c r="O790" s="17" t="n">
        <f aca="false">IF(N790=0,100,100-100/(1+M790/N790))</f>
        <v>50.3691961661347</v>
      </c>
      <c r="P790" s="17" t="n">
        <f aca="false">AVERAGE(B771:B790)+2*STDEV(B771:B790)</f>
        <v>8029.7640856567</v>
      </c>
      <c r="Q790" s="17" t="n">
        <f aca="false">AVERAGE(B771:B790)-2*STDEV(B771:B790)</f>
        <v>7355.6999143433</v>
      </c>
      <c r="R790" s="19" t="n">
        <f aca="false">B790/B770-1</f>
        <v>-0.0280509012127563</v>
      </c>
      <c r="S790" s="17" t="n">
        <f aca="false">STDEV(C771:C790)*SQRT(252)*100</f>
        <v>25.351818561371</v>
      </c>
      <c r="T790" s="19" t="n">
        <f aca="false">B769/B539-1</f>
        <v>0.0789281577458718</v>
      </c>
      <c r="U790" s="19" t="n">
        <f aca="false">B790/MAX(B539:B790)-1</f>
        <v>-0.0386081988786259</v>
      </c>
      <c r="V790" s="17" t="n">
        <f aca="false">(B790-AVERAGE(B771:B790))/STDEV(B771:B790)</f>
        <v>0.087220182442634</v>
      </c>
    </row>
    <row r="791" customFormat="false" ht="15" hidden="false" customHeight="false" outlineLevel="0" collapsed="false">
      <c r="A791" s="17" t="s">
        <v>1355</v>
      </c>
      <c r="B791" s="17" t="n">
        <v>7464.99</v>
      </c>
      <c r="C791" s="19" t="n">
        <f aca="false">B791/B790-1</f>
        <v>-0.031455361904033</v>
      </c>
      <c r="D791" s="17" t="n">
        <f aca="false">AVERAGE(B742:B791)</f>
        <v>7746.199</v>
      </c>
      <c r="E791" s="17" t="n">
        <f aca="false">AVERAGE(B592:B791)</f>
        <v>7250.10525</v>
      </c>
      <c r="F791" s="17" t="n">
        <f aca="false">B791*2/13+F790*11/13</f>
        <v>7637.08857996834</v>
      </c>
      <c r="G791" s="17" t="n">
        <f aca="false">B791*2/27+G790*25/27</f>
        <v>7680.98640862562</v>
      </c>
      <c r="H791" s="17" t="n">
        <f aca="false">F791-G791</f>
        <v>-43.8978286572828</v>
      </c>
      <c r="I791" s="17" t="n">
        <f aca="false">H791*2/10+I790*8/10</f>
        <v>-39.5963785506538</v>
      </c>
      <c r="J791" s="17" t="n">
        <f aca="false">H791-I791</f>
        <v>-4.30145010662903</v>
      </c>
      <c r="K791" s="17" t="n">
        <f aca="false">MAX(B791-B790,0)</f>
        <v>0</v>
      </c>
      <c r="L791" s="17" t="n">
        <f aca="false">MAX(B790-B791,0)</f>
        <v>242.440000000001</v>
      </c>
      <c r="M791" s="17" t="n">
        <f aca="false">(M790*13+K791)/14</f>
        <v>39.9087545726514</v>
      </c>
      <c r="N791" s="17" t="n">
        <f aca="false">(N790*13+L791)/14</f>
        <v>56.6408510004317</v>
      </c>
      <c r="O791" s="17" t="n">
        <f aca="false">IF(N791=0,100,100-100/(1+M791/N791))</f>
        <v>41.3349742194882</v>
      </c>
      <c r="P791" s="17" t="n">
        <f aca="false">AVERAGE(B772:B791)+2*STDEV(B772:B791)</f>
        <v>7980.05139671489</v>
      </c>
      <c r="Q791" s="17" t="n">
        <f aca="false">AVERAGE(B772:B791)-2*STDEV(B772:B791)</f>
        <v>7350.21660328511</v>
      </c>
      <c r="R791" s="19" t="n">
        <f aca="false">B791/B771-1</f>
        <v>-0.0688491259144687</v>
      </c>
      <c r="S791" s="17" t="n">
        <f aca="false">STDEV(C772:C791)*SQRT(252)*100</f>
        <v>27.0440051702686</v>
      </c>
      <c r="T791" s="19" t="n">
        <f aca="false">B770/B540-1</f>
        <v>0.0696036062283512</v>
      </c>
      <c r="U791" s="19" t="n">
        <f aca="false">B791/MAX(B540:B791)-1</f>
        <v>-0.0688491259144687</v>
      </c>
      <c r="V791" s="17" t="n">
        <f aca="false">(B791-AVERAGE(B772:B791))/STDEV(B772:B791)</f>
        <v>-1.27108887656149</v>
      </c>
    </row>
    <row r="792" customFormat="false" ht="15" hidden="false" customHeight="false" outlineLevel="0" collapsed="false">
      <c r="A792" s="17" t="s">
        <v>1356</v>
      </c>
      <c r="B792" s="17" t="n">
        <v>7575.02</v>
      </c>
      <c r="C792" s="19" t="n">
        <f aca="false">B792/B791-1</f>
        <v>0.014739470515031</v>
      </c>
      <c r="D792" s="17" t="n">
        <f aca="false">AVERAGE(B743:B792)</f>
        <v>7748.1172</v>
      </c>
      <c r="E792" s="17" t="n">
        <f aca="false">AVERAGE(B593:B792)</f>
        <v>7253.0361</v>
      </c>
      <c r="F792" s="17" t="n">
        <f aca="false">B792*2/13+F791*11/13</f>
        <v>7627.53956766552</v>
      </c>
      <c r="G792" s="17" t="n">
        <f aca="false">B792*2/27+G791*25/27</f>
        <v>7673.13704502373</v>
      </c>
      <c r="H792" s="17" t="n">
        <f aca="false">F792-G792</f>
        <v>-45.5974773582057</v>
      </c>
      <c r="I792" s="17" t="n">
        <f aca="false">H792*2/10+I791*8/10</f>
        <v>-40.7965983121642</v>
      </c>
      <c r="J792" s="17" t="n">
        <f aca="false">H792-I792</f>
        <v>-4.80087904604147</v>
      </c>
      <c r="K792" s="17" t="n">
        <f aca="false">MAX(B792-B791,0)</f>
        <v>110.030000000001</v>
      </c>
      <c r="L792" s="17" t="n">
        <f aca="false">MAX(B791-B792,0)</f>
        <v>0</v>
      </c>
      <c r="M792" s="17" t="n">
        <f aca="false">(M791*13+K792)/14</f>
        <v>44.9174149603192</v>
      </c>
      <c r="N792" s="17" t="n">
        <f aca="false">(N791*13+L792)/14</f>
        <v>52.5950759289723</v>
      </c>
      <c r="O792" s="17" t="n">
        <f aca="false">IF(N792=0,100,100-100/(1+M792/N792))</f>
        <v>46.0632423094546</v>
      </c>
      <c r="P792" s="17" t="n">
        <f aca="false">AVERAGE(B773:B792)+2*STDEV(B773:B792)</f>
        <v>7921.89273941265</v>
      </c>
      <c r="Q792" s="17" t="n">
        <f aca="false">AVERAGE(B773:B792)-2*STDEV(B773:B792)</f>
        <v>7366.96926058735</v>
      </c>
      <c r="R792" s="19" t="n">
        <f aca="false">B792/B772-1</f>
        <v>-0.0518282455551827</v>
      </c>
      <c r="S792" s="17" t="n">
        <f aca="false">STDEV(C773:C792)*SQRT(252)*100</f>
        <v>27.8014814139895</v>
      </c>
      <c r="T792" s="19" t="n">
        <f aca="false">B771/B541-1</f>
        <v>0.0710115691880193</v>
      </c>
      <c r="U792" s="19" t="n">
        <f aca="false">B792/MAX(B541:B792)-1</f>
        <v>-0.0551244550608397</v>
      </c>
      <c r="V792" s="17" t="n">
        <f aca="false">(B792-AVERAGE(B773:B792))/STDEV(B773:B792)</f>
        <v>-0.500328442739042</v>
      </c>
    </row>
    <row r="793" customFormat="false" ht="15" hidden="false" customHeight="false" outlineLevel="0" collapsed="false">
      <c r="A793" s="17" t="s">
        <v>1357</v>
      </c>
      <c r="B793" s="17" t="n">
        <v>7566.03</v>
      </c>
      <c r="C793" s="19" t="n">
        <f aca="false">B793/B792-1</f>
        <v>-0.00118679554641454</v>
      </c>
      <c r="D793" s="17" t="n">
        <f aca="false">AVERAGE(B744:B793)</f>
        <v>7748.9074</v>
      </c>
      <c r="E793" s="17" t="n">
        <f aca="false">AVERAGE(B594:B793)</f>
        <v>7254.8506</v>
      </c>
      <c r="F793" s="17" t="n">
        <f aca="false">B793*2/13+F792*11/13</f>
        <v>7618.07655725544</v>
      </c>
      <c r="G793" s="17" t="n">
        <f aca="false">B793*2/27+G792*25/27</f>
        <v>7665.20318983678</v>
      </c>
      <c r="H793" s="17" t="n">
        <f aca="false">F793-G793</f>
        <v>-47.126632581344</v>
      </c>
      <c r="I793" s="17" t="n">
        <f aca="false">H793*2/10+I792*8/10</f>
        <v>-42.0626051660001</v>
      </c>
      <c r="J793" s="17" t="n">
        <f aca="false">H793-I793</f>
        <v>-5.06402741534384</v>
      </c>
      <c r="K793" s="17" t="n">
        <f aca="false">MAX(B793-B792,0)</f>
        <v>0</v>
      </c>
      <c r="L793" s="17" t="n">
        <f aca="false">MAX(B792-B793,0)</f>
        <v>8.99000000000069</v>
      </c>
      <c r="M793" s="17" t="n">
        <f aca="false">(M792*13+K793)/14</f>
        <v>41.7090281774393</v>
      </c>
      <c r="N793" s="17" t="n">
        <f aca="false">(N792*13+L793)/14</f>
        <v>49.4804276483314</v>
      </c>
      <c r="O793" s="17" t="n">
        <f aca="false">IF(N793=0,100,100-100/(1+M793/N793))</f>
        <v>45.7388716707881</v>
      </c>
      <c r="P793" s="17" t="n">
        <f aca="false">AVERAGE(B774:B793)+2*STDEV(B774:B793)</f>
        <v>7863.29103015871</v>
      </c>
      <c r="Q793" s="17" t="n">
        <f aca="false">AVERAGE(B774:B793)-2*STDEV(B774:B793)</f>
        <v>7386.92696984129</v>
      </c>
      <c r="R793" s="19" t="n">
        <f aca="false">B793/B773-1</f>
        <v>-0.0485937073638757</v>
      </c>
      <c r="S793" s="17" t="n">
        <f aca="false">STDEV(C774:C793)*SQRT(252)*100</f>
        <v>27.7940485997605</v>
      </c>
      <c r="T793" s="19" t="n">
        <f aca="false">B772/B542-1</f>
        <v>0.0568782386332818</v>
      </c>
      <c r="U793" s="19" t="n">
        <f aca="false">B793/MAX(B542:B793)-1</f>
        <v>-0.0562458291494895</v>
      </c>
      <c r="V793" s="17" t="n">
        <f aca="false">(B793-AVERAGE(B774:B793))/STDEV(B774:B793)</f>
        <v>-0.496082764603461</v>
      </c>
    </row>
    <row r="794" customFormat="false" ht="15" hidden="false" customHeight="false" outlineLevel="0" collapsed="false">
      <c r="A794" s="17" t="s">
        <v>1358</v>
      </c>
      <c r="B794" s="17" t="n">
        <v>7587.9</v>
      </c>
      <c r="C794" s="19" t="n">
        <f aca="false">B794/B793-1</f>
        <v>0.00289055158385576</v>
      </c>
      <c r="D794" s="17" t="n">
        <f aca="false">AVERAGE(B745:B794)</f>
        <v>7747.9574</v>
      </c>
      <c r="E794" s="17" t="n">
        <f aca="false">AVERAGE(B595:B794)</f>
        <v>7256.99715</v>
      </c>
      <c r="F794" s="17" t="n">
        <f aca="false">B794*2/13+F793*11/13</f>
        <v>7613.43400998537</v>
      </c>
      <c r="G794" s="17" t="n">
        <f aca="false">B794*2/27+G793*25/27</f>
        <v>7659.47702762665</v>
      </c>
      <c r="H794" s="17" t="n">
        <f aca="false">F794-G794</f>
        <v>-46.0430176412801</v>
      </c>
      <c r="I794" s="17" t="n">
        <f aca="false">H794*2/10+I793*8/10</f>
        <v>-42.8586876610561</v>
      </c>
      <c r="J794" s="17" t="n">
        <f aca="false">H794-I794</f>
        <v>-3.18432998022399</v>
      </c>
      <c r="K794" s="17" t="n">
        <f aca="false">MAX(B794-B793,0)</f>
        <v>21.8699999999999</v>
      </c>
      <c r="L794" s="17" t="n">
        <f aca="false">MAX(B793-B794,0)</f>
        <v>0</v>
      </c>
      <c r="M794" s="17" t="n">
        <f aca="false">(M793*13+K794)/14</f>
        <v>40.2919547361936</v>
      </c>
      <c r="N794" s="17" t="n">
        <f aca="false">(N793*13+L794)/14</f>
        <v>45.9461113877363</v>
      </c>
      <c r="O794" s="17" t="n">
        <f aca="false">IF(N794=0,100,100-100/(1+M794/N794))</f>
        <v>46.7217744404093</v>
      </c>
      <c r="P794" s="17" t="n">
        <f aca="false">AVERAGE(B775:B794)+2*STDEV(B775:B794)</f>
        <v>7826.01216627685</v>
      </c>
      <c r="Q794" s="17" t="n">
        <f aca="false">AVERAGE(B775:B794)-2*STDEV(B775:B794)</f>
        <v>7398.11783372315</v>
      </c>
      <c r="R794" s="19" t="n">
        <f aca="false">B794/B774-1</f>
        <v>-0.0332382867146231</v>
      </c>
      <c r="S794" s="17" t="n">
        <f aca="false">STDEV(C775:C794)*SQRT(252)*100</f>
        <v>27.5549981396113</v>
      </c>
      <c r="T794" s="19" t="n">
        <f aca="false">B773/B543-1</f>
        <v>0.050489746045375</v>
      </c>
      <c r="U794" s="19" t="n">
        <f aca="false">B794/MAX(B543:B794)-1</f>
        <v>-0.0535178590361671</v>
      </c>
      <c r="V794" s="17" t="n">
        <f aca="false">(B794-AVERAGE(B775:B794))/STDEV(B775:B794)</f>
        <v>-0.225896892401276</v>
      </c>
    </row>
    <row r="795" customFormat="false" ht="15" hidden="false" customHeight="false" outlineLevel="0" collapsed="false">
      <c r="A795" s="17" t="s">
        <v>1359</v>
      </c>
      <c r="B795" s="17" t="n">
        <v>7702.31</v>
      </c>
      <c r="C795" s="19" t="n">
        <f aca="false">B795/B794-1</f>
        <v>0.0150779530568406</v>
      </c>
      <c r="D795" s="17" t="n">
        <f aca="false">AVERAGE(B746:B795)</f>
        <v>7748.6488</v>
      </c>
      <c r="E795" s="17" t="n">
        <f aca="false">AVERAGE(B596:B795)</f>
        <v>7260.31295</v>
      </c>
      <c r="F795" s="17" t="n">
        <f aca="false">B795*2/13+F794*11/13</f>
        <v>7627.10723921839</v>
      </c>
      <c r="G795" s="17" t="n">
        <f aca="false">B795*2/27+G794*25/27</f>
        <v>7662.64984039505</v>
      </c>
      <c r="H795" s="17" t="n">
        <f aca="false">F795-G795</f>
        <v>-35.5426011766567</v>
      </c>
      <c r="I795" s="17" t="n">
        <f aca="false">H795*2/10+I794*8/10</f>
        <v>-41.3954703641763</v>
      </c>
      <c r="J795" s="17" t="n">
        <f aca="false">H795-I795</f>
        <v>5.85286918751953</v>
      </c>
      <c r="K795" s="17" t="n">
        <f aca="false">MAX(B795-B794,0)</f>
        <v>114.410000000001</v>
      </c>
      <c r="L795" s="17" t="n">
        <f aca="false">MAX(B794-B795,0)</f>
        <v>0</v>
      </c>
      <c r="M795" s="17" t="n">
        <f aca="false">(M794*13+K795)/14</f>
        <v>45.5861008264655</v>
      </c>
      <c r="N795" s="17" t="n">
        <f aca="false">(N794*13+L795)/14</f>
        <v>42.6642462886123</v>
      </c>
      <c r="O795" s="17" t="n">
        <f aca="false">IF(N795=0,100,100-100/(1+M795/N795))</f>
        <v>51.6554351531576</v>
      </c>
      <c r="P795" s="17" t="n">
        <f aca="false">AVERAGE(B776:B795)+2*STDEV(B776:B795)</f>
        <v>7806.76803121396</v>
      </c>
      <c r="Q795" s="17" t="n">
        <f aca="false">AVERAGE(B776:B795)-2*STDEV(B776:B795)</f>
        <v>7407.47796878605</v>
      </c>
      <c r="R795" s="19" t="n">
        <f aca="false">B795/B775-1</f>
        <v>-0.0126699268697563</v>
      </c>
      <c r="S795" s="17" t="n">
        <f aca="false">STDEV(C776:C795)*SQRT(252)*100</f>
        <v>28.1112983356893</v>
      </c>
      <c r="T795" s="19" t="n">
        <f aca="false">B774/B544-1</f>
        <v>0.024620831364276</v>
      </c>
      <c r="U795" s="19" t="n">
        <f aca="false">B795/MAX(B544:B795)-1</f>
        <v>-0.0392468457455765</v>
      </c>
      <c r="V795" s="17" t="n">
        <f aca="false">(B795-AVERAGE(B776:B795))/STDEV(B776:B795)</f>
        <v>0.953562424481189</v>
      </c>
    </row>
    <row r="796" customFormat="false" ht="15" hidden="false" customHeight="false" outlineLevel="0" collapsed="false">
      <c r="A796" s="17" t="s">
        <v>1360</v>
      </c>
      <c r="B796" s="17" t="n">
        <v>7691</v>
      </c>
      <c r="C796" s="19" t="n">
        <f aca="false">B796/B795-1</f>
        <v>-0.00146839065163573</v>
      </c>
      <c r="D796" s="17" t="n">
        <f aca="false">AVERAGE(B747:B796)</f>
        <v>7747.7078</v>
      </c>
      <c r="E796" s="17" t="n">
        <f aca="false">AVERAGE(B597:B796)</f>
        <v>7264.62245</v>
      </c>
      <c r="F796" s="17" t="n">
        <f aca="false">B796*2/13+F795*11/13</f>
        <v>7636.93689472326</v>
      </c>
      <c r="G796" s="17" t="n">
        <f aca="false">B796*2/27+G795*25/27</f>
        <v>7664.74985221764</v>
      </c>
      <c r="H796" s="17" t="n">
        <f aca="false">F796-G796</f>
        <v>-27.8129574943814</v>
      </c>
      <c r="I796" s="17" t="n">
        <f aca="false">H796*2/10+I795*8/10</f>
        <v>-38.6789677902173</v>
      </c>
      <c r="J796" s="17" t="n">
        <f aca="false">H796-I796</f>
        <v>10.8660102958359</v>
      </c>
      <c r="K796" s="17" t="n">
        <f aca="false">MAX(B796-B795,0)</f>
        <v>0</v>
      </c>
      <c r="L796" s="17" t="n">
        <f aca="false">MAX(B795-B796,0)</f>
        <v>11.3100000000004</v>
      </c>
      <c r="M796" s="17" t="n">
        <f aca="false">(M795*13+K796)/14</f>
        <v>42.3299507674323</v>
      </c>
      <c r="N796" s="17" t="n">
        <f aca="false">(N795*13+L796)/14</f>
        <v>40.4246572679972</v>
      </c>
      <c r="O796" s="17" t="n">
        <f aca="false">IF(N796=0,100,100-100/(1+M796/N796))</f>
        <v>51.1511706385096</v>
      </c>
      <c r="P796" s="17" t="n">
        <f aca="false">AVERAGE(B777:B796)+2*STDEV(B777:B796)</f>
        <v>7806.51696512265</v>
      </c>
      <c r="Q796" s="17" t="n">
        <f aca="false">AVERAGE(B777:B796)-2*STDEV(B777:B796)</f>
        <v>7407.54903487736</v>
      </c>
      <c r="R796" s="19" t="n">
        <f aca="false">B796/B776-1</f>
        <v>-0.000233985024958416</v>
      </c>
      <c r="S796" s="17" t="n">
        <f aca="false">STDEV(C777:C796)*SQRT(252)*100</f>
        <v>27.6681788510036</v>
      </c>
      <c r="T796" s="19" t="n">
        <f aca="false">B775/B545-1</f>
        <v>0.0207362086809975</v>
      </c>
      <c r="U796" s="19" t="n">
        <f aca="false">B796/MAX(B545:B796)-1</f>
        <v>-0.0406576066958132</v>
      </c>
      <c r="V796" s="17" t="n">
        <f aca="false">(B796-AVERAGE(B777:B796))/STDEV(B777:B796)</f>
        <v>0.841842099422635</v>
      </c>
    </row>
    <row r="797" customFormat="false" ht="15" hidden="false" customHeight="false" outlineLevel="0" collapsed="false">
      <c r="A797" s="17" t="s">
        <v>1361</v>
      </c>
      <c r="B797" s="17" t="n">
        <v>7609.51</v>
      </c>
      <c r="C797" s="19" t="n">
        <f aca="false">B797/B796-1</f>
        <v>-0.0105955012352099</v>
      </c>
      <c r="D797" s="17" t="n">
        <f aca="false">AVERAGE(B748:B797)</f>
        <v>7745.3224</v>
      </c>
      <c r="E797" s="17" t="n">
        <f aca="false">AVERAGE(B598:B797)</f>
        <v>7268.51545</v>
      </c>
      <c r="F797" s="17" t="n">
        <f aca="false">B797*2/13+F796*11/13</f>
        <v>7632.71737245814</v>
      </c>
      <c r="G797" s="17" t="n">
        <f aca="false">B797*2/27+G796*25/27</f>
        <v>7660.65801131263</v>
      </c>
      <c r="H797" s="17" t="n">
        <f aca="false">F797-G797</f>
        <v>-27.9406388544867</v>
      </c>
      <c r="I797" s="17" t="n">
        <f aca="false">H797*2/10+I796*8/10</f>
        <v>-36.5313020030712</v>
      </c>
      <c r="J797" s="17" t="n">
        <f aca="false">H797-I797</f>
        <v>8.59066314858448</v>
      </c>
      <c r="K797" s="17" t="n">
        <f aca="false">MAX(B797-B796,0)</f>
        <v>0</v>
      </c>
      <c r="L797" s="17" t="n">
        <f aca="false">MAX(B796-B797,0)</f>
        <v>81.4899999999998</v>
      </c>
      <c r="M797" s="17" t="n">
        <f aca="false">(M796*13+K797)/14</f>
        <v>39.3063828554728</v>
      </c>
      <c r="N797" s="17" t="n">
        <f aca="false">(N796*13+L797)/14</f>
        <v>43.3578960345688</v>
      </c>
      <c r="O797" s="17" t="n">
        <f aca="false">IF(N797=0,100,100-100/(1+M797/N797))</f>
        <v>47.5494172129142</v>
      </c>
      <c r="P797" s="17" t="n">
        <f aca="false">AVERAGE(B778:B797)+2*STDEV(B778:B797)</f>
        <v>7794.74616354033</v>
      </c>
      <c r="Q797" s="17" t="n">
        <f aca="false">AVERAGE(B778:B797)-2*STDEV(B778:B797)</f>
        <v>7438.70183645967</v>
      </c>
      <c r="R797" s="19" t="n">
        <f aca="false">B797/B777-1</f>
        <v>0.0261364754999198</v>
      </c>
      <c r="S797" s="17" t="n">
        <f aca="false">STDEV(C778:C797)*SQRT(252)*100</f>
        <v>24.5586526891231</v>
      </c>
      <c r="T797" s="19" t="n">
        <f aca="false">B776/B546-1</f>
        <v>0.00499702791150369</v>
      </c>
      <c r="U797" s="19" t="n">
        <f aca="false">B797/MAX(B546:B797)-1</f>
        <v>-0.050822320209057</v>
      </c>
      <c r="V797" s="17" t="n">
        <f aca="false">(B797-AVERAGE(B778:B797))/STDEV(B778:B797)</f>
        <v>-0.0810460883806276</v>
      </c>
    </row>
    <row r="798" customFormat="false" ht="15" hidden="false" customHeight="false" outlineLevel="0" collapsed="false">
      <c r="A798" s="17" t="s">
        <v>1362</v>
      </c>
      <c r="B798" s="17" t="n">
        <v>7719.25</v>
      </c>
      <c r="C798" s="19" t="n">
        <f aca="false">B798/B797-1</f>
        <v>0.0144214279237427</v>
      </c>
      <c r="D798" s="17" t="n">
        <f aca="false">AVERAGE(B749:B798)</f>
        <v>7745.247</v>
      </c>
      <c r="E798" s="17" t="n">
        <f aca="false">AVERAGE(B599:B798)</f>
        <v>7273.26235</v>
      </c>
      <c r="F798" s="17" t="n">
        <f aca="false">B798*2/13+F797*11/13</f>
        <v>7646.03008438766</v>
      </c>
      <c r="G798" s="17" t="n">
        <f aca="false">B798*2/27+G797*25/27</f>
        <v>7664.9981586228</v>
      </c>
      <c r="H798" s="17" t="n">
        <f aca="false">F798-G798</f>
        <v>-18.9680742351457</v>
      </c>
      <c r="I798" s="17" t="n">
        <f aca="false">H798*2/10+I797*8/10</f>
        <v>-33.0186564494861</v>
      </c>
      <c r="J798" s="17" t="n">
        <f aca="false">H798-I798</f>
        <v>14.0505822143404</v>
      </c>
      <c r="K798" s="17" t="n">
        <f aca="false">MAX(B798-B797,0)</f>
        <v>109.74</v>
      </c>
      <c r="L798" s="17" t="n">
        <f aca="false">MAX(B797-B798,0)</f>
        <v>0</v>
      </c>
      <c r="M798" s="17" t="n">
        <f aca="false">(M797*13+K798)/14</f>
        <v>44.3373555086533</v>
      </c>
      <c r="N798" s="17" t="n">
        <f aca="false">(N797*13+L798)/14</f>
        <v>40.260903460671</v>
      </c>
      <c r="O798" s="17" t="n">
        <f aca="false">IF(N798=0,100,100-100/(1+M798/N798))</f>
        <v>52.4093002017101</v>
      </c>
      <c r="P798" s="17" t="n">
        <f aca="false">AVERAGE(B779:B798)+2*STDEV(B779:B798)</f>
        <v>7804.31765461099</v>
      </c>
      <c r="Q798" s="17" t="n">
        <f aca="false">AVERAGE(B779:B798)-2*STDEV(B779:B798)</f>
        <v>7448.92334538901</v>
      </c>
      <c r="R798" s="19" t="n">
        <f aca="false">B798/B778-1</f>
        <v>0.0263158594502029</v>
      </c>
      <c r="S798" s="17" t="n">
        <f aca="false">STDEV(C779:C798)*SQRT(252)*100</f>
        <v>24.5710242394306</v>
      </c>
      <c r="T798" s="19" t="n">
        <f aca="false">B777/B547-1</f>
        <v>-0.0271085443801887</v>
      </c>
      <c r="U798" s="19" t="n">
        <f aca="false">B798/MAX(B547:B798)-1</f>
        <v>-0.0371338227131266</v>
      </c>
      <c r="V798" s="17" t="n">
        <f aca="false">(B798-AVERAGE(B779:B798))/STDEV(B779:B798)</f>
        <v>1.04255467908625</v>
      </c>
    </row>
    <row r="799" customFormat="false" ht="15" hidden="false" customHeight="false" outlineLevel="0" collapsed="false">
      <c r="A799" s="17" t="s">
        <v>1363</v>
      </c>
      <c r="B799" s="17" t="n">
        <v>7862.54</v>
      </c>
      <c r="C799" s="19" t="n">
        <f aca="false">B799/B798-1</f>
        <v>0.0185626841985944</v>
      </c>
      <c r="D799" s="17" t="n">
        <f aca="false">AVERAGE(B750:B799)</f>
        <v>7750.667</v>
      </c>
      <c r="E799" s="17" t="n">
        <f aca="false">AVERAGE(B600:B799)</f>
        <v>7278.1228</v>
      </c>
      <c r="F799" s="17" t="n">
        <f aca="false">B799*2/13+F798*11/13</f>
        <v>7679.33930217417</v>
      </c>
      <c r="G799" s="17" t="n">
        <f aca="false">B799*2/27+G798*25/27</f>
        <v>7679.6308876137</v>
      </c>
      <c r="H799" s="17" t="n">
        <f aca="false">F799-G799</f>
        <v>-0.291585439534174</v>
      </c>
      <c r="I799" s="17" t="n">
        <f aca="false">H799*2/10+I798*8/10</f>
        <v>-26.4732422474957</v>
      </c>
      <c r="J799" s="17" t="n">
        <f aca="false">H799-I799</f>
        <v>26.1816568079615</v>
      </c>
      <c r="K799" s="17" t="n">
        <f aca="false">MAX(B799-B798,0)</f>
        <v>143.29</v>
      </c>
      <c r="L799" s="17" t="n">
        <f aca="false">MAX(B798-B799,0)</f>
        <v>0</v>
      </c>
      <c r="M799" s="17" t="n">
        <f aca="false">(M798*13+K799)/14</f>
        <v>51.4054015437495</v>
      </c>
      <c r="N799" s="17" t="n">
        <f aca="false">(N798*13+L799)/14</f>
        <v>37.3851246420517</v>
      </c>
      <c r="O799" s="17" t="n">
        <f aca="false">IF(N799=0,100,100-100/(1+M799/N799))</f>
        <v>57.8951423670805</v>
      </c>
      <c r="P799" s="17" t="n">
        <f aca="false">AVERAGE(B780:B799)+2*STDEV(B780:B799)</f>
        <v>7844.8902465828</v>
      </c>
      <c r="Q799" s="17" t="n">
        <f aca="false">AVERAGE(B780:B799)-2*STDEV(B780:B799)</f>
        <v>7439.41475341719</v>
      </c>
      <c r="R799" s="19" t="n">
        <f aca="false">B799/B779-1</f>
        <v>0.0411340192534329</v>
      </c>
      <c r="S799" s="17" t="n">
        <f aca="false">STDEV(C780:C799)*SQRT(252)*100</f>
        <v>25.3063787760602</v>
      </c>
      <c r="T799" s="19" t="n">
        <f aca="false">B778/B548-1</f>
        <v>-0.000257866935344575</v>
      </c>
      <c r="U799" s="19" t="n">
        <f aca="false">B799/MAX(B548:B799)-1</f>
        <v>-0.0192604419386425</v>
      </c>
      <c r="V799" s="17" t="n">
        <f aca="false">(B799-AVERAGE(B780:B799))/STDEV(B780:B799)</f>
        <v>2.1741141323181</v>
      </c>
    </row>
    <row r="800" customFormat="false" ht="15" hidden="false" customHeight="false" outlineLevel="0" collapsed="false">
      <c r="A800" s="17" t="s">
        <v>1364</v>
      </c>
      <c r="B800" s="17" t="n">
        <v>7852.54</v>
      </c>
      <c r="C800" s="19" t="n">
        <f aca="false">B800/B799-1</f>
        <v>-0.00127185362491</v>
      </c>
      <c r="D800" s="17" t="n">
        <f aca="false">AVERAGE(B751:B800)</f>
        <v>7755.1768</v>
      </c>
      <c r="E800" s="17" t="n">
        <f aca="false">AVERAGE(B601:B800)</f>
        <v>7283.0504</v>
      </c>
      <c r="F800" s="17" t="n">
        <f aca="false">B800*2/13+F799*11/13</f>
        <v>7705.98556337814</v>
      </c>
      <c r="G800" s="17" t="n">
        <f aca="false">B800*2/27+G799*25/27</f>
        <v>7692.43897001269</v>
      </c>
      <c r="H800" s="17" t="n">
        <f aca="false">F800-G800</f>
        <v>13.5465933654559</v>
      </c>
      <c r="I800" s="17" t="n">
        <f aca="false">H800*2/10+I799*8/10</f>
        <v>-18.4692751249054</v>
      </c>
      <c r="J800" s="17" t="n">
        <f aca="false">H800-I800</f>
        <v>32.0158684903613</v>
      </c>
      <c r="K800" s="17" t="n">
        <f aca="false">MAX(B800-B799,0)</f>
        <v>0</v>
      </c>
      <c r="L800" s="17" t="n">
        <f aca="false">MAX(B799-B800,0)</f>
        <v>10</v>
      </c>
      <c r="M800" s="17" t="n">
        <f aca="false">(M799*13+K800)/14</f>
        <v>47.7335871477674</v>
      </c>
      <c r="N800" s="17" t="n">
        <f aca="false">(N799*13+L800)/14</f>
        <v>35.4290443104766</v>
      </c>
      <c r="O800" s="17" t="n">
        <f aca="false">IF(N800=0,100,100-100/(1+M800/N800))</f>
        <v>57.3978796855827</v>
      </c>
      <c r="P800" s="17" t="n">
        <f aca="false">AVERAGE(B781:B800)+2*STDEV(B781:B800)</f>
        <v>7869.4686439968</v>
      </c>
      <c r="Q800" s="17" t="n">
        <f aca="false">AVERAGE(B781:B800)-2*STDEV(B781:B800)</f>
        <v>7427.6073560032</v>
      </c>
      <c r="R800" s="19" t="n">
        <f aca="false">B800/B780-1</f>
        <v>0.0165324026548157</v>
      </c>
      <c r="S800" s="17" t="n">
        <f aca="false">STDEV(C781:C800)*SQRT(252)*100</f>
        <v>24.1022822535148</v>
      </c>
      <c r="T800" s="19" t="n">
        <f aca="false">B779/B549-1</f>
        <v>0.0132467124726794</v>
      </c>
      <c r="U800" s="19" t="n">
        <f aca="false">B800/MAX(B549:B800)-1</f>
        <v>-0.0205077991006555</v>
      </c>
      <c r="V800" s="17" t="n">
        <f aca="false">(B800-AVERAGE(B781:B800))/STDEV(B781:B800)</f>
        <v>1.84675150816065</v>
      </c>
    </row>
    <row r="801" customFormat="false" ht="15" hidden="false" customHeight="false" outlineLevel="0" collapsed="false">
      <c r="A801" s="17" t="s">
        <v>1365</v>
      </c>
      <c r="B801" s="17" t="n">
        <v>7832.4</v>
      </c>
      <c r="C801" s="19" t="n">
        <f aca="false">B801/B800-1</f>
        <v>-0.00256477521922849</v>
      </c>
      <c r="D801" s="17" t="n">
        <f aca="false">AVERAGE(B752:B801)</f>
        <v>7758.6838</v>
      </c>
      <c r="E801" s="17" t="n">
        <f aca="false">AVERAGE(B602:B801)</f>
        <v>7288.9978</v>
      </c>
      <c r="F801" s="17" t="n">
        <f aca="false">B801*2/13+F800*11/13</f>
        <v>7725.43393824305</v>
      </c>
      <c r="G801" s="17" t="n">
        <f aca="false">B801*2/27+G800*25/27</f>
        <v>7702.80645371545</v>
      </c>
      <c r="H801" s="17" t="n">
        <f aca="false">F801-G801</f>
        <v>22.6274845275939</v>
      </c>
      <c r="I801" s="17" t="n">
        <f aca="false">H801*2/10+I800*8/10</f>
        <v>-10.2499231944055</v>
      </c>
      <c r="J801" s="17" t="n">
        <f aca="false">H801-I801</f>
        <v>32.8774077219994</v>
      </c>
      <c r="K801" s="17" t="n">
        <f aca="false">MAX(B801-B800,0)</f>
        <v>0</v>
      </c>
      <c r="L801" s="17" t="n">
        <f aca="false">MAX(B800-B801,0)</f>
        <v>20.1400000000003</v>
      </c>
      <c r="M801" s="17" t="n">
        <f aca="false">(M800*13+K801)/14</f>
        <v>44.3240452086412</v>
      </c>
      <c r="N801" s="17" t="n">
        <f aca="false">(N800*13+L801)/14</f>
        <v>34.3369697168711</v>
      </c>
      <c r="O801" s="17" t="n">
        <f aca="false">IF(N801=0,100,100-100/(1+M801/N801))</f>
        <v>56.3481735528249</v>
      </c>
      <c r="P801" s="17" t="n">
        <f aca="false">AVERAGE(B782:B801)+2*STDEV(B782:B801)</f>
        <v>7893.55932872988</v>
      </c>
      <c r="Q801" s="17" t="n">
        <f aca="false">AVERAGE(B782:B801)-2*STDEV(B782:B801)</f>
        <v>7422.12967127012</v>
      </c>
      <c r="R801" s="19" t="n">
        <f aca="false">B801/B781-1</f>
        <v>0.0243425879546497</v>
      </c>
      <c r="S801" s="17" t="n">
        <f aca="false">STDEV(C782:C801)*SQRT(252)*100</f>
        <v>23.7868610827408</v>
      </c>
      <c r="T801" s="19" t="n">
        <f aca="false">B780/B550-1</f>
        <v>0.0396446423139971</v>
      </c>
      <c r="U801" s="19" t="n">
        <f aca="false">B801/MAX(B550:B801)-1</f>
        <v>-0.0230199764249497</v>
      </c>
      <c r="V801" s="17" t="n">
        <f aca="false">(B801-AVERAGE(B782:B801))/STDEV(B782:B801)</f>
        <v>1.48107355774405</v>
      </c>
    </row>
    <row r="802" customFormat="false" ht="15" hidden="false" customHeight="false" outlineLevel="0" collapsed="false">
      <c r="A802" s="17" t="s">
        <v>1366</v>
      </c>
      <c r="B802" s="17" t="n">
        <v>7814.74</v>
      </c>
      <c r="C802" s="19" t="n">
        <f aca="false">B802/B801-1</f>
        <v>-0.00225473673458965</v>
      </c>
      <c r="D802" s="17" t="n">
        <f aca="false">AVERAGE(B753:B802)</f>
        <v>7761.557</v>
      </c>
      <c r="E802" s="17" t="n">
        <f aca="false">AVERAGE(B603:B802)</f>
        <v>7295.4367</v>
      </c>
      <c r="F802" s="17" t="n">
        <f aca="false">B802*2/13+F801*11/13</f>
        <v>7739.1733323595</v>
      </c>
      <c r="G802" s="17" t="n">
        <f aca="false">B802*2/27+G801*25/27</f>
        <v>7711.09782751431</v>
      </c>
      <c r="H802" s="17" t="n">
        <f aca="false">F802-G802</f>
        <v>28.0755048451938</v>
      </c>
      <c r="I802" s="17" t="n">
        <f aca="false">H802*2/10+I801*8/10</f>
        <v>-2.58483758648566</v>
      </c>
      <c r="J802" s="17" t="n">
        <f aca="false">H802-I802</f>
        <v>30.6603424316794</v>
      </c>
      <c r="K802" s="17" t="n">
        <f aca="false">MAX(B802-B801,0)</f>
        <v>0</v>
      </c>
      <c r="L802" s="17" t="n">
        <f aca="false">MAX(B801-B802,0)</f>
        <v>17.6599999999999</v>
      </c>
      <c r="M802" s="17" t="n">
        <f aca="false">(M801*13+K802)/14</f>
        <v>41.1580419794525</v>
      </c>
      <c r="N802" s="17" t="n">
        <f aca="false">(N801*13+L802)/14</f>
        <v>33.1457575942374</v>
      </c>
      <c r="O802" s="17" t="n">
        <f aca="false">IF(N802=0,100,100-100/(1+M802/N802))</f>
        <v>55.3915711115614</v>
      </c>
      <c r="P802" s="17" t="n">
        <f aca="false">AVERAGE(B783:B802)+2*STDEV(B783:B802)</f>
        <v>7911.58435963668</v>
      </c>
      <c r="Q802" s="17" t="n">
        <f aca="false">AVERAGE(B783:B802)-2*STDEV(B783:B802)</f>
        <v>7429.41064036333</v>
      </c>
      <c r="R802" s="19" t="n">
        <f aca="false">B802/B782-1</f>
        <v>0.0334661080606424</v>
      </c>
      <c r="S802" s="17" t="n">
        <f aca="false">STDEV(C783:C802)*SQRT(252)*100</f>
        <v>23.3811869798222</v>
      </c>
      <c r="T802" s="19" t="n">
        <f aca="false">B781/B551-1</f>
        <v>0.026664679470654</v>
      </c>
      <c r="U802" s="19" t="n">
        <f aca="false">B802/MAX(B551:B802)-1</f>
        <v>-0.0252228091730645</v>
      </c>
      <c r="V802" s="17" t="n">
        <f aca="false">(B802-AVERAGE(B783:B802))/STDEV(B783:B802)</f>
        <v>1.19660192361689</v>
      </c>
    </row>
    <row r="803" customFormat="false" ht="15" hidden="false" customHeight="false" outlineLevel="0" collapsed="false">
      <c r="A803" s="17" t="s">
        <v>1367</v>
      </c>
      <c r="B803" s="17" t="n">
        <v>7887.58</v>
      </c>
      <c r="C803" s="19" t="n">
        <f aca="false">B803/B802-1</f>
        <v>0.00932084752659712</v>
      </c>
      <c r="D803" s="17" t="n">
        <f aca="false">AVERAGE(B754:B803)</f>
        <v>7763.9458</v>
      </c>
      <c r="E803" s="17" t="n">
        <f aca="false">AVERAGE(B604:B803)</f>
        <v>7301.9963</v>
      </c>
      <c r="F803" s="17" t="n">
        <f aca="false">B803*2/13+F802*11/13</f>
        <v>7762.00512738112</v>
      </c>
      <c r="G803" s="17" t="n">
        <f aca="false">B803*2/27+G802*25/27</f>
        <v>7724.17058103177</v>
      </c>
      <c r="H803" s="17" t="n">
        <f aca="false">F803-G803</f>
        <v>37.8345463493497</v>
      </c>
      <c r="I803" s="17" t="n">
        <f aca="false">H803*2/10+I802*8/10</f>
        <v>5.49903920068141</v>
      </c>
      <c r="J803" s="17" t="n">
        <f aca="false">H803-I803</f>
        <v>32.3355071486683</v>
      </c>
      <c r="K803" s="17" t="n">
        <f aca="false">MAX(B803-B802,0)</f>
        <v>72.8400000000002</v>
      </c>
      <c r="L803" s="17" t="n">
        <f aca="false">MAX(B802-B803,0)</f>
        <v>0</v>
      </c>
      <c r="M803" s="17" t="n">
        <f aca="false">(M802*13+K803)/14</f>
        <v>43.4210389809202</v>
      </c>
      <c r="N803" s="17" t="n">
        <f aca="false">(N802*13+L803)/14</f>
        <v>30.7782034803633</v>
      </c>
      <c r="O803" s="17" t="n">
        <f aca="false">IF(N803=0,100,100-100/(1+M803/N803))</f>
        <v>58.5195179096025</v>
      </c>
      <c r="P803" s="17" t="n">
        <f aca="false">AVERAGE(B784:B803)+2*STDEV(B784:B803)</f>
        <v>7937.46046735792</v>
      </c>
      <c r="Q803" s="17" t="n">
        <f aca="false">AVERAGE(B784:B803)-2*STDEV(B784:B803)</f>
        <v>7419.47753264208</v>
      </c>
      <c r="R803" s="19" t="n">
        <f aca="false">B803/B783-1</f>
        <v>0.0206297755607745</v>
      </c>
      <c r="S803" s="17" t="n">
        <f aca="false">STDEV(C784:C803)*SQRT(252)*100</f>
        <v>22.3326923680496</v>
      </c>
      <c r="T803" s="19" t="n">
        <f aca="false">B782/B552-1</f>
        <v>0.00716714594152546</v>
      </c>
      <c r="U803" s="19" t="n">
        <f aca="false">B803/MAX(B552:B803)-1</f>
        <v>-0.0161370596049619</v>
      </c>
      <c r="V803" s="17" t="n">
        <f aca="false">(B803-AVERAGE(B784:B803))/STDEV(B784:B803)</f>
        <v>1.6148099559667</v>
      </c>
    </row>
    <row r="804" customFormat="false" ht="15" hidden="false" customHeight="false" outlineLevel="0" collapsed="false">
      <c r="A804" s="17" t="s">
        <v>1368</v>
      </c>
      <c r="B804" s="17" t="n">
        <v>7917.34</v>
      </c>
      <c r="C804" s="19" t="n">
        <f aca="false">B804/B803-1</f>
        <v>0.00377302036873162</v>
      </c>
      <c r="D804" s="17" t="n">
        <f aca="false">AVERAGE(B755:B804)</f>
        <v>7766.2962</v>
      </c>
      <c r="E804" s="17" t="n">
        <f aca="false">AVERAGE(B605:B804)</f>
        <v>7308.94625</v>
      </c>
      <c r="F804" s="17" t="n">
        <f aca="false">B804*2/13+F803*11/13</f>
        <v>7785.90280009171</v>
      </c>
      <c r="G804" s="17" t="n">
        <f aca="false">B804*2/27+G803*25/27</f>
        <v>7738.47942688127</v>
      </c>
      <c r="H804" s="17" t="n">
        <f aca="false">F804-G804</f>
        <v>47.4233732104476</v>
      </c>
      <c r="I804" s="17" t="n">
        <f aca="false">H804*2/10+I803*8/10</f>
        <v>13.8839060026347</v>
      </c>
      <c r="J804" s="17" t="n">
        <f aca="false">H804-I804</f>
        <v>33.539467207813</v>
      </c>
      <c r="K804" s="17" t="n">
        <f aca="false">MAX(B804-B803,0)</f>
        <v>29.7600000000002</v>
      </c>
      <c r="L804" s="17" t="n">
        <f aca="false">MAX(B803-B804,0)</f>
        <v>0</v>
      </c>
      <c r="M804" s="17" t="n">
        <f aca="false">(M803*13+K804)/14</f>
        <v>42.4452504822831</v>
      </c>
      <c r="N804" s="17" t="n">
        <f aca="false">(N803*13+L804)/14</f>
        <v>28.5797603746231</v>
      </c>
      <c r="O804" s="17" t="n">
        <f aca="false">IF(N804=0,100,100-100/(1+M804/N804))</f>
        <v>59.7609911919582</v>
      </c>
      <c r="P804" s="17" t="n">
        <f aca="false">AVERAGE(B785:B804)+2*STDEV(B785:B804)</f>
        <v>7963.83751913459</v>
      </c>
      <c r="Q804" s="17" t="n">
        <f aca="false">AVERAGE(B785:B804)-2*STDEV(B785:B804)</f>
        <v>7435.82148086541</v>
      </c>
      <c r="R804" s="19" t="n">
        <f aca="false">B804/B784-1</f>
        <v>0.0570363932268199</v>
      </c>
      <c r="S804" s="17" t="n">
        <f aca="false">STDEV(C785:C804)*SQRT(252)*100</f>
        <v>18.8854916937028</v>
      </c>
      <c r="T804" s="19" t="n">
        <f aca="false">B783/B553-1</f>
        <v>0.0320630443666317</v>
      </c>
      <c r="U804" s="19" t="n">
        <f aca="false">B804/MAX(B553:B804)-1</f>
        <v>-0.0124249246908114</v>
      </c>
      <c r="V804" s="17" t="n">
        <f aca="false">(B804-AVERAGE(B785:B804))/STDEV(B785:B804)</f>
        <v>1.64775676673001</v>
      </c>
    </row>
    <row r="805" customFormat="false" ht="15" hidden="false" customHeight="false" outlineLevel="0" collapsed="false">
      <c r="A805" s="17" t="s">
        <v>1369</v>
      </c>
      <c r="B805" s="17" t="n">
        <v>7892.95</v>
      </c>
      <c r="C805" s="19" t="n">
        <f aca="false">B805/B804-1</f>
        <v>-0.0030805800938194</v>
      </c>
      <c r="D805" s="17" t="n">
        <f aca="false">AVERAGE(B756:B805)</f>
        <v>7767.0014</v>
      </c>
      <c r="E805" s="17" t="n">
        <f aca="false">AVERAGE(B606:B805)</f>
        <v>7315.0193</v>
      </c>
      <c r="F805" s="17" t="n">
        <f aca="false">B805*2/13+F804*11/13</f>
        <v>7802.3716000776</v>
      </c>
      <c r="G805" s="17" t="n">
        <f aca="false">B805*2/27+G804*25/27</f>
        <v>7749.92169155673</v>
      </c>
      <c r="H805" s="17" t="n">
        <f aca="false">F805-G805</f>
        <v>52.4499085208754</v>
      </c>
      <c r="I805" s="17" t="n">
        <f aca="false">H805*2/10+I804*8/10</f>
        <v>21.5971065062828</v>
      </c>
      <c r="J805" s="17" t="n">
        <f aca="false">H805-I805</f>
        <v>30.8528020145926</v>
      </c>
      <c r="K805" s="17" t="n">
        <f aca="false">MAX(B805-B804,0)</f>
        <v>0</v>
      </c>
      <c r="L805" s="17" t="n">
        <f aca="false">MAX(B804-B805,0)</f>
        <v>24.3900000000003</v>
      </c>
      <c r="M805" s="17" t="n">
        <f aca="false">(M804*13+K805)/14</f>
        <v>39.4134468764057</v>
      </c>
      <c r="N805" s="17" t="n">
        <f aca="false">(N804*13+L805)/14</f>
        <v>28.2804917764358</v>
      </c>
      <c r="O805" s="17" t="n">
        <f aca="false">IF(N805=0,100,100-100/(1+M805/N805))</f>
        <v>58.2230073486074</v>
      </c>
      <c r="P805" s="17" t="n">
        <f aca="false">AVERAGE(B786:B805)+2*STDEV(B786:B805)</f>
        <v>7977.27929196188</v>
      </c>
      <c r="Q805" s="17" t="n">
        <f aca="false">AVERAGE(B786:B805)-2*STDEV(B786:B805)</f>
        <v>7463.18570803812</v>
      </c>
      <c r="R805" s="19" t="n">
        <f aca="false">B805/B785-1</f>
        <v>0.0545178352654481</v>
      </c>
      <c r="S805" s="17" t="n">
        <f aca="false">STDEV(C786:C805)*SQRT(252)*100</f>
        <v>18.9635110816666</v>
      </c>
      <c r="T805" s="19" t="n">
        <f aca="false">B784/B554-1</f>
        <v>-0.00946349294932736</v>
      </c>
      <c r="U805" s="19" t="n">
        <f aca="false">B805/MAX(B554:B805)-1</f>
        <v>-0.015467228808961</v>
      </c>
      <c r="V805" s="17" t="n">
        <f aca="false">(B805-AVERAGE(B786:B805))/STDEV(B786:B805)</f>
        <v>1.34386038185307</v>
      </c>
    </row>
    <row r="806" customFormat="false" ht="15" hidden="false" customHeight="false" outlineLevel="0" collapsed="false">
      <c r="A806" s="17" t="s">
        <v>1370</v>
      </c>
      <c r="B806" s="17" t="n">
        <v>7852.41</v>
      </c>
      <c r="C806" s="19" t="n">
        <f aca="false">B806/B805-1</f>
        <v>-0.00513622916653467</v>
      </c>
      <c r="D806" s="17" t="n">
        <f aca="false">AVERAGE(B757:B806)</f>
        <v>7767.2236</v>
      </c>
      <c r="E806" s="17" t="n">
        <f aca="false">AVERAGE(B607:B806)</f>
        <v>7320.77615</v>
      </c>
      <c r="F806" s="17" t="n">
        <f aca="false">B806*2/13+F805*11/13</f>
        <v>7810.06981545028</v>
      </c>
      <c r="G806" s="17" t="n">
        <f aca="false">B806*2/27+G805*25/27</f>
        <v>7757.51341810808</v>
      </c>
      <c r="H806" s="17" t="n">
        <f aca="false">F806-G806</f>
        <v>52.5563973421977</v>
      </c>
      <c r="I806" s="17" t="n">
        <f aca="false">H806*2/10+I805*8/10</f>
        <v>27.7889646734658</v>
      </c>
      <c r="J806" s="17" t="n">
        <f aca="false">H806-I806</f>
        <v>24.7674326687319</v>
      </c>
      <c r="K806" s="17" t="n">
        <f aca="false">MAX(B806-B805,0)</f>
        <v>0</v>
      </c>
      <c r="L806" s="17" t="n">
        <f aca="false">MAX(B805-B806,0)</f>
        <v>40.54</v>
      </c>
      <c r="M806" s="17" t="n">
        <f aca="false">(M805*13+K806)/14</f>
        <v>36.5982006709481</v>
      </c>
      <c r="N806" s="17" t="n">
        <f aca="false">(N805*13+L806)/14</f>
        <v>29.1561709352618</v>
      </c>
      <c r="O806" s="17" t="n">
        <f aca="false">IF(N806=0,100,100-100/(1+M806/N806))</f>
        <v>55.6589619472415</v>
      </c>
      <c r="P806" s="17" t="n">
        <f aca="false">AVERAGE(B787:B806)+2*STDEV(B787:B806)</f>
        <v>7990.06414567083</v>
      </c>
      <c r="Q806" s="17" t="n">
        <f aca="false">AVERAGE(B787:B806)-2*STDEV(B787:B806)</f>
        <v>7475.23085432917</v>
      </c>
      <c r="R806" s="19" t="n">
        <f aca="false">B806/B786-1</f>
        <v>0.032653394019813</v>
      </c>
      <c r="S806" s="17" t="n">
        <f aca="false">STDEV(C787:C806)*SQRT(252)*100</f>
        <v>18.4865583977838</v>
      </c>
      <c r="T806" s="19" t="n">
        <f aca="false">B785/B555-1</f>
        <v>-0.00803260221323965</v>
      </c>
      <c r="U806" s="19" t="n">
        <f aca="false">B806/MAX(B555:B806)-1</f>
        <v>-0.0205240147437616</v>
      </c>
      <c r="V806" s="17" t="n">
        <f aca="false">(B806-AVERAGE(B787:B806))/STDEV(B787:B806)</f>
        <v>0.93049538181882</v>
      </c>
    </row>
    <row r="807" customFormat="false" ht="15" hidden="false" customHeight="false" outlineLevel="0" collapsed="false">
      <c r="A807" s="17" t="s">
        <v>1371</v>
      </c>
      <c r="B807" s="17" t="n">
        <v>7888.79</v>
      </c>
      <c r="C807" s="19" t="n">
        <f aca="false">B807/B806-1</f>
        <v>0.00463297255237571</v>
      </c>
      <c r="D807" s="17" t="n">
        <f aca="false">AVERAGE(B758:B807)</f>
        <v>7769.2836</v>
      </c>
      <c r="E807" s="17" t="n">
        <f aca="false">AVERAGE(B608:B807)</f>
        <v>7325.65345</v>
      </c>
      <c r="F807" s="17" t="n">
        <f aca="false">B807*2/13+F806*11/13</f>
        <v>7822.18061307331</v>
      </c>
      <c r="G807" s="17" t="n">
        <f aca="false">B807*2/27+G806*25/27</f>
        <v>7767.23760935934</v>
      </c>
      <c r="H807" s="17" t="n">
        <f aca="false">F807-G807</f>
        <v>54.9430037139782</v>
      </c>
      <c r="I807" s="17" t="n">
        <f aca="false">H807*2/10+I806*8/10</f>
        <v>33.2197724815683</v>
      </c>
      <c r="J807" s="17" t="n">
        <f aca="false">H807-I807</f>
        <v>21.7232312324099</v>
      </c>
      <c r="K807" s="17" t="n">
        <f aca="false">MAX(B807-B806,0)</f>
        <v>36.3800000000001</v>
      </c>
      <c r="L807" s="17" t="n">
        <f aca="false">MAX(B806-B807,0)</f>
        <v>0</v>
      </c>
      <c r="M807" s="17" t="n">
        <f aca="false">(M806*13+K807)/14</f>
        <v>36.5826149087376</v>
      </c>
      <c r="N807" s="17" t="n">
        <f aca="false">(N806*13+L807)/14</f>
        <v>27.0735872970288</v>
      </c>
      <c r="O807" s="17" t="n">
        <f aca="false">IF(N807=0,100,100-100/(1+M807/N807))</f>
        <v>57.4690503691779</v>
      </c>
      <c r="P807" s="17" t="n">
        <f aca="false">AVERAGE(B788:B807)+2*STDEV(B788:B807)</f>
        <v>8007.68497236726</v>
      </c>
      <c r="Q807" s="17" t="n">
        <f aca="false">AVERAGE(B788:B807)-2*STDEV(B788:B807)</f>
        <v>7474.55702763275</v>
      </c>
      <c r="R807" s="19" t="n">
        <f aca="false">B807/B787-1</f>
        <v>0.0219540063114367</v>
      </c>
      <c r="S807" s="17" t="n">
        <f aca="false">STDEV(C788:C807)*SQRT(252)*100</f>
        <v>17.8349853537084</v>
      </c>
      <c r="T807" s="19" t="n">
        <f aca="false">B786/B556-1</f>
        <v>0.0227822664710085</v>
      </c>
      <c r="U807" s="19" t="n">
        <f aca="false">B807/MAX(B556:B807)-1</f>
        <v>-0.0159861293883584</v>
      </c>
      <c r="V807" s="17" t="n">
        <f aca="false">(B807-AVERAGE(B788:B807))/STDEV(B788:B807)</f>
        <v>1.10794417331499</v>
      </c>
    </row>
    <row r="808" customFormat="false" ht="15" hidden="false" customHeight="false" outlineLevel="0" collapsed="false">
      <c r="A808" s="17" t="s">
        <v>1372</v>
      </c>
      <c r="B808" s="17" t="n">
        <v>7888.56</v>
      </c>
      <c r="C808" s="19" t="n">
        <f aca="false">B808/B807-1</f>
        <v>-2.91552950452134E-005</v>
      </c>
      <c r="D808" s="17" t="n">
        <f aca="false">AVERAGE(B759:B808)</f>
        <v>7770.5176</v>
      </c>
      <c r="E808" s="17" t="n">
        <f aca="false">AVERAGE(B609:B808)</f>
        <v>7330.63425</v>
      </c>
      <c r="F808" s="17" t="n">
        <f aca="false">B808*2/13+F807*11/13</f>
        <v>7832.39282644665</v>
      </c>
      <c r="G808" s="17" t="n">
        <f aca="false">B808*2/27+G807*25/27</f>
        <v>7776.2244531105</v>
      </c>
      <c r="H808" s="17" t="n">
        <f aca="false">F808-G808</f>
        <v>56.1683733361533</v>
      </c>
      <c r="I808" s="17" t="n">
        <f aca="false">H808*2/10+I807*8/10</f>
        <v>37.8094926524853</v>
      </c>
      <c r="J808" s="17" t="n">
        <f aca="false">H808-I808</f>
        <v>18.358880683668</v>
      </c>
      <c r="K808" s="17" t="n">
        <f aca="false">MAX(B808-B807,0)</f>
        <v>0</v>
      </c>
      <c r="L808" s="17" t="n">
        <f aca="false">MAX(B807-B808,0)</f>
        <v>0.229999999999563</v>
      </c>
      <c r="M808" s="17" t="n">
        <f aca="false">(M807*13+K808)/14</f>
        <v>33.9695709866849</v>
      </c>
      <c r="N808" s="17" t="n">
        <f aca="false">(N807*13+L808)/14</f>
        <v>25.1561882043838</v>
      </c>
      <c r="O808" s="17" t="n">
        <f aca="false">IF(N808=0,100,100-100/(1+M808/N808))</f>
        <v>57.4530821277237</v>
      </c>
      <c r="P808" s="17" t="n">
        <f aca="false">AVERAGE(B789:B808)+2*STDEV(B789:B808)</f>
        <v>8024.11091670919</v>
      </c>
      <c r="Q808" s="17" t="n">
        <f aca="false">AVERAGE(B789:B808)-2*STDEV(B789:B808)</f>
        <v>7480.54008329081</v>
      </c>
      <c r="R808" s="19" t="n">
        <f aca="false">B808/B788-1</f>
        <v>0.0292375076163127</v>
      </c>
      <c r="S808" s="17" t="n">
        <f aca="false">STDEV(C789:C808)*SQRT(252)*100</f>
        <v>17.5757171485124</v>
      </c>
      <c r="T808" s="19" t="n">
        <f aca="false">B787/B557-1</f>
        <v>0.0300117421007686</v>
      </c>
      <c r="U808" s="19" t="n">
        <f aca="false">B808/MAX(B557:B808)-1</f>
        <v>-0.0160148186030846</v>
      </c>
      <c r="V808" s="17" t="n">
        <f aca="false">(B808-AVERAGE(B789:B808))/STDEV(B789:B808)</f>
        <v>1.00251515809451</v>
      </c>
    </row>
    <row r="809" customFormat="false" ht="15" hidden="false" customHeight="false" outlineLevel="0" collapsed="false">
      <c r="A809" s="17" t="s">
        <v>1373</v>
      </c>
      <c r="B809" s="17" t="n">
        <v>7901.79</v>
      </c>
      <c r="C809" s="19" t="n">
        <f aca="false">B809/B808-1</f>
        <v>0.00167711217256383</v>
      </c>
      <c r="D809" s="17" t="n">
        <f aca="false">AVERAGE(B760:B809)</f>
        <v>7770.4854</v>
      </c>
      <c r="E809" s="17" t="n">
        <f aca="false">AVERAGE(B610:B809)</f>
        <v>7335.39815</v>
      </c>
      <c r="F809" s="17" t="n">
        <f aca="false">B809*2/13+F808*11/13</f>
        <v>7843.06931468563</v>
      </c>
      <c r="G809" s="17" t="n">
        <f aca="false">B809*2/27+G808*25/27</f>
        <v>7785.52560473194</v>
      </c>
      <c r="H809" s="17" t="n">
        <f aca="false">F809-G809</f>
        <v>57.5437099536857</v>
      </c>
      <c r="I809" s="17" t="n">
        <f aca="false">H809*2/10+I808*8/10</f>
        <v>41.7563361127254</v>
      </c>
      <c r="J809" s="17" t="n">
        <f aca="false">H809-I809</f>
        <v>15.7873738409604</v>
      </c>
      <c r="K809" s="17" t="n">
        <f aca="false">MAX(B809-B808,0)</f>
        <v>13.2299999999996</v>
      </c>
      <c r="L809" s="17" t="n">
        <f aca="false">MAX(B808-B809,0)</f>
        <v>0</v>
      </c>
      <c r="M809" s="17" t="n">
        <f aca="false">(M808*13+K809)/14</f>
        <v>32.4881730590645</v>
      </c>
      <c r="N809" s="17" t="n">
        <f aca="false">(N808*13+L809)/14</f>
        <v>23.3593176183564</v>
      </c>
      <c r="O809" s="17" t="n">
        <f aca="false">IF(N809=0,100,100-100/(1+M809/N809))</f>
        <v>58.1730220373168</v>
      </c>
      <c r="P809" s="17" t="n">
        <f aca="false">AVERAGE(B790:B809)+2*STDEV(B790:B809)</f>
        <v>8040.38667630759</v>
      </c>
      <c r="Q809" s="17" t="n">
        <f aca="false">AVERAGE(B790:B809)-2*STDEV(B790:B809)</f>
        <v>7481.12132369241</v>
      </c>
      <c r="R809" s="19" t="n">
        <f aca="false">B809/B789-1</f>
        <v>0.0217981642834419</v>
      </c>
      <c r="S809" s="17" t="n">
        <f aca="false">STDEV(C790:C809)*SQRT(252)*100</f>
        <v>17.3538878677869</v>
      </c>
      <c r="T809" s="19" t="n">
        <f aca="false">B788/B558-1</f>
        <v>0.0232500080103388</v>
      </c>
      <c r="U809" s="19" t="n">
        <f aca="false">B809/MAX(B558:B809)-1</f>
        <v>-0.0143645650777415</v>
      </c>
      <c r="V809" s="17" t="n">
        <f aca="false">(B809-AVERAGE(B790:B809))/STDEV(B790:B809)</f>
        <v>1.00872331418709</v>
      </c>
    </row>
    <row r="810" customFormat="false" ht="15" hidden="false" customHeight="false" outlineLevel="0" collapsed="false">
      <c r="A810" s="17" t="s">
        <v>1374</v>
      </c>
      <c r="B810" s="17" t="n">
        <v>7823.55</v>
      </c>
      <c r="C810" s="19" t="n">
        <f aca="false">B810/B809-1</f>
        <v>-0.00990155395169956</v>
      </c>
      <c r="D810" s="17" t="n">
        <f aca="false">AVERAGE(B761:B810)</f>
        <v>7769.0208</v>
      </c>
      <c r="E810" s="17" t="n">
        <f aca="false">AVERAGE(B611:B810)</f>
        <v>7339.20525</v>
      </c>
      <c r="F810" s="17" t="n">
        <f aca="false">B810*2/13+F809*11/13</f>
        <v>7840.06634319553</v>
      </c>
      <c r="G810" s="17" t="n">
        <f aca="false">B810*2/27+G809*25/27</f>
        <v>7788.34222660365</v>
      </c>
      <c r="H810" s="17" t="n">
        <f aca="false">F810-G810</f>
        <v>51.7241165918813</v>
      </c>
      <c r="I810" s="17" t="n">
        <f aca="false">H810*2/10+I809*8/10</f>
        <v>43.7498922085565</v>
      </c>
      <c r="J810" s="17" t="n">
        <f aca="false">H810-I810</f>
        <v>7.97422438332474</v>
      </c>
      <c r="K810" s="17" t="n">
        <f aca="false">MAX(B810-B809,0)</f>
        <v>0</v>
      </c>
      <c r="L810" s="17" t="n">
        <f aca="false">MAX(B809-B810,0)</f>
        <v>78.2399999999998</v>
      </c>
      <c r="M810" s="17" t="n">
        <f aca="false">(M809*13+K810)/14</f>
        <v>30.1675892691313</v>
      </c>
      <c r="N810" s="17" t="n">
        <f aca="false">(N809*13+L810)/14</f>
        <v>27.2793663599024</v>
      </c>
      <c r="O810" s="17" t="n">
        <f aca="false">IF(N810=0,100,100-100/(1+M810/N810))</f>
        <v>52.513817205458</v>
      </c>
      <c r="P810" s="17" t="n">
        <f aca="false">AVERAGE(B791:B810)+2*STDEV(B791:B810)</f>
        <v>8046.35287670102</v>
      </c>
      <c r="Q810" s="17" t="n">
        <f aca="false">AVERAGE(B791:B810)-2*STDEV(B791:B810)</f>
        <v>7486.76712329898</v>
      </c>
      <c r="R810" s="19" t="n">
        <f aca="false">B810/B790-1</f>
        <v>0.0150659817864061</v>
      </c>
      <c r="S810" s="17" t="n">
        <f aca="false">STDEV(C791:C810)*SQRT(252)*100</f>
        <v>17.7307139115051</v>
      </c>
      <c r="T810" s="19" t="n">
        <f aca="false">B789/B559-1</f>
        <v>0.0216923436688719</v>
      </c>
      <c r="U810" s="19" t="n">
        <f aca="false">B810/MAX(B559:B810)-1</f>
        <v>-0.0241238875133311</v>
      </c>
      <c r="V810" s="17" t="n">
        <f aca="false">(B810-AVERAGE(B791:B810))/STDEV(B791:B810)</f>
        <v>0.407372772830798</v>
      </c>
    </row>
    <row r="811" customFormat="false" ht="15" hidden="false" customHeight="false" outlineLevel="0" collapsed="false">
      <c r="A811" s="17" t="s">
        <v>1375</v>
      </c>
      <c r="B811" s="17" t="n">
        <v>7818.61</v>
      </c>
      <c r="C811" s="19" t="n">
        <f aca="false">B811/B810-1</f>
        <v>-0.000631426909778909</v>
      </c>
      <c r="D811" s="17" t="n">
        <f aca="false">AVERAGE(B762:B811)</f>
        <v>7766.5282</v>
      </c>
      <c r="E811" s="17" t="n">
        <f aca="false">AVERAGE(B612:B811)</f>
        <v>7344.32225</v>
      </c>
      <c r="F811" s="17" t="n">
        <f aca="false">B811*2/13+F810*11/13</f>
        <v>7836.76536731929</v>
      </c>
      <c r="G811" s="17" t="n">
        <f aca="false">B811*2/27+G810*25/27</f>
        <v>7790.58428389227</v>
      </c>
      <c r="H811" s="17" t="n">
        <f aca="false">F811-G811</f>
        <v>46.1810834270273</v>
      </c>
      <c r="I811" s="17" t="n">
        <f aca="false">H811*2/10+I810*8/10</f>
        <v>44.2361304522507</v>
      </c>
      <c r="J811" s="17" t="n">
        <f aca="false">H811-I811</f>
        <v>1.94495297477657</v>
      </c>
      <c r="K811" s="17" t="n">
        <f aca="false">MAX(B811-B810,0)</f>
        <v>0</v>
      </c>
      <c r="L811" s="17" t="n">
        <f aca="false">MAX(B810-B811,0)</f>
        <v>4.94000000000051</v>
      </c>
      <c r="M811" s="17" t="n">
        <f aca="false">(M810*13+K811)/14</f>
        <v>28.0127614641934</v>
      </c>
      <c r="N811" s="17" t="n">
        <f aca="false">(N810*13+L811)/14</f>
        <v>25.6836973341951</v>
      </c>
      <c r="O811" s="17" t="n">
        <f aca="false">IF(N811=0,100,100-100/(1+M811/N811))</f>
        <v>52.1687315906093</v>
      </c>
      <c r="P811" s="17" t="n">
        <f aca="false">AVERAGE(B792:B811)+2*STDEV(B792:B811)</f>
        <v>8025.88520917408</v>
      </c>
      <c r="Q811" s="17" t="n">
        <f aca="false">AVERAGE(B792:B811)-2*STDEV(B792:B811)</f>
        <v>7542.59679082592</v>
      </c>
      <c r="R811" s="19" t="n">
        <f aca="false">B811/B791-1</f>
        <v>0.0473704586342378</v>
      </c>
      <c r="S811" s="17" t="n">
        <f aca="false">STDEV(C792:C811)*SQRT(252)*100</f>
        <v>13.0497675231869</v>
      </c>
      <c r="T811" s="19" t="n">
        <f aca="false">B790/B560-1</f>
        <v>0.0234176551273591</v>
      </c>
      <c r="U811" s="19" t="n">
        <f aca="false">B811/MAX(B560:B811)-1</f>
        <v>-0.0247400819513656</v>
      </c>
      <c r="V811" s="17" t="n">
        <f aca="false">(B811-AVERAGE(B792:B811))/STDEV(B792:B811)</f>
        <v>0.284459537577743</v>
      </c>
    </row>
    <row r="812" customFormat="false" ht="15" hidden="false" customHeight="false" outlineLevel="0" collapsed="false">
      <c r="A812" s="17" t="s">
        <v>1376</v>
      </c>
      <c r="B812" s="17" t="n">
        <v>7710.04</v>
      </c>
      <c r="C812" s="19" t="n">
        <f aca="false">B812/B811-1</f>
        <v>-0.0138860999589441</v>
      </c>
      <c r="D812" s="17" t="n">
        <f aca="false">AVERAGE(B763:B812)</f>
        <v>7761.3904</v>
      </c>
      <c r="E812" s="17" t="n">
        <f aca="false">AVERAGE(B613:B812)</f>
        <v>7348.6782</v>
      </c>
      <c r="F812" s="17" t="n">
        <f aca="false">B812*2/13+F811*11/13</f>
        <v>7817.26915696248</v>
      </c>
      <c r="G812" s="17" t="n">
        <f aca="false">B812*2/27+G811*25/27</f>
        <v>7784.61804064099</v>
      </c>
      <c r="H812" s="17" t="n">
        <f aca="false">F812-G812</f>
        <v>32.6511163214918</v>
      </c>
      <c r="I812" s="17" t="n">
        <f aca="false">H812*2/10+I811*8/10</f>
        <v>41.9191276260989</v>
      </c>
      <c r="J812" s="17" t="n">
        <f aca="false">H812-I812</f>
        <v>-9.26801130460709</v>
      </c>
      <c r="K812" s="17" t="n">
        <f aca="false">MAX(B812-B811,0)</f>
        <v>0</v>
      </c>
      <c r="L812" s="17" t="n">
        <f aca="false">MAX(B811-B812,0)</f>
        <v>108.57</v>
      </c>
      <c r="M812" s="17" t="n">
        <f aca="false">(M811*13+K812)/14</f>
        <v>26.0118499310367</v>
      </c>
      <c r="N812" s="17" t="n">
        <f aca="false">(N811*13+L812)/14</f>
        <v>31.6041475246097</v>
      </c>
      <c r="O812" s="17" t="n">
        <f aca="false">IF(N812=0,100,100-100/(1+M812/N812))</f>
        <v>45.146922868186</v>
      </c>
      <c r="P812" s="17" t="n">
        <f aca="false">AVERAGE(B793:B812)+2*STDEV(B793:B812)</f>
        <v>8014.9198453901</v>
      </c>
      <c r="Q812" s="17" t="n">
        <f aca="false">AVERAGE(B793:B812)-2*STDEV(B793:B812)</f>
        <v>7567.0641546099</v>
      </c>
      <c r="R812" s="19" t="n">
        <f aca="false">B812/B792-1</f>
        <v>0.0178243753811871</v>
      </c>
      <c r="S812" s="17" t="n">
        <f aca="false">STDEV(C793:C812)*SQRT(252)*100</f>
        <v>13.3961639928668</v>
      </c>
      <c r="T812" s="19" t="n">
        <f aca="false">B791/B561-1</f>
        <v>-0.0110958768007948</v>
      </c>
      <c r="U812" s="19" t="n">
        <f aca="false">B812/MAX(B561:B812)-1</f>
        <v>-0.0382826386593405</v>
      </c>
      <c r="V812" s="17" t="n">
        <f aca="false">(B812-AVERAGE(B793:B812))/STDEV(B793:B812)</f>
        <v>-0.723018612169249</v>
      </c>
    </row>
    <row r="813" customFormat="false" ht="15" hidden="false" customHeight="false" outlineLevel="0" collapsed="false">
      <c r="A813" s="17" t="s">
        <v>1377</v>
      </c>
      <c r="B813" s="17" t="n">
        <v>7803.54</v>
      </c>
      <c r="C813" s="19" t="n">
        <f aca="false">B813/B812-1</f>
        <v>0.0121270447364734</v>
      </c>
      <c r="D813" s="17" t="n">
        <f aca="false">AVERAGE(B764:B813)</f>
        <v>7758.9196</v>
      </c>
      <c r="E813" s="17" t="n">
        <f aca="false">AVERAGE(B614:B813)</f>
        <v>7354.6295</v>
      </c>
      <c r="F813" s="17" t="n">
        <f aca="false">B813*2/13+F812*11/13</f>
        <v>7815.15697896825</v>
      </c>
      <c r="G813" s="17" t="n">
        <f aca="false">B813*2/27+G812*25/27</f>
        <v>7786.01966726017</v>
      </c>
      <c r="H813" s="17" t="n">
        <f aca="false">F813-G813</f>
        <v>29.1373117080784</v>
      </c>
      <c r="I813" s="17" t="n">
        <f aca="false">H813*2/10+I812*8/10</f>
        <v>39.3627644424948</v>
      </c>
      <c r="J813" s="17" t="n">
        <f aca="false">H813-I813</f>
        <v>-10.2254527344164</v>
      </c>
      <c r="K813" s="17" t="n">
        <f aca="false">MAX(B813-B812,0)</f>
        <v>93.5</v>
      </c>
      <c r="L813" s="17" t="n">
        <f aca="false">MAX(B812-B813,0)</f>
        <v>0</v>
      </c>
      <c r="M813" s="17" t="n">
        <f aca="false">(M812*13+K813)/14</f>
        <v>30.8324320788198</v>
      </c>
      <c r="N813" s="17" t="n">
        <f aca="false">(N812*13+L813)/14</f>
        <v>29.346708415709</v>
      </c>
      <c r="O813" s="17" t="n">
        <f aca="false">IF(N813=0,100,100-100/(1+M813/N813))</f>
        <v>51.2344174832855</v>
      </c>
      <c r="P813" s="17" t="n">
        <f aca="false">AVERAGE(B794:B813)+2*STDEV(B794:B813)</f>
        <v>8000.17115620695</v>
      </c>
      <c r="Q813" s="17" t="n">
        <f aca="false">AVERAGE(B794:B813)-2*STDEV(B794:B813)</f>
        <v>7605.56384379305</v>
      </c>
      <c r="R813" s="19" t="n">
        <f aca="false">B813/B793-1</f>
        <v>0.0313916281061535</v>
      </c>
      <c r="S813" s="17" t="n">
        <f aca="false">STDEV(C794:C813)*SQRT(252)*100</f>
        <v>13.9413117797816</v>
      </c>
      <c r="T813" s="19" t="n">
        <f aca="false">B792/B562-1</f>
        <v>0.00156415480769367</v>
      </c>
      <c r="U813" s="19" t="n">
        <f aca="false">B813/MAX(B562:B813)-1</f>
        <v>-0.0266198491945191</v>
      </c>
      <c r="V813" s="17" t="n">
        <f aca="false">(B813-AVERAGE(B794:B813))/STDEV(B794:B813)</f>
        <v>0.00681690357825182</v>
      </c>
    </row>
    <row r="814" customFormat="false" ht="15" hidden="false" customHeight="false" outlineLevel="0" collapsed="false">
      <c r="A814" s="17" t="s">
        <v>1378</v>
      </c>
      <c r="B814" s="17" t="n">
        <v>7771.99</v>
      </c>
      <c r="C814" s="19" t="n">
        <f aca="false">B814/B813-1</f>
        <v>-0.00404303687813479</v>
      </c>
      <c r="D814" s="17" t="n">
        <f aca="false">AVERAGE(B765:B814)</f>
        <v>7756.5842</v>
      </c>
      <c r="E814" s="17" t="n">
        <f aca="false">AVERAGE(B615:B814)</f>
        <v>7360.07575</v>
      </c>
      <c r="F814" s="17" t="n">
        <f aca="false">B814*2/13+F813*11/13</f>
        <v>7808.51590528083</v>
      </c>
      <c r="G814" s="17" t="n">
        <f aca="false">B814*2/27+G813*25/27</f>
        <v>7784.98043264831</v>
      </c>
      <c r="H814" s="17" t="n">
        <f aca="false">F814-G814</f>
        <v>23.5354726325195</v>
      </c>
      <c r="I814" s="17" t="n">
        <f aca="false">H814*2/10+I813*8/10</f>
        <v>36.1973060804998</v>
      </c>
      <c r="J814" s="17" t="n">
        <f aca="false">H814-I814</f>
        <v>-12.6618334479803</v>
      </c>
      <c r="K814" s="17" t="n">
        <f aca="false">MAX(B814-B813,0)</f>
        <v>0</v>
      </c>
      <c r="L814" s="17" t="n">
        <f aca="false">MAX(B813-B814,0)</f>
        <v>31.5500000000002</v>
      </c>
      <c r="M814" s="17" t="n">
        <f aca="false">(M813*13+K814)/14</f>
        <v>28.6301155017612</v>
      </c>
      <c r="N814" s="17" t="n">
        <f aca="false">(N813*13+L814)/14</f>
        <v>29.5040863860155</v>
      </c>
      <c r="O814" s="17" t="n">
        <f aca="false">IF(N814=0,100,100-100/(1+M814/N814))</f>
        <v>49.2483160894327</v>
      </c>
      <c r="P814" s="17" t="n">
        <f aca="false">AVERAGE(B795:B814)+2*STDEV(B795:B814)</f>
        <v>7982.49526139722</v>
      </c>
      <c r="Q814" s="17" t="n">
        <f aca="false">AVERAGE(B795:B814)-2*STDEV(B795:B814)</f>
        <v>7641.64873860279</v>
      </c>
      <c r="R814" s="19" t="n">
        <f aca="false">B814/B794-1</f>
        <v>0.0242609944780505</v>
      </c>
      <c r="S814" s="17" t="n">
        <f aca="false">STDEV(C795:C814)*SQRT(252)*100</f>
        <v>14.0717092817849</v>
      </c>
      <c r="T814" s="19" t="n">
        <f aca="false">B793/B563-1</f>
        <v>0.000388730003212823</v>
      </c>
      <c r="U814" s="19" t="n">
        <f aca="false">B814/MAX(B563:B814)-1</f>
        <v>-0.0305552610406701</v>
      </c>
      <c r="V814" s="17" t="n">
        <f aca="false">(B814-AVERAGE(B795:B814))/STDEV(B795:B814)</f>
        <v>-0.470381797313211</v>
      </c>
    </row>
    <row r="815" customFormat="false" ht="15" hidden="false" customHeight="false" outlineLevel="0" collapsed="false">
      <c r="A815" s="17" t="s">
        <v>1379</v>
      </c>
      <c r="B815" s="17" t="n">
        <v>7681.58</v>
      </c>
      <c r="C815" s="19" t="n">
        <f aca="false">B815/B814-1</f>
        <v>-0.0116327993216666</v>
      </c>
      <c r="D815" s="17" t="n">
        <f aca="false">AVERAGE(B766:B815)</f>
        <v>7752.1332</v>
      </c>
      <c r="E815" s="17" t="n">
        <f aca="false">AVERAGE(B616:B815)</f>
        <v>7364.96245</v>
      </c>
      <c r="F815" s="17" t="n">
        <f aca="false">B815*2/13+F814*11/13</f>
        <v>7788.98730446839</v>
      </c>
      <c r="G815" s="17" t="n">
        <f aca="false">B815*2/27+G814*25/27</f>
        <v>7777.32114134103</v>
      </c>
      <c r="H815" s="17" t="n">
        <f aca="false">F815-G815</f>
        <v>11.6661631273664</v>
      </c>
      <c r="I815" s="17" t="n">
        <f aca="false">H815*2/10+I814*8/10</f>
        <v>31.2910774898731</v>
      </c>
      <c r="J815" s="17" t="n">
        <f aca="false">H815-I815</f>
        <v>-19.6249143625067</v>
      </c>
      <c r="K815" s="17" t="n">
        <f aca="false">MAX(B815-B814,0)</f>
        <v>0</v>
      </c>
      <c r="L815" s="17" t="n">
        <f aca="false">MAX(B814-B815,0)</f>
        <v>90.4099999999999</v>
      </c>
      <c r="M815" s="17" t="n">
        <f aca="false">(M814*13+K815)/14</f>
        <v>26.5851072516354</v>
      </c>
      <c r="N815" s="17" t="n">
        <f aca="false">(N814*13+L815)/14</f>
        <v>33.8545087870144</v>
      </c>
      <c r="O815" s="17" t="n">
        <f aca="false">IF(N815=0,100,100-100/(1+M815/N815))</f>
        <v>43.9862278983289</v>
      </c>
      <c r="P815" s="17" t="n">
        <f aca="false">AVERAGE(B796:B815)+2*STDEV(B796:B815)</f>
        <v>7984.49466971104</v>
      </c>
      <c r="Q815" s="17" t="n">
        <f aca="false">AVERAGE(B796:B815)-2*STDEV(B796:B815)</f>
        <v>7637.57633028896</v>
      </c>
      <c r="R815" s="19" t="n">
        <f aca="false">B815/B795-1</f>
        <v>-0.00269140037209625</v>
      </c>
      <c r="S815" s="17" t="n">
        <f aca="false">STDEV(C796:C815)*SQRT(252)*100</f>
        <v>13.778151927288</v>
      </c>
      <c r="T815" s="19" t="n">
        <f aca="false">B794/B564-1</f>
        <v>-0.00546164462741672</v>
      </c>
      <c r="U815" s="19" t="n">
        <f aca="false">B815/MAX(B564:B815)-1</f>
        <v>-0.0418326171424295</v>
      </c>
      <c r="V815" s="17" t="n">
        <f aca="false">(B815-AVERAGE(B796:B815))/STDEV(B796:B815)</f>
        <v>-1.49263368682853</v>
      </c>
    </row>
    <row r="816" customFormat="false" ht="15" hidden="false" customHeight="false" outlineLevel="0" collapsed="false">
      <c r="A816" s="17" t="s">
        <v>1380</v>
      </c>
      <c r="B816" s="17" t="n">
        <v>7749.45</v>
      </c>
      <c r="C816" s="19" t="n">
        <f aca="false">B816/B815-1</f>
        <v>0.00883542187935293</v>
      </c>
      <c r="D816" s="17" t="n">
        <f aca="false">AVERAGE(B767:B816)</f>
        <v>7750.4242</v>
      </c>
      <c r="E816" s="17" t="n">
        <f aca="false">AVERAGE(B617:B816)</f>
        <v>7369.8899</v>
      </c>
      <c r="F816" s="17" t="n">
        <f aca="false">B816*2/13+F815*11/13</f>
        <v>7782.90464224249</v>
      </c>
      <c r="G816" s="17" t="n">
        <f aca="false">B816*2/27+G815*25/27</f>
        <v>7775.2566123528</v>
      </c>
      <c r="H816" s="17" t="n">
        <f aca="false">F816-G816</f>
        <v>7.64802988968404</v>
      </c>
      <c r="I816" s="17" t="n">
        <f aca="false">H816*2/10+I815*8/10</f>
        <v>26.5624679698353</v>
      </c>
      <c r="J816" s="17" t="n">
        <f aca="false">H816-I816</f>
        <v>-18.9144380801512</v>
      </c>
      <c r="K816" s="17" t="n">
        <f aca="false">MAX(B816-B815,0)</f>
        <v>67.8699999999999</v>
      </c>
      <c r="L816" s="17" t="n">
        <f aca="false">MAX(B815-B816,0)</f>
        <v>0</v>
      </c>
      <c r="M816" s="17" t="n">
        <f aca="false">(M815*13+K816)/14</f>
        <v>29.5340281622329</v>
      </c>
      <c r="N816" s="17" t="n">
        <f aca="false">(N815*13+L816)/14</f>
        <v>31.436329587942</v>
      </c>
      <c r="O816" s="17" t="n">
        <f aca="false">IF(N816=0,100,100-100/(1+M816/N816))</f>
        <v>48.4399784617439</v>
      </c>
      <c r="P816" s="17" t="n">
        <f aca="false">AVERAGE(B797:B816)+2*STDEV(B797:B816)</f>
        <v>7980.74297301994</v>
      </c>
      <c r="Q816" s="17" t="n">
        <f aca="false">AVERAGE(B797:B816)-2*STDEV(B797:B816)</f>
        <v>7647.17302698006</v>
      </c>
      <c r="R816" s="19" t="n">
        <f aca="false">B816/B796-1</f>
        <v>0.00759979196463401</v>
      </c>
      <c r="S816" s="17" t="n">
        <f aca="false">STDEV(C797:C816)*SQRT(252)*100</f>
        <v>14.1234556826127</v>
      </c>
      <c r="T816" s="19" t="n">
        <f aca="false">B795/B565-1</f>
        <v>0.00978807365309109</v>
      </c>
      <c r="U816" s="19" t="n">
        <f aca="false">B816/MAX(B565:B816)-1</f>
        <v>-0.0333668040838474</v>
      </c>
      <c r="V816" s="17" t="n">
        <f aca="false">(B816-AVERAGE(B797:B816))/STDEV(B797:B816)</f>
        <v>-0.773546906918134</v>
      </c>
    </row>
    <row r="817" customFormat="false" ht="15" hidden="false" customHeight="false" outlineLevel="0" collapsed="false">
      <c r="A817" s="17" t="s">
        <v>1381</v>
      </c>
      <c r="B817" s="17" t="n">
        <v>7684.14</v>
      </c>
      <c r="C817" s="19" t="n">
        <f aca="false">B817/B816-1</f>
        <v>-0.00842769486866801</v>
      </c>
      <c r="D817" s="17" t="n">
        <f aca="false">AVERAGE(B768:B817)</f>
        <v>7746.0046</v>
      </c>
      <c r="E817" s="17" t="n">
        <f aca="false">AVERAGE(B618:B817)</f>
        <v>7374.47075</v>
      </c>
      <c r="F817" s="17" t="n">
        <f aca="false">B817*2/13+F816*11/13</f>
        <v>7767.71008189749</v>
      </c>
      <c r="G817" s="17" t="n">
        <f aca="false">B817*2/27+G816*25/27</f>
        <v>7768.50723366</v>
      </c>
      <c r="H817" s="17" t="n">
        <f aca="false">F817-G817</f>
        <v>-0.797151762513749</v>
      </c>
      <c r="I817" s="17" t="n">
        <f aca="false">H817*2/10+I816*8/10</f>
        <v>21.0905440233655</v>
      </c>
      <c r="J817" s="17" t="n">
        <f aca="false">H817-I817</f>
        <v>-21.8876957858792</v>
      </c>
      <c r="K817" s="17" t="n">
        <f aca="false">MAX(B817-B816,0)</f>
        <v>0</v>
      </c>
      <c r="L817" s="17" t="n">
        <f aca="false">MAX(B816-B817,0)</f>
        <v>65.3099999999995</v>
      </c>
      <c r="M817" s="17" t="n">
        <f aca="false">(M816*13+K817)/14</f>
        <v>27.4244547220734</v>
      </c>
      <c r="N817" s="17" t="n">
        <f aca="false">(N816*13+L817)/14</f>
        <v>33.8558774745175</v>
      </c>
      <c r="O817" s="17" t="n">
        <f aca="false">IF(N817=0,100,100-100/(1+M817/N817))</f>
        <v>44.7524576630788</v>
      </c>
      <c r="P817" s="17" t="n">
        <f aca="false">AVERAGE(B798:B817)+2*STDEV(B798:B817)</f>
        <v>7967.71200771134</v>
      </c>
      <c r="Q817" s="17" t="n">
        <f aca="false">AVERAGE(B798:B817)-2*STDEV(B798:B817)</f>
        <v>7667.66699228866</v>
      </c>
      <c r="R817" s="19" t="n">
        <f aca="false">B817/B797-1</f>
        <v>0.00980746460678805</v>
      </c>
      <c r="S817" s="17" t="n">
        <f aca="false">STDEV(C798:C817)*SQRT(252)*100</f>
        <v>13.9187642553004</v>
      </c>
      <c r="T817" s="19" t="n">
        <f aca="false">B796/B566-1</f>
        <v>0.00595779188929368</v>
      </c>
      <c r="U817" s="19" t="n">
        <f aca="false">B817/MAX(B566:B817)-1</f>
        <v>-0.0415132937089541</v>
      </c>
      <c r="V817" s="17" t="n">
        <f aca="false">(B817-AVERAGE(B798:B817))/STDEV(B798:B817)</f>
        <v>-1.78039284954444</v>
      </c>
    </row>
    <row r="818" customFormat="false" ht="15" hidden="false" customHeight="false" outlineLevel="0" collapsed="false">
      <c r="A818" s="17" t="s">
        <v>1382</v>
      </c>
      <c r="B818" s="17" t="n">
        <v>7550.79</v>
      </c>
      <c r="C818" s="19" t="n">
        <f aca="false">B818/B817-1</f>
        <v>-0.0173539263990505</v>
      </c>
      <c r="D818" s="17" t="n">
        <f aca="false">AVERAGE(B769:B818)</f>
        <v>7737.9292</v>
      </c>
      <c r="E818" s="17" t="n">
        <f aca="false">AVERAGE(B619:B818)</f>
        <v>7379.2499</v>
      </c>
      <c r="F818" s="17" t="n">
        <f aca="false">B818*2/13+F817*11/13</f>
        <v>7734.33776160557</v>
      </c>
      <c r="G818" s="17" t="n">
        <f aca="false">B818*2/27+G817*25/27</f>
        <v>7752.38003116667</v>
      </c>
      <c r="H818" s="17" t="n">
        <f aca="false">F818-G818</f>
        <v>-18.0422695611023</v>
      </c>
      <c r="I818" s="17" t="n">
        <f aca="false">H818*2/10+I817*8/10</f>
        <v>13.2639813064719</v>
      </c>
      <c r="J818" s="17" t="n">
        <f aca="false">H818-I818</f>
        <v>-31.3062508675742</v>
      </c>
      <c r="K818" s="17" t="n">
        <f aca="false">MAX(B818-B817,0)</f>
        <v>0</v>
      </c>
      <c r="L818" s="17" t="n">
        <f aca="false">MAX(B817-B818,0)</f>
        <v>133.35</v>
      </c>
      <c r="M818" s="17" t="n">
        <f aca="false">(M817*13+K818)/14</f>
        <v>25.4655650990682</v>
      </c>
      <c r="N818" s="17" t="n">
        <f aca="false">(N817*13+L818)/14</f>
        <v>40.962600512052</v>
      </c>
      <c r="O818" s="17" t="n">
        <f aca="false">IF(N818=0,100,100-100/(1+M818/N818))</f>
        <v>38.335493483513</v>
      </c>
      <c r="P818" s="17" t="n">
        <f aca="false">AVERAGE(B799:B818)+2*STDEV(B799:B818)</f>
        <v>7996.78949241763</v>
      </c>
      <c r="Q818" s="17" t="n">
        <f aca="false">AVERAGE(B799:B818)-2*STDEV(B799:B818)</f>
        <v>7621.74350758237</v>
      </c>
      <c r="R818" s="19" t="n">
        <f aca="false">B818/B798-1</f>
        <v>-0.0218233636687503</v>
      </c>
      <c r="S818" s="17" t="n">
        <f aca="false">STDEV(C799:C818)*SQRT(252)*100</f>
        <v>14.2764214059931</v>
      </c>
      <c r="T818" s="19" t="n">
        <f aca="false">B797/B567-1</f>
        <v>-0.00246058089110512</v>
      </c>
      <c r="U818" s="19" t="n">
        <f aca="false">B818/MAX(B567:B818)-1</f>
        <v>-0.0581468014643973</v>
      </c>
      <c r="V818" s="17" t="n">
        <f aca="false">(B818-AVERAGE(B799:B818))/STDEV(B799:B818)</f>
        <v>-2.7567446174744</v>
      </c>
    </row>
    <row r="819" customFormat="false" ht="15" hidden="false" customHeight="false" outlineLevel="0" collapsed="false">
      <c r="A819" s="17" t="s">
        <v>1383</v>
      </c>
      <c r="B819" s="17" t="n">
        <v>7638.39</v>
      </c>
      <c r="C819" s="19" t="n">
        <f aca="false">B819/B818-1</f>
        <v>0.0116014350816274</v>
      </c>
      <c r="D819" s="17" t="n">
        <f aca="false">AVERAGE(B770:B819)</f>
        <v>7730.4848</v>
      </c>
      <c r="E819" s="17" t="n">
        <f aca="false">AVERAGE(B620:B819)</f>
        <v>7385.1999</v>
      </c>
      <c r="F819" s="17" t="n">
        <f aca="false">B819*2/13+F818*11/13</f>
        <v>7719.5765675124</v>
      </c>
      <c r="G819" s="17" t="n">
        <f aca="false">B819*2/27+G818*25/27</f>
        <v>7743.93632515432</v>
      </c>
      <c r="H819" s="17" t="n">
        <f aca="false">F819-G819</f>
        <v>-24.3597576419197</v>
      </c>
      <c r="I819" s="17" t="n">
        <f aca="false">H819*2/10+I818*8/10</f>
        <v>5.73923351679358</v>
      </c>
      <c r="J819" s="17" t="n">
        <f aca="false">H819-I819</f>
        <v>-30.0989911587133</v>
      </c>
      <c r="K819" s="17" t="n">
        <f aca="false">MAX(B819-B818,0)</f>
        <v>87.6000000000004</v>
      </c>
      <c r="L819" s="17" t="n">
        <f aca="false">MAX(B818-B819,0)</f>
        <v>0</v>
      </c>
      <c r="M819" s="17" t="n">
        <f aca="false">(M818*13+K819)/14</f>
        <v>29.9037390205633</v>
      </c>
      <c r="N819" s="17" t="n">
        <f aca="false">(N818*13+L819)/14</f>
        <v>38.0367004754768</v>
      </c>
      <c r="O819" s="17" t="n">
        <f aca="false">IF(N819=0,100,100-100/(1+M819/N819))</f>
        <v>44.0146387665129</v>
      </c>
      <c r="P819" s="17" t="n">
        <f aca="false">AVERAGE(B800:B819)+2*STDEV(B800:B819)</f>
        <v>7998.52251371916</v>
      </c>
      <c r="Q819" s="17" t="n">
        <f aca="false">AVERAGE(B800:B819)-2*STDEV(B800:B819)</f>
        <v>7597.59548628084</v>
      </c>
      <c r="R819" s="19" t="n">
        <f aca="false">B819/B799-1</f>
        <v>-0.0285085990023579</v>
      </c>
      <c r="S819" s="17" t="n">
        <f aca="false">STDEV(C800:C819)*SQRT(252)*100</f>
        <v>13.1787591795052</v>
      </c>
      <c r="T819" s="19" t="n">
        <f aca="false">B798/B568-1</f>
        <v>0.0107130278117116</v>
      </c>
      <c r="U819" s="19" t="n">
        <f aca="false">B819/MAX(B568:B819)-1</f>
        <v>-0.0472199527251636</v>
      </c>
      <c r="V819" s="17" t="n">
        <f aca="false">(B819-AVERAGE(B800:B819))/STDEV(B800:B819)</f>
        <v>-1.5929981175895</v>
      </c>
    </row>
    <row r="820" customFormat="false" ht="15" hidden="false" customHeight="false" outlineLevel="0" collapsed="false">
      <c r="A820" s="17" t="s">
        <v>1384</v>
      </c>
      <c r="B820" s="17" t="n">
        <v>7754.1</v>
      </c>
      <c r="C820" s="19" t="n">
        <f aca="false">B820/B819-1</f>
        <v>0.0151484802425641</v>
      </c>
      <c r="D820" s="17" t="n">
        <f aca="false">AVERAGE(B771:B820)</f>
        <v>7726.9694</v>
      </c>
      <c r="E820" s="17" t="n">
        <f aca="false">AVERAGE(B621:B820)</f>
        <v>7391.5128</v>
      </c>
      <c r="F820" s="17" t="n">
        <f aca="false">B820*2/13+F819*11/13</f>
        <v>7724.88786481819</v>
      </c>
      <c r="G820" s="17" t="n">
        <f aca="false">B820*2/27+G819*25/27</f>
        <v>7744.68918995771</v>
      </c>
      <c r="H820" s="17" t="n">
        <f aca="false">F820-G820</f>
        <v>-19.8013251395205</v>
      </c>
      <c r="I820" s="17" t="n">
        <f aca="false">H820*2/10+I819*8/10</f>
        <v>0.63112178553077</v>
      </c>
      <c r="J820" s="17" t="n">
        <f aca="false">H820-I820</f>
        <v>-20.4324469250513</v>
      </c>
      <c r="K820" s="17" t="n">
        <f aca="false">MAX(B820-B819,0)</f>
        <v>115.71</v>
      </c>
      <c r="L820" s="17" t="n">
        <f aca="false">MAX(B819-B820,0)</f>
        <v>0</v>
      </c>
      <c r="M820" s="17" t="n">
        <f aca="false">(M819*13+K820)/14</f>
        <v>36.0327576619517</v>
      </c>
      <c r="N820" s="17" t="n">
        <f aca="false">(N819*13+L820)/14</f>
        <v>35.3197932986571</v>
      </c>
      <c r="O820" s="17" t="n">
        <f aca="false">IF(N820=0,100,100-100/(1+M820/N820))</f>
        <v>50.4996067790822</v>
      </c>
      <c r="P820" s="17" t="n">
        <f aca="false">AVERAGE(B801:B820)+2*STDEV(B801:B820)</f>
        <v>7992.80060616112</v>
      </c>
      <c r="Q820" s="17" t="n">
        <f aca="false">AVERAGE(B801:B820)-2*STDEV(B801:B820)</f>
        <v>7593.47339383888</v>
      </c>
      <c r="R820" s="19" t="n">
        <f aca="false">B820/B800-1</f>
        <v>-0.0125360711311244</v>
      </c>
      <c r="S820" s="17" t="n">
        <f aca="false">STDEV(C801:C820)*SQRT(252)*100</f>
        <v>14.4313716643212</v>
      </c>
      <c r="T820" s="19" t="n">
        <f aca="false">B799/B569-1</f>
        <v>0.0497383177570094</v>
      </c>
      <c r="U820" s="19" t="n">
        <f aca="false">B820/MAX(B569:B820)-1</f>
        <v>-0.0327867830035112</v>
      </c>
      <c r="V820" s="17" t="n">
        <f aca="false">(B820-AVERAGE(B801:B820))/STDEV(B801:B820)</f>
        <v>-0.391027696539729</v>
      </c>
    </row>
    <row r="821" customFormat="false" ht="15" hidden="false" customHeight="false" outlineLevel="0" collapsed="false">
      <c r="A821" s="17" t="s">
        <v>1385</v>
      </c>
      <c r="B821" s="17" t="n">
        <v>7725.13</v>
      </c>
      <c r="C821" s="19" t="n">
        <f aca="false">B821/B820-1</f>
        <v>-0.00373608800505543</v>
      </c>
      <c r="D821" s="17" t="n">
        <f aca="false">AVERAGE(B772:B821)</f>
        <v>7721.133</v>
      </c>
      <c r="E821" s="17" t="n">
        <f aca="false">AVERAGE(B622:B821)</f>
        <v>7398.4236</v>
      </c>
      <c r="F821" s="17" t="n">
        <f aca="false">B821*2/13+F820*11/13</f>
        <v>7724.92511638462</v>
      </c>
      <c r="G821" s="17" t="n">
        <f aca="false">B821*2/27+G820*25/27</f>
        <v>7743.24036107195</v>
      </c>
      <c r="H821" s="17" t="n">
        <f aca="false">F821-G821</f>
        <v>-18.315244687331</v>
      </c>
      <c r="I821" s="17" t="n">
        <f aca="false">H821*2/10+I820*8/10</f>
        <v>-3.15815150904158</v>
      </c>
      <c r="J821" s="17" t="n">
        <f aca="false">H821-I821</f>
        <v>-15.1570931782894</v>
      </c>
      <c r="K821" s="17" t="n">
        <f aca="false">MAX(B821-B820,0)</f>
        <v>0</v>
      </c>
      <c r="L821" s="17" t="n">
        <f aca="false">MAX(B820-B821,0)</f>
        <v>28.9700000000003</v>
      </c>
      <c r="M821" s="17" t="n">
        <f aca="false">(M820*13+K821)/14</f>
        <v>33.4589892575265</v>
      </c>
      <c r="N821" s="17" t="n">
        <f aca="false">(N820*13+L821)/14</f>
        <v>34.8662366344673</v>
      </c>
      <c r="O821" s="17" t="n">
        <f aca="false">IF(N821=0,100,100-100/(1+M821/N821))</f>
        <v>48.9701846144166</v>
      </c>
      <c r="P821" s="17" t="n">
        <f aca="false">AVERAGE(B802:B821)+2*STDEV(B802:B821)</f>
        <v>7988.75499454221</v>
      </c>
      <c r="Q821" s="17" t="n">
        <f aca="false">AVERAGE(B802:B821)-2*STDEV(B802:B821)</f>
        <v>7586.79200545779</v>
      </c>
      <c r="R821" s="19" t="n">
        <f aca="false">B821/B801-1</f>
        <v>-0.0136956743782237</v>
      </c>
      <c r="S821" s="17" t="n">
        <f aca="false">STDEV(C802:C821)*SQRT(252)*100</f>
        <v>14.4585798958706</v>
      </c>
      <c r="T821" s="19" t="n">
        <f aca="false">B800/B570-1</f>
        <v>0.0612960382537664</v>
      </c>
      <c r="U821" s="19" t="n">
        <f aca="false">B821/MAX(B570:B821)-1</f>
        <v>-0.0364003767018629</v>
      </c>
      <c r="V821" s="17" t="n">
        <f aca="false">(B821-AVERAGE(B802:B821))/STDEV(B802:B821)</f>
        <v>-0.623375800271435</v>
      </c>
    </row>
    <row r="822" customFormat="false" ht="15" hidden="false" customHeight="false" outlineLevel="0" collapsed="false">
      <c r="A822" s="17" t="s">
        <v>1386</v>
      </c>
      <c r="B822" s="17" t="n">
        <v>7604.27</v>
      </c>
      <c r="C822" s="19" t="n">
        <f aca="false">B822/B821-1</f>
        <v>-0.015645044161069</v>
      </c>
      <c r="D822" s="17" t="n">
        <f aca="false">AVERAGE(B773:B822)</f>
        <v>7713.4368</v>
      </c>
      <c r="E822" s="17" t="n">
        <f aca="false">AVERAGE(B623:B822)</f>
        <v>7405.229</v>
      </c>
      <c r="F822" s="17" t="n">
        <f aca="false">B822*2/13+F821*11/13</f>
        <v>7706.36279078699</v>
      </c>
      <c r="G822" s="17" t="n">
        <f aca="false">B822*2/27+G821*25/27</f>
        <v>7732.94626025181</v>
      </c>
      <c r="H822" s="17" t="n">
        <f aca="false">F822-G822</f>
        <v>-26.583469464822</v>
      </c>
      <c r="I822" s="17" t="n">
        <f aca="false">H822*2/10+I821*8/10</f>
        <v>-7.84321510019766</v>
      </c>
      <c r="J822" s="17" t="n">
        <f aca="false">H822-I822</f>
        <v>-18.7402543646243</v>
      </c>
      <c r="K822" s="17" t="n">
        <f aca="false">MAX(B822-B821,0)</f>
        <v>0</v>
      </c>
      <c r="L822" s="17" t="n">
        <f aca="false">MAX(B821-B822,0)</f>
        <v>120.86</v>
      </c>
      <c r="M822" s="17" t="n">
        <f aca="false">(M821*13+K822)/14</f>
        <v>31.0690614534175</v>
      </c>
      <c r="N822" s="17" t="n">
        <f aca="false">(N821*13+L822)/14</f>
        <v>41.0086483034339</v>
      </c>
      <c r="O822" s="17" t="n">
        <f aca="false">IF(N822=0,100,100-100/(1+M822/N822))</f>
        <v>43.1049509733683</v>
      </c>
      <c r="P822" s="17" t="n">
        <f aca="false">AVERAGE(B803:B822)+2*STDEV(B803:B822)</f>
        <v>7993.72942739256</v>
      </c>
      <c r="Q822" s="17" t="n">
        <f aca="false">AVERAGE(B803:B822)-2*STDEV(B803:B822)</f>
        <v>7560.77057260744</v>
      </c>
      <c r="R822" s="19" t="n">
        <f aca="false">B822/B802-1</f>
        <v>-0.0269324379313962</v>
      </c>
      <c r="S822" s="17" t="n">
        <f aca="false">STDEV(C803:C822)*SQRT(252)*100</f>
        <v>15.4059359220679</v>
      </c>
      <c r="T822" s="19" t="n">
        <f aca="false">B801/B571-1</f>
        <v>0.0652239548907767</v>
      </c>
      <c r="U822" s="19" t="n">
        <f aca="false">B822/MAX(B571:B822)-1</f>
        <v>-0.0514759353619518</v>
      </c>
      <c r="V822" s="17" t="n">
        <f aca="false">(B822-AVERAGE(B803:B822))/STDEV(B803:B822)</f>
        <v>-1.59811952649266</v>
      </c>
    </row>
    <row r="823" customFormat="false" ht="15" hidden="false" customHeight="false" outlineLevel="0" collapsed="false">
      <c r="A823" s="17" t="s">
        <v>1387</v>
      </c>
      <c r="B823" s="17" t="n">
        <v>7690.53</v>
      </c>
      <c r="C823" s="19" t="n">
        <f aca="false">B823/B822-1</f>
        <v>0.0113436266729088</v>
      </c>
      <c r="D823" s="17" t="n">
        <f aca="false">AVERAGE(B774:B823)</f>
        <v>7708.198</v>
      </c>
      <c r="E823" s="17" t="n">
        <f aca="false">AVERAGE(B624:B823)</f>
        <v>7413.44885</v>
      </c>
      <c r="F823" s="17" t="n">
        <f aca="false">B823*2/13+F822*11/13</f>
        <v>7703.92697681976</v>
      </c>
      <c r="G823" s="17" t="n">
        <f aca="false">B823*2/27+G822*25/27</f>
        <v>7729.80431504797</v>
      </c>
      <c r="H823" s="17" t="n">
        <f aca="false">F823-G823</f>
        <v>-25.8773382282125</v>
      </c>
      <c r="I823" s="17" t="n">
        <f aca="false">H823*2/10+I822*8/10</f>
        <v>-11.4500397258006</v>
      </c>
      <c r="J823" s="17" t="n">
        <f aca="false">H823-I823</f>
        <v>-14.4272985024118</v>
      </c>
      <c r="K823" s="17" t="n">
        <f aca="false">MAX(B823-B822,0)</f>
        <v>86.2599999999993</v>
      </c>
      <c r="L823" s="17" t="n">
        <f aca="false">MAX(B822-B823,0)</f>
        <v>0</v>
      </c>
      <c r="M823" s="17" t="n">
        <f aca="false">(M822*13+K823)/14</f>
        <v>35.0112713496019</v>
      </c>
      <c r="N823" s="17" t="n">
        <f aca="false">(N822*13+L823)/14</f>
        <v>38.0794591389029</v>
      </c>
      <c r="O823" s="17" t="n">
        <f aca="false">IF(N823=0,100,100-100/(1+M823/N823))</f>
        <v>47.9011101894901</v>
      </c>
      <c r="P823" s="17" t="n">
        <f aca="false">AVERAGE(B804:B823)+2*STDEV(B804:B823)</f>
        <v>7980.64659633917</v>
      </c>
      <c r="Q823" s="17" t="n">
        <f aca="false">AVERAGE(B804:B823)-2*STDEV(B804:B823)</f>
        <v>7554.14840366083</v>
      </c>
      <c r="R823" s="19" t="n">
        <f aca="false">B823/B803-1</f>
        <v>-0.0249823139670216</v>
      </c>
      <c r="S823" s="17" t="n">
        <f aca="false">STDEV(C804:C823)*SQRT(252)*100</f>
        <v>15.6066528639045</v>
      </c>
      <c r="T823" s="19" t="n">
        <f aca="false">B802/B572-1</f>
        <v>0.0601116172564511</v>
      </c>
      <c r="U823" s="19" t="n">
        <f aca="false">B823/MAX(B572:B823)-1</f>
        <v>-0.0407162324824278</v>
      </c>
      <c r="V823" s="17" t="n">
        <f aca="false">(B823-AVERAGE(B804:B823))/STDEV(B804:B823)</f>
        <v>-0.720917474630172</v>
      </c>
    </row>
    <row r="824" customFormat="false" ht="15" hidden="false" customHeight="false" outlineLevel="0" collapsed="false">
      <c r="A824" s="17" t="s">
        <v>1388</v>
      </c>
      <c r="B824" s="17" t="n">
        <v>7740.36</v>
      </c>
      <c r="C824" s="19" t="n">
        <f aca="false">B824/B823-1</f>
        <v>0.00647939738873649</v>
      </c>
      <c r="D824" s="17" t="n">
        <f aca="false">AVERAGE(B775:B824)</f>
        <v>7706.0296</v>
      </c>
      <c r="E824" s="17" t="n">
        <f aca="false">AVERAGE(B625:B824)</f>
        <v>7422.6539</v>
      </c>
      <c r="F824" s="17" t="n">
        <f aca="false">B824*2/13+F823*11/13</f>
        <v>7709.53205730903</v>
      </c>
      <c r="G824" s="17" t="n">
        <f aca="false">B824*2/27+G823*25/27</f>
        <v>7730.58621763701</v>
      </c>
      <c r="H824" s="17" t="n">
        <f aca="false">F824-G824</f>
        <v>-21.0541603279835</v>
      </c>
      <c r="I824" s="17" t="n">
        <f aca="false">H824*2/10+I823*8/10</f>
        <v>-13.3708638462372</v>
      </c>
      <c r="J824" s="17" t="n">
        <f aca="false">H824-I824</f>
        <v>-7.68329648174629</v>
      </c>
      <c r="K824" s="17" t="n">
        <f aca="false">MAX(B824-B823,0)</f>
        <v>49.8299999999999</v>
      </c>
      <c r="L824" s="17" t="n">
        <f aca="false">MAX(B823-B824,0)</f>
        <v>0</v>
      </c>
      <c r="M824" s="17" t="n">
        <f aca="false">(M823*13+K824)/14</f>
        <v>36.0697519674875</v>
      </c>
      <c r="N824" s="17" t="n">
        <f aca="false">(N823*13+L824)/14</f>
        <v>35.3594977718384</v>
      </c>
      <c r="O824" s="17" t="n">
        <f aca="false">IF(N824=0,100,100-100/(1+M824/N824))</f>
        <v>50.4971732156232</v>
      </c>
      <c r="P824" s="17" t="n">
        <f aca="false">AVERAGE(B805:B824)+2*STDEV(B805:B824)</f>
        <v>7959.95893105533</v>
      </c>
      <c r="Q824" s="17" t="n">
        <f aca="false">AVERAGE(B805:B824)-2*STDEV(B805:B824)</f>
        <v>7557.13806894467</v>
      </c>
      <c r="R824" s="19" t="n">
        <f aca="false">B824/B804-1</f>
        <v>-0.0223534671998424</v>
      </c>
      <c r="S824" s="17" t="n">
        <f aca="false">STDEV(C805:C824)*SQRT(252)*100</f>
        <v>15.7503563144794</v>
      </c>
      <c r="T824" s="19" t="n">
        <f aca="false">B803/B573-1</f>
        <v>0.119679182340833</v>
      </c>
      <c r="U824" s="19" t="n">
        <f aca="false">B824/MAX(B573:B824)-1</f>
        <v>-0.0345006517441172</v>
      </c>
      <c r="V824" s="17" t="n">
        <f aca="false">(B824-AVERAGE(B805:B824))/STDEV(B805:B824)</f>
        <v>-0.180611301060206</v>
      </c>
    </row>
    <row r="825" customFormat="false" ht="15" hidden="false" customHeight="false" outlineLevel="0" collapsed="false">
      <c r="A825" s="17" t="s">
        <v>1389</v>
      </c>
      <c r="B825" s="17" t="n">
        <v>7843.88</v>
      </c>
      <c r="C825" s="19" t="n">
        <f aca="false">B825/B824-1</f>
        <v>0.0133740549535164</v>
      </c>
      <c r="D825" s="17" t="n">
        <f aca="false">AVERAGE(B776:B825)</f>
        <v>7706.8842</v>
      </c>
      <c r="E825" s="17" t="n">
        <f aca="false">AVERAGE(B626:B825)</f>
        <v>7430.55945</v>
      </c>
      <c r="F825" s="17" t="n">
        <f aca="false">B825*2/13+F824*11/13</f>
        <v>7730.20097156918</v>
      </c>
      <c r="G825" s="17" t="n">
        <f aca="false">B825*2/27+G824*25/27</f>
        <v>7738.9783496639</v>
      </c>
      <c r="H825" s="17" t="n">
        <f aca="false">F825-G825</f>
        <v>-8.77737809472183</v>
      </c>
      <c r="I825" s="17" t="n">
        <f aca="false">H825*2/10+I824*8/10</f>
        <v>-12.4521666959341</v>
      </c>
      <c r="J825" s="17" t="n">
        <f aca="false">H825-I825</f>
        <v>3.67478860121229</v>
      </c>
      <c r="K825" s="17" t="n">
        <f aca="false">MAX(B825-B824,0)</f>
        <v>103.52</v>
      </c>
      <c r="L825" s="17" t="n">
        <f aca="false">MAX(B824-B825,0)</f>
        <v>0</v>
      </c>
      <c r="M825" s="17" t="n">
        <f aca="false">(M824*13+K825)/14</f>
        <v>40.8876268269527</v>
      </c>
      <c r="N825" s="17" t="n">
        <f aca="false">(N824*13+L825)/14</f>
        <v>32.8338193595642</v>
      </c>
      <c r="O825" s="17" t="n">
        <f aca="false">IF(N825=0,100,100-100/(1+M825/N825))</f>
        <v>55.4623233021041</v>
      </c>
      <c r="P825" s="17" t="n">
        <f aca="false">AVERAGE(B806:B825)+2*STDEV(B806:B825)</f>
        <v>7951.72439005331</v>
      </c>
      <c r="Q825" s="17" t="n">
        <f aca="false">AVERAGE(B806:B825)-2*STDEV(B806:B825)</f>
        <v>7560.46560994669</v>
      </c>
      <c r="R825" s="19" t="n">
        <f aca="false">B825/B805-1</f>
        <v>-0.00621694043418486</v>
      </c>
      <c r="S825" s="17" t="n">
        <f aca="false">STDEV(C806:C825)*SQRT(252)*100</f>
        <v>16.5369101222196</v>
      </c>
      <c r="T825" s="19" t="n">
        <f aca="false">B804/B574-1</f>
        <v>0.136890564802277</v>
      </c>
      <c r="U825" s="19" t="n">
        <f aca="false">B825/MAX(B574:B825)-1</f>
        <v>-0.0215880104029587</v>
      </c>
      <c r="V825" s="17" t="n">
        <f aca="false">(B825-AVERAGE(B806:B825))/STDEV(B806:B825)</f>
        <v>0.897462288013854</v>
      </c>
    </row>
    <row r="826" customFormat="false" ht="15" hidden="false" customHeight="false" outlineLevel="0" collapsed="false">
      <c r="A826" s="17" t="s">
        <v>1390</v>
      </c>
      <c r="B826" s="17" t="n">
        <v>7842.33</v>
      </c>
      <c r="C826" s="19" t="n">
        <f aca="false">B826/B825-1</f>
        <v>-0.000197606286684637</v>
      </c>
      <c r="D826" s="17" t="n">
        <f aca="false">AVERAGE(B777:B826)</f>
        <v>7709.8748</v>
      </c>
      <c r="E826" s="17" t="n">
        <f aca="false">AVERAGE(B627:B826)</f>
        <v>7438.3296</v>
      </c>
      <c r="F826" s="17" t="n">
        <f aca="false">B826*2/13+F825*11/13</f>
        <v>7747.45159132777</v>
      </c>
      <c r="G826" s="17" t="n">
        <f aca="false">B826*2/27+G825*25/27</f>
        <v>7746.63402746657</v>
      </c>
      <c r="H826" s="17" t="n">
        <f aca="false">F826-G826</f>
        <v>0.817563861193776</v>
      </c>
      <c r="I826" s="17" t="n">
        <f aca="false">H826*2/10+I825*8/10</f>
        <v>-9.79822058450854</v>
      </c>
      <c r="J826" s="17" t="n">
        <f aca="false">H826-I826</f>
        <v>10.6157844457023</v>
      </c>
      <c r="K826" s="17" t="n">
        <f aca="false">MAX(B826-B825,0)</f>
        <v>0</v>
      </c>
      <c r="L826" s="17" t="n">
        <f aca="false">MAX(B825-B826,0)</f>
        <v>1.55000000000018</v>
      </c>
      <c r="M826" s="17" t="n">
        <f aca="false">(M825*13+K826)/14</f>
        <v>37.9670820535989</v>
      </c>
      <c r="N826" s="17" t="n">
        <f aca="false">(N825*13+L826)/14</f>
        <v>30.5992608338811</v>
      </c>
      <c r="O826" s="17" t="n">
        <f aca="false">IF(N826=0,100,100-100/(1+M826/N826))</f>
        <v>55.3727681173026</v>
      </c>
      <c r="P826" s="17" t="n">
        <f aca="false">AVERAGE(B807:B826)+2*STDEV(B807:B826)</f>
        <v>7950.22501140548</v>
      </c>
      <c r="Q826" s="17" t="n">
        <f aca="false">AVERAGE(B807:B826)-2*STDEV(B807:B826)</f>
        <v>7560.95698859452</v>
      </c>
      <c r="R826" s="19" t="n">
        <f aca="false">B826/B806-1</f>
        <v>-0.00128368233446796</v>
      </c>
      <c r="S826" s="17" t="n">
        <f aca="false">STDEV(C807:C826)*SQRT(252)*100</f>
        <v>16.4363845271394</v>
      </c>
      <c r="T826" s="19" t="n">
        <f aca="false">B805/B575-1</f>
        <v>0.10279703962857</v>
      </c>
      <c r="U826" s="19" t="n">
        <f aca="false">B826/MAX(B575:B826)-1</f>
        <v>-0.0217813507630708</v>
      </c>
      <c r="V826" s="17" t="n">
        <f aca="false">(B826-AVERAGE(B807:B826))/STDEV(B807:B826)</f>
        <v>0.891303625441862</v>
      </c>
    </row>
    <row r="827" customFormat="false" ht="15" hidden="false" customHeight="false" outlineLevel="0" collapsed="false">
      <c r="A827" s="17" t="s">
        <v>1391</v>
      </c>
      <c r="B827" s="17" t="n">
        <v>7942.85</v>
      </c>
      <c r="C827" s="19" t="n">
        <f aca="false">B827/B826-1</f>
        <v>0.0128176192534617</v>
      </c>
      <c r="D827" s="17" t="n">
        <f aca="false">AVERAGE(B778:B827)</f>
        <v>7720.418</v>
      </c>
      <c r="E827" s="17" t="n">
        <f aca="false">AVERAGE(B628:B827)</f>
        <v>7446.6175</v>
      </c>
      <c r="F827" s="17" t="n">
        <f aca="false">B827*2/13+F826*11/13</f>
        <v>7777.51288496965</v>
      </c>
      <c r="G827" s="17" t="n">
        <f aca="false">B827*2/27+G826*25/27</f>
        <v>7761.16854395053</v>
      </c>
      <c r="H827" s="17" t="n">
        <f aca="false">F827-G827</f>
        <v>16.3443410191185</v>
      </c>
      <c r="I827" s="17" t="n">
        <f aca="false">H827*2/10+I826*8/10</f>
        <v>-4.56970826378314</v>
      </c>
      <c r="J827" s="17" t="n">
        <f aca="false">H827-I827</f>
        <v>20.9140492829016</v>
      </c>
      <c r="K827" s="17" t="n">
        <f aca="false">MAX(B827-B826,0)</f>
        <v>100.52</v>
      </c>
      <c r="L827" s="17" t="n">
        <f aca="false">MAX(B826-B827,0)</f>
        <v>0</v>
      </c>
      <c r="M827" s="17" t="n">
        <f aca="false">(M826*13+K827)/14</f>
        <v>42.435147621199</v>
      </c>
      <c r="N827" s="17" t="n">
        <f aca="false">(N826*13+L827)/14</f>
        <v>28.4135993457467</v>
      </c>
      <c r="O827" s="17" t="n">
        <f aca="false">IF(N827=0,100,100-100/(1+M827/N827))</f>
        <v>59.8954102053449</v>
      </c>
      <c r="P827" s="17" t="n">
        <f aca="false">AVERAGE(B808:B827)+2*STDEV(B808:B827)</f>
        <v>7962.0065051997</v>
      </c>
      <c r="Q827" s="17" t="n">
        <f aca="false">AVERAGE(B808:B827)-2*STDEV(B808:B827)</f>
        <v>7554.5814948003</v>
      </c>
      <c r="R827" s="19" t="n">
        <f aca="false">B827/B807-1</f>
        <v>0.00685276195715701</v>
      </c>
      <c r="S827" s="17" t="n">
        <f aca="false">STDEV(C808:C827)*SQRT(252)*100</f>
        <v>16.9906625177284</v>
      </c>
      <c r="T827" s="19" t="n">
        <f aca="false">B806/B576-1</f>
        <v>0.110875171708398</v>
      </c>
      <c r="U827" s="19" t="n">
        <f aca="false">B827/MAX(B576:B827)-1</f>
        <v>-0.00924291657051612</v>
      </c>
      <c r="V827" s="17" t="n">
        <f aca="false">(B827-AVERAGE(B808:B827))/STDEV(B808:B827)</f>
        <v>1.81192607512319</v>
      </c>
    </row>
    <row r="828" customFormat="false" ht="15" hidden="false" customHeight="false" outlineLevel="0" collapsed="false">
      <c r="A828" s="17" t="s">
        <v>1392</v>
      </c>
      <c r="B828" s="17" t="n">
        <v>7920.21</v>
      </c>
      <c r="C828" s="19" t="n">
        <f aca="false">B828/B827-1</f>
        <v>-0.00285036227550572</v>
      </c>
      <c r="D828" s="17" t="n">
        <f aca="false">AVERAGE(B779:B828)</f>
        <v>7728.3958</v>
      </c>
      <c r="E828" s="17" t="n">
        <f aca="false">AVERAGE(B629:B828)</f>
        <v>7454.5687</v>
      </c>
      <c r="F828" s="17" t="n">
        <f aca="false">B828*2/13+F827*11/13</f>
        <v>7799.46628728201</v>
      </c>
      <c r="G828" s="17" t="n">
        <f aca="false">B828*2/27+G827*25/27</f>
        <v>7772.94939254679</v>
      </c>
      <c r="H828" s="17" t="n">
        <f aca="false">F828-G828</f>
        <v>26.5168947352222</v>
      </c>
      <c r="I828" s="17" t="n">
        <f aca="false">H828*2/10+I827*8/10</f>
        <v>1.64761233601793</v>
      </c>
      <c r="J828" s="17" t="n">
        <f aca="false">H828-I828</f>
        <v>24.8692823992043</v>
      </c>
      <c r="K828" s="17" t="n">
        <f aca="false">MAX(B828-B827,0)</f>
        <v>0</v>
      </c>
      <c r="L828" s="17" t="n">
        <f aca="false">MAX(B827-B828,0)</f>
        <v>22.6400000000003</v>
      </c>
      <c r="M828" s="17" t="n">
        <f aca="false">(M827*13+K828)/14</f>
        <v>39.4040656482563</v>
      </c>
      <c r="N828" s="17" t="n">
        <f aca="false">(N827*13+L828)/14</f>
        <v>28.0011993924791</v>
      </c>
      <c r="O828" s="17" t="n">
        <f aca="false">IF(N828=0,100,100-100/(1+M828/N828))</f>
        <v>58.4584388540613</v>
      </c>
      <c r="P828" s="17" t="n">
        <f aca="false">AVERAGE(B809:B828)+2*STDEV(B809:B828)</f>
        <v>7968.28738053979</v>
      </c>
      <c r="Q828" s="17" t="n">
        <f aca="false">AVERAGE(B809:B828)-2*STDEV(B809:B828)</f>
        <v>7551.46561946022</v>
      </c>
      <c r="R828" s="19" t="n">
        <f aca="false">B828/B808-1</f>
        <v>0.00401213909762999</v>
      </c>
      <c r="S828" s="17" t="n">
        <f aca="false">STDEV(C809:C828)*SQRT(252)*100</f>
        <v>17.0294930728699</v>
      </c>
      <c r="T828" s="19" t="n">
        <f aca="false">B807/B577-1</f>
        <v>0.0841566537436627</v>
      </c>
      <c r="U828" s="19" t="n">
        <f aca="false">B828/MAX(B577:B828)-1</f>
        <v>-0.0120669331853136</v>
      </c>
      <c r="V828" s="17" t="n">
        <f aca="false">(B828-AVERAGE(B809:B828))/STDEV(B809:B828)</f>
        <v>1.53862888141671</v>
      </c>
    </row>
    <row r="829" customFormat="false" ht="15" hidden="false" customHeight="false" outlineLevel="0" collapsed="false">
      <c r="A829" s="17" t="s">
        <v>1393</v>
      </c>
      <c r="B829" s="17" t="n">
        <v>7942.14</v>
      </c>
      <c r="C829" s="19" t="n">
        <f aca="false">B829/B828-1</f>
        <v>0.00276886597703863</v>
      </c>
      <c r="D829" s="17" t="n">
        <f aca="false">AVERAGE(B780:B829)</f>
        <v>7736.2006</v>
      </c>
      <c r="E829" s="17" t="n">
        <f aca="false">AVERAGE(B630:B829)</f>
        <v>7462.47505</v>
      </c>
      <c r="F829" s="17" t="n">
        <f aca="false">B829*2/13+F828*11/13</f>
        <v>7821.41608923862</v>
      </c>
      <c r="G829" s="17" t="n">
        <f aca="false">B829*2/27+G828*25/27</f>
        <v>7785.48203013591</v>
      </c>
      <c r="H829" s="17" t="n">
        <f aca="false">F829-G829</f>
        <v>35.9340591027094</v>
      </c>
      <c r="I829" s="17" t="n">
        <f aca="false">H829*2/10+I828*8/10</f>
        <v>8.50490168935622</v>
      </c>
      <c r="J829" s="17" t="n">
        <f aca="false">H829-I829</f>
        <v>27.4291574133532</v>
      </c>
      <c r="K829" s="17" t="n">
        <f aca="false">MAX(B829-B828,0)</f>
        <v>21.9300000000003</v>
      </c>
      <c r="L829" s="17" t="n">
        <f aca="false">MAX(B828-B829,0)</f>
        <v>0</v>
      </c>
      <c r="M829" s="17" t="n">
        <f aca="false">(M828*13+K829)/14</f>
        <v>38.1559181019523</v>
      </c>
      <c r="N829" s="17" t="n">
        <f aca="false">(N828*13+L829)/14</f>
        <v>26.0011137215878</v>
      </c>
      <c r="O829" s="17" t="n">
        <f aca="false">IF(N829=0,100,100-100/(1+M829/N829))</f>
        <v>59.4726984984246</v>
      </c>
      <c r="P829" s="17" t="n">
        <f aca="false">AVERAGE(B810:B829)+2*STDEV(B810:B829)</f>
        <v>7976.77013944096</v>
      </c>
      <c r="Q829" s="17" t="n">
        <f aca="false">AVERAGE(B810:B829)-2*STDEV(B810:B829)</f>
        <v>7547.01786055904</v>
      </c>
      <c r="R829" s="19" t="n">
        <f aca="false">B829/B809-1</f>
        <v>0.00510643790837273</v>
      </c>
      <c r="S829" s="17" t="n">
        <f aca="false">STDEV(C810:C829)*SQRT(252)*100</f>
        <v>17.0459873461829</v>
      </c>
      <c r="T829" s="19" t="n">
        <f aca="false">B808/B578-1</f>
        <v>0.0837973629652833</v>
      </c>
      <c r="U829" s="19" t="n">
        <f aca="false">B829/MAX(B578:B829)-1</f>
        <v>-0.00933147892901909</v>
      </c>
      <c r="V829" s="17" t="n">
        <f aca="false">(B829-AVERAGE(B810:B829))/STDEV(B810:B829)</f>
        <v>1.67767347709187</v>
      </c>
    </row>
    <row r="830" customFormat="false" ht="15" hidden="false" customHeight="false" outlineLevel="0" collapsed="false">
      <c r="A830" s="17" t="s">
        <v>1394</v>
      </c>
      <c r="B830" s="17" t="n">
        <v>7868.49</v>
      </c>
      <c r="C830" s="19" t="n">
        <f aca="false">B830/B829-1</f>
        <v>-0.00927331928170505</v>
      </c>
      <c r="D830" s="17" t="n">
        <f aca="false">AVERAGE(B781:B830)</f>
        <v>7739.0738</v>
      </c>
      <c r="E830" s="17" t="n">
        <f aca="false">AVERAGE(B631:B830)</f>
        <v>7471.08185</v>
      </c>
      <c r="F830" s="17" t="n">
        <f aca="false">B830*2/13+F829*11/13</f>
        <v>7828.65822935576</v>
      </c>
      <c r="G830" s="17" t="n">
        <f aca="false">B830*2/27+G829*25/27</f>
        <v>7791.63076864436</v>
      </c>
      <c r="H830" s="17" t="n">
        <f aca="false">F830-G830</f>
        <v>37.0274607113934</v>
      </c>
      <c r="I830" s="17" t="n">
        <f aca="false">H830*2/10+I829*8/10</f>
        <v>14.2094134937637</v>
      </c>
      <c r="J830" s="17" t="n">
        <f aca="false">H830-I830</f>
        <v>22.8180472176297</v>
      </c>
      <c r="K830" s="17" t="n">
        <f aca="false">MAX(B830-B829,0)</f>
        <v>0</v>
      </c>
      <c r="L830" s="17" t="n">
        <f aca="false">MAX(B829-B830,0)</f>
        <v>73.6500000000006</v>
      </c>
      <c r="M830" s="17" t="n">
        <f aca="false">(M829*13+K830)/14</f>
        <v>35.4304953803842</v>
      </c>
      <c r="N830" s="17" t="n">
        <f aca="false">(N829*13+L830)/14</f>
        <v>29.4046055986172</v>
      </c>
      <c r="O830" s="17" t="n">
        <f aca="false">IF(N830=0,100,100-100/(1+M830/N830))</f>
        <v>54.6470890696373</v>
      </c>
      <c r="P830" s="17" t="n">
        <f aca="false">AVERAGE(B811:B830)+2*STDEV(B811:B830)</f>
        <v>7982.64119986984</v>
      </c>
      <c r="Q830" s="17" t="n">
        <f aca="false">AVERAGE(B811:B830)-2*STDEV(B811:B830)</f>
        <v>7545.64080013017</v>
      </c>
      <c r="R830" s="19" t="n">
        <f aca="false">B830/B810-1</f>
        <v>0.00574419541001192</v>
      </c>
      <c r="S830" s="17" t="n">
        <f aca="false">STDEV(C811:C830)*SQRT(252)*100</f>
        <v>16.9974634823843</v>
      </c>
      <c r="T830" s="19" t="n">
        <f aca="false">B809/B579-1</f>
        <v>0.11041175701825</v>
      </c>
      <c r="U830" s="19" t="n">
        <f aca="false">B830/MAX(B579:B830)-1</f>
        <v>-0.0185182644272448</v>
      </c>
      <c r="V830" s="17" t="n">
        <f aca="false">(B830-AVERAGE(B811:B830))/STDEV(B811:B830)</f>
        <v>0.955138714400829</v>
      </c>
    </row>
    <row r="831" customFormat="false" ht="15" hidden="false" customHeight="false" outlineLevel="0" collapsed="false">
      <c r="A831" s="17" t="s">
        <v>1395</v>
      </c>
      <c r="B831" s="17" t="n">
        <v>7940.33</v>
      </c>
      <c r="C831" s="19" t="n">
        <f aca="false">B831/B830-1</f>
        <v>0.00913008722130937</v>
      </c>
      <c r="D831" s="17" t="n">
        <f aca="false">AVERAGE(B782:B831)</f>
        <v>7744.955</v>
      </c>
      <c r="E831" s="17" t="n">
        <f aca="false">AVERAGE(B632:B831)</f>
        <v>7478.67015</v>
      </c>
      <c r="F831" s="17" t="n">
        <f aca="false">B831*2/13+F830*11/13</f>
        <v>7845.83850176256</v>
      </c>
      <c r="G831" s="17" t="n">
        <f aca="false">B831*2/27+G830*25/27</f>
        <v>7802.64552652256</v>
      </c>
      <c r="H831" s="17" t="n">
        <f aca="false">F831-G831</f>
        <v>43.1929752400047</v>
      </c>
      <c r="I831" s="17" t="n">
        <f aca="false">H831*2/10+I830*8/10</f>
        <v>20.0061258430119</v>
      </c>
      <c r="J831" s="17" t="n">
        <f aca="false">H831-I831</f>
        <v>23.1868493969928</v>
      </c>
      <c r="K831" s="17" t="n">
        <f aca="false">MAX(B831-B830,0)</f>
        <v>71.8400000000002</v>
      </c>
      <c r="L831" s="17" t="n">
        <f aca="false">MAX(B830-B831,0)</f>
        <v>0</v>
      </c>
      <c r="M831" s="17" t="n">
        <f aca="false">(M830*13+K831)/14</f>
        <v>38.0311742817854</v>
      </c>
      <c r="N831" s="17" t="n">
        <f aca="false">(N830*13+L831)/14</f>
        <v>27.3042766272874</v>
      </c>
      <c r="O831" s="17" t="n">
        <f aca="false">IF(N831=0,100,100-100/(1+M831/N831))</f>
        <v>58.2090943777418</v>
      </c>
      <c r="P831" s="17" t="n">
        <f aca="false">AVERAGE(B812:B831)+2*STDEV(B812:B831)</f>
        <v>8001.52130157497</v>
      </c>
      <c r="Q831" s="17" t="n">
        <f aca="false">AVERAGE(B812:B831)-2*STDEV(B812:B831)</f>
        <v>7538.93269842503</v>
      </c>
      <c r="R831" s="19" t="n">
        <f aca="false">B831/B811-1</f>
        <v>0.0155679845906114</v>
      </c>
      <c r="S831" s="17" t="n">
        <f aca="false">STDEV(C812:C831)*SQRT(252)*100</f>
        <v>17.2743208959301</v>
      </c>
      <c r="T831" s="19" t="n">
        <f aca="false">B810/B580-1</f>
        <v>0.100787507932064</v>
      </c>
      <c r="U831" s="19" t="n">
        <f aca="false">B831/MAX(B580:B831)-1</f>
        <v>-0.00955725057534351</v>
      </c>
      <c r="V831" s="17" t="n">
        <f aca="false">(B831-AVERAGE(B812:B831))/STDEV(B812:B831)</f>
        <v>1.47087929829403</v>
      </c>
    </row>
    <row r="832" customFormat="false" ht="15" hidden="false" customHeight="false" outlineLevel="0" collapsed="false">
      <c r="A832" s="17" t="s">
        <v>1396</v>
      </c>
      <c r="B832" s="17" t="n">
        <v>7874.62</v>
      </c>
      <c r="C832" s="19" t="n">
        <f aca="false">B832/B831-1</f>
        <v>-0.00827547469689549</v>
      </c>
      <c r="D832" s="17" t="n">
        <f aca="false">AVERAGE(B783:B832)</f>
        <v>7751.2138</v>
      </c>
      <c r="E832" s="17" t="n">
        <f aca="false">AVERAGE(B633:B832)</f>
        <v>7485.602</v>
      </c>
      <c r="F832" s="17" t="n">
        <f aca="false">B832*2/13+F831*11/13</f>
        <v>7850.26642456832</v>
      </c>
      <c r="G832" s="17" t="n">
        <f aca="false">B832*2/27+G831*25/27</f>
        <v>7807.97696900237</v>
      </c>
      <c r="H832" s="17" t="n">
        <f aca="false">F832-G832</f>
        <v>42.2894555659541</v>
      </c>
      <c r="I832" s="17" t="n">
        <f aca="false">H832*2/10+I831*8/10</f>
        <v>24.4627917876003</v>
      </c>
      <c r="J832" s="17" t="n">
        <f aca="false">H832-I832</f>
        <v>17.8266637783538</v>
      </c>
      <c r="K832" s="17" t="n">
        <f aca="false">MAX(B832-B831,0)</f>
        <v>0</v>
      </c>
      <c r="L832" s="17" t="n">
        <f aca="false">MAX(B831-B832,0)</f>
        <v>65.71</v>
      </c>
      <c r="M832" s="17" t="n">
        <f aca="false">(M831*13+K832)/14</f>
        <v>35.3146618330864</v>
      </c>
      <c r="N832" s="17" t="n">
        <f aca="false">(N831*13+L832)/14</f>
        <v>30.0475425824812</v>
      </c>
      <c r="O832" s="17" t="n">
        <f aca="false">IF(N832=0,100,100-100/(1+M832/N832))</f>
        <v>54.0291780989494</v>
      </c>
      <c r="P832" s="17" t="n">
        <f aca="false">AVERAGE(B813:B832)+2*STDEV(B813:B832)</f>
        <v>8012.42950316919</v>
      </c>
      <c r="Q832" s="17" t="n">
        <f aca="false">AVERAGE(B813:B832)-2*STDEV(B813:B832)</f>
        <v>7544.48249683081</v>
      </c>
      <c r="R832" s="19" t="n">
        <f aca="false">B832/B812-1</f>
        <v>0.0213461927564578</v>
      </c>
      <c r="S832" s="17" t="n">
        <f aca="false">STDEV(C813:C832)*SQRT(252)*100</f>
        <v>16.747183605769</v>
      </c>
      <c r="T832" s="19" t="n">
        <f aca="false">B811/B581-1</f>
        <v>0.0948578742257964</v>
      </c>
      <c r="U832" s="19" t="n">
        <f aca="false">B832/MAX(B581:B832)-1</f>
        <v>-0.0177536344869308</v>
      </c>
      <c r="V832" s="17" t="n">
        <f aca="false">(B832-AVERAGE(B813:B832))/STDEV(B813:B832)</f>
        <v>0.822007609386964</v>
      </c>
    </row>
    <row r="833" customFormat="false" ht="15" hidden="false" customHeight="false" outlineLevel="0" collapsed="false">
      <c r="A833" s="17" t="s">
        <v>1397</v>
      </c>
      <c r="B833" s="17" t="n">
        <v>7889.47</v>
      </c>
      <c r="C833" s="19" t="n">
        <f aca="false">B833/B832-1</f>
        <v>0.00188580528330262</v>
      </c>
      <c r="D833" s="17" t="n">
        <f aca="false">AVERAGE(B784:B833)</f>
        <v>7754.4402</v>
      </c>
      <c r="E833" s="17" t="n">
        <f aca="false">AVERAGE(B634:B833)</f>
        <v>7492.2901</v>
      </c>
      <c r="F833" s="17" t="n">
        <f aca="false">B833*2/13+F832*11/13</f>
        <v>7856.29774386551</v>
      </c>
      <c r="G833" s="17" t="n">
        <f aca="false">B833*2/27+G832*25/27</f>
        <v>7814.01348981701</v>
      </c>
      <c r="H833" s="17" t="n">
        <f aca="false">F833-G833</f>
        <v>42.2842540484962</v>
      </c>
      <c r="I833" s="17" t="n">
        <f aca="false">H833*2/10+I832*8/10</f>
        <v>28.0270842397795</v>
      </c>
      <c r="J833" s="17" t="n">
        <f aca="false">H833-I833</f>
        <v>14.2571698087167</v>
      </c>
      <c r="K833" s="17" t="n">
        <f aca="false">MAX(B833-B832,0)</f>
        <v>14.8500000000004</v>
      </c>
      <c r="L833" s="17" t="n">
        <f aca="false">MAX(B832-B833,0)</f>
        <v>0</v>
      </c>
      <c r="M833" s="17" t="n">
        <f aca="false">(M832*13+K833)/14</f>
        <v>33.8529002735803</v>
      </c>
      <c r="N833" s="17" t="n">
        <f aca="false">(N832*13+L833)/14</f>
        <v>27.9012895408754</v>
      </c>
      <c r="O833" s="17" t="n">
        <f aca="false">IF(N833=0,100,100-100/(1+M833/N833))</f>
        <v>54.8187910412126</v>
      </c>
      <c r="P833" s="17" t="n">
        <f aca="false">AVERAGE(B814:B833)+2*STDEV(B814:B833)</f>
        <v>8021.76705748442</v>
      </c>
      <c r="Q833" s="17" t="n">
        <f aca="false">AVERAGE(B814:B833)-2*STDEV(B814:B833)</f>
        <v>7543.73794251558</v>
      </c>
      <c r="R833" s="19" t="n">
        <f aca="false">B833/B813-1</f>
        <v>0.0110116690630151</v>
      </c>
      <c r="S833" s="17" t="n">
        <f aca="false">STDEV(C814:C833)*SQRT(252)*100</f>
        <v>16.2404737090016</v>
      </c>
      <c r="T833" s="19" t="n">
        <f aca="false">B812/B582-1</f>
        <v>0.0830731021384612</v>
      </c>
      <c r="U833" s="19" t="n">
        <f aca="false">B833/MAX(B582:B833)-1</f>
        <v>-0.0159013091013415</v>
      </c>
      <c r="V833" s="17" t="n">
        <f aca="false">(B833-AVERAGE(B814:B833))/STDEV(B814:B833)</f>
        <v>0.892979081468345</v>
      </c>
    </row>
    <row r="834" customFormat="false" ht="15" hidden="false" customHeight="false" outlineLevel="0" collapsed="false">
      <c r="A834" s="17" t="s">
        <v>1398</v>
      </c>
      <c r="B834" s="17" t="n">
        <v>7966.72</v>
      </c>
      <c r="C834" s="19" t="n">
        <f aca="false">B834/B833-1</f>
        <v>0.00979153225755347</v>
      </c>
      <c r="D834" s="17" t="n">
        <f aca="false">AVERAGE(B785:B834)</f>
        <v>7763.972</v>
      </c>
      <c r="E834" s="17" t="n">
        <f aca="false">AVERAGE(B635:B834)</f>
        <v>7499.12025</v>
      </c>
      <c r="F834" s="17" t="n">
        <f aca="false">B834*2/13+F833*11/13</f>
        <v>7873.28578327081</v>
      </c>
      <c r="G834" s="17" t="n">
        <f aca="false">B834*2/27+G833*25/27</f>
        <v>7825.3250831639</v>
      </c>
      <c r="H834" s="17" t="n">
        <f aca="false">F834-G834</f>
        <v>47.9607001069144</v>
      </c>
      <c r="I834" s="17" t="n">
        <f aca="false">H834*2/10+I833*8/10</f>
        <v>32.0138074132065</v>
      </c>
      <c r="J834" s="17" t="n">
        <f aca="false">H834-I834</f>
        <v>15.9468926937079</v>
      </c>
      <c r="K834" s="17" t="n">
        <f aca="false">MAX(B834-B833,0)</f>
        <v>77.25</v>
      </c>
      <c r="L834" s="17" t="n">
        <f aca="false">MAX(B833-B834,0)</f>
        <v>0</v>
      </c>
      <c r="M834" s="17" t="n">
        <f aca="false">(M833*13+K834)/14</f>
        <v>36.9526931111817</v>
      </c>
      <c r="N834" s="17" t="n">
        <f aca="false">(N833*13+L834)/14</f>
        <v>25.9083402879557</v>
      </c>
      <c r="O834" s="17" t="n">
        <f aca="false">IF(N834=0,100,100-100/(1+M834/N834))</f>
        <v>58.7847369236675</v>
      </c>
      <c r="P834" s="17" t="n">
        <f aca="false">AVERAGE(B815:B834)+2*STDEV(B815:B834)</f>
        <v>8045.13396611065</v>
      </c>
      <c r="Q834" s="17" t="n">
        <f aca="false">AVERAGE(B815:B834)-2*STDEV(B815:B834)</f>
        <v>7539.84403388935</v>
      </c>
      <c r="R834" s="19" t="n">
        <f aca="false">B834/B814-1</f>
        <v>0.0250553590521863</v>
      </c>
      <c r="S834" s="17" t="n">
        <f aca="false">STDEV(C815:C834)*SQRT(252)*100</f>
        <v>16.457188330261</v>
      </c>
      <c r="T834" s="19" t="n">
        <f aca="false">B813/B583-1</f>
        <v>0.149413402266852</v>
      </c>
      <c r="U834" s="19" t="n">
        <f aca="false">B834/MAX(B583:B834)-1</f>
        <v>-0.00626547502479113</v>
      </c>
      <c r="V834" s="17" t="n">
        <f aca="false">(B834-AVERAGE(B815:B834))/STDEV(B815:B834)</f>
        <v>1.37925566206367</v>
      </c>
    </row>
    <row r="835" customFormat="false" ht="15" hidden="false" customHeight="false" outlineLevel="0" collapsed="false">
      <c r="A835" s="17" t="s">
        <v>1399</v>
      </c>
      <c r="B835" s="17" t="n">
        <v>8029.22</v>
      </c>
      <c r="C835" s="19" t="n">
        <f aca="false">B835/B834-1</f>
        <v>0.00784513576478152</v>
      </c>
      <c r="D835" s="17" t="n">
        <f aca="false">AVERAGE(B786:B835)</f>
        <v>7774.8586</v>
      </c>
      <c r="E835" s="17" t="n">
        <f aca="false">AVERAGE(B636:B835)</f>
        <v>7506.16165</v>
      </c>
      <c r="F835" s="17" t="n">
        <f aca="false">B835*2/13+F834*11/13</f>
        <v>7897.27566276761</v>
      </c>
      <c r="G835" s="17" t="n">
        <f aca="false">B835*2/27+G834*25/27</f>
        <v>7840.42841033694</v>
      </c>
      <c r="H835" s="17" t="n">
        <f aca="false">F835-G835</f>
        <v>56.8472524306681</v>
      </c>
      <c r="I835" s="17" t="n">
        <f aca="false">H835*2/10+I834*8/10</f>
        <v>36.9804964166988</v>
      </c>
      <c r="J835" s="17" t="n">
        <f aca="false">H835-I835</f>
        <v>19.8667560139693</v>
      </c>
      <c r="K835" s="17" t="n">
        <f aca="false">MAX(B835-B834,0)</f>
        <v>62.5</v>
      </c>
      <c r="L835" s="17" t="n">
        <f aca="false">MAX(B834-B835,0)</f>
        <v>0</v>
      </c>
      <c r="M835" s="17" t="n">
        <f aca="false">(M834*13+K835)/14</f>
        <v>38.7775007460973</v>
      </c>
      <c r="N835" s="17" t="n">
        <f aca="false">(N834*13+L835)/14</f>
        <v>24.0577445531017</v>
      </c>
      <c r="O835" s="17" t="n">
        <f aca="false">IF(N835=0,100,100-100/(1+M835/N835))</f>
        <v>61.7129774244576</v>
      </c>
      <c r="P835" s="17" t="n">
        <f aca="false">AVERAGE(B816:B835)+2*STDEV(B816:B835)</f>
        <v>8077.76261452467</v>
      </c>
      <c r="Q835" s="17" t="n">
        <f aca="false">AVERAGE(B816:B835)-2*STDEV(B816:B835)</f>
        <v>7541.97938547534</v>
      </c>
      <c r="R835" s="19" t="n">
        <f aca="false">B835/B815-1</f>
        <v>0.0452563144561406</v>
      </c>
      <c r="S835" s="17" t="n">
        <f aca="false">STDEV(C816:C835)*SQRT(252)*100</f>
        <v>15.8706354660578</v>
      </c>
      <c r="T835" s="19" t="n">
        <f aca="false">B814/B584-1</f>
        <v>0.107690707044506</v>
      </c>
      <c r="U835" s="19" t="n">
        <f aca="false">B835/MAX(B584:B835)-1</f>
        <v>0</v>
      </c>
      <c r="V835" s="17" t="n">
        <f aca="false">(B835-AVERAGE(B816:B835))/STDEV(B816:B835)</f>
        <v>1.63759511763145</v>
      </c>
    </row>
    <row r="836" customFormat="false" ht="15" hidden="false" customHeight="false" outlineLevel="0" collapsed="false">
      <c r="A836" s="17" t="s">
        <v>1400</v>
      </c>
      <c r="B836" s="17" t="n">
        <v>8110.67</v>
      </c>
      <c r="C836" s="19" t="n">
        <f aca="false">B836/B835-1</f>
        <v>0.0101441983156521</v>
      </c>
      <c r="D836" s="17" t="n">
        <f aca="false">AVERAGE(B787:B836)</f>
        <v>7784.9898</v>
      </c>
      <c r="E836" s="17" t="n">
        <f aca="false">AVERAGE(B637:B836)</f>
        <v>7513.708</v>
      </c>
      <c r="F836" s="17" t="n">
        <f aca="false">B836*2/13+F835*11/13</f>
        <v>7930.10556080336</v>
      </c>
      <c r="G836" s="17" t="n">
        <f aca="false">B836*2/27+G835*25/27</f>
        <v>7860.44630586754</v>
      </c>
      <c r="H836" s="17" t="n">
        <f aca="false">F836-G836</f>
        <v>69.6592549358229</v>
      </c>
      <c r="I836" s="17" t="n">
        <f aca="false">H836*2/10+I835*8/10</f>
        <v>43.5162481205236</v>
      </c>
      <c r="J836" s="17" t="n">
        <f aca="false">H836-I836</f>
        <v>26.1430068152993</v>
      </c>
      <c r="K836" s="17" t="n">
        <f aca="false">MAX(B836-B835,0)</f>
        <v>81.4499999999998</v>
      </c>
      <c r="L836" s="17" t="n">
        <f aca="false">MAX(B835-B836,0)</f>
        <v>0</v>
      </c>
      <c r="M836" s="17" t="n">
        <f aca="false">(M835*13+K836)/14</f>
        <v>41.8255364070903</v>
      </c>
      <c r="N836" s="17" t="n">
        <f aca="false">(N835*13+L836)/14</f>
        <v>22.3393342278802</v>
      </c>
      <c r="O836" s="17" t="n">
        <f aca="false">IF(N836=0,100,100-100/(1+M836/N836))</f>
        <v>65.1844786612801</v>
      </c>
      <c r="P836" s="17" t="n">
        <f aca="false">AVERAGE(B817:B836)+2*STDEV(B817:B836)</f>
        <v>8125.71095479701</v>
      </c>
      <c r="Q836" s="17" t="n">
        <f aca="false">AVERAGE(B817:B836)-2*STDEV(B817:B836)</f>
        <v>7530.15304520299</v>
      </c>
      <c r="R836" s="19" t="n">
        <f aca="false">B836/B816-1</f>
        <v>0.0466123402305971</v>
      </c>
      <c r="S836" s="17" t="n">
        <f aca="false">STDEV(C817:C836)*SQRT(252)*100</f>
        <v>15.9491256815807</v>
      </c>
      <c r="T836" s="19" t="n">
        <f aca="false">B815/B585-1</f>
        <v>0.12100577899714</v>
      </c>
      <c r="U836" s="19" t="n">
        <f aca="false">B836/MAX(B585:B836)-1</f>
        <v>0</v>
      </c>
      <c r="V836" s="17" t="n">
        <f aca="false">(B836-AVERAGE(B817:B836))/STDEV(B817:B836)</f>
        <v>1.89897906111421</v>
      </c>
    </row>
    <row r="837" customFormat="false" ht="15" hidden="false" customHeight="false" outlineLevel="0" collapsed="false">
      <c r="A837" s="17" t="s">
        <v>1401</v>
      </c>
      <c r="B837" s="17" t="n">
        <v>8047.51</v>
      </c>
      <c r="C837" s="19" t="n">
        <f aca="false">B837/B836-1</f>
        <v>-0.0077872728146996</v>
      </c>
      <c r="D837" s="17" t="n">
        <f aca="false">AVERAGE(B788:B837)</f>
        <v>7791.5536</v>
      </c>
      <c r="E837" s="17" t="n">
        <f aca="false">AVERAGE(B638:B837)</f>
        <v>7521.24035</v>
      </c>
      <c r="F837" s="17" t="n">
        <f aca="false">B837*2/13+F836*11/13</f>
        <v>7948.16778221823</v>
      </c>
      <c r="G837" s="17" t="n">
        <f aca="false">B837*2/27+G836*25/27</f>
        <v>7874.30287580328</v>
      </c>
      <c r="H837" s="17" t="n">
        <f aca="false">F837-G837</f>
        <v>73.8649064149531</v>
      </c>
      <c r="I837" s="17" t="n">
        <f aca="false">H837*2/10+I836*8/10</f>
        <v>49.5859797794095</v>
      </c>
      <c r="J837" s="17" t="n">
        <f aca="false">H837-I837</f>
        <v>24.2789266355436</v>
      </c>
      <c r="K837" s="17" t="n">
        <f aca="false">MAX(B837-B836,0)</f>
        <v>0</v>
      </c>
      <c r="L837" s="17" t="n">
        <f aca="false">MAX(B836-B837,0)</f>
        <v>63.1599999999999</v>
      </c>
      <c r="M837" s="17" t="n">
        <f aca="false">(M836*13+K837)/14</f>
        <v>38.8379980922981</v>
      </c>
      <c r="N837" s="17" t="n">
        <f aca="false">(N836*13+L837)/14</f>
        <v>25.2550960687459</v>
      </c>
      <c r="O837" s="17" t="n">
        <f aca="false">IF(N837=0,100,100-100/(1+M837/N837))</f>
        <v>60.5962289708023</v>
      </c>
      <c r="P837" s="17" t="n">
        <f aca="false">AVERAGE(B818:B837)+2*STDEV(B818:B837)</f>
        <v>8151.19062442228</v>
      </c>
      <c r="Q837" s="17" t="n">
        <f aca="false">AVERAGE(B818:B837)-2*STDEV(B818:B837)</f>
        <v>7541.01037557772</v>
      </c>
      <c r="R837" s="19" t="n">
        <f aca="false">B837/B817-1</f>
        <v>0.0472883107283313</v>
      </c>
      <c r="S837" s="17" t="n">
        <f aca="false">STDEV(C818:C837)*SQRT(252)*100</f>
        <v>15.8933638707674</v>
      </c>
      <c r="T837" s="19" t="n">
        <f aca="false">B816/B586-1</f>
        <v>0.154239711643009</v>
      </c>
      <c r="U837" s="19" t="n">
        <f aca="false">B837/MAX(B586:B837)-1</f>
        <v>-0.0077872728146996</v>
      </c>
      <c r="V837" s="17" t="n">
        <f aca="false">(B837-AVERAGE(B818:B837))/STDEV(B818:B837)</f>
        <v>1.32032788921891</v>
      </c>
    </row>
    <row r="838" customFormat="false" ht="15" hidden="false" customHeight="false" outlineLevel="0" collapsed="false">
      <c r="A838" s="17" t="s">
        <v>1402</v>
      </c>
      <c r="B838" s="17" t="n">
        <v>8083.11</v>
      </c>
      <c r="C838" s="19" t="n">
        <f aca="false">B838/B837-1</f>
        <v>0.00442372858188422</v>
      </c>
      <c r="D838" s="17" t="n">
        <f aca="false">AVERAGE(B789:B838)</f>
        <v>7799.9264</v>
      </c>
      <c r="E838" s="17" t="n">
        <f aca="false">AVERAGE(B639:B838)</f>
        <v>7528.3077</v>
      </c>
      <c r="F838" s="17" t="n">
        <f aca="false">B838*2/13+F837*11/13</f>
        <v>7968.92812341543</v>
      </c>
      <c r="G838" s="17" t="n">
        <f aca="false">B838*2/27+G837*25/27</f>
        <v>7889.77007018822</v>
      </c>
      <c r="H838" s="17" t="n">
        <f aca="false">F838-G838</f>
        <v>79.1580532272064</v>
      </c>
      <c r="I838" s="17" t="n">
        <f aca="false">H838*2/10+I837*8/10</f>
        <v>55.5003944689689</v>
      </c>
      <c r="J838" s="17" t="n">
        <f aca="false">H838-I838</f>
        <v>23.6576587582375</v>
      </c>
      <c r="K838" s="17" t="n">
        <f aca="false">MAX(B838-B837,0)</f>
        <v>35.5999999999995</v>
      </c>
      <c r="L838" s="17" t="n">
        <f aca="false">MAX(B837-B838,0)</f>
        <v>0</v>
      </c>
      <c r="M838" s="17" t="n">
        <f aca="false">(M837*13+K838)/14</f>
        <v>38.6067125142768</v>
      </c>
      <c r="N838" s="17" t="n">
        <f aca="false">(N837*13+L838)/14</f>
        <v>23.451160635264</v>
      </c>
      <c r="O838" s="17" t="n">
        <f aca="false">IF(N838=0,100,100-100/(1+M838/N838))</f>
        <v>62.2108212140081</v>
      </c>
      <c r="P838" s="17" t="n">
        <f aca="false">AVERAGE(B819:B838)+2*STDEV(B819:B838)</f>
        <v>8161.79012262197</v>
      </c>
      <c r="Q838" s="17" t="n">
        <f aca="false">AVERAGE(B819:B838)-2*STDEV(B819:B838)</f>
        <v>7583.64287737803</v>
      </c>
      <c r="R838" s="19" t="n">
        <f aca="false">B838/B818-1</f>
        <v>0.0704985835919154</v>
      </c>
      <c r="S838" s="17" t="n">
        <f aca="false">STDEV(C819:C838)*SQRT(252)*100</f>
        <v>14.0879291073034</v>
      </c>
      <c r="T838" s="19" t="n">
        <f aca="false">B817/B587-1</f>
        <v>0.128341350813202</v>
      </c>
      <c r="U838" s="19" t="n">
        <f aca="false">B838/MAX(B587:B838)-1</f>
        <v>-0.00339799301414068</v>
      </c>
      <c r="V838" s="17" t="n">
        <f aca="false">(B838-AVERAGE(B819:B838))/STDEV(B819:B838)</f>
        <v>1.45563955709052</v>
      </c>
    </row>
    <row r="839" customFormat="false" ht="15" hidden="false" customHeight="false" outlineLevel="0" collapsed="false">
      <c r="A839" s="17" t="s">
        <v>1403</v>
      </c>
      <c r="B839" s="17" t="n">
        <v>8083.83</v>
      </c>
      <c r="C839" s="19" t="n">
        <f aca="false">B839/B838-1</f>
        <v>8.90746259794017E-005</v>
      </c>
      <c r="D839" s="17" t="n">
        <f aca="false">AVERAGE(B790:B839)</f>
        <v>7806.9386</v>
      </c>
      <c r="E839" s="17" t="n">
        <f aca="false">AVERAGE(B640:B839)</f>
        <v>7535.38405</v>
      </c>
      <c r="F839" s="17" t="n">
        <f aca="false">B839*2/13+F838*11/13</f>
        <v>7986.60533519767</v>
      </c>
      <c r="G839" s="17" t="n">
        <f aca="false">B839*2/27+G838*25/27</f>
        <v>7904.14487980391</v>
      </c>
      <c r="H839" s="17" t="n">
        <f aca="false">F839-G839</f>
        <v>82.4604553937616</v>
      </c>
      <c r="I839" s="17" t="n">
        <f aca="false">H839*2/10+I838*8/10</f>
        <v>60.8924066539274</v>
      </c>
      <c r="J839" s="17" t="n">
        <f aca="false">H839-I839</f>
        <v>21.5680487398341</v>
      </c>
      <c r="K839" s="17" t="n">
        <f aca="false">MAX(B839-B838,0)</f>
        <v>0.720000000000255</v>
      </c>
      <c r="L839" s="17" t="n">
        <f aca="false">MAX(B838-B839,0)</f>
        <v>0</v>
      </c>
      <c r="M839" s="17" t="n">
        <f aca="false">(M838*13+K839)/14</f>
        <v>35.9005187632571</v>
      </c>
      <c r="N839" s="17" t="n">
        <f aca="false">(N838*13+L839)/14</f>
        <v>21.7760777327452</v>
      </c>
      <c r="O839" s="17" t="n">
        <f aca="false">IF(N839=0,100,100-100/(1+M839/N839))</f>
        <v>62.2445167438849</v>
      </c>
      <c r="P839" s="17" t="n">
        <f aca="false">AVERAGE(B820:B839)+2*STDEV(B820:B839)</f>
        <v>8176.58771809663</v>
      </c>
      <c r="Q839" s="17" t="n">
        <f aca="false">AVERAGE(B820:B839)-2*STDEV(B820:B839)</f>
        <v>7613.38928190337</v>
      </c>
      <c r="R839" s="19" t="n">
        <f aca="false">B839/B819-1</f>
        <v>0.0583159540164877</v>
      </c>
      <c r="S839" s="17" t="n">
        <f aca="false">STDEV(C820:C839)*SQRT(252)*100</f>
        <v>13.7940016758963</v>
      </c>
      <c r="T839" s="19" t="n">
        <f aca="false">B818/B588-1</f>
        <v>0.0837780425141019</v>
      </c>
      <c r="U839" s="19" t="n">
        <f aca="false">B839/MAX(B588:B839)-1</f>
        <v>-0.00330922106311815</v>
      </c>
      <c r="V839" s="17" t="n">
        <f aca="false">(B839-AVERAGE(B820:B839))/STDEV(B820:B839)</f>
        <v>1.34120755928521</v>
      </c>
    </row>
    <row r="840" customFormat="false" ht="15" hidden="false" customHeight="false" outlineLevel="0" collapsed="false">
      <c r="A840" s="17" t="s">
        <v>1404</v>
      </c>
      <c r="B840" s="17" t="n">
        <v>8161.17</v>
      </c>
      <c r="C840" s="19" t="n">
        <f aca="false">B840/B839-1</f>
        <v>0.00956724720831592</v>
      </c>
      <c r="D840" s="17" t="n">
        <f aca="false">AVERAGE(B791:B840)</f>
        <v>7816.0134</v>
      </c>
      <c r="E840" s="17" t="n">
        <f aca="false">AVERAGE(B641:B840)</f>
        <v>7542.59765</v>
      </c>
      <c r="F840" s="17" t="n">
        <f aca="false">B840*2/13+F839*11/13</f>
        <v>8013.46143747495</v>
      </c>
      <c r="G840" s="17" t="n">
        <f aca="false">B840*2/27+G839*25/27</f>
        <v>7923.18377759621</v>
      </c>
      <c r="H840" s="17" t="n">
        <f aca="false">F840-G840</f>
        <v>90.2776598787395</v>
      </c>
      <c r="I840" s="17" t="n">
        <f aca="false">H840*2/10+I839*8/10</f>
        <v>66.7694572988899</v>
      </c>
      <c r="J840" s="17" t="n">
        <f aca="false">H840-I840</f>
        <v>23.5082025798497</v>
      </c>
      <c r="K840" s="17" t="n">
        <f aca="false">MAX(B840-B839,0)</f>
        <v>77.3400000000002</v>
      </c>
      <c r="L840" s="17" t="n">
        <f aca="false">MAX(B839-B840,0)</f>
        <v>0</v>
      </c>
      <c r="M840" s="17" t="n">
        <f aca="false">(M839*13+K840)/14</f>
        <v>38.8604817087387</v>
      </c>
      <c r="N840" s="17" t="n">
        <f aca="false">(N839*13+L840)/14</f>
        <v>20.2206436089777</v>
      </c>
      <c r="O840" s="17" t="n">
        <f aca="false">IF(N840=0,100,100-100/(1+M840/N840))</f>
        <v>65.7747825549386</v>
      </c>
      <c r="P840" s="17" t="n">
        <f aca="false">AVERAGE(B821:B840)+2*STDEV(B821:B840)</f>
        <v>8212.4805608096</v>
      </c>
      <c r="Q840" s="17" t="n">
        <f aca="false">AVERAGE(B821:B840)-2*STDEV(B821:B840)</f>
        <v>7618.2034391904</v>
      </c>
      <c r="R840" s="19" t="n">
        <f aca="false">B840/B820-1</f>
        <v>0.0524973884783533</v>
      </c>
      <c r="S840" s="17" t="n">
        <f aca="false">STDEV(C821:C840)*SQRT(252)*100</f>
        <v>13.2675101774784</v>
      </c>
      <c r="T840" s="19" t="n">
        <f aca="false">B819/B589-1</f>
        <v>0.0805214756470702</v>
      </c>
      <c r="U840" s="19" t="n">
        <f aca="false">B840/MAX(B589:B840)-1</f>
        <v>0</v>
      </c>
      <c r="V840" s="17" t="n">
        <f aca="false">(B840-AVERAGE(B821:B840))/STDEV(B821:B840)</f>
        <v>1.65463546252768</v>
      </c>
    </row>
    <row r="841" customFormat="false" ht="15" hidden="false" customHeight="false" outlineLevel="0" collapsed="false">
      <c r="A841" s="17" t="s">
        <v>1405</v>
      </c>
      <c r="B841" s="17" t="n">
        <v>8210.66</v>
      </c>
      <c r="C841" s="19" t="n">
        <f aca="false">B841/B840-1</f>
        <v>0.00606408149811855</v>
      </c>
      <c r="D841" s="17" t="n">
        <f aca="false">AVERAGE(B792:B841)</f>
        <v>7830.9268</v>
      </c>
      <c r="E841" s="17" t="n">
        <f aca="false">AVERAGE(B642:B841)</f>
        <v>7549.7279</v>
      </c>
      <c r="F841" s="17" t="n">
        <f aca="false">B841*2/13+F840*11/13</f>
        <v>8043.79967786342</v>
      </c>
      <c r="G841" s="17" t="n">
        <f aca="false">B841*2/27+G840*25/27</f>
        <v>7944.47831258908</v>
      </c>
      <c r="H841" s="17" t="n">
        <f aca="false">F841-G841</f>
        <v>99.3213652743352</v>
      </c>
      <c r="I841" s="17" t="n">
        <f aca="false">H841*2/10+I840*8/10</f>
        <v>73.2798388939789</v>
      </c>
      <c r="J841" s="17" t="n">
        <f aca="false">H841-I841</f>
        <v>26.0415263803563</v>
      </c>
      <c r="K841" s="17" t="n">
        <f aca="false">MAX(B841-B840,0)</f>
        <v>49.4899999999998</v>
      </c>
      <c r="L841" s="17" t="n">
        <f aca="false">MAX(B840-B841,0)</f>
        <v>0</v>
      </c>
      <c r="M841" s="17" t="n">
        <f aca="false">(M840*13+K841)/14</f>
        <v>39.6197330152574</v>
      </c>
      <c r="N841" s="17" t="n">
        <f aca="false">(N840*13+L841)/14</f>
        <v>18.7763119226221</v>
      </c>
      <c r="O841" s="17" t="n">
        <f aca="false">IF(N841=0,100,100-100/(1+M841/N841))</f>
        <v>67.8466034085083</v>
      </c>
      <c r="P841" s="17" t="n">
        <f aca="false">AVERAGE(B822:B841)+2*STDEV(B822:B841)</f>
        <v>8250.34902724016</v>
      </c>
      <c r="Q841" s="17" t="n">
        <f aca="false">AVERAGE(B822:B841)-2*STDEV(B822:B841)</f>
        <v>7628.88797275984</v>
      </c>
      <c r="R841" s="19" t="n">
        <f aca="false">B841/B821-1</f>
        <v>0.0628507222532178</v>
      </c>
      <c r="S841" s="17" t="n">
        <f aca="false">STDEV(C822:C841)*SQRT(252)*100</f>
        <v>13.1023074415914</v>
      </c>
      <c r="T841" s="19" t="n">
        <f aca="false">B820/B590-1</f>
        <v>0.113248694598502</v>
      </c>
      <c r="U841" s="19" t="n">
        <f aca="false">B841/MAX(B590:B841)-1</f>
        <v>0</v>
      </c>
      <c r="V841" s="17" t="n">
        <f aca="false">(B841-AVERAGE(B822:B841))/STDEV(B822:B841)</f>
        <v>1.74454375247474</v>
      </c>
    </row>
    <row r="842" customFormat="false" ht="15" hidden="false" customHeight="false" outlineLevel="0" collapsed="false">
      <c r="A842" s="17" t="s">
        <v>1406</v>
      </c>
      <c r="B842" s="17" t="n">
        <v>8210.18</v>
      </c>
      <c r="C842" s="19" t="n">
        <f aca="false">B842/B841-1</f>
        <v>-5.84605866031929E-005</v>
      </c>
      <c r="D842" s="17" t="n">
        <f aca="false">AVERAGE(B793:B842)</f>
        <v>7843.63</v>
      </c>
      <c r="E842" s="17" t="n">
        <f aca="false">AVERAGE(B643:B842)</f>
        <v>7557.54475</v>
      </c>
      <c r="F842" s="17" t="n">
        <f aca="false">B842*2/13+F841*11/13</f>
        <v>8069.39665049982</v>
      </c>
      <c r="G842" s="17" t="n">
        <f aca="false">B842*2/27+G841*25/27</f>
        <v>7964.15991906397</v>
      </c>
      <c r="H842" s="17" t="n">
        <f aca="false">F842-G842</f>
        <v>105.236731435849</v>
      </c>
      <c r="I842" s="17" t="n">
        <f aca="false">H842*2/10+I841*8/10</f>
        <v>79.6712174023529</v>
      </c>
      <c r="J842" s="17" t="n">
        <f aca="false">H842-I842</f>
        <v>25.565514033496</v>
      </c>
      <c r="K842" s="17" t="n">
        <f aca="false">MAX(B842-B841,0)</f>
        <v>0</v>
      </c>
      <c r="L842" s="17" t="n">
        <f aca="false">MAX(B841-B842,0)</f>
        <v>0.479999999999563</v>
      </c>
      <c r="M842" s="17" t="n">
        <f aca="false">(M841*13+K842)/14</f>
        <v>36.7897520855961</v>
      </c>
      <c r="N842" s="17" t="n">
        <f aca="false">(N841*13+L842)/14</f>
        <v>17.4694324995776</v>
      </c>
      <c r="O842" s="17" t="n">
        <f aca="false">IF(N842=0,100,100-100/(1+M842/N842))</f>
        <v>67.8037319706586</v>
      </c>
      <c r="P842" s="17" t="n">
        <f aca="false">AVERAGE(B823:B842)+2*STDEV(B823:B842)</f>
        <v>8260.47335169763</v>
      </c>
      <c r="Q842" s="17" t="n">
        <f aca="false">AVERAGE(B823:B842)-2*STDEV(B823:B842)</f>
        <v>7679.35464830237</v>
      </c>
      <c r="R842" s="19" t="n">
        <f aca="false">B842/B822-1</f>
        <v>0.0796802322905421</v>
      </c>
      <c r="S842" s="17" t="n">
        <f aca="false">STDEV(C823:C842)*SQRT(252)*100</f>
        <v>11.1732636260226</v>
      </c>
      <c r="T842" s="19" t="n">
        <f aca="false">B821/B591-1</f>
        <v>0.113598064894646</v>
      </c>
      <c r="U842" s="19" t="n">
        <f aca="false">B842/MAX(B591:B842)-1</f>
        <v>-5.84605866031929E-005</v>
      </c>
      <c r="V842" s="17" t="n">
        <f aca="false">(B842-AVERAGE(B823:B842))/STDEV(B823:B842)</f>
        <v>1.65381701601559</v>
      </c>
    </row>
    <row r="843" customFormat="false" ht="15" hidden="false" customHeight="false" outlineLevel="0" collapsed="false">
      <c r="A843" s="17" t="s">
        <v>1407</v>
      </c>
      <c r="B843" s="17" t="n">
        <v>8196.03</v>
      </c>
      <c r="C843" s="19" t="n">
        <f aca="false">B843/B842-1</f>
        <v>-0.00172347013098373</v>
      </c>
      <c r="D843" s="17" t="n">
        <f aca="false">AVERAGE(B794:B843)</f>
        <v>7856.23</v>
      </c>
      <c r="E843" s="17" t="n">
        <f aca="false">AVERAGE(B644:B843)</f>
        <v>7565.2311</v>
      </c>
      <c r="F843" s="17" t="n">
        <f aca="false">B843*2/13+F842*11/13</f>
        <v>8088.87870426908</v>
      </c>
      <c r="G843" s="17" t="n">
        <f aca="false">B843*2/27+G842*25/27</f>
        <v>7981.33548061478</v>
      </c>
      <c r="H843" s="17" t="n">
        <f aca="false">F843-G843</f>
        <v>107.543223654291</v>
      </c>
      <c r="I843" s="17" t="n">
        <f aca="false">H843*2/10+I842*8/10</f>
        <v>85.2456186527406</v>
      </c>
      <c r="J843" s="17" t="n">
        <f aca="false">H843-I843</f>
        <v>22.2976050015505</v>
      </c>
      <c r="K843" s="17" t="n">
        <f aca="false">MAX(B843-B842,0)</f>
        <v>0</v>
      </c>
      <c r="L843" s="17" t="n">
        <f aca="false">MAX(B842-B843,0)</f>
        <v>14.1499999999996</v>
      </c>
      <c r="M843" s="17" t="n">
        <f aca="false">(M842*13+K843)/14</f>
        <v>34.1619126509107</v>
      </c>
      <c r="N843" s="17" t="n">
        <f aca="false">(N842*13+L843)/14</f>
        <v>17.2323301781792</v>
      </c>
      <c r="O843" s="17" t="n">
        <f aca="false">IF(N843=0,100,100-100/(1+M843/N843))</f>
        <v>66.4703102339987</v>
      </c>
      <c r="P843" s="17" t="n">
        <f aca="false">AVERAGE(B824:B843)+2*STDEV(B824:B843)</f>
        <v>8270.98984866096</v>
      </c>
      <c r="Q843" s="17" t="n">
        <f aca="false">AVERAGE(B824:B843)-2*STDEV(B824:B843)</f>
        <v>7719.38815133904</v>
      </c>
      <c r="R843" s="19" t="n">
        <f aca="false">B843/B823-1</f>
        <v>0.0657301902469663</v>
      </c>
      <c r="S843" s="17" t="n">
        <f aca="false">STDEV(C824:C843)*SQRT(252)*100</f>
        <v>10.9740835226868</v>
      </c>
      <c r="T843" s="19" t="n">
        <f aca="false">B822/B592-1</f>
        <v>0.0880574057248331</v>
      </c>
      <c r="U843" s="19" t="n">
        <f aca="false">B843/MAX(B592:B843)-1</f>
        <v>-0.00178182996251208</v>
      </c>
      <c r="V843" s="17" t="n">
        <f aca="false">(B843-AVERAGE(B824:B843))/STDEV(B824:B843)</f>
        <v>1.45642046407836</v>
      </c>
    </row>
    <row r="844" customFormat="false" ht="15" hidden="false" customHeight="false" outlineLevel="0" collapsed="false">
      <c r="A844" s="17" t="s">
        <v>1408</v>
      </c>
      <c r="B844" s="17" t="n">
        <v>8219.65</v>
      </c>
      <c r="C844" s="19" t="n">
        <f aca="false">B844/B843-1</f>
        <v>0.00288188305801707</v>
      </c>
      <c r="D844" s="17" t="n">
        <f aca="false">AVERAGE(B795:B844)</f>
        <v>7868.865</v>
      </c>
      <c r="E844" s="17" t="n">
        <f aca="false">AVERAGE(B645:B844)</f>
        <v>7572.8166</v>
      </c>
      <c r="F844" s="17" t="n">
        <f aca="false">B844*2/13+F843*11/13</f>
        <v>8108.99736515076</v>
      </c>
      <c r="G844" s="17" t="n">
        <f aca="false">B844*2/27+G843*25/27</f>
        <v>7998.98840797665</v>
      </c>
      <c r="H844" s="17" t="n">
        <f aca="false">F844-G844</f>
        <v>110.008957174104</v>
      </c>
      <c r="I844" s="17" t="n">
        <f aca="false">H844*2/10+I843*8/10</f>
        <v>90.1982863570132</v>
      </c>
      <c r="J844" s="17" t="n">
        <f aca="false">H844-I844</f>
        <v>19.8106708170905</v>
      </c>
      <c r="K844" s="17" t="n">
        <f aca="false">MAX(B844-B843,0)</f>
        <v>23.619999999999</v>
      </c>
      <c r="L844" s="17" t="n">
        <f aca="false">MAX(B843-B844,0)</f>
        <v>0</v>
      </c>
      <c r="M844" s="17" t="n">
        <f aca="false">(M843*13+K844)/14</f>
        <v>33.4089188901313</v>
      </c>
      <c r="N844" s="17" t="n">
        <f aca="false">(N843*13+L844)/14</f>
        <v>16.0014494511664</v>
      </c>
      <c r="O844" s="17" t="n">
        <f aca="false">IF(N844=0,100,100-100/(1+M844/N844))</f>
        <v>67.6151990192871</v>
      </c>
      <c r="P844" s="17" t="n">
        <f aca="false">AVERAGE(B825:B844)+2*STDEV(B825:B844)</f>
        <v>8284.82959470141</v>
      </c>
      <c r="Q844" s="17" t="n">
        <f aca="false">AVERAGE(B825:B844)-2*STDEV(B825:B844)</f>
        <v>7753.4774052986</v>
      </c>
      <c r="R844" s="19" t="n">
        <f aca="false">B844/B824-1</f>
        <v>0.0619208925683044</v>
      </c>
      <c r="S844" s="17" t="n">
        <f aca="false">STDEV(C825:C844)*SQRT(252)*100</f>
        <v>10.906052326647</v>
      </c>
      <c r="T844" s="19" t="n">
        <f aca="false">B823/B593-1</f>
        <v>0.0676650289526914</v>
      </c>
      <c r="U844" s="19" t="n">
        <f aca="false">B844/MAX(B593:B844)-1</f>
        <v>0</v>
      </c>
      <c r="V844" s="17" t="n">
        <f aca="false">(B844-AVERAGE(B825:B844))/STDEV(B825:B844)</f>
        <v>1.5093303763392</v>
      </c>
    </row>
    <row r="845" customFormat="false" ht="15" hidden="false" customHeight="false" outlineLevel="0" collapsed="false">
      <c r="A845" s="17" t="s">
        <v>1409</v>
      </c>
      <c r="B845" s="17" t="n">
        <v>8255.89</v>
      </c>
      <c r="C845" s="19" t="n">
        <f aca="false">B845/B844-1</f>
        <v>0.00440894685296822</v>
      </c>
      <c r="D845" s="17" t="n">
        <f aca="false">AVERAGE(B796:B845)</f>
        <v>7879.9366</v>
      </c>
      <c r="E845" s="17" t="n">
        <f aca="false">AVERAGE(B646:B845)</f>
        <v>7580.1592</v>
      </c>
      <c r="F845" s="17" t="n">
        <f aca="false">B845*2/13+F844*11/13</f>
        <v>8131.59623205064</v>
      </c>
      <c r="G845" s="17" t="n">
        <f aca="false">B845*2/27+G844*25/27</f>
        <v>8018.01815553394</v>
      </c>
      <c r="H845" s="17" t="n">
        <f aca="false">F845-G845</f>
        <v>113.578076516703</v>
      </c>
      <c r="I845" s="17" t="n">
        <f aca="false">H845*2/10+I844*8/10</f>
        <v>94.8742443889511</v>
      </c>
      <c r="J845" s="17" t="n">
        <f aca="false">H845-I845</f>
        <v>18.7038321277517</v>
      </c>
      <c r="K845" s="17" t="n">
        <f aca="false">MAX(B845-B844,0)</f>
        <v>36.2399999999998</v>
      </c>
      <c r="L845" s="17" t="n">
        <f aca="false">MAX(B844-B845,0)</f>
        <v>0</v>
      </c>
      <c r="M845" s="17" t="n">
        <f aca="false">(M844*13+K845)/14</f>
        <v>33.6111389694076</v>
      </c>
      <c r="N845" s="17" t="n">
        <f aca="false">(N844*13+L845)/14</f>
        <v>14.8584887760831</v>
      </c>
      <c r="O845" s="17" t="n">
        <f aca="false">IF(N845=0,100,100-100/(1+M845/N845))</f>
        <v>69.3447433636099</v>
      </c>
      <c r="P845" s="17" t="n">
        <f aca="false">AVERAGE(B826:B845)+2*STDEV(B826:B845)</f>
        <v>8312.01886650435</v>
      </c>
      <c r="Q845" s="17" t="n">
        <f aca="false">AVERAGE(B826:B845)-2*STDEV(B826:B845)</f>
        <v>7767.48913349565</v>
      </c>
      <c r="R845" s="19" t="n">
        <f aca="false">B845/B825-1</f>
        <v>0.052526300759318</v>
      </c>
      <c r="S845" s="17" t="n">
        <f aca="false">STDEV(C826:C845)*SQRT(252)*100</f>
        <v>10.221141243199</v>
      </c>
      <c r="T845" s="19" t="n">
        <f aca="false">B824/B594-1</f>
        <v>0.0812687973469635</v>
      </c>
      <c r="U845" s="19" t="n">
        <f aca="false">B845/MAX(B594:B845)-1</f>
        <v>0</v>
      </c>
      <c r="V845" s="17" t="n">
        <f aca="false">(B845-AVERAGE(B826:B845))/STDEV(B826:B845)</f>
        <v>1.58768924375005</v>
      </c>
    </row>
    <row r="846" customFormat="false" ht="15" hidden="false" customHeight="false" outlineLevel="0" collapsed="false">
      <c r="A846" s="17" t="s">
        <v>1410</v>
      </c>
      <c r="B846" s="17" t="n">
        <v>8241.91</v>
      </c>
      <c r="C846" s="19" t="n">
        <f aca="false">B846/B845-1</f>
        <v>-0.00169333651490022</v>
      </c>
      <c r="D846" s="17" t="n">
        <f aca="false">AVERAGE(B797:B846)</f>
        <v>7890.9548</v>
      </c>
      <c r="E846" s="17" t="n">
        <f aca="false">AVERAGE(B647:B846)</f>
        <v>7587.8833</v>
      </c>
      <c r="F846" s="17" t="n">
        <f aca="false">B846*2/13+F845*11/13</f>
        <v>8148.56758096593</v>
      </c>
      <c r="G846" s="17" t="n">
        <f aca="false">B846*2/27+G845*25/27</f>
        <v>8034.6027366055</v>
      </c>
      <c r="H846" s="17" t="n">
        <f aca="false">F846-G846</f>
        <v>113.964844360428</v>
      </c>
      <c r="I846" s="17" t="n">
        <f aca="false">H846*2/10+I845*8/10</f>
        <v>98.6923643832465</v>
      </c>
      <c r="J846" s="17" t="n">
        <f aca="false">H846-I846</f>
        <v>15.2724799771817</v>
      </c>
      <c r="K846" s="17" t="n">
        <f aca="false">MAX(B846-B845,0)</f>
        <v>0</v>
      </c>
      <c r="L846" s="17" t="n">
        <f aca="false">MAX(B845-B846,0)</f>
        <v>13.9799999999996</v>
      </c>
      <c r="M846" s="17" t="n">
        <f aca="false">(M845*13+K846)/14</f>
        <v>31.2103433287356</v>
      </c>
      <c r="N846" s="17" t="n">
        <f aca="false">(N845*13+L846)/14</f>
        <v>14.7957395777914</v>
      </c>
      <c r="O846" s="17" t="n">
        <f aca="false">IF(N846=0,100,100-100/(1+M846/N846))</f>
        <v>67.8396015417077</v>
      </c>
      <c r="P846" s="17" t="n">
        <f aca="false">AVERAGE(B827:B846)+2*STDEV(B827:B846)</f>
        <v>8329.63214374389</v>
      </c>
      <c r="Q846" s="17" t="n">
        <f aca="false">AVERAGE(B827:B846)-2*STDEV(B827:B846)</f>
        <v>7789.83385625611</v>
      </c>
      <c r="R846" s="19" t="n">
        <f aca="false">B846/B826-1</f>
        <v>0.0509516942031258</v>
      </c>
      <c r="S846" s="17" t="n">
        <f aca="false">STDEV(C827:C846)*SQRT(252)*100</f>
        <v>10.2886686186836</v>
      </c>
      <c r="T846" s="19" t="n">
        <f aca="false">B825/B595-1</f>
        <v>0.114322041723788</v>
      </c>
      <c r="U846" s="19" t="n">
        <f aca="false">B846/MAX(B595:B846)-1</f>
        <v>-0.00169333651490022</v>
      </c>
      <c r="V846" s="17" t="n">
        <f aca="false">(B846-AVERAGE(B827:B846))/STDEV(B827:B846)</f>
        <v>1.3499635269156</v>
      </c>
    </row>
    <row r="847" customFormat="false" ht="15" hidden="false" customHeight="false" outlineLevel="0" collapsed="false">
      <c r="A847" s="17" t="s">
        <v>1411</v>
      </c>
      <c r="B847" s="17" t="n">
        <v>8263.79</v>
      </c>
      <c r="C847" s="19" t="n">
        <f aca="false">B847/B846-1</f>
        <v>0.00265472445100734</v>
      </c>
      <c r="D847" s="17" t="n">
        <f aca="false">AVERAGE(B798:B847)</f>
        <v>7904.0404</v>
      </c>
      <c r="E847" s="17" t="n">
        <f aca="false">AVERAGE(B648:B847)</f>
        <v>7596.0383</v>
      </c>
      <c r="F847" s="17" t="n">
        <f aca="false">B847*2/13+F846*11/13</f>
        <v>8166.29410697117</v>
      </c>
      <c r="G847" s="17" t="n">
        <f aca="false">B847*2/27+G846*25/27</f>
        <v>8051.57957093102</v>
      </c>
      <c r="H847" s="17" t="n">
        <f aca="false">F847-G847</f>
        <v>114.714536040151</v>
      </c>
      <c r="I847" s="17" t="n">
        <f aca="false">H847*2/10+I846*8/10</f>
        <v>101.896798714627</v>
      </c>
      <c r="J847" s="17" t="n">
        <f aca="false">H847-I847</f>
        <v>12.8177373255235</v>
      </c>
      <c r="K847" s="17" t="n">
        <f aca="false">MAX(B847-B846,0)</f>
        <v>21.880000000001</v>
      </c>
      <c r="L847" s="17" t="n">
        <f aca="false">MAX(B846-B847,0)</f>
        <v>0</v>
      </c>
      <c r="M847" s="17" t="n">
        <f aca="false">(M846*13+K847)/14</f>
        <v>30.543890233826</v>
      </c>
      <c r="N847" s="17" t="n">
        <f aca="false">(N846*13+L847)/14</f>
        <v>13.7389010365206</v>
      </c>
      <c r="O847" s="17" t="n">
        <f aca="false">IF(N847=0,100,100-100/(1+M847/N847))</f>
        <v>68.9746272933778</v>
      </c>
      <c r="P847" s="17" t="n">
        <f aca="false">AVERAGE(B828:B847)+2*STDEV(B828:B847)</f>
        <v>8354.43989509946</v>
      </c>
      <c r="Q847" s="17" t="n">
        <f aca="false">AVERAGE(B828:B847)-2*STDEV(B828:B847)</f>
        <v>7797.12010490054</v>
      </c>
      <c r="R847" s="19" t="n">
        <f aca="false">B847/B827-1</f>
        <v>0.0404061514443808</v>
      </c>
      <c r="S847" s="17" t="n">
        <f aca="false">STDEV(C828:C847)*SQRT(252)*100</f>
        <v>9.54342546481391</v>
      </c>
      <c r="T847" s="19" t="n">
        <f aca="false">B826/B596-1</f>
        <v>0.148369477676414</v>
      </c>
      <c r="U847" s="19" t="n">
        <f aca="false">B847/MAX(B596:B847)-1</f>
        <v>0</v>
      </c>
      <c r="V847" s="17" t="n">
        <f aca="false">(B847-AVERAGE(B828:B847))/STDEV(B828:B847)</f>
        <v>1.34938685692748</v>
      </c>
    </row>
    <row r="848" customFormat="false" ht="15" hidden="false" customHeight="false" outlineLevel="0" collapsed="false">
      <c r="A848" s="17" t="s">
        <v>1412</v>
      </c>
      <c r="B848" s="17" t="n">
        <v>8259.81</v>
      </c>
      <c r="C848" s="19" t="n">
        <f aca="false">B848/B847-1</f>
        <v>-0.000481619208619888</v>
      </c>
      <c r="D848" s="17" t="n">
        <f aca="false">AVERAGE(B799:B848)</f>
        <v>7914.8516</v>
      </c>
      <c r="E848" s="17" t="n">
        <f aca="false">AVERAGE(B649:B848)</f>
        <v>7603.2978</v>
      </c>
      <c r="F848" s="17" t="n">
        <f aca="false">B848*2/13+F847*11/13</f>
        <v>8180.68116743714</v>
      </c>
      <c r="G848" s="17" t="n">
        <f aca="false">B848*2/27+G847*25/27</f>
        <v>8067.00404715835</v>
      </c>
      <c r="H848" s="17" t="n">
        <f aca="false">F848-G848</f>
        <v>113.677120278792</v>
      </c>
      <c r="I848" s="17" t="n">
        <f aca="false">H848*2/10+I847*8/10</f>
        <v>104.25286302746</v>
      </c>
      <c r="J848" s="17" t="n">
        <f aca="false">H848-I848</f>
        <v>9.42425725133185</v>
      </c>
      <c r="K848" s="17" t="n">
        <f aca="false">MAX(B848-B847,0)</f>
        <v>0</v>
      </c>
      <c r="L848" s="17" t="n">
        <f aca="false">MAX(B847-B848,0)</f>
        <v>3.98000000000138</v>
      </c>
      <c r="M848" s="17" t="n">
        <f aca="false">(M847*13+K848)/14</f>
        <v>28.3621837885527</v>
      </c>
      <c r="N848" s="17" t="n">
        <f aca="false">(N847*13+L848)/14</f>
        <v>13.0418366767692</v>
      </c>
      <c r="O848" s="17" t="n">
        <f aca="false">IF(N848=0,100,100-100/(1+M848/N848))</f>
        <v>68.5010379905197</v>
      </c>
      <c r="P848" s="17" t="n">
        <f aca="false">AVERAGE(B829:B848)+2*STDEV(B829:B848)</f>
        <v>8372.88871455063</v>
      </c>
      <c r="Q848" s="17" t="n">
        <f aca="false">AVERAGE(B829:B848)-2*STDEV(B829:B848)</f>
        <v>7812.63128544937</v>
      </c>
      <c r="R848" s="19" t="n">
        <f aca="false">B848/B828-1</f>
        <v>0.0428776509713758</v>
      </c>
      <c r="S848" s="17" t="n">
        <f aca="false">STDEV(C829:C848)*SQRT(252)*100</f>
        <v>9.42000377875148</v>
      </c>
      <c r="T848" s="19" t="n">
        <f aca="false">B827/B597-1</f>
        <v>0.162780654407685</v>
      </c>
      <c r="U848" s="19" t="n">
        <f aca="false">B848/MAX(B597:B848)-1</f>
        <v>-0.000481619208619888</v>
      </c>
      <c r="V848" s="17" t="n">
        <f aca="false">(B848-AVERAGE(B829:B848))/STDEV(B829:B848)</f>
        <v>1.19266602331698</v>
      </c>
    </row>
    <row r="849" customFormat="false" ht="15" hidden="false" customHeight="false" outlineLevel="0" collapsed="false">
      <c r="A849" s="17" t="s">
        <v>1413</v>
      </c>
      <c r="B849" s="17" t="n">
        <v>8257.83</v>
      </c>
      <c r="C849" s="19" t="n">
        <f aca="false">B849/B848-1</f>
        <v>-0.000239714957123605</v>
      </c>
      <c r="D849" s="17" t="n">
        <f aca="false">AVERAGE(B800:B849)</f>
        <v>7922.7574</v>
      </c>
      <c r="E849" s="17" t="n">
        <f aca="false">AVERAGE(B650:B849)</f>
        <v>7610.05275</v>
      </c>
      <c r="F849" s="17" t="n">
        <f aca="false">B849*2/13+F848*11/13</f>
        <v>8192.55021860066</v>
      </c>
      <c r="G849" s="17" t="n">
        <f aca="false">B849*2/27+G848*25/27</f>
        <v>8081.1393029244</v>
      </c>
      <c r="H849" s="17" t="n">
        <f aca="false">F849-G849</f>
        <v>111.410915676262</v>
      </c>
      <c r="I849" s="17" t="n">
        <f aca="false">H849*2/10+I848*8/10</f>
        <v>105.684473557221</v>
      </c>
      <c r="J849" s="17" t="n">
        <f aca="false">H849-I849</f>
        <v>5.72644211904091</v>
      </c>
      <c r="K849" s="17" t="n">
        <f aca="false">MAX(B849-B848,0)</f>
        <v>0</v>
      </c>
      <c r="L849" s="17" t="n">
        <f aca="false">MAX(B848-B849,0)</f>
        <v>1.97999999999956</v>
      </c>
      <c r="M849" s="17" t="n">
        <f aca="false">(M848*13+K849)/14</f>
        <v>26.3363135179418</v>
      </c>
      <c r="N849" s="17" t="n">
        <f aca="false">(N848*13+L849)/14</f>
        <v>12.2517054855714</v>
      </c>
      <c r="O849" s="17" t="n">
        <f aca="false">IF(N849=0,100,100-100/(1+M849/N849))</f>
        <v>68.2499755054647</v>
      </c>
      <c r="P849" s="17" t="n">
        <f aca="false">AVERAGE(B830:B849)+2*STDEV(B830:B849)</f>
        <v>8388.51486350488</v>
      </c>
      <c r="Q849" s="17" t="n">
        <f aca="false">AVERAGE(B830:B849)-2*STDEV(B830:B849)</f>
        <v>7828.57413649513</v>
      </c>
      <c r="R849" s="19" t="n">
        <f aca="false">B849/B829-1</f>
        <v>0.03974873270932</v>
      </c>
      <c r="S849" s="17" t="n">
        <f aca="false">STDEV(C830:C849)*SQRT(252)*100</f>
        <v>9.45291637241512</v>
      </c>
      <c r="T849" s="19" t="n">
        <f aca="false">B828/B598-1</f>
        <v>0.16992054500308</v>
      </c>
      <c r="U849" s="19" t="n">
        <f aca="false">B849/MAX(B598:B849)-1</f>
        <v>-0.000721218714415661</v>
      </c>
      <c r="V849" s="17" t="n">
        <f aca="false">(B849-AVERAGE(B830:B849))/STDEV(B830:B849)</f>
        <v>1.06643787671761</v>
      </c>
    </row>
    <row r="850" customFormat="false" ht="15" hidden="false" customHeight="false" outlineLevel="0" collapsed="false">
      <c r="A850" s="17" t="s">
        <v>1414</v>
      </c>
      <c r="B850" s="17" t="n">
        <v>8315.52</v>
      </c>
      <c r="C850" s="19" t="n">
        <f aca="false">B850/B849-1</f>
        <v>0.00698609683173435</v>
      </c>
      <c r="D850" s="17" t="n">
        <f aca="false">AVERAGE(B801:B850)</f>
        <v>7932.017</v>
      </c>
      <c r="E850" s="17" t="n">
        <f aca="false">AVERAGE(B651:B850)</f>
        <v>7617.25275</v>
      </c>
      <c r="F850" s="17" t="n">
        <f aca="false">B850*2/13+F849*11/13</f>
        <v>8211.46864650825</v>
      </c>
      <c r="G850" s="17" t="n">
        <f aca="false">B850*2/27+G849*25/27</f>
        <v>8098.50083604111</v>
      </c>
      <c r="H850" s="17" t="n">
        <f aca="false">F850-G850</f>
        <v>112.967810467141</v>
      </c>
      <c r="I850" s="17" t="n">
        <f aca="false">H850*2/10+I849*8/10</f>
        <v>107.141140939205</v>
      </c>
      <c r="J850" s="17" t="n">
        <f aca="false">H850-I850</f>
        <v>5.82666952793642</v>
      </c>
      <c r="K850" s="17" t="n">
        <f aca="false">MAX(B850-B849,0)</f>
        <v>57.6900000000005</v>
      </c>
      <c r="L850" s="17" t="n">
        <f aca="false">MAX(B849-B850,0)</f>
        <v>0</v>
      </c>
      <c r="M850" s="17" t="n">
        <f aca="false">(M849*13+K850)/14</f>
        <v>28.5758625523746</v>
      </c>
      <c r="N850" s="17" t="n">
        <f aca="false">(N849*13+L850)/14</f>
        <v>11.3765836651734</v>
      </c>
      <c r="O850" s="17" t="n">
        <f aca="false">IF(N850=0,100,100-100/(1+M850/N850))</f>
        <v>71.5246881174035</v>
      </c>
      <c r="P850" s="17" t="n">
        <f aca="false">AVERAGE(B831:B850)+2*STDEV(B831:B850)</f>
        <v>8401.38953516158</v>
      </c>
      <c r="Q850" s="17" t="n">
        <f aca="false">AVERAGE(B831:B850)-2*STDEV(B831:B850)</f>
        <v>7860.40246483842</v>
      </c>
      <c r="R850" s="19" t="n">
        <f aca="false">B850/B830-1</f>
        <v>0.0568126794340464</v>
      </c>
      <c r="S850" s="17" t="n">
        <f aca="false">STDEV(C831:C850)*SQRT(252)*100</f>
        <v>8.61309088205247</v>
      </c>
      <c r="T850" s="19" t="n">
        <f aca="false">B829/B599-1</f>
        <v>0.15263008947166</v>
      </c>
      <c r="U850" s="19" t="n">
        <f aca="false">B850/MAX(B599:B850)-1</f>
        <v>0</v>
      </c>
      <c r="V850" s="17" t="n">
        <f aca="false">(B850-AVERAGE(B831:B850))/STDEV(B831:B850)</f>
        <v>1.36508992638003</v>
      </c>
    </row>
    <row r="851" customFormat="false" ht="15" hidden="false" customHeight="false" outlineLevel="0" collapsed="false">
      <c r="A851" s="17" t="s">
        <v>1415</v>
      </c>
      <c r="B851" s="17" t="n">
        <v>8328.48</v>
      </c>
      <c r="C851" s="19" t="n">
        <f aca="false">B851/B850-1</f>
        <v>0.00155853151697061</v>
      </c>
      <c r="D851" s="17" t="n">
        <f aca="false">AVERAGE(B802:B851)</f>
        <v>7941.9386</v>
      </c>
      <c r="E851" s="17" t="n">
        <f aca="false">AVERAGE(B652:B851)</f>
        <v>7624.09535</v>
      </c>
      <c r="F851" s="17" t="n">
        <f aca="false">B851*2/13+F850*11/13</f>
        <v>8229.47039319929</v>
      </c>
      <c r="G851" s="17" t="n">
        <f aca="false">B851*2/27+G850*25/27</f>
        <v>8115.5363296677</v>
      </c>
      <c r="H851" s="17" t="n">
        <f aca="false">F851-G851</f>
        <v>113.934063531593</v>
      </c>
      <c r="I851" s="17" t="n">
        <f aca="false">H851*2/10+I850*8/10</f>
        <v>108.499725457682</v>
      </c>
      <c r="J851" s="17" t="n">
        <f aca="false">H851-I851</f>
        <v>5.43433807391061</v>
      </c>
      <c r="K851" s="17" t="n">
        <f aca="false">MAX(B851-B850,0)</f>
        <v>12.9599999999991</v>
      </c>
      <c r="L851" s="17" t="n">
        <f aca="false">MAX(B850-B851,0)</f>
        <v>0</v>
      </c>
      <c r="M851" s="17" t="n">
        <f aca="false">(M850*13+K851)/14</f>
        <v>27.4604437986335</v>
      </c>
      <c r="N851" s="17" t="n">
        <f aca="false">(N850*13+L851)/14</f>
        <v>10.5639705462325</v>
      </c>
      <c r="O851" s="17" t="n">
        <f aca="false">IF(N851=0,100,100-100/(1+M851/N851))</f>
        <v>72.2179270128356</v>
      </c>
      <c r="P851" s="17" t="n">
        <f aca="false">AVERAGE(B832:B851)+2*STDEV(B832:B851)</f>
        <v>8418.91908925447</v>
      </c>
      <c r="Q851" s="17" t="n">
        <f aca="false">AVERAGE(B832:B851)-2*STDEV(B832:B851)</f>
        <v>7881.68791074553</v>
      </c>
      <c r="R851" s="19" t="n">
        <f aca="false">B851/B831-1</f>
        <v>0.048883358752092</v>
      </c>
      <c r="S851" s="17" t="n">
        <f aca="false">STDEV(C832:C851)*SQRT(252)*100</f>
        <v>8.28590259675682</v>
      </c>
      <c r="T851" s="19" t="n">
        <f aca="false">B830/B600-1</f>
        <v>0.145837641364085</v>
      </c>
      <c r="U851" s="19" t="n">
        <f aca="false">B851/MAX(B600:B851)-1</f>
        <v>0</v>
      </c>
      <c r="V851" s="17" t="n">
        <f aca="false">(B851-AVERAGE(B832:B851))/STDEV(B832:B851)</f>
        <v>1.32662814168396</v>
      </c>
    </row>
    <row r="852" customFormat="false" ht="15" hidden="false" customHeight="false" outlineLevel="0" collapsed="false">
      <c r="A852" s="17" t="s">
        <v>1416</v>
      </c>
      <c r="B852" s="17" t="n">
        <v>8338.74</v>
      </c>
      <c r="C852" s="19" t="n">
        <f aca="false">B852/B851-1</f>
        <v>0.00123191746873386</v>
      </c>
      <c r="D852" s="17" t="n">
        <f aca="false">AVERAGE(B803:B852)</f>
        <v>7952.4186</v>
      </c>
      <c r="E852" s="17" t="n">
        <f aca="false">AVERAGE(B653:B852)</f>
        <v>7630.67145</v>
      </c>
      <c r="F852" s="17" t="n">
        <f aca="false">B852*2/13+F851*11/13</f>
        <v>8246.28110193786</v>
      </c>
      <c r="G852" s="17" t="n">
        <f aca="false">B852*2/27+G851*25/27</f>
        <v>8132.0699348775</v>
      </c>
      <c r="H852" s="17" t="n">
        <f aca="false">F852-G852</f>
        <v>114.211167060364</v>
      </c>
      <c r="I852" s="17" t="n">
        <f aca="false">H852*2/10+I851*8/10</f>
        <v>109.642013778219</v>
      </c>
      <c r="J852" s="17" t="n">
        <f aca="false">H852-I852</f>
        <v>4.56915328214495</v>
      </c>
      <c r="K852" s="17" t="n">
        <f aca="false">MAX(B852-B851,0)</f>
        <v>10.2600000000002</v>
      </c>
      <c r="L852" s="17" t="n">
        <f aca="false">MAX(B851-B852,0)</f>
        <v>0</v>
      </c>
      <c r="M852" s="17" t="n">
        <f aca="false">(M851*13+K852)/14</f>
        <v>26.2318406701597</v>
      </c>
      <c r="N852" s="17" t="n">
        <f aca="false">(N851*13+L852)/14</f>
        <v>9.80940122150159</v>
      </c>
      <c r="O852" s="17" t="n">
        <f aca="false">IF(N852=0,100,100-100/(1+M852/N852))</f>
        <v>72.7828434686343</v>
      </c>
      <c r="P852" s="17" t="n">
        <f aca="false">AVERAGE(B833:B852)+2*STDEV(B833:B852)</f>
        <v>8421.22310538671</v>
      </c>
      <c r="Q852" s="17" t="n">
        <f aca="false">AVERAGE(B833:B852)-2*STDEV(B833:B852)</f>
        <v>7925.79589461329</v>
      </c>
      <c r="R852" s="19" t="n">
        <f aca="false">B852/B832-1</f>
        <v>0.0589387170428541</v>
      </c>
      <c r="S852" s="17" t="n">
        <f aca="false">STDEV(C833:C852)*SQRT(252)*100</f>
        <v>7.28814144623061</v>
      </c>
      <c r="T852" s="19" t="n">
        <f aca="false">B831/B601-1</f>
        <v>0.195307184190085</v>
      </c>
      <c r="U852" s="19" t="n">
        <f aca="false">B852/MAX(B601:B852)-1</f>
        <v>0</v>
      </c>
      <c r="V852" s="17" t="n">
        <f aca="false">(B852-AVERAGE(B833:B852))/STDEV(B833:B852)</f>
        <v>1.33404460963744</v>
      </c>
    </row>
    <row r="853" customFormat="false" ht="15" hidden="false" customHeight="false" outlineLevel="0" collapsed="false">
      <c r="A853" s="17" t="s">
        <v>1417</v>
      </c>
      <c r="B853" s="17" t="n">
        <v>8283.75</v>
      </c>
      <c r="C853" s="19" t="n">
        <f aca="false">B853/B852-1</f>
        <v>-0.00659452147446737</v>
      </c>
      <c r="D853" s="17" t="n">
        <f aca="false">AVERAGE(B804:B853)</f>
        <v>7960.342</v>
      </c>
      <c r="E853" s="17" t="n">
        <f aca="false">AVERAGE(B654:B853)</f>
        <v>7637.1021</v>
      </c>
      <c r="F853" s="17" t="n">
        <f aca="false">B853*2/13+F852*11/13</f>
        <v>8252.04554779357</v>
      </c>
      <c r="G853" s="17" t="n">
        <f aca="false">B853*2/27+G852*25/27</f>
        <v>8143.30549525694</v>
      </c>
      <c r="H853" s="17" t="n">
        <f aca="false">F853-G853</f>
        <v>108.740052536632</v>
      </c>
      <c r="I853" s="17" t="n">
        <f aca="false">H853*2/10+I852*8/10</f>
        <v>109.461621529901</v>
      </c>
      <c r="J853" s="17" t="n">
        <f aca="false">H853-I853</f>
        <v>-0.721568993269287</v>
      </c>
      <c r="K853" s="17" t="n">
        <f aca="false">MAX(B853-B852,0)</f>
        <v>0</v>
      </c>
      <c r="L853" s="17" t="n">
        <f aca="false">MAX(B852-B853,0)</f>
        <v>54.9899999999998</v>
      </c>
      <c r="M853" s="17" t="n">
        <f aca="false">(M852*13+K853)/14</f>
        <v>24.3581377651483</v>
      </c>
      <c r="N853" s="17" t="n">
        <f aca="false">(N852*13+L853)/14</f>
        <v>13.0365868485372</v>
      </c>
      <c r="O853" s="17" t="n">
        <f aca="false">IF(N853=0,100,100-100/(1+M853/N853))</f>
        <v>65.1378985051647</v>
      </c>
      <c r="P853" s="17" t="n">
        <f aca="false">AVERAGE(B834:B853)+2*STDEV(B834:B853)</f>
        <v>8406.05965554298</v>
      </c>
      <c r="Q853" s="17" t="n">
        <f aca="false">AVERAGE(B834:B853)-2*STDEV(B834:B853)</f>
        <v>7980.38734445702</v>
      </c>
      <c r="R853" s="19" t="n">
        <f aca="false">B853/B833-1</f>
        <v>0.0499754736376461</v>
      </c>
      <c r="S853" s="17" t="n">
        <f aca="false">STDEV(C834:C853)*SQRT(252)*100</f>
        <v>8.02553055153989</v>
      </c>
      <c r="T853" s="19" t="n">
        <f aca="false">B832/B602-1</f>
        <v>0.206475909152193</v>
      </c>
      <c r="U853" s="19" t="n">
        <f aca="false">B853/MAX(B602:B853)-1</f>
        <v>-0.00659452147446737</v>
      </c>
      <c r="V853" s="17" t="n">
        <f aca="false">(B853-AVERAGE(B834:B853))/STDEV(B834:B853)</f>
        <v>0.850668438067318</v>
      </c>
    </row>
    <row r="854" customFormat="false" ht="15" hidden="false" customHeight="false" outlineLevel="0" collapsed="false">
      <c r="A854" s="17" t="s">
        <v>1418</v>
      </c>
      <c r="B854" s="17" t="n">
        <v>8265.62</v>
      </c>
      <c r="C854" s="19" t="n">
        <f aca="false">B854/B853-1</f>
        <v>-0.002188622302701</v>
      </c>
      <c r="D854" s="17" t="n">
        <f aca="false">AVERAGE(B805:B854)</f>
        <v>7967.3076</v>
      </c>
      <c r="E854" s="17" t="n">
        <f aca="false">AVERAGE(B655:B854)</f>
        <v>7643.9053</v>
      </c>
      <c r="F854" s="17" t="n">
        <f aca="false">B854*2/13+F853*11/13</f>
        <v>8254.1339250561</v>
      </c>
      <c r="G854" s="17" t="n">
        <f aca="false">B854*2/27+G853*25/27</f>
        <v>8152.36582894161</v>
      </c>
      <c r="H854" s="17" t="n">
        <f aca="false">F854-G854</f>
        <v>101.768096114489</v>
      </c>
      <c r="I854" s="17" t="n">
        <f aca="false">H854*2/10+I853*8/10</f>
        <v>107.922916446819</v>
      </c>
      <c r="J854" s="17" t="n">
        <f aca="false">H854-I854</f>
        <v>-6.15482033232999</v>
      </c>
      <c r="K854" s="17" t="n">
        <f aca="false">MAX(B854-B853,0)</f>
        <v>0</v>
      </c>
      <c r="L854" s="17" t="n">
        <f aca="false">MAX(B853-B854,0)</f>
        <v>18.1299999999992</v>
      </c>
      <c r="M854" s="17" t="n">
        <f aca="false">(M853*13+K854)/14</f>
        <v>22.6182707819234</v>
      </c>
      <c r="N854" s="17" t="n">
        <f aca="false">(N853*13+L854)/14</f>
        <v>13.4004020736416</v>
      </c>
      <c r="O854" s="17" t="n">
        <f aca="false">IF(N854=0,100,100-100/(1+M854/N854))</f>
        <v>62.7959582870328</v>
      </c>
      <c r="P854" s="17" t="n">
        <f aca="false">AVERAGE(B835:B854)+2*STDEV(B835:B854)</f>
        <v>8394.34424914439</v>
      </c>
      <c r="Q854" s="17" t="n">
        <f aca="false">AVERAGE(B835:B854)-2*STDEV(B835:B854)</f>
        <v>8021.99275085561</v>
      </c>
      <c r="R854" s="19" t="n">
        <f aca="false">B854/B834-1</f>
        <v>0.037518577281491</v>
      </c>
      <c r="S854" s="17" t="n">
        <f aca="false">STDEV(C835:C854)*SQRT(252)*100</f>
        <v>7.69243040576967</v>
      </c>
      <c r="T854" s="19" t="n">
        <f aca="false">B833/B603-1</f>
        <v>0.199798955542105</v>
      </c>
      <c r="U854" s="19" t="n">
        <f aca="false">B854/MAX(B603:B854)-1</f>
        <v>-0.00876871086039366</v>
      </c>
      <c r="V854" s="17" t="n">
        <f aca="false">(B854-AVERAGE(B835:B854))/STDEV(B835:B854)</f>
        <v>0.617174903434336</v>
      </c>
    </row>
    <row r="855" customFormat="false" ht="15" hidden="false" customHeight="false" outlineLevel="0" collapsed="false">
      <c r="A855" s="17" t="s">
        <v>1419</v>
      </c>
      <c r="B855" s="17" t="n">
        <v>8272.05</v>
      </c>
      <c r="C855" s="19" t="n">
        <f aca="false">B855/B854-1</f>
        <v>0.000777921075490795</v>
      </c>
      <c r="D855" s="17" t="n">
        <f aca="false">AVERAGE(B806:B855)</f>
        <v>7974.8896</v>
      </c>
      <c r="E855" s="17" t="n">
        <f aca="false">AVERAGE(B656:B855)</f>
        <v>7650.6999</v>
      </c>
      <c r="F855" s="17" t="n">
        <f aca="false">B855*2/13+F854*11/13</f>
        <v>8256.89024427824</v>
      </c>
      <c r="G855" s="17" t="n">
        <f aca="false">B855*2/27+G854*25/27</f>
        <v>8161.23132309408</v>
      </c>
      <c r="H855" s="17" t="n">
        <f aca="false">F855-G855</f>
        <v>95.6589211841538</v>
      </c>
      <c r="I855" s="17" t="n">
        <f aca="false">H855*2/10+I854*8/10</f>
        <v>105.470117394286</v>
      </c>
      <c r="J855" s="17" t="n">
        <f aca="false">H855-I855</f>
        <v>-9.81119621013201</v>
      </c>
      <c r="K855" s="17" t="n">
        <f aca="false">MAX(B855-B854,0)</f>
        <v>6.42999999999847</v>
      </c>
      <c r="L855" s="17" t="n">
        <f aca="false">MAX(B854-B855,0)</f>
        <v>0</v>
      </c>
      <c r="M855" s="17" t="n">
        <f aca="false">(M854*13+K855)/14</f>
        <v>21.4619657260716</v>
      </c>
      <c r="N855" s="17" t="n">
        <f aca="false">(N854*13+L855)/14</f>
        <v>12.4432304969529</v>
      </c>
      <c r="O855" s="17" t="n">
        <f aca="false">IF(N855=0,100,100-100/(1+M855/N855))</f>
        <v>63.2999307389264</v>
      </c>
      <c r="P855" s="17" t="n">
        <f aca="false">AVERAGE(B836:B855)+2*STDEV(B836:B855)</f>
        <v>8388.11418124143</v>
      </c>
      <c r="Q855" s="17" t="n">
        <f aca="false">AVERAGE(B836:B855)-2*STDEV(B836:B855)</f>
        <v>8052.50581875858</v>
      </c>
      <c r="R855" s="19" t="n">
        <f aca="false">B855/B835-1</f>
        <v>0.0302432863964368</v>
      </c>
      <c r="S855" s="17" t="n">
        <f aca="false">STDEV(C836:C855)*SQRT(252)*100</f>
        <v>7.3645101786097</v>
      </c>
      <c r="T855" s="19" t="n">
        <f aca="false">B834/B604-1</f>
        <v>0.220513684726574</v>
      </c>
      <c r="U855" s="19" t="n">
        <f aca="false">B855/MAX(B604:B855)-1</f>
        <v>-0.00799761114988606</v>
      </c>
      <c r="V855" s="17" t="n">
        <f aca="false">(B855-AVERAGE(B836:B855))/STDEV(B836:B855)</f>
        <v>0.616671165369328</v>
      </c>
    </row>
    <row r="856" customFormat="false" ht="15" hidden="false" customHeight="false" outlineLevel="0" collapsed="false">
      <c r="A856" s="17" t="s">
        <v>1420</v>
      </c>
      <c r="B856" s="17" t="n">
        <v>8371.93</v>
      </c>
      <c r="C856" s="19" t="n">
        <f aca="false">B856/B855-1</f>
        <v>0.0120743951015772</v>
      </c>
      <c r="D856" s="17" t="n">
        <f aca="false">AVERAGE(B807:B856)</f>
        <v>7985.28</v>
      </c>
      <c r="E856" s="17" t="n">
        <f aca="false">AVERAGE(B657:B856)</f>
        <v>7658.01365</v>
      </c>
      <c r="F856" s="17" t="n">
        <f aca="false">B856*2/13+F855*11/13</f>
        <v>8274.58866823543</v>
      </c>
      <c r="G856" s="17" t="n">
        <f aca="false">B856*2/27+G855*25/27</f>
        <v>8176.83863249452</v>
      </c>
      <c r="H856" s="17" t="n">
        <f aca="false">F856-G856</f>
        <v>97.7500357409099</v>
      </c>
      <c r="I856" s="17" t="n">
        <f aca="false">H856*2/10+I855*8/10</f>
        <v>103.926101063611</v>
      </c>
      <c r="J856" s="17" t="n">
        <f aca="false">H856-I856</f>
        <v>-6.17606532270072</v>
      </c>
      <c r="K856" s="17" t="n">
        <f aca="false">MAX(B856-B855,0)</f>
        <v>99.880000000001</v>
      </c>
      <c r="L856" s="17" t="n">
        <f aca="false">MAX(B855-B856,0)</f>
        <v>0</v>
      </c>
      <c r="M856" s="17" t="n">
        <f aca="false">(M855*13+K856)/14</f>
        <v>27.0632538884951</v>
      </c>
      <c r="N856" s="17" t="n">
        <f aca="false">(N855*13+L856)/14</f>
        <v>11.5544283185991</v>
      </c>
      <c r="O856" s="17" t="n">
        <f aca="false">IF(N856=0,100,100-100/(1+M856/N856))</f>
        <v>70.0799539013335</v>
      </c>
      <c r="P856" s="17" t="n">
        <f aca="false">AVERAGE(B837:B856)+2*STDEV(B837:B856)</f>
        <v>8405.85122795936</v>
      </c>
      <c r="Q856" s="17" t="n">
        <f aca="false">AVERAGE(B837:B856)-2*STDEV(B837:B856)</f>
        <v>8060.89477204064</v>
      </c>
      <c r="R856" s="19" t="n">
        <f aca="false">B856/B836-1</f>
        <v>0.0322118887835408</v>
      </c>
      <c r="S856" s="17" t="n">
        <f aca="false">STDEV(C837:C856)*SQRT(252)*100</f>
        <v>7.68965629500422</v>
      </c>
      <c r="T856" s="19" t="n">
        <f aca="false">B835/B605-1</f>
        <v>0.202277811551973</v>
      </c>
      <c r="U856" s="19" t="n">
        <f aca="false">B856/MAX(B605:B856)-1</f>
        <v>0</v>
      </c>
      <c r="V856" s="17" t="n">
        <f aca="false">(B856-AVERAGE(B837:B856))/STDEV(B837:B856)</f>
        <v>1.6066607552653</v>
      </c>
    </row>
    <row r="857" customFormat="false" ht="15" hidden="false" customHeight="false" outlineLevel="0" collapsed="false">
      <c r="A857" s="17" t="s">
        <v>1421</v>
      </c>
      <c r="B857" s="17" t="n">
        <v>8385.75</v>
      </c>
      <c r="C857" s="19" t="n">
        <f aca="false">B857/B856-1</f>
        <v>0.00165075436607798</v>
      </c>
      <c r="D857" s="17" t="n">
        <f aca="false">AVERAGE(B808:B857)</f>
        <v>7995.2192</v>
      </c>
      <c r="E857" s="17" t="n">
        <f aca="false">AVERAGE(B658:B857)</f>
        <v>7664.86905</v>
      </c>
      <c r="F857" s="17" t="n">
        <f aca="false">B857*2/13+F856*11/13</f>
        <v>8291.69041158383</v>
      </c>
      <c r="G857" s="17" t="n">
        <f aca="false">B857*2/27+G856*25/27</f>
        <v>8192.31354860604</v>
      </c>
      <c r="H857" s="17" t="n">
        <f aca="false">F857-G857</f>
        <v>99.3768629777878</v>
      </c>
      <c r="I857" s="17" t="n">
        <f aca="false">H857*2/10+I856*8/10</f>
        <v>103.016253446446</v>
      </c>
      <c r="J857" s="17" t="n">
        <f aca="false">H857-I857</f>
        <v>-3.63939046865822</v>
      </c>
      <c r="K857" s="17" t="n">
        <f aca="false">MAX(B857-B856,0)</f>
        <v>13.8199999999997</v>
      </c>
      <c r="L857" s="17" t="n">
        <f aca="false">MAX(B856-B857,0)</f>
        <v>0</v>
      </c>
      <c r="M857" s="17" t="n">
        <f aca="false">(M856*13+K857)/14</f>
        <v>26.117307182174</v>
      </c>
      <c r="N857" s="17" t="n">
        <f aca="false">(N856*13+L857)/14</f>
        <v>10.7291120101278</v>
      </c>
      <c r="O857" s="17" t="n">
        <f aca="false">IF(N857=0,100,100-100/(1+M857/N857))</f>
        <v>70.8815340939036</v>
      </c>
      <c r="P857" s="17" t="n">
        <f aca="false">AVERAGE(B838:B857)+2*STDEV(B838:B857)</f>
        <v>8412.02546220964</v>
      </c>
      <c r="Q857" s="17" t="n">
        <f aca="false">AVERAGE(B838:B857)-2*STDEV(B838:B857)</f>
        <v>8088.54453779036</v>
      </c>
      <c r="R857" s="19" t="n">
        <f aca="false">B857/B837-1</f>
        <v>0.0420303920094538</v>
      </c>
      <c r="S857" s="17" t="n">
        <f aca="false">STDEV(C838:C857)*SQRT(252)*100</f>
        <v>6.84535558955631</v>
      </c>
      <c r="T857" s="19" t="n">
        <f aca="false">B836/B606-1</f>
        <v>0.210359884435849</v>
      </c>
      <c r="U857" s="19" t="n">
        <f aca="false">B857/MAX(B606:B857)-1</f>
        <v>0</v>
      </c>
      <c r="V857" s="17" t="n">
        <f aca="false">(B857-AVERAGE(B838:B857))/STDEV(B838:B857)</f>
        <v>1.67509104585609</v>
      </c>
    </row>
    <row r="858" customFormat="false" ht="15" hidden="false" customHeight="false" outlineLevel="0" collapsed="false">
      <c r="A858" s="17" t="s">
        <v>1422</v>
      </c>
      <c r="B858" s="17" t="n">
        <v>8444.71</v>
      </c>
      <c r="C858" s="19" t="n">
        <f aca="false">B858/B857-1</f>
        <v>0.00703097516620455</v>
      </c>
      <c r="D858" s="17" t="n">
        <f aca="false">AVERAGE(B809:B858)</f>
        <v>8006.3422</v>
      </c>
      <c r="E858" s="17" t="n">
        <f aca="false">AVERAGE(B659:B858)</f>
        <v>7672.0132</v>
      </c>
      <c r="F858" s="17" t="n">
        <f aca="false">B858*2/13+F857*11/13</f>
        <v>8315.23188672478</v>
      </c>
      <c r="G858" s="17" t="n">
        <f aca="false">B858*2/27+G857*25/27</f>
        <v>8211.00958204263</v>
      </c>
      <c r="H858" s="17" t="n">
        <f aca="false">F858-G858</f>
        <v>104.222304682147</v>
      </c>
      <c r="I858" s="17" t="n">
        <f aca="false">H858*2/10+I857*8/10</f>
        <v>103.257463693586</v>
      </c>
      <c r="J858" s="17" t="n">
        <f aca="false">H858-I858</f>
        <v>0.964840988561008</v>
      </c>
      <c r="K858" s="17" t="n">
        <f aca="false">MAX(B858-B857,0)</f>
        <v>58.9599999999991</v>
      </c>
      <c r="L858" s="17" t="n">
        <f aca="false">MAX(B857-B858,0)</f>
        <v>0</v>
      </c>
      <c r="M858" s="17" t="n">
        <f aca="false">(M857*13+K858)/14</f>
        <v>28.4632138120187</v>
      </c>
      <c r="N858" s="17" t="n">
        <f aca="false">(N857*13+L858)/14</f>
        <v>9.96274686654722</v>
      </c>
      <c r="O858" s="17" t="n">
        <f aca="false">IF(N858=0,100,100-100/(1+M858/N858))</f>
        <v>74.0728749766705</v>
      </c>
      <c r="P858" s="17" t="n">
        <f aca="false">AVERAGE(B839:B858)+2*STDEV(B839:B858)</f>
        <v>8432.24927450972</v>
      </c>
      <c r="Q858" s="17" t="n">
        <f aca="false">AVERAGE(B839:B858)-2*STDEV(B839:B858)</f>
        <v>8104.48072549028</v>
      </c>
      <c r="R858" s="19" t="n">
        <f aca="false">B858/B838-1</f>
        <v>0.044735256602966</v>
      </c>
      <c r="S858" s="17" t="n">
        <f aca="false">STDEV(C839:C858)*SQRT(252)*100</f>
        <v>7.02450160014204</v>
      </c>
      <c r="T858" s="19" t="n">
        <f aca="false">B837/B607-1</f>
        <v>0.164056973990826</v>
      </c>
      <c r="U858" s="19" t="n">
        <f aca="false">B858/MAX(B607:B858)-1</f>
        <v>0</v>
      </c>
      <c r="V858" s="17" t="n">
        <f aca="false">(B858-AVERAGE(B839:B858))/STDEV(B839:B858)</f>
        <v>2.15206737226682</v>
      </c>
    </row>
    <row r="859" customFormat="false" ht="15" hidden="false" customHeight="false" outlineLevel="0" collapsed="false">
      <c r="A859" s="17" t="s">
        <v>1423</v>
      </c>
      <c r="B859" s="17" t="n">
        <v>8403.68</v>
      </c>
      <c r="C859" s="19" t="n">
        <f aca="false">B859/B858-1</f>
        <v>-0.00485866299730819</v>
      </c>
      <c r="D859" s="17" t="n">
        <f aca="false">AVERAGE(B810:B859)</f>
        <v>8016.38</v>
      </c>
      <c r="E859" s="17" t="n">
        <f aca="false">AVERAGE(B660:B859)</f>
        <v>7678.9195</v>
      </c>
      <c r="F859" s="17" t="n">
        <f aca="false">B859*2/13+F858*11/13</f>
        <v>8328.83928876712</v>
      </c>
      <c r="G859" s="17" t="n">
        <f aca="false">B859*2/27+G858*25/27</f>
        <v>8225.28146485429</v>
      </c>
      <c r="H859" s="17" t="n">
        <f aca="false">F859-G859</f>
        <v>103.557823912832</v>
      </c>
      <c r="I859" s="17" t="n">
        <f aca="false">H859*2/10+I858*8/10</f>
        <v>103.317535737435</v>
      </c>
      <c r="J859" s="17" t="n">
        <f aca="false">H859-I859</f>
        <v>0.240288175396358</v>
      </c>
      <c r="K859" s="17" t="n">
        <f aca="false">MAX(B859-B858,0)</f>
        <v>0</v>
      </c>
      <c r="L859" s="17" t="n">
        <f aca="false">MAX(B858-B859,0)</f>
        <v>41.0299999999988</v>
      </c>
      <c r="M859" s="17" t="n">
        <f aca="false">(M858*13+K859)/14</f>
        <v>26.4301271111602</v>
      </c>
      <c r="N859" s="17" t="n">
        <f aca="false">(N858*13+L859)/14</f>
        <v>12.1818363760795</v>
      </c>
      <c r="O859" s="17" t="n">
        <f aca="false">IF(N859=0,100,100-100/(1+M859/N859))</f>
        <v>68.4506166589915</v>
      </c>
      <c r="P859" s="17" t="n">
        <f aca="false">AVERAGE(B840:B859)+2*STDEV(B840:B859)</f>
        <v>8434.24696465909</v>
      </c>
      <c r="Q859" s="17" t="n">
        <f aca="false">AVERAGE(B840:B859)-2*STDEV(B840:B859)</f>
        <v>8134.46803534091</v>
      </c>
      <c r="R859" s="19" t="n">
        <f aca="false">B859/B839-1</f>
        <v>0.0395666410599926</v>
      </c>
      <c r="S859" s="17" t="n">
        <f aca="false">STDEV(C840:C859)*SQRT(252)*100</f>
        <v>7.42956229246547</v>
      </c>
      <c r="T859" s="19" t="n">
        <f aca="false">B838/B608-1</f>
        <v>0.17275694968371</v>
      </c>
      <c r="U859" s="19" t="n">
        <f aca="false">B859/MAX(B608:B859)-1</f>
        <v>-0.00485866299730819</v>
      </c>
      <c r="V859" s="17" t="n">
        <f aca="false">(B859-AVERAGE(B840:B859))/STDEV(B840:B859)</f>
        <v>1.59213991819086</v>
      </c>
    </row>
    <row r="860" customFormat="false" ht="15" hidden="false" customHeight="false" outlineLevel="0" collapsed="false">
      <c r="A860" s="17" t="s">
        <v>1424</v>
      </c>
      <c r="B860" s="17" t="n">
        <v>8309.26</v>
      </c>
      <c r="C860" s="19" t="n">
        <f aca="false">B860/B859-1</f>
        <v>-0.0112355539477943</v>
      </c>
      <c r="D860" s="17" t="n">
        <f aca="false">AVERAGE(B811:B860)</f>
        <v>8026.0942</v>
      </c>
      <c r="E860" s="17" t="n">
        <f aca="false">AVERAGE(B661:B860)</f>
        <v>7685.1899</v>
      </c>
      <c r="F860" s="17" t="n">
        <f aca="false">B860*2/13+F859*11/13</f>
        <v>8325.82709049525</v>
      </c>
      <c r="G860" s="17" t="n">
        <f aca="false">B860*2/27+G859*25/27</f>
        <v>8231.5020970873</v>
      </c>
      <c r="H860" s="17" t="n">
        <f aca="false">F860-G860</f>
        <v>94.3249934079504</v>
      </c>
      <c r="I860" s="17" t="n">
        <f aca="false">H860*2/10+I859*8/10</f>
        <v>101.519027271538</v>
      </c>
      <c r="J860" s="17" t="n">
        <f aca="false">H860-I860</f>
        <v>-7.19403386358799</v>
      </c>
      <c r="K860" s="17" t="n">
        <f aca="false">MAX(B860-B859,0)</f>
        <v>0</v>
      </c>
      <c r="L860" s="17" t="n">
        <f aca="false">MAX(B859-B860,0)</f>
        <v>94.4200000000001</v>
      </c>
      <c r="M860" s="17" t="n">
        <f aca="false">(M859*13+K860)/14</f>
        <v>24.5422608889345</v>
      </c>
      <c r="N860" s="17" t="n">
        <f aca="false">(N859*13+L860)/14</f>
        <v>18.0559909206452</v>
      </c>
      <c r="O860" s="17" t="n">
        <f aca="false">IF(N860=0,100,100-100/(1+M860/N860))</f>
        <v>57.6133053502803</v>
      </c>
      <c r="P860" s="17" t="n">
        <f aca="false">AVERAGE(B841:B860)+2*STDEV(B841:B860)</f>
        <v>8430.22422142558</v>
      </c>
      <c r="Q860" s="17" t="n">
        <f aca="false">AVERAGE(B841:B860)-2*STDEV(B841:B860)</f>
        <v>8153.29977857442</v>
      </c>
      <c r="R860" s="19" t="n">
        <f aca="false">B860/B840-1</f>
        <v>0.0181456825430668</v>
      </c>
      <c r="S860" s="17" t="n">
        <f aca="false">STDEV(C841:C860)*SQRT(252)*100</f>
        <v>8.22834347725393</v>
      </c>
      <c r="T860" s="19" t="n">
        <f aca="false">B839/B609-1</f>
        <v>0.163306715632874</v>
      </c>
      <c r="U860" s="19" t="n">
        <f aca="false">B860/MAX(B609:B860)-1</f>
        <v>-0.0160396271748822</v>
      </c>
      <c r="V860" s="17" t="n">
        <f aca="false">(B860-AVERAGE(B841:B860))/STDEV(B841:B860)</f>
        <v>0.252747642206602</v>
      </c>
    </row>
    <row r="861" customFormat="false" ht="15" hidden="false" customHeight="false" outlineLevel="0" collapsed="false">
      <c r="A861" s="17" t="s">
        <v>1425</v>
      </c>
      <c r="B861" s="17" t="n">
        <v>8254.74</v>
      </c>
      <c r="C861" s="19" t="n">
        <f aca="false">B861/B860-1</f>
        <v>-0.00656135444070838</v>
      </c>
      <c r="D861" s="17" t="n">
        <f aca="false">AVERAGE(B812:B861)</f>
        <v>8034.8168</v>
      </c>
      <c r="E861" s="17" t="n">
        <f aca="false">AVERAGE(B662:B861)</f>
        <v>7691.13055</v>
      </c>
      <c r="F861" s="17" t="n">
        <f aca="false">B861*2/13+F860*11/13</f>
        <v>8314.89061503445</v>
      </c>
      <c r="G861" s="17" t="n">
        <f aca="false">B861*2/27+G860*25/27</f>
        <v>8233.22342322899</v>
      </c>
      <c r="H861" s="17" t="n">
        <f aca="false">F861-G861</f>
        <v>81.6671918054599</v>
      </c>
      <c r="I861" s="17" t="n">
        <f aca="false">H861*2/10+I860*8/10</f>
        <v>97.5486601783227</v>
      </c>
      <c r="J861" s="17" t="n">
        <f aca="false">H861-I861</f>
        <v>-15.8814683728628</v>
      </c>
      <c r="K861" s="17" t="n">
        <f aca="false">MAX(B861-B860,0)</f>
        <v>0</v>
      </c>
      <c r="L861" s="17" t="n">
        <f aca="false">MAX(B860-B861,0)</f>
        <v>54.5200000000004</v>
      </c>
      <c r="M861" s="17" t="n">
        <f aca="false">(M860*13+K861)/14</f>
        <v>22.7892422540106</v>
      </c>
      <c r="N861" s="17" t="n">
        <f aca="false">(N860*13+L861)/14</f>
        <v>20.660562997742</v>
      </c>
      <c r="O861" s="17" t="n">
        <f aca="false">IF(N861=0,100,100-100/(1+M861/N861))</f>
        <v>52.4495843467362</v>
      </c>
      <c r="P861" s="17" t="n">
        <f aca="false">AVERAGE(B842:B861)+2*STDEV(B842:B861)</f>
        <v>8428.33542703646</v>
      </c>
      <c r="Q861" s="17" t="n">
        <f aca="false">AVERAGE(B842:B861)-2*STDEV(B842:B861)</f>
        <v>8159.59657296355</v>
      </c>
      <c r="R861" s="19" t="n">
        <f aca="false">B861/B841-1</f>
        <v>0.00536863053640024</v>
      </c>
      <c r="S861" s="17" t="n">
        <f aca="false">STDEV(C842:C861)*SQRT(252)*100</f>
        <v>8.39860974671074</v>
      </c>
      <c r="T861" s="19" t="n">
        <f aca="false">B840/B610-1</f>
        <v>0.155624436253651</v>
      </c>
      <c r="U861" s="19" t="n">
        <f aca="false">B861/MAX(B610:B861)-1</f>
        <v>-0.0224957399365993</v>
      </c>
      <c r="V861" s="17" t="n">
        <f aca="false">(B861-AVERAGE(B842:B861))/STDEV(B842:B861)</f>
        <v>-0.583853051473657</v>
      </c>
    </row>
    <row r="862" customFormat="false" ht="15" hidden="false" customHeight="false" outlineLevel="0" collapsed="false">
      <c r="A862" s="17" t="s">
        <v>1426</v>
      </c>
      <c r="B862" s="17" t="n">
        <v>8296.53</v>
      </c>
      <c r="C862" s="19" t="n">
        <f aca="false">B862/B861-1</f>
        <v>0.00506254588272936</v>
      </c>
      <c r="D862" s="17" t="n">
        <f aca="false">AVERAGE(B813:B862)</f>
        <v>8046.5466</v>
      </c>
      <c r="E862" s="17" t="n">
        <f aca="false">AVERAGE(B663:B862)</f>
        <v>7697.3015</v>
      </c>
      <c r="F862" s="17" t="n">
        <f aca="false">B862*2/13+F861*11/13</f>
        <v>8312.06590502915</v>
      </c>
      <c r="G862" s="17" t="n">
        <f aca="false">B862*2/27+G861*25/27</f>
        <v>8237.9127992861</v>
      </c>
      <c r="H862" s="17" t="n">
        <f aca="false">F862-G862</f>
        <v>74.1531057430493</v>
      </c>
      <c r="I862" s="17" t="n">
        <f aca="false">H862*2/10+I861*8/10</f>
        <v>92.869549291268</v>
      </c>
      <c r="J862" s="17" t="n">
        <f aca="false">H862-I862</f>
        <v>-18.7164435482187</v>
      </c>
      <c r="K862" s="17" t="n">
        <f aca="false">MAX(B862-B861,0)</f>
        <v>41.7900000000009</v>
      </c>
      <c r="L862" s="17" t="n">
        <f aca="false">MAX(B861-B862,0)</f>
        <v>0</v>
      </c>
      <c r="M862" s="17" t="n">
        <f aca="false">(M861*13+K862)/14</f>
        <v>24.146439235867</v>
      </c>
      <c r="N862" s="17" t="n">
        <f aca="false">(N861*13+L862)/14</f>
        <v>19.1848084979033</v>
      </c>
      <c r="O862" s="17" t="n">
        <f aca="false">IF(N862=0,100,100-100/(1+M862/N862))</f>
        <v>55.7252340948595</v>
      </c>
      <c r="P862" s="17" t="n">
        <f aca="false">AVERAGE(B843:B862)+2*STDEV(B843:B862)</f>
        <v>8426.73631177804</v>
      </c>
      <c r="Q862" s="17" t="n">
        <f aca="false">AVERAGE(B843:B862)-2*STDEV(B843:B862)</f>
        <v>8169.83068822196</v>
      </c>
      <c r="R862" s="19" t="n">
        <f aca="false">B862/B842-1</f>
        <v>0.0105174307993248</v>
      </c>
      <c r="S862" s="17" t="n">
        <f aca="false">STDEV(C843:C862)*SQRT(252)*100</f>
        <v>8.56619952676467</v>
      </c>
      <c r="T862" s="19" t="n">
        <f aca="false">B841/B611-1</f>
        <v>0.208301141539408</v>
      </c>
      <c r="U862" s="19" t="n">
        <f aca="false">B862/MAX(B611:B862)-1</f>
        <v>-0.017547079769465</v>
      </c>
      <c r="V862" s="17" t="n">
        <f aca="false">(B862-AVERAGE(B843:B862))/STDEV(B843:B862)</f>
        <v>-0.0273018546768862</v>
      </c>
    </row>
    <row r="863" customFormat="false" ht="15" hidden="false" customHeight="false" outlineLevel="0" collapsed="false">
      <c r="A863" s="17" t="s">
        <v>1427</v>
      </c>
      <c r="B863" s="17" t="n">
        <v>8308.4</v>
      </c>
      <c r="C863" s="19" t="n">
        <f aca="false">B863/B862-1</f>
        <v>0.00143071862573851</v>
      </c>
      <c r="D863" s="17" t="n">
        <f aca="false">AVERAGE(B814:B863)</f>
        <v>8056.6438</v>
      </c>
      <c r="E863" s="17" t="n">
        <f aca="false">AVERAGE(B664:B863)</f>
        <v>7703.6677</v>
      </c>
      <c r="F863" s="17" t="n">
        <f aca="false">B863*2/13+F862*11/13</f>
        <v>8311.50191964005</v>
      </c>
      <c r="G863" s="17" t="n">
        <f aca="false">B863*2/27+G862*25/27</f>
        <v>8243.13407341305</v>
      </c>
      <c r="H863" s="17" t="n">
        <f aca="false">F863-G863</f>
        <v>68.3678462269945</v>
      </c>
      <c r="I863" s="17" t="n">
        <f aca="false">H863*2/10+I862*8/10</f>
        <v>87.9692086784133</v>
      </c>
      <c r="J863" s="17" t="n">
        <f aca="false">H863-I863</f>
        <v>-19.6013624514188</v>
      </c>
      <c r="K863" s="17" t="n">
        <f aca="false">MAX(B863-B862,0)</f>
        <v>11.869999999999</v>
      </c>
      <c r="L863" s="17" t="n">
        <f aca="false">MAX(B862-B863,0)</f>
        <v>0</v>
      </c>
      <c r="M863" s="17" t="n">
        <f aca="false">(M862*13+K863)/14</f>
        <v>23.2695507190193</v>
      </c>
      <c r="N863" s="17" t="n">
        <f aca="false">(N862*13+L863)/14</f>
        <v>17.8144650337674</v>
      </c>
      <c r="O863" s="17" t="n">
        <f aca="false">IF(N863=0,100,100-100/(1+M863/N863))</f>
        <v>56.6389392386526</v>
      </c>
      <c r="P863" s="17" t="n">
        <f aca="false">AVERAGE(B844:B863)+2*STDEV(B844:B863)</f>
        <v>8423.01345379544</v>
      </c>
      <c r="Q863" s="17" t="n">
        <f aca="false">AVERAGE(B844:B863)-2*STDEV(B844:B863)</f>
        <v>8184.79054620456</v>
      </c>
      <c r="R863" s="19" t="n">
        <f aca="false">B863/B843-1</f>
        <v>0.013710296326392</v>
      </c>
      <c r="S863" s="17" t="n">
        <f aca="false">STDEV(C844:C863)*SQRT(252)*100</f>
        <v>8.52888895847202</v>
      </c>
      <c r="T863" s="19" t="n">
        <f aca="false">B842/B612-1</f>
        <v>0.200520555356529</v>
      </c>
      <c r="U863" s="19" t="n">
        <f aca="false">B863/MAX(B612:B863)-1</f>
        <v>-0.0161414660775798</v>
      </c>
      <c r="V863" s="17" t="n">
        <f aca="false">(B863-AVERAGE(B844:B863))/STDEV(B844:B863)</f>
        <v>0.0755259021139041</v>
      </c>
    </row>
    <row r="864" customFormat="false" ht="15" hidden="false" customHeight="false" outlineLevel="0" collapsed="false">
      <c r="A864" s="17" t="s">
        <v>1428</v>
      </c>
      <c r="B864" s="17" t="n">
        <v>8397.37</v>
      </c>
      <c r="C864" s="19" t="n">
        <f aca="false">B864/B863-1</f>
        <v>0.0107084396514372</v>
      </c>
      <c r="D864" s="17" t="n">
        <f aca="false">AVERAGE(B815:B864)</f>
        <v>8069.1514</v>
      </c>
      <c r="E864" s="17" t="n">
        <f aca="false">AVERAGE(B665:B864)</f>
        <v>7710.2014</v>
      </c>
      <c r="F864" s="17" t="n">
        <f aca="false">B864*2/13+F863*11/13</f>
        <v>8324.71239354158</v>
      </c>
      <c r="G864" s="17" t="n">
        <f aca="false">B864*2/27+G863*25/27</f>
        <v>8254.55895686394</v>
      </c>
      <c r="H864" s="17" t="n">
        <f aca="false">F864-G864</f>
        <v>70.1534366776396</v>
      </c>
      <c r="I864" s="17" t="n">
        <f aca="false">H864*2/10+I863*8/10</f>
        <v>84.4060542782586</v>
      </c>
      <c r="J864" s="17" t="n">
        <f aca="false">H864-I864</f>
        <v>-14.252617600619</v>
      </c>
      <c r="K864" s="17" t="n">
        <f aca="false">MAX(B864-B863,0)</f>
        <v>88.9700000000012</v>
      </c>
      <c r="L864" s="17" t="n">
        <f aca="false">MAX(B863-B864,0)</f>
        <v>0</v>
      </c>
      <c r="M864" s="17" t="n">
        <f aca="false">(M863*13+K864)/14</f>
        <v>27.9624399533752</v>
      </c>
      <c r="N864" s="17" t="n">
        <f aca="false">(N863*13+L864)/14</f>
        <v>16.5420032456411</v>
      </c>
      <c r="O864" s="17" t="n">
        <f aca="false">IF(N864=0,100,100-100/(1+M864/N864))</f>
        <v>62.8306702509048</v>
      </c>
      <c r="P864" s="17" t="n">
        <f aca="false">AVERAGE(B845:B864)+2*STDEV(B845:B864)</f>
        <v>8431.95127155807</v>
      </c>
      <c r="Q864" s="17" t="n">
        <f aca="false">AVERAGE(B845:B864)-2*STDEV(B845:B864)</f>
        <v>8193.62472844194</v>
      </c>
      <c r="R864" s="19" t="n">
        <f aca="false">B864/B844-1</f>
        <v>0.021621358573662</v>
      </c>
      <c r="S864" s="17" t="n">
        <f aca="false">STDEV(C845:C864)*SQRT(252)*100</f>
        <v>9.2195807741628</v>
      </c>
      <c r="T864" s="19" t="n">
        <f aca="false">B843/B613-1</f>
        <v>0.239329047008444</v>
      </c>
      <c r="U864" s="19" t="n">
        <f aca="false">B864/MAX(B613:B864)-1</f>
        <v>-0.0056058763415201</v>
      </c>
      <c r="V864" s="17" t="n">
        <f aca="false">(B864-AVERAGE(B845:B864))/STDEV(B845:B864)</f>
        <v>1.41959848691778</v>
      </c>
    </row>
    <row r="865" customFormat="false" ht="15" hidden="false" customHeight="false" outlineLevel="0" collapsed="false">
      <c r="A865" s="17" t="s">
        <v>1429</v>
      </c>
      <c r="B865" s="17" t="n">
        <v>8362.74</v>
      </c>
      <c r="C865" s="19" t="n">
        <f aca="false">B865/B864-1</f>
        <v>-0.00412391022427272</v>
      </c>
      <c r="D865" s="17" t="n">
        <f aca="false">AVERAGE(B816:B865)</f>
        <v>8082.7746</v>
      </c>
      <c r="E865" s="17" t="n">
        <f aca="false">AVERAGE(B666:B865)</f>
        <v>7716.43795</v>
      </c>
      <c r="F865" s="17" t="n">
        <f aca="false">B865*2/13+F864*11/13</f>
        <v>8330.56279453518</v>
      </c>
      <c r="G865" s="17" t="n">
        <f aca="false">B865*2/27+G864*25/27</f>
        <v>8262.57236746661</v>
      </c>
      <c r="H865" s="17" t="n">
        <f aca="false">F865-G865</f>
        <v>67.9904270685729</v>
      </c>
      <c r="I865" s="17" t="n">
        <f aca="false">H865*2/10+I864*8/10</f>
        <v>81.1229288363214</v>
      </c>
      <c r="J865" s="17" t="n">
        <f aca="false">H865-I865</f>
        <v>-13.1325017677485</v>
      </c>
      <c r="K865" s="17" t="n">
        <f aca="false">MAX(B865-B864,0)</f>
        <v>0</v>
      </c>
      <c r="L865" s="17" t="n">
        <f aca="false">MAX(B864-B865,0)</f>
        <v>34.630000000001</v>
      </c>
      <c r="M865" s="17" t="n">
        <f aca="false">(M864*13+K865)/14</f>
        <v>25.9651228138484</v>
      </c>
      <c r="N865" s="17" t="n">
        <f aca="false">(N864*13+L865)/14</f>
        <v>17.8340030138097</v>
      </c>
      <c r="O865" s="17" t="n">
        <f aca="false">IF(N865=0,100,100-100/(1+M865/N865))</f>
        <v>59.2822854867392</v>
      </c>
      <c r="P865" s="17" t="n">
        <f aca="false">AVERAGE(B846:B865)+2*STDEV(B846:B865)</f>
        <v>8436.12820639608</v>
      </c>
      <c r="Q865" s="17" t="n">
        <f aca="false">AVERAGE(B846:B865)-2*STDEV(B846:B865)</f>
        <v>8200.13279360391</v>
      </c>
      <c r="R865" s="19" t="n">
        <f aca="false">B865/B845-1</f>
        <v>0.0129422751514374</v>
      </c>
      <c r="S865" s="17" t="n">
        <f aca="false">STDEV(C846:C865)*SQRT(252)*100</f>
        <v>9.30879395587215</v>
      </c>
      <c r="T865" s="19" t="n">
        <f aca="false">B844/B614-1</f>
        <v>0.229982013365775</v>
      </c>
      <c r="U865" s="19" t="n">
        <f aca="false">B865/MAX(B614:B865)-1</f>
        <v>-0.00970666843503198</v>
      </c>
      <c r="V865" s="17" t="n">
        <f aca="false">(B865-AVERAGE(B846:B865))/STDEV(B846:B865)</f>
        <v>0.756107917051519</v>
      </c>
    </row>
    <row r="866" customFormat="false" ht="15" hidden="false" customHeight="false" outlineLevel="0" collapsed="false">
      <c r="A866" s="17" t="s">
        <v>1430</v>
      </c>
      <c r="B866" s="17" t="n">
        <v>8354.29</v>
      </c>
      <c r="C866" s="19" t="n">
        <f aca="false">B866/B865-1</f>
        <v>-0.00101043437916271</v>
      </c>
      <c r="D866" s="17" t="n">
        <f aca="false">AVERAGE(B817:B866)</f>
        <v>8094.8714</v>
      </c>
      <c r="E866" s="17" t="n">
        <f aca="false">AVERAGE(B667:B866)</f>
        <v>7722.5933</v>
      </c>
      <c r="F866" s="17" t="n">
        <f aca="false">B866*2/13+F865*11/13</f>
        <v>8334.21313383746</v>
      </c>
      <c r="G866" s="17" t="n">
        <f aca="false">B866*2/27+G865*25/27</f>
        <v>8269.36626617279</v>
      </c>
      <c r="H866" s="17" t="n">
        <f aca="false">F866-G866</f>
        <v>64.8468676646753</v>
      </c>
      <c r="I866" s="17" t="n">
        <f aca="false">H866*2/10+I865*8/10</f>
        <v>77.8677166019922</v>
      </c>
      <c r="J866" s="17" t="n">
        <f aca="false">H866-I866</f>
        <v>-13.0208489373169</v>
      </c>
      <c r="K866" s="17" t="n">
        <f aca="false">MAX(B866-B865,0)</f>
        <v>0</v>
      </c>
      <c r="L866" s="17" t="n">
        <f aca="false">MAX(B865-B866,0)</f>
        <v>8.44999999999891</v>
      </c>
      <c r="M866" s="17" t="n">
        <f aca="false">(M865*13+K866)/14</f>
        <v>24.1104711842878</v>
      </c>
      <c r="N866" s="17" t="n">
        <f aca="false">(N865*13+L866)/14</f>
        <v>17.1637170842518</v>
      </c>
      <c r="O866" s="17" t="n">
        <f aca="false">IF(N866=0,100,100-100/(1+M866/N866))</f>
        <v>58.4153733743215</v>
      </c>
      <c r="P866" s="17" t="n">
        <f aca="false">AVERAGE(B847:B866)+2*STDEV(B847:B866)</f>
        <v>8437.07521640606</v>
      </c>
      <c r="Q866" s="17" t="n">
        <f aca="false">AVERAGE(B847:B866)-2*STDEV(B847:B866)</f>
        <v>8210.42378359394</v>
      </c>
      <c r="R866" s="19" t="n">
        <f aca="false">B866/B846-1</f>
        <v>0.0136351889307214</v>
      </c>
      <c r="S866" s="17" t="n">
        <f aca="false">STDEV(C847:C866)*SQRT(252)*100</f>
        <v>9.2890362646515</v>
      </c>
      <c r="T866" s="19" t="n">
        <f aca="false">B845/B615-1</f>
        <v>0.231443086763004</v>
      </c>
      <c r="U866" s="19" t="n">
        <f aca="false">B866/MAX(B615:B866)-1</f>
        <v>-0.0107072948627008</v>
      </c>
      <c r="V866" s="17" t="n">
        <f aca="false">(B866-AVERAGE(B847:B866))/STDEV(B847:B866)</f>
        <v>0.538986224284166</v>
      </c>
    </row>
    <row r="867" customFormat="false" ht="15" hidden="false" customHeight="false" outlineLevel="0" collapsed="false">
      <c r="A867" s="17" t="s">
        <v>1431</v>
      </c>
      <c r="B867" s="17" t="n">
        <v>8402.61</v>
      </c>
      <c r="C867" s="19" t="n">
        <f aca="false">B867/B866-1</f>
        <v>0.00578385476204435</v>
      </c>
      <c r="D867" s="17" t="n">
        <f aca="false">AVERAGE(B818:B867)</f>
        <v>8109.2408</v>
      </c>
      <c r="E867" s="17" t="n">
        <f aca="false">AVERAGE(B668:B867)</f>
        <v>7729.02135</v>
      </c>
      <c r="F867" s="17" t="n">
        <f aca="false">B867*2/13+F866*11/13</f>
        <v>8344.7357286317</v>
      </c>
      <c r="G867" s="17" t="n">
        <f aca="false">B867*2/27+G866*25/27</f>
        <v>8279.23617238221</v>
      </c>
      <c r="H867" s="17" t="n">
        <f aca="false">F867-G867</f>
        <v>65.4995562494878</v>
      </c>
      <c r="I867" s="17" t="n">
        <f aca="false">H867*2/10+I866*8/10</f>
        <v>75.3940845314913</v>
      </c>
      <c r="J867" s="17" t="n">
        <f aca="false">H867-I867</f>
        <v>-9.89452828200354</v>
      </c>
      <c r="K867" s="17" t="n">
        <f aca="false">MAX(B867-B866,0)</f>
        <v>48.3199999999997</v>
      </c>
      <c r="L867" s="17" t="n">
        <f aca="false">MAX(B866-B867,0)</f>
        <v>0</v>
      </c>
      <c r="M867" s="17" t="n">
        <f aca="false">(M866*13+K867)/14</f>
        <v>25.8397232425529</v>
      </c>
      <c r="N867" s="17" t="n">
        <f aca="false">(N866*13+L867)/14</f>
        <v>15.9377372925195</v>
      </c>
      <c r="O867" s="17" t="n">
        <f aca="false">IF(N867=0,100,100-100/(1+M867/N867))</f>
        <v>61.8508710477036</v>
      </c>
      <c r="P867" s="17" t="n">
        <f aca="false">AVERAGE(B848:B867)+2*STDEV(B848:B867)</f>
        <v>8445.54802977631</v>
      </c>
      <c r="Q867" s="17" t="n">
        <f aca="false">AVERAGE(B848:B867)-2*STDEV(B848:B867)</f>
        <v>8215.83297022369</v>
      </c>
      <c r="R867" s="19" t="n">
        <f aca="false">B867/B847-1</f>
        <v>0.0167985875730143</v>
      </c>
      <c r="S867" s="17" t="n">
        <f aca="false">STDEV(C848:C867)*SQRT(252)*100</f>
        <v>9.44180649321262</v>
      </c>
      <c r="T867" s="19" t="n">
        <f aca="false">B846/B616-1</f>
        <v>0.218503657620684</v>
      </c>
      <c r="U867" s="19" t="n">
        <f aca="false">B867/MAX(B616:B867)-1</f>
        <v>-0.00498536953903672</v>
      </c>
      <c r="V867" s="17" t="n">
        <f aca="false">(B867-AVERAGE(B848:B867))/STDEV(B848:B867)</f>
        <v>1.25232538328252</v>
      </c>
    </row>
    <row r="868" customFormat="false" ht="15" hidden="false" customHeight="false" outlineLevel="0" collapsed="false">
      <c r="A868" s="17" t="s">
        <v>1432</v>
      </c>
      <c r="B868" s="17" t="n">
        <v>8466.89</v>
      </c>
      <c r="C868" s="19" t="n">
        <f aca="false">B868/B867-1</f>
        <v>0.00765000398685634</v>
      </c>
      <c r="D868" s="17" t="n">
        <f aca="false">AVERAGE(B819:B868)</f>
        <v>8127.5628</v>
      </c>
      <c r="E868" s="17" t="n">
        <f aca="false">AVERAGE(B669:B868)</f>
        <v>7735.86815</v>
      </c>
      <c r="F868" s="17" t="n">
        <f aca="false">B868*2/13+F867*11/13</f>
        <v>8363.52869345759</v>
      </c>
      <c r="G868" s="17" t="n">
        <f aca="false">B868*2/27+G867*25/27</f>
        <v>8293.13645590945</v>
      </c>
      <c r="H868" s="17" t="n">
        <f aca="false">F868-G868</f>
        <v>70.3922375481361</v>
      </c>
      <c r="I868" s="17" t="n">
        <f aca="false">H868*2/10+I867*8/10</f>
        <v>74.3937151348203</v>
      </c>
      <c r="J868" s="17" t="n">
        <f aca="false">H868-I868</f>
        <v>-4.00147758668417</v>
      </c>
      <c r="K868" s="17" t="n">
        <f aca="false">MAX(B868-B867,0)</f>
        <v>64.2799999999988</v>
      </c>
      <c r="L868" s="17" t="n">
        <f aca="false">MAX(B867-B868,0)</f>
        <v>0</v>
      </c>
      <c r="M868" s="17" t="n">
        <f aca="false">(M867*13+K868)/14</f>
        <v>28.5854572966562</v>
      </c>
      <c r="N868" s="17" t="n">
        <f aca="false">(N867*13+L868)/14</f>
        <v>14.799327485911</v>
      </c>
      <c r="O868" s="17" t="n">
        <f aca="false">IF(N868=0,100,100-100/(1+M868/N868))</f>
        <v>65.888208135453</v>
      </c>
      <c r="P868" s="17" t="n">
        <f aca="false">AVERAGE(B849:B868)+2*STDEV(B849:B868)</f>
        <v>8465.89839347048</v>
      </c>
      <c r="Q868" s="17" t="n">
        <f aca="false">AVERAGE(B849:B868)-2*STDEV(B849:B868)</f>
        <v>8216.19060652952</v>
      </c>
      <c r="R868" s="19" t="n">
        <f aca="false">B868/B848-1</f>
        <v>0.0250707946066555</v>
      </c>
      <c r="S868" s="17" t="n">
        <f aca="false">STDEV(C849:C868)*SQRT(252)*100</f>
        <v>9.72659890991315</v>
      </c>
      <c r="T868" s="19" t="n">
        <f aca="false">B847/B617-1</f>
        <v>0.221014573055141</v>
      </c>
      <c r="U868" s="19" t="n">
        <f aca="false">B868/MAX(B617:B868)-1</f>
        <v>0</v>
      </c>
      <c r="V868" s="17" t="n">
        <f aca="false">(B868-AVERAGE(B849:B868))/STDEV(B849:B868)</f>
        <v>2.01588427083787</v>
      </c>
    </row>
    <row r="869" customFormat="false" ht="15" hidden="false" customHeight="false" outlineLevel="0" collapsed="false">
      <c r="A869" s="17" t="s">
        <v>1433</v>
      </c>
      <c r="B869" s="17" t="n">
        <v>8487.71</v>
      </c>
      <c r="C869" s="19" t="n">
        <f aca="false">B869/B868-1</f>
        <v>0.00245899025498142</v>
      </c>
      <c r="D869" s="17" t="n">
        <f aca="false">AVERAGE(B820:B869)</f>
        <v>8144.5492</v>
      </c>
      <c r="E869" s="17" t="n">
        <f aca="false">AVERAGE(B670:B869)</f>
        <v>7742.54885</v>
      </c>
      <c r="F869" s="17" t="n">
        <f aca="false">B869*2/13+F868*11/13</f>
        <v>8382.63350984873</v>
      </c>
      <c r="G869" s="17" t="n">
        <f aca="false">B869*2/27+G868*25/27</f>
        <v>8307.54931102727</v>
      </c>
      <c r="H869" s="17" t="n">
        <f aca="false">F869-G869</f>
        <v>75.0841988214579</v>
      </c>
      <c r="I869" s="17" t="n">
        <f aca="false">H869*2/10+I868*8/10</f>
        <v>74.5318118721478</v>
      </c>
      <c r="J869" s="17" t="n">
        <f aca="false">H869-I869</f>
        <v>0.552386949310105</v>
      </c>
      <c r="K869" s="17" t="n">
        <f aca="false">MAX(B869-B868,0)</f>
        <v>20.8199999999997</v>
      </c>
      <c r="L869" s="17" t="n">
        <f aca="false">MAX(B868-B869,0)</f>
        <v>0</v>
      </c>
      <c r="M869" s="17" t="n">
        <f aca="false">(M868*13+K869)/14</f>
        <v>28.0307817754664</v>
      </c>
      <c r="N869" s="17" t="n">
        <f aca="false">(N868*13+L869)/14</f>
        <v>13.7422326654888</v>
      </c>
      <c r="O869" s="17" t="n">
        <f aca="false">IF(N869=0,100,100-100/(1+M869/N869))</f>
        <v>67.1026071510521</v>
      </c>
      <c r="P869" s="17" t="n">
        <f aca="false">AVERAGE(B850:B869)+2*STDEV(B850:B869)</f>
        <v>8487.08586990525</v>
      </c>
      <c r="Q869" s="17" t="n">
        <f aca="false">AVERAGE(B850:B869)-2*STDEV(B850:B869)</f>
        <v>8217.99113009475</v>
      </c>
      <c r="R869" s="19" t="n">
        <f aca="false">B869/B849-1</f>
        <v>0.0278378218006425</v>
      </c>
      <c r="S869" s="17" t="n">
        <f aca="false">STDEV(C850:C869)*SQRT(252)*100</f>
        <v>9.71870225945855</v>
      </c>
      <c r="T869" s="19" t="n">
        <f aca="false">B848/B618-1</f>
        <v>0.252442774482332</v>
      </c>
      <c r="U869" s="19" t="n">
        <f aca="false">B869/MAX(B618:B869)-1</f>
        <v>0</v>
      </c>
      <c r="V869" s="17" t="n">
        <f aca="false">(B869-AVERAGE(B850:B869))/STDEV(B850:B869)</f>
        <v>2.00927747744437</v>
      </c>
    </row>
    <row r="870" customFormat="false" ht="15" hidden="false" customHeight="false" outlineLevel="0" collapsed="false">
      <c r="A870" s="17" t="s">
        <v>1434</v>
      </c>
      <c r="B870" s="17" t="n">
        <v>8570.33</v>
      </c>
      <c r="C870" s="19" t="n">
        <f aca="false">B870/B869-1</f>
        <v>0.00973407432629059</v>
      </c>
      <c r="D870" s="17" t="n">
        <f aca="false">AVERAGE(B821:B870)</f>
        <v>8160.8738</v>
      </c>
      <c r="E870" s="17" t="n">
        <f aca="false">AVERAGE(B671:B870)</f>
        <v>7749.64635</v>
      </c>
      <c r="F870" s="17" t="n">
        <f aca="false">B870*2/13+F869*11/13</f>
        <v>8411.50989294893</v>
      </c>
      <c r="G870" s="17" t="n">
        <f aca="false">B870*2/27+G869*25/27</f>
        <v>8327.01454724747</v>
      </c>
      <c r="H870" s="17" t="n">
        <f aca="false">F870-G870</f>
        <v>84.4953457014526</v>
      </c>
      <c r="I870" s="17" t="n">
        <f aca="false">H870*2/10+I869*8/10</f>
        <v>76.5245186380088</v>
      </c>
      <c r="J870" s="17" t="n">
        <f aca="false">H870-I870</f>
        <v>7.97082706344385</v>
      </c>
      <c r="K870" s="17" t="n">
        <f aca="false">MAX(B870-B869,0)</f>
        <v>82.6200000000008</v>
      </c>
      <c r="L870" s="17" t="n">
        <f aca="false">MAX(B869-B870,0)</f>
        <v>0</v>
      </c>
      <c r="M870" s="17" t="n">
        <f aca="false">(M869*13+K870)/14</f>
        <v>31.9300116486475</v>
      </c>
      <c r="N870" s="17" t="n">
        <f aca="false">(N869*13+L870)/14</f>
        <v>12.7606446179538</v>
      </c>
      <c r="O870" s="17" t="n">
        <f aca="false">IF(N870=0,100,100-100/(1+M870/N870))</f>
        <v>71.4467280546733</v>
      </c>
      <c r="P870" s="17" t="n">
        <f aca="false">AVERAGE(B851:B870)+2*STDEV(B851:B870)</f>
        <v>8529.95129746889</v>
      </c>
      <c r="Q870" s="17" t="n">
        <f aca="false">AVERAGE(B851:B870)-2*STDEV(B851:B870)</f>
        <v>8200.6067025311</v>
      </c>
      <c r="R870" s="19" t="n">
        <f aca="false">B870/B850-1</f>
        <v>0.0306427018394519</v>
      </c>
      <c r="S870" s="17" t="n">
        <f aca="false">STDEV(C851:C870)*SQRT(252)*100</f>
        <v>9.97410052189595</v>
      </c>
      <c r="T870" s="19" t="n">
        <f aca="false">B849/B619-1</f>
        <v>0.280603375416189</v>
      </c>
      <c r="U870" s="19" t="n">
        <f aca="false">B870/MAX(B619:B870)-1</f>
        <v>0</v>
      </c>
      <c r="V870" s="17" t="n">
        <f aca="false">(B870-AVERAGE(B851:B870))/STDEV(B851:B870)</f>
        <v>2.4904128156557</v>
      </c>
    </row>
    <row r="871" customFormat="false" ht="15" hidden="false" customHeight="false" outlineLevel="0" collapsed="false">
      <c r="A871" s="17" t="s">
        <v>1435</v>
      </c>
      <c r="B871" s="17" t="n">
        <v>8575.7</v>
      </c>
      <c r="C871" s="19" t="n">
        <f aca="false">B871/B870-1</f>
        <v>0.000626580306709368</v>
      </c>
      <c r="D871" s="17" t="n">
        <f aca="false">AVERAGE(B822:B871)</f>
        <v>8177.8852</v>
      </c>
      <c r="E871" s="17" t="n">
        <f aca="false">AVERAGE(B672:B871)</f>
        <v>7756.7409</v>
      </c>
      <c r="F871" s="17" t="n">
        <f aca="false">B871*2/13+F870*11/13</f>
        <v>8436.76990941832</v>
      </c>
      <c r="G871" s="17" t="n">
        <f aca="false">B871*2/27+G870*25/27</f>
        <v>8345.43569189581</v>
      </c>
      <c r="H871" s="17" t="n">
        <f aca="false">F871-G871</f>
        <v>91.3342175225134</v>
      </c>
      <c r="I871" s="17" t="n">
        <f aca="false">H871*2/10+I870*8/10</f>
        <v>79.4864584149097</v>
      </c>
      <c r="J871" s="17" t="n">
        <f aca="false">H871-I871</f>
        <v>11.8477591076037</v>
      </c>
      <c r="K871" s="17" t="n">
        <f aca="false">MAX(B871-B870,0)</f>
        <v>5.3700000000008</v>
      </c>
      <c r="L871" s="17" t="n">
        <f aca="false">MAX(B870-B871,0)</f>
        <v>0</v>
      </c>
      <c r="M871" s="17" t="n">
        <f aca="false">(M870*13+K871)/14</f>
        <v>30.0328679594584</v>
      </c>
      <c r="N871" s="17" t="n">
        <f aca="false">(N870*13+L871)/14</f>
        <v>11.8491700023857</v>
      </c>
      <c r="O871" s="17" t="n">
        <f aca="false">IF(N871=0,100,100-100/(1+M871/N871))</f>
        <v>71.7082296396831</v>
      </c>
      <c r="P871" s="17" t="n">
        <f aca="false">AVERAGE(B852:B871)+2*STDEV(B852:B871)</f>
        <v>8566.08098939512</v>
      </c>
      <c r="Q871" s="17" t="n">
        <f aca="false">AVERAGE(B852:B871)-2*STDEV(B852:B871)</f>
        <v>8189.19901060488</v>
      </c>
      <c r="R871" s="19" t="n">
        <f aca="false">B871/B851-1</f>
        <v>0.029683687779763</v>
      </c>
      <c r="S871" s="17" t="n">
        <f aca="false">STDEV(C852:C871)*SQRT(252)*100</f>
        <v>9.9792192381424</v>
      </c>
      <c r="T871" s="19" t="n">
        <f aca="false">B850/B620-1</f>
        <v>0.280981958000591</v>
      </c>
      <c r="U871" s="19" t="n">
        <f aca="false">B871/MAX(B620:B871)-1</f>
        <v>0</v>
      </c>
      <c r="V871" s="17" t="n">
        <f aca="false">(B871-AVERAGE(B852:B871))/STDEV(B852:B871)</f>
        <v>2.10209042773296</v>
      </c>
    </row>
    <row r="872" customFormat="false" ht="15" hidden="false" customHeight="false" outlineLevel="0" collapsed="false">
      <c r="A872" s="17" t="s">
        <v>1436</v>
      </c>
      <c r="B872" s="17" t="n">
        <v>8580.62</v>
      </c>
      <c r="C872" s="19" t="n">
        <f aca="false">B872/B871-1</f>
        <v>0.000573714099140643</v>
      </c>
      <c r="D872" s="17" t="n">
        <f aca="false">AVERAGE(B823:B872)</f>
        <v>8197.4122</v>
      </c>
      <c r="E872" s="17" t="n">
        <f aca="false">AVERAGE(B673:B872)</f>
        <v>7764.08165</v>
      </c>
      <c r="F872" s="17" t="n">
        <f aca="false">B872*2/13+F871*11/13</f>
        <v>8458.90069258473</v>
      </c>
      <c r="G872" s="17" t="n">
        <f aca="false">B872*2/27+G871*25/27</f>
        <v>8362.85675175538</v>
      </c>
      <c r="H872" s="17" t="n">
        <f aca="false">F872-G872</f>
        <v>96.0439408293569</v>
      </c>
      <c r="I872" s="17" t="n">
        <f aca="false">H872*2/10+I871*8/10</f>
        <v>82.7979548977991</v>
      </c>
      <c r="J872" s="17" t="n">
        <f aca="false">H872-I872</f>
        <v>13.2459859315577</v>
      </c>
      <c r="K872" s="17" t="n">
        <f aca="false">MAX(B872-B871,0)</f>
        <v>4.92000000000007</v>
      </c>
      <c r="L872" s="17" t="n">
        <f aca="false">MAX(B871-B872,0)</f>
        <v>0</v>
      </c>
      <c r="M872" s="17" t="n">
        <f aca="false">(M871*13+K872)/14</f>
        <v>28.23909167664</v>
      </c>
      <c r="N872" s="17" t="n">
        <f aca="false">(N871*13+L872)/14</f>
        <v>11.002800716501</v>
      </c>
      <c r="O872" s="17" t="n">
        <f aca="false">IF(N872=0,100,100-100/(1+M872/N872))</f>
        <v>71.9615950059937</v>
      </c>
      <c r="P872" s="17" t="n">
        <f aca="false">AVERAGE(B853:B872)+2*STDEV(B853:B872)</f>
        <v>8597.69902969186</v>
      </c>
      <c r="Q872" s="17" t="n">
        <f aca="false">AVERAGE(B853:B872)-2*STDEV(B853:B872)</f>
        <v>8181.76897030814</v>
      </c>
      <c r="R872" s="19" t="n">
        <f aca="false">B872/B852-1</f>
        <v>0.029006780400876</v>
      </c>
      <c r="S872" s="17" t="n">
        <f aca="false">STDEV(C853:C872)*SQRT(252)*100</f>
        <v>9.98414434438623</v>
      </c>
      <c r="T872" s="19" t="n">
        <f aca="false">B851/B621-1</f>
        <v>0.313025286261798</v>
      </c>
      <c r="U872" s="19" t="n">
        <f aca="false">B872/MAX(B621:B872)-1</f>
        <v>0</v>
      </c>
      <c r="V872" s="17" t="n">
        <f aca="false">(B872-AVERAGE(B853:B872))/STDEV(B853:B872)</f>
        <v>1.83575094603966</v>
      </c>
    </row>
    <row r="873" customFormat="false" ht="15" hidden="false" customHeight="false" outlineLevel="0" collapsed="false">
      <c r="A873" s="17" t="s">
        <v>1437</v>
      </c>
      <c r="B873" s="17" t="n">
        <v>8641.29</v>
      </c>
      <c r="C873" s="19" t="n">
        <f aca="false">B873/B872-1</f>
        <v>0.00707058464306787</v>
      </c>
      <c r="D873" s="17" t="n">
        <f aca="false">AVERAGE(B824:B873)</f>
        <v>8216.4274</v>
      </c>
      <c r="E873" s="17" t="n">
        <f aca="false">AVERAGE(B674:B873)</f>
        <v>7772.1537</v>
      </c>
      <c r="F873" s="17" t="n">
        <f aca="false">B873*2/13+F872*11/13</f>
        <v>8486.96058603324</v>
      </c>
      <c r="G873" s="17" t="n">
        <f aca="false">B873*2/27+G872*25/27</f>
        <v>8383.48143681053</v>
      </c>
      <c r="H873" s="17" t="n">
        <f aca="false">F873-G873</f>
        <v>103.479149222701</v>
      </c>
      <c r="I873" s="17" t="n">
        <f aca="false">H873*2/10+I872*8/10</f>
        <v>86.9341937627796</v>
      </c>
      <c r="J873" s="17" t="n">
        <f aca="false">H873-I873</f>
        <v>16.5449554599218</v>
      </c>
      <c r="K873" s="17" t="n">
        <f aca="false">MAX(B873-B872,0)</f>
        <v>60.6700000000001</v>
      </c>
      <c r="L873" s="17" t="n">
        <f aca="false">MAX(B872-B873,0)</f>
        <v>0</v>
      </c>
      <c r="M873" s="17" t="n">
        <f aca="false">(M872*13+K873)/14</f>
        <v>30.5555851283085</v>
      </c>
      <c r="N873" s="17" t="n">
        <f aca="false">(N872*13+L873)/14</f>
        <v>10.2168863796081</v>
      </c>
      <c r="O873" s="17" t="n">
        <f aca="false">IF(N873=0,100,100-100/(1+M873/N873))</f>
        <v>74.941704533108</v>
      </c>
      <c r="P873" s="17" t="n">
        <f aca="false">AVERAGE(B854:B873)+2*STDEV(B854:B873)</f>
        <v>8637.52676250536</v>
      </c>
      <c r="Q873" s="17" t="n">
        <f aca="false">AVERAGE(B854:B873)-2*STDEV(B854:B873)</f>
        <v>8177.69523749464</v>
      </c>
      <c r="R873" s="19" t="n">
        <f aca="false">B873/B853-1</f>
        <v>0.0431616115889544</v>
      </c>
      <c r="S873" s="17" t="n">
        <f aca="false">STDEV(C854:C873)*SQRT(252)*100</f>
        <v>9.69811404080597</v>
      </c>
      <c r="T873" s="19" t="n">
        <f aca="false">B852/B622-1</f>
        <v>0.335653728302358</v>
      </c>
      <c r="U873" s="19" t="n">
        <f aca="false">B873/MAX(B622:B873)-1</f>
        <v>0</v>
      </c>
      <c r="V873" s="17" t="n">
        <f aca="false">(B873-AVERAGE(B854:B873))/STDEV(B854:B873)</f>
        <v>2.03273579378493</v>
      </c>
    </row>
    <row r="874" customFormat="false" ht="15" hidden="false" customHeight="false" outlineLevel="0" collapsed="false">
      <c r="A874" s="17" t="s">
        <v>1438</v>
      </c>
      <c r="B874" s="17" t="n">
        <v>8678.49</v>
      </c>
      <c r="C874" s="19" t="n">
        <f aca="false">B874/B873-1</f>
        <v>0.00430491280815692</v>
      </c>
      <c r="D874" s="17" t="n">
        <f aca="false">AVERAGE(B825:B874)</f>
        <v>8235.19</v>
      </c>
      <c r="E874" s="17" t="n">
        <f aca="false">AVERAGE(B675:B874)</f>
        <v>7780.4677</v>
      </c>
      <c r="F874" s="17" t="n">
        <f aca="false">B874*2/13+F873*11/13</f>
        <v>8516.42664972043</v>
      </c>
      <c r="G874" s="17" t="n">
        <f aca="false">B874*2/27+G873*25/27</f>
        <v>8405.33392297272</v>
      </c>
      <c r="H874" s="17" t="n">
        <f aca="false">F874-G874</f>
        <v>111.092726747713</v>
      </c>
      <c r="I874" s="17" t="n">
        <f aca="false">H874*2/10+I873*8/10</f>
        <v>91.7659003597662</v>
      </c>
      <c r="J874" s="17" t="n">
        <f aca="false">H874-I874</f>
        <v>19.3268263879465</v>
      </c>
      <c r="K874" s="17" t="n">
        <f aca="false">MAX(B874-B873,0)</f>
        <v>37.1999999999989</v>
      </c>
      <c r="L874" s="17" t="n">
        <f aca="false">MAX(B873-B874,0)</f>
        <v>0</v>
      </c>
      <c r="M874" s="17" t="n">
        <f aca="false">(M873*13+K874)/14</f>
        <v>31.0301861905721</v>
      </c>
      <c r="N874" s="17" t="n">
        <f aca="false">(N873*13+L874)/14</f>
        <v>9.48710878106465</v>
      </c>
      <c r="O874" s="17" t="n">
        <f aca="false">IF(N874=0,100,100-100/(1+M874/N874))</f>
        <v>76.5850390858869</v>
      </c>
      <c r="P874" s="17" t="n">
        <f aca="false">AVERAGE(B855:B874)+2*STDEV(B855:B874)</f>
        <v>8677.79381511572</v>
      </c>
      <c r="Q874" s="17" t="n">
        <f aca="false">AVERAGE(B855:B874)-2*STDEV(B855:B874)</f>
        <v>8178.71518488428</v>
      </c>
      <c r="R874" s="19" t="n">
        <f aca="false">B874/B854-1</f>
        <v>0.0499502759623596</v>
      </c>
      <c r="S874" s="17" t="n">
        <f aca="false">STDEV(C855:C874)*SQRT(252)*100</f>
        <v>9.58763712390985</v>
      </c>
      <c r="T874" s="19" t="n">
        <f aca="false">B853/B623-1</f>
        <v>0.369993847741526</v>
      </c>
      <c r="U874" s="19" t="n">
        <f aca="false">B874/MAX(B623:B874)-1</f>
        <v>0</v>
      </c>
      <c r="V874" s="17" t="n">
        <f aca="false">(B874-AVERAGE(B855:B874))/STDEV(B855:B874)</f>
        <v>2.00557976112069</v>
      </c>
    </row>
    <row r="875" customFormat="false" ht="15" hidden="false" customHeight="false" outlineLevel="0" collapsed="false">
      <c r="A875" s="17" t="s">
        <v>1439</v>
      </c>
      <c r="B875" s="17" t="n">
        <v>8696.01</v>
      </c>
      <c r="C875" s="19" t="n">
        <f aca="false">B875/B874-1</f>
        <v>0.00201878437377934</v>
      </c>
      <c r="D875" s="17" t="n">
        <f aca="false">AVERAGE(B826:B875)</f>
        <v>8252.2326</v>
      </c>
      <c r="E875" s="17" t="n">
        <f aca="false">AVERAGE(B676:B875)</f>
        <v>7788.12765</v>
      </c>
      <c r="F875" s="17" t="n">
        <f aca="false">B875*2/13+F874*11/13</f>
        <v>8544.05485745575</v>
      </c>
      <c r="G875" s="17" t="n">
        <f aca="false">B875*2/27+G874*25/27</f>
        <v>8426.865484234</v>
      </c>
      <c r="H875" s="17" t="n">
        <f aca="false">F875-G875</f>
        <v>117.18937322175</v>
      </c>
      <c r="I875" s="17" t="n">
        <f aca="false">H875*2/10+I874*8/10</f>
        <v>96.8505949321631</v>
      </c>
      <c r="J875" s="17" t="n">
        <f aca="false">H875-I875</f>
        <v>20.3387782895874</v>
      </c>
      <c r="K875" s="17" t="n">
        <f aca="false">MAX(B875-B874,0)</f>
        <v>17.5200000000004</v>
      </c>
      <c r="L875" s="17" t="n">
        <f aca="false">MAX(B874-B875,0)</f>
        <v>0</v>
      </c>
      <c r="M875" s="17" t="n">
        <f aca="false">(M874*13+K875)/14</f>
        <v>30.0651728912456</v>
      </c>
      <c r="N875" s="17" t="n">
        <f aca="false">(N874*13+L875)/14</f>
        <v>8.80945815384575</v>
      </c>
      <c r="O875" s="17" t="n">
        <f aca="false">IF(N875=0,100,100-100/(1+M875/N875))</f>
        <v>77.3387993222945</v>
      </c>
      <c r="P875" s="17" t="n">
        <f aca="false">AVERAGE(B856:B875)+2*STDEV(B856:B875)</f>
        <v>8714.65865193904</v>
      </c>
      <c r="Q875" s="17" t="n">
        <f aca="false">AVERAGE(B856:B875)-2*STDEV(B856:B875)</f>
        <v>8184.24634806095</v>
      </c>
      <c r="R875" s="19" t="n">
        <f aca="false">B875/B855-1</f>
        <v>0.0512521080022486</v>
      </c>
      <c r="S875" s="17" t="n">
        <f aca="false">STDEV(C856:C875)*SQRT(252)*100</f>
        <v>9.56890665765344</v>
      </c>
      <c r="T875" s="19" t="n">
        <f aca="false">B854/B624-1</f>
        <v>0.401106901607804</v>
      </c>
      <c r="U875" s="19" t="n">
        <f aca="false">B875/MAX(B624:B875)-1</f>
        <v>0</v>
      </c>
      <c r="V875" s="17" t="n">
        <f aca="false">(B875-AVERAGE(B856:B875))/STDEV(B856:B875)</f>
        <v>1.85936486161656</v>
      </c>
    </row>
    <row r="876" customFormat="false" ht="15" hidden="false" customHeight="false" outlineLevel="0" collapsed="false">
      <c r="A876" s="17" t="s">
        <v>1440</v>
      </c>
      <c r="B876" s="17" t="n">
        <v>8699.51</v>
      </c>
      <c r="C876" s="19" t="n">
        <f aca="false">B876/B875-1</f>
        <v>0.000402483437806467</v>
      </c>
      <c r="D876" s="17" t="n">
        <f aca="false">AVERAGE(B827:B876)</f>
        <v>8269.3762</v>
      </c>
      <c r="E876" s="17" t="n">
        <f aca="false">AVERAGE(B677:B876)</f>
        <v>7795.6188</v>
      </c>
      <c r="F876" s="17" t="n">
        <f aca="false">B876*2/13+F875*11/13</f>
        <v>8567.97103323179</v>
      </c>
      <c r="G876" s="17" t="n">
        <f aca="false">B876*2/27+G875*25/27</f>
        <v>8447.06137429074</v>
      </c>
      <c r="H876" s="17" t="n">
        <f aca="false">F876-G876</f>
        <v>120.909658941047</v>
      </c>
      <c r="I876" s="17" t="n">
        <f aca="false">H876*2/10+I875*8/10</f>
        <v>101.66240773394</v>
      </c>
      <c r="J876" s="17" t="n">
        <f aca="false">H876-I876</f>
        <v>19.2472512071075</v>
      </c>
      <c r="K876" s="17" t="n">
        <f aca="false">MAX(B876-B875,0)</f>
        <v>3.5</v>
      </c>
      <c r="L876" s="17" t="n">
        <f aca="false">MAX(B875-B876,0)</f>
        <v>0</v>
      </c>
      <c r="M876" s="17" t="n">
        <f aca="false">(M875*13+K876)/14</f>
        <v>28.1676605418709</v>
      </c>
      <c r="N876" s="17" t="n">
        <f aca="false">(N875*13+L876)/14</f>
        <v>8.18021114285677</v>
      </c>
      <c r="O876" s="17" t="n">
        <f aca="false">IF(N876=0,100,100-100/(1+M876/N876))</f>
        <v>77.4946626481741</v>
      </c>
      <c r="P876" s="17" t="n">
        <f aca="false">AVERAGE(B857:B876)+2*STDEV(B857:B876)</f>
        <v>8750.61822420825</v>
      </c>
      <c r="Q876" s="17" t="n">
        <f aca="false">AVERAGE(B857:B876)-2*STDEV(B857:B876)</f>
        <v>8181.04477579176</v>
      </c>
      <c r="R876" s="19" t="n">
        <f aca="false">B876/B856-1</f>
        <v>0.0391283730274858</v>
      </c>
      <c r="S876" s="17" t="n">
        <f aca="false">STDEV(C857:C876)*SQRT(252)*100</f>
        <v>8.89641094763754</v>
      </c>
      <c r="T876" s="19" t="n">
        <f aca="false">B855/B625-1</f>
        <v>0.320829281611811</v>
      </c>
      <c r="U876" s="19" t="n">
        <f aca="false">B876/MAX(B625:B876)-1</f>
        <v>0</v>
      </c>
      <c r="V876" s="17" t="n">
        <f aca="false">(B876-AVERAGE(B857:B876))/STDEV(B857:B876)</f>
        <v>1.64107720013751</v>
      </c>
    </row>
    <row r="877" customFormat="false" ht="15" hidden="false" customHeight="false" outlineLevel="0" collapsed="false">
      <c r="A877" s="17" t="s">
        <v>1441</v>
      </c>
      <c r="B877" s="17" t="n">
        <v>8778.31</v>
      </c>
      <c r="C877" s="19" t="n">
        <f aca="false">B877/B876-1</f>
        <v>0.00905798142654013</v>
      </c>
      <c r="D877" s="17" t="n">
        <f aca="false">AVERAGE(B828:B877)</f>
        <v>8286.0854</v>
      </c>
      <c r="E877" s="17" t="n">
        <f aca="false">AVERAGE(B678:B877)</f>
        <v>7803.22545</v>
      </c>
      <c r="F877" s="17" t="n">
        <f aca="false">B877*2/13+F876*11/13</f>
        <v>8600.33087427305</v>
      </c>
      <c r="G877" s="17" t="n">
        <f aca="false">B877*2/27+G876*25/27</f>
        <v>8471.59830952846</v>
      </c>
      <c r="H877" s="17" t="n">
        <f aca="false">F877-G877</f>
        <v>128.732564744587</v>
      </c>
      <c r="I877" s="17" t="n">
        <f aca="false">H877*2/10+I876*8/10</f>
        <v>107.076439136069</v>
      </c>
      <c r="J877" s="17" t="n">
        <f aca="false">H877-I877</f>
        <v>21.6561256085176</v>
      </c>
      <c r="K877" s="17" t="n">
        <f aca="false">MAX(B877-B876,0)</f>
        <v>78.7999999999993</v>
      </c>
      <c r="L877" s="17" t="n">
        <f aca="false">MAX(B876-B877,0)</f>
        <v>0</v>
      </c>
      <c r="M877" s="17" t="n">
        <f aca="false">(M876*13+K877)/14</f>
        <v>31.7842562174515</v>
      </c>
      <c r="N877" s="17" t="n">
        <f aca="false">(N876*13+L877)/14</f>
        <v>7.59591034693843</v>
      </c>
      <c r="O877" s="17" t="n">
        <f aca="false">IF(N877=0,100,100-100/(1+M877/N877))</f>
        <v>80.7113300688598</v>
      </c>
      <c r="P877" s="17" t="n">
        <f aca="false">AVERAGE(B858:B877)+2*STDEV(B858:B877)</f>
        <v>8799.6053328782</v>
      </c>
      <c r="Q877" s="17" t="n">
        <f aca="false">AVERAGE(B858:B877)-2*STDEV(B858:B877)</f>
        <v>8171.3136671218</v>
      </c>
      <c r="R877" s="19" t="n">
        <f aca="false">B877/B857-1</f>
        <v>0.0468127478162359</v>
      </c>
      <c r="S877" s="17" t="n">
        <f aca="false">STDEV(C858:C877)*SQRT(252)*100</f>
        <v>9.24657492743158</v>
      </c>
      <c r="T877" s="19" t="n">
        <f aca="false">B856/B626-1</f>
        <v>0.331350285450758</v>
      </c>
      <c r="U877" s="19" t="n">
        <f aca="false">B877/MAX(B626:B877)-1</f>
        <v>0</v>
      </c>
      <c r="V877" s="17" t="n">
        <f aca="false">(B877-AVERAGE(B858:B877))/STDEV(B858:B877)</f>
        <v>1.86442390349035</v>
      </c>
    </row>
    <row r="878" customFormat="false" ht="15" hidden="false" customHeight="false" outlineLevel="0" collapsed="false">
      <c r="A878" s="17" t="s">
        <v>1442</v>
      </c>
      <c r="B878" s="17" t="n">
        <v>8770.98</v>
      </c>
      <c r="C878" s="19" t="n">
        <f aca="false">B878/B877-1</f>
        <v>-0.000835012661890455</v>
      </c>
      <c r="D878" s="17" t="n">
        <f aca="false">AVERAGE(B829:B878)</f>
        <v>8303.1008</v>
      </c>
      <c r="E878" s="17" t="n">
        <f aca="false">AVERAGE(B679:B878)</f>
        <v>7810.8653</v>
      </c>
      <c r="F878" s="17" t="n">
        <f aca="false">B878*2/13+F877*11/13</f>
        <v>8626.58458592335</v>
      </c>
      <c r="G878" s="17" t="n">
        <f aca="false">B878*2/27+G877*25/27</f>
        <v>8493.77473104487</v>
      </c>
      <c r="H878" s="17" t="n">
        <f aca="false">F878-G878</f>
        <v>132.809854878478</v>
      </c>
      <c r="I878" s="17" t="n">
        <f aca="false">H878*2/10+I877*8/10</f>
        <v>112.223122284551</v>
      </c>
      <c r="J878" s="17" t="n">
        <f aca="false">H878-I878</f>
        <v>20.5867325939272</v>
      </c>
      <c r="K878" s="17" t="n">
        <f aca="false">MAX(B878-B877,0)</f>
        <v>0</v>
      </c>
      <c r="L878" s="17" t="n">
        <f aca="false">MAX(B877-B878,0)</f>
        <v>7.32999999999993</v>
      </c>
      <c r="M878" s="17" t="n">
        <f aca="false">(M877*13+K878)/14</f>
        <v>29.5139522019193</v>
      </c>
      <c r="N878" s="17" t="n">
        <f aca="false">(N877*13+L878)/14</f>
        <v>7.57691675072853</v>
      </c>
      <c r="O878" s="17" t="n">
        <f aca="false">IF(N878=0,100,100-100/(1+M878/N878))</f>
        <v>79.5720160657287</v>
      </c>
      <c r="P878" s="17" t="n">
        <f aca="false">AVERAGE(B859:B878)+2*STDEV(B859:B878)</f>
        <v>8839.97410772641</v>
      </c>
      <c r="Q878" s="17" t="n">
        <f aca="false">AVERAGE(B859:B878)-2*STDEV(B859:B878)</f>
        <v>8163.57189227359</v>
      </c>
      <c r="R878" s="19" t="n">
        <f aca="false">B878/B858-1</f>
        <v>0.0386360218408921</v>
      </c>
      <c r="S878" s="17" t="n">
        <f aca="false">STDEV(C859:C878)*SQRT(252)*100</f>
        <v>9.13437499379712</v>
      </c>
      <c r="T878" s="19" t="n">
        <f aca="false">B857/B627-1</f>
        <v>0.334190893947277</v>
      </c>
      <c r="U878" s="19" t="n">
        <f aca="false">B878/MAX(B627:B878)-1</f>
        <v>-0.000835012661890455</v>
      </c>
      <c r="V878" s="17" t="n">
        <f aca="false">(B878-AVERAGE(B859:B878))/STDEV(B859:B878)</f>
        <v>1.59199360291735</v>
      </c>
    </row>
    <row r="879" customFormat="false" ht="15" hidden="false" customHeight="false" outlineLevel="0" collapsed="false">
      <c r="A879" s="17" t="s">
        <v>1443</v>
      </c>
      <c r="B879" s="17" t="n">
        <v>8709.73</v>
      </c>
      <c r="C879" s="19" t="n">
        <f aca="false">B879/B878-1</f>
        <v>-0.00698325614697559</v>
      </c>
      <c r="D879" s="17" t="n">
        <f aca="false">AVERAGE(B830:B879)</f>
        <v>8318.4526</v>
      </c>
      <c r="E879" s="17" t="n">
        <f aca="false">AVERAGE(B680:B879)</f>
        <v>7817.879</v>
      </c>
      <c r="F879" s="17" t="n">
        <f aca="false">B879*2/13+F878*11/13</f>
        <v>8639.37618808899</v>
      </c>
      <c r="G879" s="17" t="n">
        <f aca="false">B879*2/27+G878*25/27</f>
        <v>8509.77141763414</v>
      </c>
      <c r="H879" s="17" t="n">
        <f aca="false">F879-G879</f>
        <v>129.604770454849</v>
      </c>
      <c r="I879" s="17" t="n">
        <f aca="false">H879*2/10+I878*8/10</f>
        <v>115.699451918611</v>
      </c>
      <c r="J879" s="17" t="n">
        <f aca="false">H879-I879</f>
        <v>13.9053185362384</v>
      </c>
      <c r="K879" s="17" t="n">
        <f aca="false">MAX(B879-B878,0)</f>
        <v>0</v>
      </c>
      <c r="L879" s="17" t="n">
        <f aca="false">MAX(B878-B879,0)</f>
        <v>61.25</v>
      </c>
      <c r="M879" s="17" t="n">
        <f aca="false">(M878*13+K879)/14</f>
        <v>27.405812758925</v>
      </c>
      <c r="N879" s="17" t="n">
        <f aca="false">(N878*13+L879)/14</f>
        <v>11.4107084113908</v>
      </c>
      <c r="O879" s="17" t="n">
        <f aca="false">IF(N879=0,100,100-100/(1+M879/N879))</f>
        <v>70.6034748417463</v>
      </c>
      <c r="P879" s="17" t="n">
        <f aca="false">AVERAGE(B860:B879)+2*STDEV(B860:B879)</f>
        <v>8864.16732649553</v>
      </c>
      <c r="Q879" s="17" t="n">
        <f aca="false">AVERAGE(B860:B879)-2*STDEV(B860:B879)</f>
        <v>8169.98367350448</v>
      </c>
      <c r="R879" s="19" t="n">
        <f aca="false">B879/B859-1</f>
        <v>0.0364185690078631</v>
      </c>
      <c r="S879" s="17" t="n">
        <f aca="false">STDEV(C860:C879)*SQRT(252)*100</f>
        <v>9.37133238227551</v>
      </c>
      <c r="T879" s="19" t="n">
        <f aca="false">B858/B628-1</f>
        <v>0.334083731834432</v>
      </c>
      <c r="U879" s="19" t="n">
        <f aca="false">B879/MAX(B628:B879)-1</f>
        <v>-0.00781243770156215</v>
      </c>
      <c r="V879" s="17" t="n">
        <f aca="false">(B879-AVERAGE(B860:B879))/STDEV(B860:B879)</f>
        <v>1.11010680917018</v>
      </c>
    </row>
    <row r="880" customFormat="false" ht="15" hidden="false" customHeight="false" outlineLevel="0" collapsed="false">
      <c r="A880" s="17" t="s">
        <v>1444</v>
      </c>
      <c r="B880" s="17" t="n">
        <v>8733.07</v>
      </c>
      <c r="C880" s="19" t="n">
        <f aca="false">B880/B879-1</f>
        <v>0.00267976159995786</v>
      </c>
      <c r="D880" s="17" t="n">
        <f aca="false">AVERAGE(B831:B880)</f>
        <v>8335.7442</v>
      </c>
      <c r="E880" s="17" t="n">
        <f aca="false">AVERAGE(B681:B880)</f>
        <v>7824.91295</v>
      </c>
      <c r="F880" s="17" t="n">
        <f aca="false">B880*2/13+F879*11/13</f>
        <v>8653.79062069068</v>
      </c>
      <c r="G880" s="17" t="n">
        <f aca="false">B880*2/27+G879*25/27</f>
        <v>8526.31205336495</v>
      </c>
      <c r="H880" s="17" t="n">
        <f aca="false">F880-G880</f>
        <v>127.478567325737</v>
      </c>
      <c r="I880" s="17" t="n">
        <f aca="false">H880*2/10+I879*8/10</f>
        <v>118.055275000036</v>
      </c>
      <c r="J880" s="17" t="n">
        <f aca="false">H880-I880</f>
        <v>9.42329232570141</v>
      </c>
      <c r="K880" s="17" t="n">
        <f aca="false">MAX(B880-B879,0)</f>
        <v>23.3400000000001</v>
      </c>
      <c r="L880" s="17" t="n">
        <f aca="false">MAX(B879-B880,0)</f>
        <v>0</v>
      </c>
      <c r="M880" s="17" t="n">
        <f aca="false">(M879*13+K880)/14</f>
        <v>27.115397561859</v>
      </c>
      <c r="N880" s="17" t="n">
        <f aca="false">(N879*13+L880)/14</f>
        <v>10.5956578105772</v>
      </c>
      <c r="O880" s="17" t="n">
        <f aca="false">IF(N880=0,100,100-100/(1+M880/N880))</f>
        <v>71.903046186499</v>
      </c>
      <c r="P880" s="17" t="n">
        <f aca="false">AVERAGE(B861:B880)+2*STDEV(B861:B880)</f>
        <v>8883.68141497312</v>
      </c>
      <c r="Q880" s="17" t="n">
        <f aca="false">AVERAGE(B861:B880)-2*STDEV(B861:B880)</f>
        <v>8192.85058502688</v>
      </c>
      <c r="R880" s="19" t="n">
        <f aca="false">B880/B860-1</f>
        <v>0.0510045419207004</v>
      </c>
      <c r="S880" s="17" t="n">
        <f aca="false">STDEV(C861:C880)*SQRT(252)*100</f>
        <v>8.00488255099827</v>
      </c>
      <c r="T880" s="19" t="n">
        <f aca="false">B859/B629-1</f>
        <v>0.321152609627299</v>
      </c>
      <c r="U880" s="19" t="n">
        <f aca="false">B880/MAX(B629:B880)-1</f>
        <v>-0.0051536115721591</v>
      </c>
      <c r="V880" s="17" t="n">
        <f aca="false">(B880-AVERAGE(B861:B880))/STDEV(B861:B880)</f>
        <v>1.12794039614682</v>
      </c>
    </row>
    <row r="881" customFormat="false" ht="15" hidden="false" customHeight="false" outlineLevel="0" collapsed="false">
      <c r="A881" s="17" t="s">
        <v>1445</v>
      </c>
      <c r="B881" s="17" t="n">
        <v>8872.22</v>
      </c>
      <c r="C881" s="19" t="n">
        <f aca="false">B881/B880-1</f>
        <v>0.0159336865500905</v>
      </c>
      <c r="D881" s="17" t="n">
        <f aca="false">AVERAGE(B832:B881)</f>
        <v>8354.382</v>
      </c>
      <c r="E881" s="17" t="n">
        <f aca="false">AVERAGE(B682:B881)</f>
        <v>7832.52765</v>
      </c>
      <c r="F881" s="17" t="n">
        <f aca="false">B881*2/13+F880*11/13</f>
        <v>8687.39514058442</v>
      </c>
      <c r="G881" s="17" t="n">
        <f aca="false">B881*2/27+G880*25/27</f>
        <v>8551.9348642268</v>
      </c>
      <c r="H881" s="17" t="n">
        <f aca="false">F881-G881</f>
        <v>135.460276357622</v>
      </c>
      <c r="I881" s="17" t="n">
        <f aca="false">H881*2/10+I880*8/10</f>
        <v>121.536275271553</v>
      </c>
      <c r="J881" s="17" t="n">
        <f aca="false">H881-I881</f>
        <v>13.9240010860689</v>
      </c>
      <c r="K881" s="17" t="n">
        <f aca="false">MAX(B881-B880,0)</f>
        <v>139.15</v>
      </c>
      <c r="L881" s="17" t="n">
        <f aca="false">MAX(B880-B881,0)</f>
        <v>0</v>
      </c>
      <c r="M881" s="17" t="n">
        <f aca="false">(M880*13+K881)/14</f>
        <v>35.1178691645833</v>
      </c>
      <c r="N881" s="17" t="n">
        <f aca="false">(N880*13+L881)/14</f>
        <v>9.83882510982164</v>
      </c>
      <c r="O881" s="17" t="n">
        <f aca="false">IF(N881=0,100,100-100/(1+M881/N881))</f>
        <v>78.1148830699878</v>
      </c>
      <c r="P881" s="17" t="n">
        <f aca="false">AVERAGE(B862:B881)+2*STDEV(B862:B881)</f>
        <v>8918.21555997007</v>
      </c>
      <c r="Q881" s="17" t="n">
        <f aca="false">AVERAGE(B862:B881)-2*STDEV(B862:B881)</f>
        <v>8220.06444002993</v>
      </c>
      <c r="R881" s="19" t="n">
        <f aca="false">B881/B861-1</f>
        <v>0.0748030828348318</v>
      </c>
      <c r="S881" s="17" t="n">
        <f aca="false">STDEV(C862:C881)*SQRT(252)*100</f>
        <v>8.58794002683907</v>
      </c>
      <c r="T881" s="19" t="n">
        <f aca="false">B860/B630-1</f>
        <v>0.351729994322554</v>
      </c>
      <c r="U881" s="19" t="n">
        <f aca="false">B881/MAX(B630:B881)-1</f>
        <v>0</v>
      </c>
      <c r="V881" s="17" t="n">
        <f aca="false">(B881-AVERAGE(B862:B881))/STDEV(B862:B881)</f>
        <v>1.73647218399353</v>
      </c>
    </row>
    <row r="882" customFormat="false" ht="15" hidden="false" customHeight="false" outlineLevel="0" collapsed="false">
      <c r="A882" s="17" t="s">
        <v>1446</v>
      </c>
      <c r="B882" s="17" t="n">
        <v>8793.9</v>
      </c>
      <c r="C882" s="19" t="n">
        <f aca="false">B882/B881-1</f>
        <v>-0.00882755387039547</v>
      </c>
      <c r="D882" s="17" t="n">
        <f aca="false">AVERAGE(B833:B882)</f>
        <v>8372.7676</v>
      </c>
      <c r="E882" s="17" t="n">
        <f aca="false">AVERAGE(B683:B882)</f>
        <v>7839.5934</v>
      </c>
      <c r="F882" s="17" t="n">
        <f aca="false">B882*2/13+F881*11/13</f>
        <v>8703.78050357144</v>
      </c>
      <c r="G882" s="17" t="n">
        <f aca="false">B882*2/27+G881*25/27</f>
        <v>8569.85820761741</v>
      </c>
      <c r="H882" s="17" t="n">
        <f aca="false">F882-G882</f>
        <v>133.922295954028</v>
      </c>
      <c r="I882" s="17" t="n">
        <f aca="false">H882*2/10+I881*8/10</f>
        <v>124.013479408048</v>
      </c>
      <c r="J882" s="17" t="n">
        <f aca="false">H882-I882</f>
        <v>9.90881654597939</v>
      </c>
      <c r="K882" s="17" t="n">
        <f aca="false">MAX(B882-B881,0)</f>
        <v>0</v>
      </c>
      <c r="L882" s="17" t="n">
        <f aca="false">MAX(B881-B882,0)</f>
        <v>78.3199999999997</v>
      </c>
      <c r="M882" s="17" t="n">
        <f aca="false">(M881*13+K882)/14</f>
        <v>32.6094499385416</v>
      </c>
      <c r="N882" s="17" t="n">
        <f aca="false">(N881*13+L882)/14</f>
        <v>14.7303376019772</v>
      </c>
      <c r="O882" s="17" t="n">
        <f aca="false">IF(N882=0,100,100-100/(1+M882/N882))</f>
        <v>68.8838113407896</v>
      </c>
      <c r="P882" s="17" t="n">
        <f aca="false">AVERAGE(B863:B882)+2*STDEV(B863:B882)</f>
        <v>8932.00174062223</v>
      </c>
      <c r="Q882" s="17" t="n">
        <f aca="false">AVERAGE(B863:B882)-2*STDEV(B863:B882)</f>
        <v>8256.01525937777</v>
      </c>
      <c r="R882" s="19" t="n">
        <f aca="false">B882/B862-1</f>
        <v>0.0599491594678738</v>
      </c>
      <c r="S882" s="17" t="n">
        <f aca="false">STDEV(C863:C882)*SQRT(252)*100</f>
        <v>9.63192727108022</v>
      </c>
      <c r="T882" s="19" t="n">
        <f aca="false">B861/B631-1</f>
        <v>0.285250526650132</v>
      </c>
      <c r="U882" s="19" t="n">
        <f aca="false">B882/MAX(B631:B882)-1</f>
        <v>-0.00882755387039547</v>
      </c>
      <c r="V882" s="17" t="n">
        <f aca="false">(B882-AVERAGE(B863:B882))/STDEV(B863:B882)</f>
        <v>1.18281359492284</v>
      </c>
    </row>
    <row r="883" customFormat="false" ht="15" hidden="false" customHeight="false" outlineLevel="0" collapsed="false">
      <c r="A883" s="17" t="s">
        <v>1447</v>
      </c>
      <c r="B883" s="17" t="n">
        <v>8848.52</v>
      </c>
      <c r="C883" s="19" t="n">
        <f aca="false">B883/B882-1</f>
        <v>0.00621112361978193</v>
      </c>
      <c r="D883" s="17" t="n">
        <f aca="false">AVERAGE(B834:B883)</f>
        <v>8391.9486</v>
      </c>
      <c r="E883" s="17" t="n">
        <f aca="false">AVERAGE(B684:B883)</f>
        <v>7846.36965</v>
      </c>
      <c r="F883" s="17" t="n">
        <f aca="false">B883*2/13+F882*11/13</f>
        <v>8726.0481184066</v>
      </c>
      <c r="G883" s="17" t="n">
        <f aca="false">B883*2/27+G882*25/27</f>
        <v>8590.49982186797</v>
      </c>
      <c r="H883" s="17" t="n">
        <f aca="false">F883-G883</f>
        <v>135.548296538629</v>
      </c>
      <c r="I883" s="17" t="n">
        <f aca="false">H883*2/10+I882*8/10</f>
        <v>126.320442834164</v>
      </c>
      <c r="J883" s="17" t="n">
        <f aca="false">H883-I883</f>
        <v>9.22785370446476</v>
      </c>
      <c r="K883" s="17" t="n">
        <f aca="false">MAX(B883-B882,0)</f>
        <v>54.6200000000008</v>
      </c>
      <c r="L883" s="17" t="n">
        <f aca="false">MAX(B882-B883,0)</f>
        <v>0</v>
      </c>
      <c r="M883" s="17" t="n">
        <f aca="false">(M882*13+K883)/14</f>
        <v>34.1816320857887</v>
      </c>
      <c r="N883" s="17" t="n">
        <f aca="false">(N882*13+L883)/14</f>
        <v>13.6781706304074</v>
      </c>
      <c r="O883" s="17" t="n">
        <f aca="false">IF(N883=0,100,100-100/(1+M883/N883))</f>
        <v>71.4203363697138</v>
      </c>
      <c r="P883" s="17" t="n">
        <f aca="false">AVERAGE(B864:B883)+2*STDEV(B864:B883)</f>
        <v>8949.08852999452</v>
      </c>
      <c r="Q883" s="17" t="n">
        <f aca="false">AVERAGE(B864:B883)-2*STDEV(B864:B883)</f>
        <v>8292.94047000549</v>
      </c>
      <c r="R883" s="19" t="n">
        <f aca="false">B883/B863-1</f>
        <v>0.065008906648693</v>
      </c>
      <c r="S883" s="17" t="n">
        <f aca="false">STDEV(C864:C883)*SQRT(252)*100</f>
        <v>9.68239500996114</v>
      </c>
      <c r="T883" s="19" t="n">
        <f aca="false">B862/B632-1</f>
        <v>0.27870072823951</v>
      </c>
      <c r="U883" s="19" t="n">
        <f aca="false">B883/MAX(B632:B883)-1</f>
        <v>-0.00267125927896272</v>
      </c>
      <c r="V883" s="17" t="n">
        <f aca="false">(B883-AVERAGE(B864:B883))/STDEV(B864:B883)</f>
        <v>1.38691563001072</v>
      </c>
    </row>
    <row r="884" customFormat="false" ht="15" hidden="false" customHeight="false" outlineLevel="0" collapsed="false">
      <c r="A884" s="17" t="s">
        <v>1448</v>
      </c>
      <c r="B884" s="17" t="n">
        <v>8846.45</v>
      </c>
      <c r="C884" s="19" t="n">
        <f aca="false">B884/B883-1</f>
        <v>-0.000233937426823871</v>
      </c>
      <c r="D884" s="17" t="n">
        <f aca="false">AVERAGE(B835:B884)</f>
        <v>8409.5432</v>
      </c>
      <c r="E884" s="17" t="n">
        <f aca="false">AVERAGE(B685:B884)</f>
        <v>7853.9716</v>
      </c>
      <c r="F884" s="17" t="n">
        <f aca="false">B884*2/13+F883*11/13</f>
        <v>8744.57148480559</v>
      </c>
      <c r="G884" s="17" t="n">
        <f aca="false">B884*2/27+G883*25/27</f>
        <v>8609.4590943222</v>
      </c>
      <c r="H884" s="17" t="n">
        <f aca="false">F884-G884</f>
        <v>135.112390483389</v>
      </c>
      <c r="I884" s="17" t="n">
        <f aca="false">H884*2/10+I883*8/10</f>
        <v>128.078832364009</v>
      </c>
      <c r="J884" s="17" t="n">
        <f aca="false">H884-I884</f>
        <v>7.03355811938008</v>
      </c>
      <c r="K884" s="17" t="n">
        <f aca="false">MAX(B884-B883,0)</f>
        <v>0</v>
      </c>
      <c r="L884" s="17" t="n">
        <f aca="false">MAX(B883-B884,0)</f>
        <v>2.06999999999971</v>
      </c>
      <c r="M884" s="17" t="n">
        <f aca="false">(M883*13+K884)/14</f>
        <v>31.7400869368038</v>
      </c>
      <c r="N884" s="17" t="n">
        <f aca="false">(N883*13+L884)/14</f>
        <v>12.8490155853783</v>
      </c>
      <c r="O884" s="17" t="n">
        <f aca="false">IF(N884=0,100,100-100/(1+M884/N884))</f>
        <v>71.1835070486422</v>
      </c>
      <c r="P884" s="17" t="n">
        <f aca="false">AVERAGE(B865:B884)+2*STDEV(B865:B884)</f>
        <v>8968.55160304484</v>
      </c>
      <c r="Q884" s="17" t="n">
        <f aca="false">AVERAGE(B865:B884)-2*STDEV(B865:B884)</f>
        <v>8318.38539695516</v>
      </c>
      <c r="R884" s="19" t="n">
        <f aca="false">B884/B864-1</f>
        <v>0.0534786486721437</v>
      </c>
      <c r="S884" s="17" t="n">
        <f aca="false">STDEV(C865:C884)*SQRT(252)*100</f>
        <v>9.32520058800461</v>
      </c>
      <c r="T884" s="19" t="n">
        <f aca="false">B863/B633-1</f>
        <v>0.268099849660783</v>
      </c>
      <c r="U884" s="19" t="n">
        <f aca="false">B884/MAX(B633:B884)-1</f>
        <v>-0.00290457179826453</v>
      </c>
      <c r="V884" s="17" t="n">
        <f aca="false">(B884-AVERAGE(B865:B884))/STDEV(B865:B884)</f>
        <v>1.24879760343621</v>
      </c>
    </row>
    <row r="885" customFormat="false" ht="15" hidden="false" customHeight="false" outlineLevel="0" collapsed="false">
      <c r="A885" s="17" t="s">
        <v>1449</v>
      </c>
      <c r="B885" s="17" t="n">
        <v>8912.37</v>
      </c>
      <c r="C885" s="19" t="n">
        <f aca="false">B885/B884-1</f>
        <v>0.0074515766211305</v>
      </c>
      <c r="D885" s="17" t="n">
        <f aca="false">AVERAGE(B836:B885)</f>
        <v>8427.2062</v>
      </c>
      <c r="E885" s="17" t="n">
        <f aca="false">AVERAGE(B686:B885)</f>
        <v>7861.94865</v>
      </c>
      <c r="F885" s="17" t="n">
        <f aca="false">B885*2/13+F884*11/13</f>
        <v>8770.38664098934</v>
      </c>
      <c r="G885" s="17" t="n">
        <f aca="false">B885*2/27+G884*25/27</f>
        <v>8631.89693918722</v>
      </c>
      <c r="H885" s="17" t="n">
        <f aca="false">F885-G885</f>
        <v>138.489701802124</v>
      </c>
      <c r="I885" s="17" t="n">
        <f aca="false">H885*2/10+I884*8/10</f>
        <v>130.161006251632</v>
      </c>
      <c r="J885" s="17" t="n">
        <f aca="false">H885-I885</f>
        <v>8.3286955504916</v>
      </c>
      <c r="K885" s="17" t="n">
        <f aca="false">MAX(B885-B884,0)</f>
        <v>65.9200000000001</v>
      </c>
      <c r="L885" s="17" t="n">
        <f aca="false">MAX(B884-B885,0)</f>
        <v>0</v>
      </c>
      <c r="M885" s="17" t="n">
        <f aca="false">(M884*13+K885)/14</f>
        <v>34.1815092984607</v>
      </c>
      <c r="N885" s="17" t="n">
        <f aca="false">(N884*13+L885)/14</f>
        <v>11.9312287578513</v>
      </c>
      <c r="O885" s="17" t="n">
        <f aca="false">IF(N885=0,100,100-100/(1+M885/N885))</f>
        <v>74.1259589849531</v>
      </c>
      <c r="P885" s="17" t="n">
        <f aca="false">AVERAGE(B866:B885)+2*STDEV(B866:B885)</f>
        <v>8988.96033832913</v>
      </c>
      <c r="Q885" s="17" t="n">
        <f aca="false">AVERAGE(B866:B885)-2*STDEV(B866:B885)</f>
        <v>8352.93966167087</v>
      </c>
      <c r="R885" s="19" t="n">
        <f aca="false">B885/B865-1</f>
        <v>0.0657236742981369</v>
      </c>
      <c r="S885" s="17" t="n">
        <f aca="false">STDEV(C866:C885)*SQRT(252)*100</f>
        <v>9.11705211333138</v>
      </c>
      <c r="T885" s="19" t="n">
        <f aca="false">B864/B634-1</f>
        <v>0.272195785592112</v>
      </c>
      <c r="U885" s="19" t="n">
        <f aca="false">B885/MAX(B634:B885)-1</f>
        <v>0</v>
      </c>
      <c r="V885" s="17" t="n">
        <f aca="false">(B885-AVERAGE(B866:B885))/STDEV(B866:B885)</f>
        <v>1.5183154187279</v>
      </c>
    </row>
    <row r="886" customFormat="false" ht="15" hidden="false" customHeight="false" outlineLevel="0" collapsed="false">
      <c r="A886" s="17" t="s">
        <v>1450</v>
      </c>
      <c r="B886" s="17" t="n">
        <v>8989.63</v>
      </c>
      <c r="C886" s="19" t="n">
        <f aca="false">B886/B885-1</f>
        <v>0.00866885014872576</v>
      </c>
      <c r="D886" s="17" t="n">
        <f aca="false">AVERAGE(B837:B886)</f>
        <v>8444.7854</v>
      </c>
      <c r="E886" s="17" t="n">
        <f aca="false">AVERAGE(B687:B886)</f>
        <v>7870.14105</v>
      </c>
      <c r="F886" s="17" t="n">
        <f aca="false">B886*2/13+F885*11/13</f>
        <v>8804.11638852944</v>
      </c>
      <c r="G886" s="17" t="n">
        <f aca="false">B886*2/27+G885*25/27</f>
        <v>8658.39568443261</v>
      </c>
      <c r="H886" s="17" t="n">
        <f aca="false">F886-G886</f>
        <v>145.720704096833</v>
      </c>
      <c r="I886" s="17" t="n">
        <f aca="false">H886*2/10+I885*8/10</f>
        <v>133.272945820672</v>
      </c>
      <c r="J886" s="17" t="n">
        <f aca="false">H886-I886</f>
        <v>12.4477582761608</v>
      </c>
      <c r="K886" s="17" t="n">
        <f aca="false">MAX(B886-B885,0)</f>
        <v>77.2599999999984</v>
      </c>
      <c r="L886" s="17" t="n">
        <f aca="false">MAX(B885-B886,0)</f>
        <v>0</v>
      </c>
      <c r="M886" s="17" t="n">
        <f aca="false">(M885*13+K886)/14</f>
        <v>37.2585443485705</v>
      </c>
      <c r="N886" s="17" t="n">
        <f aca="false">(N885*13+L886)/14</f>
        <v>11.0789981322905</v>
      </c>
      <c r="O886" s="17" t="n">
        <f aca="false">IF(N886=0,100,100-100/(1+M886/N886))</f>
        <v>77.0799309115122</v>
      </c>
      <c r="P886" s="17" t="n">
        <f aca="false">AVERAGE(B867:B886)+2*STDEV(B867:B886)</f>
        <v>9014.40874165309</v>
      </c>
      <c r="Q886" s="17" t="n">
        <f aca="false">AVERAGE(B867:B886)-2*STDEV(B867:B886)</f>
        <v>8391.02525834691</v>
      </c>
      <c r="R886" s="19" t="n">
        <f aca="false">B886/B866-1</f>
        <v>0.0760495505901757</v>
      </c>
      <c r="S886" s="17" t="n">
        <f aca="false">STDEV(C867:C886)*SQRT(252)*100</f>
        <v>9.17094021847946</v>
      </c>
      <c r="T886" s="19" t="n">
        <f aca="false">B865/B635-1</f>
        <v>0.26307442749821</v>
      </c>
      <c r="U886" s="19" t="n">
        <f aca="false">B886/MAX(B635:B886)-1</f>
        <v>0</v>
      </c>
      <c r="V886" s="17" t="n">
        <f aca="false">(B886-AVERAGE(B867:B886))/STDEV(B867:B886)</f>
        <v>1.84100482405036</v>
      </c>
    </row>
    <row r="887" customFormat="false" ht="15" hidden="false" customHeight="false" outlineLevel="0" collapsed="false">
      <c r="A887" s="17" t="s">
        <v>1451</v>
      </c>
      <c r="B887" s="17" t="n">
        <v>8966.64</v>
      </c>
      <c r="C887" s="19" t="n">
        <f aca="false">B887/B886-1</f>
        <v>-0.00255739112733222</v>
      </c>
      <c r="D887" s="17" t="n">
        <f aca="false">AVERAGE(B838:B887)</f>
        <v>8463.168</v>
      </c>
      <c r="E887" s="17" t="n">
        <f aca="false">AVERAGE(B688:B887)</f>
        <v>7878.4333</v>
      </c>
      <c r="F887" s="17" t="n">
        <f aca="false">B887*2/13+F886*11/13</f>
        <v>8829.12002106337</v>
      </c>
      <c r="G887" s="17" t="n">
        <f aca="false">B887*2/27+G886*25/27</f>
        <v>8681.22859669686</v>
      </c>
      <c r="H887" s="17" t="n">
        <f aca="false">F887-G887</f>
        <v>147.891424366513</v>
      </c>
      <c r="I887" s="17" t="n">
        <f aca="false">H887*2/10+I886*8/10</f>
        <v>136.196641529841</v>
      </c>
      <c r="J887" s="17" t="n">
        <f aca="false">H887-I887</f>
        <v>11.6947828366725</v>
      </c>
      <c r="K887" s="17" t="n">
        <f aca="false">MAX(B887-B886,0)</f>
        <v>0</v>
      </c>
      <c r="L887" s="17" t="n">
        <f aca="false">MAX(B886-B887,0)</f>
        <v>22.9899999999998</v>
      </c>
      <c r="M887" s="17" t="n">
        <f aca="false">(M886*13+K887)/14</f>
        <v>34.5972197522441</v>
      </c>
      <c r="N887" s="17" t="n">
        <f aca="false">(N886*13+L887)/14</f>
        <v>11.929783979984</v>
      </c>
      <c r="O887" s="17" t="n">
        <f aca="false">IF(N887=0,100,100-100/(1+M887/N887))</f>
        <v>74.3594407053542</v>
      </c>
      <c r="P887" s="17" t="n">
        <f aca="false">AVERAGE(B868:B887)+2*STDEV(B868:B887)</f>
        <v>9030.09470931836</v>
      </c>
      <c r="Q887" s="17" t="n">
        <f aca="false">AVERAGE(B868:B887)-2*STDEV(B868:B887)</f>
        <v>8431.74229068164</v>
      </c>
      <c r="R887" s="19" t="n">
        <f aca="false">B887/B867-1</f>
        <v>0.0671255716973653</v>
      </c>
      <c r="S887" s="17" t="n">
        <f aca="false">STDEV(C868:C887)*SQRT(252)*100</f>
        <v>9.39329611308942</v>
      </c>
      <c r="T887" s="19" t="n">
        <f aca="false">B866/B636-1</f>
        <v>0.265533068742994</v>
      </c>
      <c r="U887" s="19" t="n">
        <f aca="false">B887/MAX(B636:B887)-1</f>
        <v>-0.00255739112733222</v>
      </c>
      <c r="V887" s="17" t="n">
        <f aca="false">(B887-AVERAGE(B868:B887))/STDEV(B868:B887)</f>
        <v>1.57580377488613</v>
      </c>
    </row>
    <row r="888" customFormat="false" ht="15" hidden="false" customHeight="false" outlineLevel="0" collapsed="false">
      <c r="A888" s="17" t="s">
        <v>1452</v>
      </c>
      <c r="B888" s="17" t="n">
        <v>9070.65</v>
      </c>
      <c r="C888" s="19" t="n">
        <f aca="false">B888/B887-1</f>
        <v>0.0115996627499264</v>
      </c>
      <c r="D888" s="17" t="n">
        <f aca="false">AVERAGE(B839:B888)</f>
        <v>8482.9188</v>
      </c>
      <c r="E888" s="17" t="n">
        <f aca="false">AVERAGE(B689:B888)</f>
        <v>7887.1842</v>
      </c>
      <c r="F888" s="17" t="n">
        <f aca="false">B888*2/13+F887*11/13</f>
        <v>8866.27847936132</v>
      </c>
      <c r="G888" s="17" t="n">
        <f aca="false">B888*2/27+G887*25/27</f>
        <v>8710.07462657117</v>
      </c>
      <c r="H888" s="17" t="n">
        <f aca="false">F888-G888</f>
        <v>156.203852790148</v>
      </c>
      <c r="I888" s="17" t="n">
        <f aca="false">H888*2/10+I887*8/10</f>
        <v>140.198083781902</v>
      </c>
      <c r="J888" s="17" t="n">
        <f aca="false">H888-I888</f>
        <v>16.0057690082457</v>
      </c>
      <c r="K888" s="17" t="n">
        <f aca="false">MAX(B888-B887,0)</f>
        <v>104.01</v>
      </c>
      <c r="L888" s="17" t="n">
        <f aca="false">MAX(B887-B888,0)</f>
        <v>0</v>
      </c>
      <c r="M888" s="17" t="n">
        <f aca="false">(M887*13+K888)/14</f>
        <v>39.5552754842266</v>
      </c>
      <c r="N888" s="17" t="n">
        <f aca="false">(N887*13+L888)/14</f>
        <v>11.0776565528423</v>
      </c>
      <c r="O888" s="17" t="n">
        <f aca="false">IF(N888=0,100,100-100/(1+M888/N888))</f>
        <v>78.1216372286475</v>
      </c>
      <c r="P888" s="17" t="n">
        <f aca="false">AVERAGE(B869:B888)+2*STDEV(B869:B888)</f>
        <v>9069.80003102355</v>
      </c>
      <c r="Q888" s="17" t="n">
        <f aca="false">AVERAGE(B869:B888)-2*STDEV(B869:B888)</f>
        <v>8452.41296897645</v>
      </c>
      <c r="R888" s="19" t="n">
        <f aca="false">B888/B868-1</f>
        <v>0.0713083552520466</v>
      </c>
      <c r="S888" s="17" t="n">
        <f aca="false">STDEV(C869:C888)*SQRT(252)*100</f>
        <v>9.73592321070827</v>
      </c>
      <c r="T888" s="19" t="n">
        <f aca="false">B867/B637-1</f>
        <v>0.28459847363722</v>
      </c>
      <c r="U888" s="19" t="n">
        <f aca="false">B888/MAX(B637:B888)-1</f>
        <v>0</v>
      </c>
      <c r="V888" s="17" t="n">
        <f aca="false">(B888-AVERAGE(B869:B888))/STDEV(B869:B888)</f>
        <v>2.00550687909545</v>
      </c>
    </row>
    <row r="889" customFormat="false" ht="15" hidden="false" customHeight="false" outlineLevel="0" collapsed="false">
      <c r="A889" s="17" t="s">
        <v>1453</v>
      </c>
      <c r="B889" s="17" t="n">
        <v>9033.42</v>
      </c>
      <c r="C889" s="19" t="n">
        <f aca="false">B889/B888-1</f>
        <v>-0.00410444675960375</v>
      </c>
      <c r="D889" s="17" t="n">
        <f aca="false">AVERAGE(B840:B889)</f>
        <v>8501.9106</v>
      </c>
      <c r="E889" s="17" t="n">
        <f aca="false">AVERAGE(B690:B889)</f>
        <v>7895.45745</v>
      </c>
      <c r="F889" s="17" t="n">
        <f aca="false">B889*2/13+F888*11/13</f>
        <v>8891.99255945957</v>
      </c>
      <c r="G889" s="17" t="n">
        <f aca="false">B889*2/27+G888*25/27</f>
        <v>8734.02613571404</v>
      </c>
      <c r="H889" s="17" t="n">
        <f aca="false">F889-G889</f>
        <v>157.966423745529</v>
      </c>
      <c r="I889" s="17" t="n">
        <f aca="false">H889*2/10+I888*8/10</f>
        <v>143.751751774627</v>
      </c>
      <c r="J889" s="17" t="n">
        <f aca="false">H889-I889</f>
        <v>14.2146719709016</v>
      </c>
      <c r="K889" s="17" t="n">
        <f aca="false">MAX(B889-B888,0)</f>
        <v>0</v>
      </c>
      <c r="L889" s="17" t="n">
        <f aca="false">MAX(B888-B889,0)</f>
        <v>37.2299999999996</v>
      </c>
      <c r="M889" s="17" t="n">
        <f aca="false">(M888*13+K889)/14</f>
        <v>36.7298986639247</v>
      </c>
      <c r="N889" s="17" t="n">
        <f aca="false">(N888*13+L889)/14</f>
        <v>12.9456810847821</v>
      </c>
      <c r="O889" s="17" t="n">
        <f aca="false">IF(N889=0,100,100-100/(1+M889/N889))</f>
        <v>73.9395470565815</v>
      </c>
      <c r="P889" s="17" t="n">
        <f aca="false">AVERAGE(B870:B889)+2*STDEV(B870:B889)</f>
        <v>9091.76065963101</v>
      </c>
      <c r="Q889" s="17" t="n">
        <f aca="false">AVERAGE(B870:B889)-2*STDEV(B870:B889)</f>
        <v>8485.02334036899</v>
      </c>
      <c r="R889" s="19" t="n">
        <f aca="false">B889/B869-1</f>
        <v>0.0642941382304534</v>
      </c>
      <c r="S889" s="17" t="n">
        <f aca="false">STDEV(C870:C889)*SQRT(252)*100</f>
        <v>10.098141429483</v>
      </c>
      <c r="T889" s="19" t="n">
        <f aca="false">B868/B638-1</f>
        <v>0.269467317576361</v>
      </c>
      <c r="U889" s="19" t="n">
        <f aca="false">B889/MAX(B638:B889)-1</f>
        <v>-0.00410444675960375</v>
      </c>
      <c r="V889" s="17" t="n">
        <f aca="false">(B889-AVERAGE(B870:B889))/STDEV(B870:B889)</f>
        <v>1.61538110296581</v>
      </c>
    </row>
    <row r="890" customFormat="false" ht="15" hidden="false" customHeight="false" outlineLevel="0" collapsed="false">
      <c r="A890" s="17" t="s">
        <v>1454</v>
      </c>
      <c r="B890" s="17" t="n">
        <v>9035.67</v>
      </c>
      <c r="C890" s="19" t="n">
        <f aca="false">B890/B889-1</f>
        <v>0.000249075101124596</v>
      </c>
      <c r="D890" s="17" t="n">
        <f aca="false">AVERAGE(B841:B890)</f>
        <v>8519.4006</v>
      </c>
      <c r="E890" s="17" t="n">
        <f aca="false">AVERAGE(B691:B890)</f>
        <v>7903.2437</v>
      </c>
      <c r="F890" s="17" t="n">
        <f aca="false">B890*2/13+F889*11/13</f>
        <v>8914.09678108118</v>
      </c>
      <c r="G890" s="17" t="n">
        <f aca="false">B890*2/27+G889*25/27</f>
        <v>8756.37012566115</v>
      </c>
      <c r="H890" s="17" t="n">
        <f aca="false">F890-G890</f>
        <v>157.726655420025</v>
      </c>
      <c r="I890" s="17" t="n">
        <f aca="false">H890*2/10+I889*8/10</f>
        <v>146.546732503707</v>
      </c>
      <c r="J890" s="17" t="n">
        <f aca="false">H890-I890</f>
        <v>11.1799229163181</v>
      </c>
      <c r="K890" s="17" t="n">
        <f aca="false">MAX(B890-B889,0)</f>
        <v>2.25</v>
      </c>
      <c r="L890" s="17" t="n">
        <f aca="false">MAX(B889-B890,0)</f>
        <v>0</v>
      </c>
      <c r="M890" s="17" t="n">
        <f aca="false">(M889*13+K890)/14</f>
        <v>34.2670487593587</v>
      </c>
      <c r="N890" s="17" t="n">
        <f aca="false">(N889*13+L890)/14</f>
        <v>12.0209895787262</v>
      </c>
      <c r="O890" s="17" t="n">
        <f aca="false">IF(N890=0,100,100-100/(1+M890/N890))</f>
        <v>74.0300301971631</v>
      </c>
      <c r="P890" s="17" t="n">
        <f aca="false">AVERAGE(B871:B890)+2*STDEV(B871:B890)</f>
        <v>9115.98669387446</v>
      </c>
      <c r="Q890" s="17" t="n">
        <f aca="false">AVERAGE(B871:B890)-2*STDEV(B871:B890)</f>
        <v>8507.33130612554</v>
      </c>
      <c r="R890" s="19" t="n">
        <f aca="false">B890/B870-1</f>
        <v>0.0542966256841919</v>
      </c>
      <c r="S890" s="17" t="n">
        <f aca="false">STDEV(C871:C890)*SQRT(252)*100</f>
        <v>9.83444276154714</v>
      </c>
      <c r="T890" s="19" t="n">
        <f aca="false">B869/B639-1</f>
        <v>0.272795026212555</v>
      </c>
      <c r="U890" s="19" t="n">
        <f aca="false">B890/MAX(B639:B890)-1</f>
        <v>-0.00385639397397097</v>
      </c>
      <c r="V890" s="17" t="n">
        <f aca="false">(B890-AVERAGE(B871:B890))/STDEV(B871:B890)</f>
        <v>1.47216966782135</v>
      </c>
    </row>
    <row r="891" customFormat="false" ht="15" hidden="false" customHeight="false" outlineLevel="0" collapsed="false">
      <c r="A891" s="17" t="s">
        <v>1455</v>
      </c>
      <c r="B891" s="17" t="n">
        <v>9125</v>
      </c>
      <c r="C891" s="19" t="n">
        <f aca="false">B891/B890-1</f>
        <v>0.00988637256562042</v>
      </c>
      <c r="D891" s="17" t="n">
        <f aca="false">AVERAGE(B842:B891)</f>
        <v>8537.6874</v>
      </c>
      <c r="E891" s="17" t="n">
        <f aca="false">AVERAGE(B692:B891)</f>
        <v>7911.3705</v>
      </c>
      <c r="F891" s="17" t="n">
        <f aca="false">B891*2/13+F890*11/13</f>
        <v>8946.54343014561</v>
      </c>
      <c r="G891" s="17" t="n">
        <f aca="false">B891*2/27+G890*25/27</f>
        <v>8783.67604227885</v>
      </c>
      <c r="H891" s="17" t="n">
        <f aca="false">F891-G891</f>
        <v>162.867387866769</v>
      </c>
      <c r="I891" s="17" t="n">
        <f aca="false">H891*2/10+I890*8/10</f>
        <v>149.810863576319</v>
      </c>
      <c r="J891" s="17" t="n">
        <f aca="false">H891-I891</f>
        <v>13.0565242904494</v>
      </c>
      <c r="K891" s="17" t="n">
        <f aca="false">MAX(B891-B890,0)</f>
        <v>89.3299999999999</v>
      </c>
      <c r="L891" s="17" t="n">
        <f aca="false">MAX(B890-B891,0)</f>
        <v>0</v>
      </c>
      <c r="M891" s="17" t="n">
        <f aca="false">(M890*13+K891)/14</f>
        <v>38.2001167051188</v>
      </c>
      <c r="N891" s="17" t="n">
        <f aca="false">(N890*13+L891)/14</f>
        <v>11.1623474659601</v>
      </c>
      <c r="O891" s="17" t="n">
        <f aca="false">IF(N891=0,100,100-100/(1+M891/N891))</f>
        <v>77.3869727668498</v>
      </c>
      <c r="P891" s="17" t="n">
        <f aca="false">AVERAGE(B872:B891)+2*STDEV(B872:B891)</f>
        <v>9152.79237938716</v>
      </c>
      <c r="Q891" s="17" t="n">
        <f aca="false">AVERAGE(B872:B891)-2*STDEV(B872:B891)</f>
        <v>8525.45562061284</v>
      </c>
      <c r="R891" s="19" t="n">
        <f aca="false">B891/B871-1</f>
        <v>0.0640530802150261</v>
      </c>
      <c r="S891" s="17" t="n">
        <f aca="false">STDEV(C872:C891)*SQRT(252)*100</f>
        <v>10.1248290090106</v>
      </c>
      <c r="T891" s="19" t="n">
        <f aca="false">B870/B640-1</f>
        <v>0.275640958852116</v>
      </c>
      <c r="U891" s="19" t="n">
        <f aca="false">B891/MAX(B640:B891)-1</f>
        <v>0</v>
      </c>
      <c r="V891" s="17" t="n">
        <f aca="false">(B891-AVERAGE(B872:B891))/STDEV(B872:B891)</f>
        <v>1.82279132221449</v>
      </c>
    </row>
    <row r="892" customFormat="false" ht="15" hidden="false" customHeight="false" outlineLevel="0" collapsed="false">
      <c r="A892" s="17" t="s">
        <v>1456</v>
      </c>
      <c r="B892" s="17" t="n">
        <v>9173.73</v>
      </c>
      <c r="C892" s="19" t="n">
        <f aca="false">B892/B891-1</f>
        <v>0.00534027397260273</v>
      </c>
      <c r="D892" s="17" t="n">
        <f aca="false">AVERAGE(B843:B892)</f>
        <v>8556.9584</v>
      </c>
      <c r="E892" s="17" t="n">
        <f aca="false">AVERAGE(B693:B892)</f>
        <v>7919.5143</v>
      </c>
      <c r="F892" s="17" t="n">
        <f aca="false">B892*2/13+F891*11/13</f>
        <v>8981.49521012321</v>
      </c>
      <c r="G892" s="17" t="n">
        <f aca="false">B892*2/27+G891*25/27</f>
        <v>8812.56892803597</v>
      </c>
      <c r="H892" s="17" t="n">
        <f aca="false">F892-G892</f>
        <v>168.926282087243</v>
      </c>
      <c r="I892" s="17" t="n">
        <f aca="false">H892*2/10+I891*8/10</f>
        <v>153.633947278504</v>
      </c>
      <c r="J892" s="17" t="n">
        <f aca="false">H892-I892</f>
        <v>15.2923348087388</v>
      </c>
      <c r="K892" s="17" t="n">
        <f aca="false">MAX(B892-B891,0)</f>
        <v>48.7299999999996</v>
      </c>
      <c r="L892" s="17" t="n">
        <f aca="false">MAX(B891-B892,0)</f>
        <v>0</v>
      </c>
      <c r="M892" s="17" t="n">
        <f aca="false">(M891*13+K892)/14</f>
        <v>38.9522512261817</v>
      </c>
      <c r="N892" s="17" t="n">
        <f aca="false">(N891*13+L892)/14</f>
        <v>10.3650369326772</v>
      </c>
      <c r="O892" s="17" t="n">
        <f aca="false">IF(N892=0,100,100-100/(1+M892/N892))</f>
        <v>78.9829544169384</v>
      </c>
      <c r="P892" s="17" t="n">
        <f aca="false">AVERAGE(B873:B892)+2*STDEV(B873:B892)</f>
        <v>9191.56024086388</v>
      </c>
      <c r="Q892" s="17" t="n">
        <f aca="false">AVERAGE(B873:B892)-2*STDEV(B873:B892)</f>
        <v>8545.99875913613</v>
      </c>
      <c r="R892" s="19" t="n">
        <f aca="false">B892/B872-1</f>
        <v>0.0691220447939658</v>
      </c>
      <c r="S892" s="17" t="n">
        <f aca="false">STDEV(C873:C892)*SQRT(252)*100</f>
        <v>10.1066726929601</v>
      </c>
      <c r="T892" s="19" t="n">
        <f aca="false">B871/B641-1</f>
        <v>0.263993066661164</v>
      </c>
      <c r="U892" s="19" t="n">
        <f aca="false">B892/MAX(B641:B892)-1</f>
        <v>0</v>
      </c>
      <c r="V892" s="17" t="n">
        <f aca="false">(B892-AVERAGE(B873:B892))/STDEV(B873:B892)</f>
        <v>1.8895210363781</v>
      </c>
    </row>
    <row r="893" customFormat="false" ht="15" hidden="false" customHeight="false" outlineLevel="0" collapsed="false">
      <c r="A893" s="17" t="s">
        <v>1457</v>
      </c>
      <c r="B893" s="17" t="n">
        <v>9166.63</v>
      </c>
      <c r="C893" s="19" t="n">
        <f aca="false">B893/B892-1</f>
        <v>-0.000773949091590898</v>
      </c>
      <c r="D893" s="17" t="n">
        <f aca="false">AVERAGE(B844:B893)</f>
        <v>8576.3704</v>
      </c>
      <c r="E893" s="17" t="n">
        <f aca="false">AVERAGE(B694:B893)</f>
        <v>7927.6446</v>
      </c>
      <c r="F893" s="17" t="n">
        <f aca="false">B893*2/13+F892*11/13</f>
        <v>9009.97748548887</v>
      </c>
      <c r="G893" s="17" t="n">
        <f aca="false">B893*2/27+G892*25/27</f>
        <v>8838.79567410738</v>
      </c>
      <c r="H893" s="17" t="n">
        <f aca="false">F893-G893</f>
        <v>171.181811381493</v>
      </c>
      <c r="I893" s="17" t="n">
        <f aca="false">H893*2/10+I892*8/10</f>
        <v>157.143520099102</v>
      </c>
      <c r="J893" s="17" t="n">
        <f aca="false">H893-I893</f>
        <v>14.0382912823915</v>
      </c>
      <c r="K893" s="17" t="n">
        <f aca="false">MAX(B893-B892,0)</f>
        <v>0</v>
      </c>
      <c r="L893" s="17" t="n">
        <f aca="false">MAX(B892-B893,0)</f>
        <v>7.10000000000036</v>
      </c>
      <c r="M893" s="17" t="n">
        <f aca="false">(M892*13+K893)/14</f>
        <v>36.1699475671687</v>
      </c>
      <c r="N893" s="17" t="n">
        <f aca="false">(N892*13+L893)/14</f>
        <v>10.1318200089146</v>
      </c>
      <c r="O893" s="17" t="n">
        <f aca="false">IF(N893=0,100,100-100/(1+M893/N893))</f>
        <v>78.1178548048605</v>
      </c>
      <c r="P893" s="17" t="n">
        <f aca="false">AVERAGE(B874:B893)+2*STDEV(B874:B893)</f>
        <v>9225.29505827567</v>
      </c>
      <c r="Q893" s="17" t="n">
        <f aca="false">AVERAGE(B874:B893)-2*STDEV(B874:B893)</f>
        <v>8564.79794172433</v>
      </c>
      <c r="R893" s="19" t="n">
        <f aca="false">B893/B873-1</f>
        <v>0.0607941638343348</v>
      </c>
      <c r="S893" s="17" t="n">
        <f aca="false">STDEV(C874:C893)*SQRT(252)*100</f>
        <v>10.1089624959157</v>
      </c>
      <c r="T893" s="19" t="n">
        <f aca="false">B872/B642-1</f>
        <v>0.290938059008758</v>
      </c>
      <c r="U893" s="19" t="n">
        <f aca="false">B893/MAX(B642:B893)-1</f>
        <v>-0.000773949091590898</v>
      </c>
      <c r="V893" s="17" t="n">
        <f aca="false">(B893-AVERAGE(B874:B893))/STDEV(B874:B893)</f>
        <v>1.64472179026623</v>
      </c>
    </row>
    <row r="894" customFormat="false" ht="15" hidden="false" customHeight="false" outlineLevel="0" collapsed="false">
      <c r="A894" s="17" t="s">
        <v>1458</v>
      </c>
      <c r="B894" s="17" t="n">
        <v>9188.58</v>
      </c>
      <c r="C894" s="19" t="n">
        <f aca="false">B894/B893-1</f>
        <v>0.00239455503276576</v>
      </c>
      <c r="D894" s="17" t="n">
        <f aca="false">AVERAGE(B845:B894)</f>
        <v>8595.749</v>
      </c>
      <c r="E894" s="17" t="n">
        <f aca="false">AVERAGE(B695:B894)</f>
        <v>7935.6933</v>
      </c>
      <c r="F894" s="17" t="n">
        <f aca="false">B894*2/13+F893*11/13</f>
        <v>9037.45479541366</v>
      </c>
      <c r="G894" s="17" t="n">
        <f aca="false">B894*2/27+G893*25/27</f>
        <v>8864.7056241735</v>
      </c>
      <c r="H894" s="17" t="n">
        <f aca="false">F894-G894</f>
        <v>172.749171240164</v>
      </c>
      <c r="I894" s="17" t="n">
        <f aca="false">H894*2/10+I893*8/10</f>
        <v>160.264650327314</v>
      </c>
      <c r="J894" s="17" t="n">
        <f aca="false">H894-I894</f>
        <v>12.4845209128499</v>
      </c>
      <c r="K894" s="17" t="n">
        <f aca="false">MAX(B894-B893,0)</f>
        <v>21.9500000000007</v>
      </c>
      <c r="L894" s="17" t="n">
        <f aca="false">MAX(B893-B894,0)</f>
        <v>0</v>
      </c>
      <c r="M894" s="17" t="n">
        <f aca="false">(M893*13+K894)/14</f>
        <v>35.1542370266567</v>
      </c>
      <c r="N894" s="17" t="n">
        <f aca="false">(N893*13+L894)/14</f>
        <v>9.40811857970639</v>
      </c>
      <c r="O894" s="17" t="n">
        <f aca="false">IF(N894=0,100,100-100/(1+M894/N894))</f>
        <v>78.887744034871</v>
      </c>
      <c r="P894" s="17" t="n">
        <f aca="false">AVERAGE(B875:B894)+2*STDEV(B875:B894)</f>
        <v>9259.06482034447</v>
      </c>
      <c r="Q894" s="17" t="n">
        <f aca="false">AVERAGE(B875:B894)-2*STDEV(B875:B894)</f>
        <v>8582.03717965553</v>
      </c>
      <c r="R894" s="19" t="n">
        <f aca="false">B894/B874-1</f>
        <v>0.0587763539509754</v>
      </c>
      <c r="S894" s="17" t="n">
        <f aca="false">STDEV(C875:C894)*SQRT(252)*100</f>
        <v>10.0983536658662</v>
      </c>
      <c r="T894" s="19" t="n">
        <f aca="false">B873/B643-1</f>
        <v>0.2977326108765</v>
      </c>
      <c r="U894" s="19" t="n">
        <f aca="false">B894/MAX(B643:B894)-1</f>
        <v>0</v>
      </c>
      <c r="V894" s="17" t="n">
        <f aca="false">(B894-AVERAGE(B875:B894))/STDEV(B875:B894)</f>
        <v>1.58356311554579</v>
      </c>
    </row>
    <row r="895" customFormat="false" ht="15" hidden="false" customHeight="false" outlineLevel="0" collapsed="false">
      <c r="A895" s="17" t="s">
        <v>1459</v>
      </c>
      <c r="B895" s="17" t="n">
        <v>9216.98</v>
      </c>
      <c r="C895" s="19" t="n">
        <f aca="false">B895/B894-1</f>
        <v>0.00309079313669791</v>
      </c>
      <c r="D895" s="17" t="n">
        <f aca="false">AVERAGE(B846:B895)</f>
        <v>8614.9708</v>
      </c>
      <c r="E895" s="17" t="n">
        <f aca="false">AVERAGE(B696:B895)</f>
        <v>7943.7795</v>
      </c>
      <c r="F895" s="17" t="n">
        <f aca="false">B895*2/13+F894*11/13</f>
        <v>9065.07405765771</v>
      </c>
      <c r="G895" s="17" t="n">
        <f aca="false">B895*2/27+G894*25/27</f>
        <v>8890.80002238287</v>
      </c>
      <c r="H895" s="17" t="n">
        <f aca="false">F895-G895</f>
        <v>174.274035274844</v>
      </c>
      <c r="I895" s="17" t="n">
        <f aca="false">H895*2/10+I894*8/10</f>
        <v>163.06652731682</v>
      </c>
      <c r="J895" s="17" t="n">
        <f aca="false">H895-I895</f>
        <v>11.2075079580239</v>
      </c>
      <c r="K895" s="17" t="n">
        <f aca="false">MAX(B895-B894,0)</f>
        <v>28.3999999999996</v>
      </c>
      <c r="L895" s="17" t="n">
        <f aca="false">MAX(B894-B895,0)</f>
        <v>0</v>
      </c>
      <c r="M895" s="17" t="n">
        <f aca="false">(M894*13+K895)/14</f>
        <v>34.6717915247526</v>
      </c>
      <c r="N895" s="17" t="n">
        <f aca="false">(N894*13+L895)/14</f>
        <v>8.73611010972736</v>
      </c>
      <c r="O895" s="17" t="n">
        <f aca="false">IF(N895=0,100,100-100/(1+M895/N895))</f>
        <v>79.8743782104684</v>
      </c>
      <c r="P895" s="17" t="n">
        <f aca="false">AVERAGE(B876:B895)+2*STDEV(B876:B895)</f>
        <v>9292.45956768634</v>
      </c>
      <c r="Q895" s="17" t="n">
        <f aca="false">AVERAGE(B876:B895)-2*STDEV(B876:B895)</f>
        <v>8600.73943231366</v>
      </c>
      <c r="R895" s="19" t="n">
        <f aca="false">B895/B875-1</f>
        <v>0.0599090847411627</v>
      </c>
      <c r="S895" s="17" t="n">
        <f aca="false">STDEV(C876:C895)*SQRT(252)*100</f>
        <v>10.093411262864</v>
      </c>
      <c r="T895" s="19" t="n">
        <f aca="false">B874/B644-1</f>
        <v>0.294804216305734</v>
      </c>
      <c r="U895" s="19" t="n">
        <f aca="false">B895/MAX(B644:B895)-1</f>
        <v>0</v>
      </c>
      <c r="V895" s="17" t="n">
        <f aca="false">(B895-AVERAGE(B876:B895))/STDEV(B876:B895)</f>
        <v>1.56352539805322</v>
      </c>
    </row>
    <row r="896" customFormat="false" ht="15" hidden="false" customHeight="false" outlineLevel="0" collapsed="false">
      <c r="A896" s="17" t="s">
        <v>1460</v>
      </c>
      <c r="B896" s="17" t="n">
        <v>9141.47</v>
      </c>
      <c r="C896" s="19" t="n">
        <f aca="false">B896/B895-1</f>
        <v>-0.00819248821197405</v>
      </c>
      <c r="D896" s="17" t="n">
        <f aca="false">AVERAGE(B847:B896)</f>
        <v>8632.962</v>
      </c>
      <c r="E896" s="17" t="n">
        <f aca="false">AVERAGE(B697:B896)</f>
        <v>7951.6444</v>
      </c>
      <c r="F896" s="17" t="n">
        <f aca="false">B896*2/13+F895*11/13</f>
        <v>9076.82727955652</v>
      </c>
      <c r="G896" s="17" t="n">
        <f aca="false">B896*2/27+G895*25/27</f>
        <v>8909.36816887303</v>
      </c>
      <c r="H896" s="17" t="n">
        <f aca="false">F896-G896</f>
        <v>167.459110683498</v>
      </c>
      <c r="I896" s="17" t="n">
        <f aca="false">H896*2/10+I895*8/10</f>
        <v>163.945043990156</v>
      </c>
      <c r="J896" s="17" t="n">
        <f aca="false">H896-I896</f>
        <v>3.51406669334199</v>
      </c>
      <c r="K896" s="17" t="n">
        <f aca="false">MAX(B896-B895,0)</f>
        <v>0</v>
      </c>
      <c r="L896" s="17" t="n">
        <f aca="false">MAX(B895-B896,0)</f>
        <v>75.5100000000002</v>
      </c>
      <c r="M896" s="17" t="n">
        <f aca="false">(M895*13+K896)/14</f>
        <v>32.1952349872703</v>
      </c>
      <c r="N896" s="17" t="n">
        <f aca="false">(N895*13+L896)/14</f>
        <v>13.5056736733183</v>
      </c>
      <c r="O896" s="17" t="n">
        <f aca="false">IF(N896=0,100,100-100/(1+M896/N896))</f>
        <v>70.447691152878</v>
      </c>
      <c r="P896" s="17" t="n">
        <f aca="false">AVERAGE(B877:B896)+2*STDEV(B877:B896)</f>
        <v>9304.4122894066</v>
      </c>
      <c r="Q896" s="17" t="n">
        <f aca="false">AVERAGE(B877:B896)-2*STDEV(B877:B896)</f>
        <v>8632.9827105934</v>
      </c>
      <c r="R896" s="19" t="n">
        <f aca="false">B896/B876-1</f>
        <v>0.0508028613105795</v>
      </c>
      <c r="S896" s="17" t="n">
        <f aca="false">STDEV(C877:C896)*SQRT(252)*100</f>
        <v>10.8144971950262</v>
      </c>
      <c r="T896" s="19" t="n">
        <f aca="false">B875/B645-1</f>
        <v>0.281204649223484</v>
      </c>
      <c r="U896" s="19" t="n">
        <f aca="false">B896/MAX(B645:B896)-1</f>
        <v>-0.00819248821197405</v>
      </c>
      <c r="V896" s="17" t="n">
        <f aca="false">(B896-AVERAGE(B877:B896))/STDEV(B877:B896)</f>
        <v>1.02928143443064</v>
      </c>
    </row>
    <row r="897" customFormat="false" ht="15" hidden="false" customHeight="false" outlineLevel="0" collapsed="false">
      <c r="A897" s="17" t="s">
        <v>1461</v>
      </c>
      <c r="B897" s="17" t="n">
        <v>8952.18</v>
      </c>
      <c r="C897" s="19" t="n">
        <f aca="false">B897/B896-1</f>
        <v>-0.0207067353500038</v>
      </c>
      <c r="D897" s="17" t="n">
        <f aca="false">AVERAGE(B848:B897)</f>
        <v>8646.7298</v>
      </c>
      <c r="E897" s="17" t="n">
        <f aca="false">AVERAGE(B698:B897)</f>
        <v>7958.34785</v>
      </c>
      <c r="F897" s="17" t="n">
        <f aca="false">B897*2/13+F896*11/13</f>
        <v>9057.65077500937</v>
      </c>
      <c r="G897" s="17" t="n">
        <f aca="false">B897*2/27+G896*25/27</f>
        <v>8912.53941562317</v>
      </c>
      <c r="H897" s="17" t="n">
        <f aca="false">F897-G897</f>
        <v>145.111359386194</v>
      </c>
      <c r="I897" s="17" t="n">
        <f aca="false">H897*2/10+I896*8/10</f>
        <v>160.178307069363</v>
      </c>
      <c r="J897" s="17" t="n">
        <f aca="false">H897-I897</f>
        <v>-15.0669476831697</v>
      </c>
      <c r="K897" s="17" t="n">
        <f aca="false">MAX(B897-B896,0)</f>
        <v>0</v>
      </c>
      <c r="L897" s="17" t="n">
        <f aca="false">MAX(B896-B897,0)</f>
        <v>189.289999999999</v>
      </c>
      <c r="M897" s="17" t="n">
        <f aca="false">(M896*13+K897)/14</f>
        <v>29.8955753453224</v>
      </c>
      <c r="N897" s="17" t="n">
        <f aca="false">(N896*13+L897)/14</f>
        <v>26.0616969823669</v>
      </c>
      <c r="O897" s="17" t="n">
        <f aca="false">IF(N897=0,100,100-100/(1+M897/N897))</f>
        <v>53.4257194851315</v>
      </c>
      <c r="P897" s="17" t="n">
        <f aca="false">AVERAGE(B878:B897)+2*STDEV(B878:B897)</f>
        <v>9301.13875202796</v>
      </c>
      <c r="Q897" s="17" t="n">
        <f aca="false">AVERAGE(B878:B897)-2*STDEV(B878:B897)</f>
        <v>8653.64324797204</v>
      </c>
      <c r="R897" s="19" t="n">
        <f aca="false">B897/B877-1</f>
        <v>0.0198067737411871</v>
      </c>
      <c r="S897" s="17" t="n">
        <f aca="false">STDEV(C878:C897)*SQRT(252)*100</f>
        <v>13.2975612102911</v>
      </c>
      <c r="T897" s="19" t="n">
        <f aca="false">B876/B646-1</f>
        <v>0.298998520252826</v>
      </c>
      <c r="U897" s="19" t="n">
        <f aca="false">B897/MAX(B646:B897)-1</f>
        <v>-0.0287295838767144</v>
      </c>
      <c r="V897" s="17" t="n">
        <f aca="false">(B897-AVERAGE(B878:B897))/STDEV(B878:B897)</f>
        <v>-0.155744710763718</v>
      </c>
    </row>
    <row r="898" customFormat="false" ht="15" hidden="false" customHeight="false" outlineLevel="0" collapsed="false">
      <c r="A898" s="17" t="s">
        <v>1462</v>
      </c>
      <c r="B898" s="17" t="n">
        <v>9090.93</v>
      </c>
      <c r="C898" s="19" t="n">
        <f aca="false">B898/B897-1</f>
        <v>0.0154990181162578</v>
      </c>
      <c r="D898" s="17" t="n">
        <f aca="false">AVERAGE(B849:B898)</f>
        <v>8663.3522</v>
      </c>
      <c r="E898" s="17" t="n">
        <f aca="false">AVERAGE(B699:B898)</f>
        <v>7965.82805</v>
      </c>
      <c r="F898" s="17" t="n">
        <f aca="false">B898*2/13+F897*11/13</f>
        <v>9062.77065577716</v>
      </c>
      <c r="G898" s="17" t="n">
        <f aca="false">B898*2/27+G897*25/27</f>
        <v>8925.75353298442</v>
      </c>
      <c r="H898" s="17" t="n">
        <f aca="false">F898-G898</f>
        <v>137.017122792737</v>
      </c>
      <c r="I898" s="17" t="n">
        <f aca="false">H898*2/10+I897*8/10</f>
        <v>155.546070214038</v>
      </c>
      <c r="J898" s="17" t="n">
        <f aca="false">H898-I898</f>
        <v>-18.5289474213014</v>
      </c>
      <c r="K898" s="17" t="n">
        <f aca="false">MAX(B898-B897,0)</f>
        <v>138.75</v>
      </c>
      <c r="L898" s="17" t="n">
        <f aca="false">MAX(B897-B898,0)</f>
        <v>0</v>
      </c>
      <c r="M898" s="17" t="n">
        <f aca="false">(M897*13+K898)/14</f>
        <v>37.6708913920851</v>
      </c>
      <c r="N898" s="17" t="n">
        <f aca="false">(N897*13+L898)/14</f>
        <v>24.2001471979121</v>
      </c>
      <c r="O898" s="17" t="n">
        <f aca="false">IF(N898=0,100,100-100/(1+M898/N898))</f>
        <v>60.886146815346</v>
      </c>
      <c r="P898" s="17" t="n">
        <f aca="false">AVERAGE(B879:B898)+2*STDEV(B879:B898)</f>
        <v>9305.60539035365</v>
      </c>
      <c r="Q898" s="17" t="n">
        <f aca="false">AVERAGE(B879:B898)-2*STDEV(B879:B898)</f>
        <v>8681.17160964635</v>
      </c>
      <c r="R898" s="19" t="n">
        <f aca="false">B898/B878-1</f>
        <v>0.0364782498648955</v>
      </c>
      <c r="S898" s="17" t="n">
        <f aca="false">STDEV(C879:C898)*SQRT(252)*100</f>
        <v>14.2277263705846</v>
      </c>
      <c r="T898" s="19" t="n">
        <f aca="false">B877/B647-1</f>
        <v>0.323471721553072</v>
      </c>
      <c r="U898" s="19" t="n">
        <f aca="false">B898/MAX(B647:B898)-1</f>
        <v>-0.0136758461014345</v>
      </c>
      <c r="V898" s="17" t="n">
        <f aca="false">(B898-AVERAGE(B879:B898))/STDEV(B879:B898)</f>
        <v>0.624831666791084</v>
      </c>
    </row>
    <row r="899" customFormat="false" ht="15" hidden="false" customHeight="false" outlineLevel="0" collapsed="false">
      <c r="A899" s="17" t="s">
        <v>1463</v>
      </c>
      <c r="B899" s="17" t="n">
        <v>9101.61</v>
      </c>
      <c r="C899" s="19" t="n">
        <f aca="false">B899/B898-1</f>
        <v>0.00117479729796632</v>
      </c>
      <c r="D899" s="17" t="n">
        <f aca="false">AVERAGE(B850:B899)</f>
        <v>8680.2278</v>
      </c>
      <c r="E899" s="17" t="n">
        <f aca="false">AVERAGE(B700:B899)</f>
        <v>7973.19535</v>
      </c>
      <c r="F899" s="17" t="n">
        <f aca="false">B899*2/13+F898*11/13</f>
        <v>9068.74593950375</v>
      </c>
      <c r="G899" s="17" t="n">
        <f aca="false">B899*2/27+G898*25/27</f>
        <v>8938.77993794854</v>
      </c>
      <c r="H899" s="17" t="n">
        <f aca="false">F899-G899</f>
        <v>129.966001555211</v>
      </c>
      <c r="I899" s="17" t="n">
        <f aca="false">H899*2/10+I898*8/10</f>
        <v>150.430056482273</v>
      </c>
      <c r="J899" s="17" t="n">
        <f aca="false">H899-I899</f>
        <v>-20.4640549270618</v>
      </c>
      <c r="K899" s="17" t="n">
        <f aca="false">MAX(B899-B898,0)</f>
        <v>10.6800000000003</v>
      </c>
      <c r="L899" s="17" t="n">
        <f aca="false">MAX(B898-B899,0)</f>
        <v>0</v>
      </c>
      <c r="M899" s="17" t="n">
        <f aca="false">(M898*13+K899)/14</f>
        <v>35.7429705783648</v>
      </c>
      <c r="N899" s="17" t="n">
        <f aca="false">(N898*13+L899)/14</f>
        <v>22.4715652552041</v>
      </c>
      <c r="O899" s="17" t="n">
        <f aca="false">IF(N899=0,100,100-100/(1+M899/N899))</f>
        <v>61.3987040634513</v>
      </c>
      <c r="P899" s="17" t="n">
        <f aca="false">AVERAGE(B880:B899)+2*STDEV(B880:B899)</f>
        <v>9298.2702912325</v>
      </c>
      <c r="Q899" s="17" t="n">
        <f aca="false">AVERAGE(B880:B899)-2*STDEV(B880:B899)</f>
        <v>8727.69470876751</v>
      </c>
      <c r="R899" s="19" t="n">
        <f aca="false">B899/B879-1</f>
        <v>0.044993358003061</v>
      </c>
      <c r="S899" s="17" t="n">
        <f aca="false">STDEV(C880:C899)*SQRT(252)*100</f>
        <v>13.8469894649546</v>
      </c>
      <c r="T899" s="19" t="n">
        <f aca="false">B878/B648-1</f>
        <v>0.28835134424515</v>
      </c>
      <c r="U899" s="19" t="n">
        <f aca="false">B899/MAX(B648:B899)-1</f>
        <v>-0.0125171151505156</v>
      </c>
      <c r="V899" s="17" t="n">
        <f aca="false">(B899-AVERAGE(B880:B899))/STDEV(B880:B899)</f>
        <v>0.621319963375325</v>
      </c>
    </row>
    <row r="900" customFormat="false" ht="15" hidden="false" customHeight="false" outlineLevel="0" collapsed="false">
      <c r="A900" s="17" t="s">
        <v>1464</v>
      </c>
      <c r="B900" s="17" t="n">
        <v>9136.09</v>
      </c>
      <c r="C900" s="19" t="n">
        <f aca="false">B900/B899-1</f>
        <v>0.00378834074411016</v>
      </c>
      <c r="D900" s="17" t="n">
        <f aca="false">AVERAGE(B851:B900)</f>
        <v>8696.6392</v>
      </c>
      <c r="E900" s="17" t="n">
        <f aca="false">AVERAGE(B701:B900)</f>
        <v>7980.7302</v>
      </c>
      <c r="F900" s="17" t="n">
        <f aca="false">B900*2/13+F899*11/13</f>
        <v>9079.10656419548</v>
      </c>
      <c r="G900" s="17" t="n">
        <f aca="false">B900*2/27+G899*25/27</f>
        <v>8953.3954981005</v>
      </c>
      <c r="H900" s="17" t="n">
        <f aca="false">F900-G900</f>
        <v>125.711066094982</v>
      </c>
      <c r="I900" s="17" t="n">
        <f aca="false">H900*2/10+I899*8/10</f>
        <v>145.486258404815</v>
      </c>
      <c r="J900" s="17" t="n">
        <f aca="false">H900-I900</f>
        <v>-19.7751923098325</v>
      </c>
      <c r="K900" s="17" t="n">
        <f aca="false">MAX(B900-B899,0)</f>
        <v>34.4799999999996</v>
      </c>
      <c r="L900" s="17" t="n">
        <f aca="false">MAX(B899-B900,0)</f>
        <v>0</v>
      </c>
      <c r="M900" s="17" t="n">
        <f aca="false">(M899*13+K900)/14</f>
        <v>35.6527583941958</v>
      </c>
      <c r="N900" s="17" t="n">
        <f aca="false">(N899*13+L900)/14</f>
        <v>20.866453451261</v>
      </c>
      <c r="O900" s="17" t="n">
        <f aca="false">IF(N900=0,100,100-100/(1+M900/N900))</f>
        <v>63.0807777215346</v>
      </c>
      <c r="P900" s="17" t="n">
        <f aca="false">AVERAGE(B881:B900)+2*STDEV(B881:B900)</f>
        <v>9290.7670753924</v>
      </c>
      <c r="Q900" s="17" t="n">
        <f aca="false">AVERAGE(B881:B900)-2*STDEV(B881:B900)</f>
        <v>8775.4999246076</v>
      </c>
      <c r="R900" s="19" t="n">
        <f aca="false">B900/B880-1</f>
        <v>0.0461487197514734</v>
      </c>
      <c r="S900" s="17" t="n">
        <f aca="false">STDEV(C881:C900)*SQRT(252)*100</f>
        <v>13.8572555918747</v>
      </c>
      <c r="T900" s="19" t="n">
        <f aca="false">B879/B649-1</f>
        <v>0.261029645974136</v>
      </c>
      <c r="U900" s="19" t="n">
        <f aca="false">B900/MAX(B649:B900)-1</f>
        <v>-0.00877619350372894</v>
      </c>
      <c r="V900" s="17" t="n">
        <f aca="false">(B900-AVERAGE(B881:B900))/STDEV(B881:B900)</f>
        <v>0.799247534745316</v>
      </c>
    </row>
    <row r="901" customFormat="false" ht="15" hidden="false" customHeight="false" outlineLevel="0" collapsed="false">
      <c r="A901" s="17" t="s">
        <v>1465</v>
      </c>
      <c r="B901" s="17" t="n">
        <v>8991.51</v>
      </c>
      <c r="C901" s="19" t="n">
        <f aca="false">B901/B900-1</f>
        <v>-0.015825150584112</v>
      </c>
      <c r="D901" s="17" t="n">
        <f aca="false">AVERAGE(B852:B901)</f>
        <v>8709.8998</v>
      </c>
      <c r="E901" s="17" t="n">
        <f aca="false">AVERAGE(B702:B901)</f>
        <v>7987.4141</v>
      </c>
      <c r="F901" s="17" t="n">
        <f aca="false">B901*2/13+F900*11/13</f>
        <v>9065.63016970387</v>
      </c>
      <c r="G901" s="17" t="n">
        <f aca="false">B901*2/27+G900*25/27</f>
        <v>8956.2187945375</v>
      </c>
      <c r="H901" s="17" t="n">
        <f aca="false">F901-G901</f>
        <v>109.41137516637</v>
      </c>
      <c r="I901" s="17" t="n">
        <f aca="false">H901*2/10+I900*8/10</f>
        <v>138.271281757126</v>
      </c>
      <c r="J901" s="17" t="n">
        <f aca="false">H901-I901</f>
        <v>-28.8599065907557</v>
      </c>
      <c r="K901" s="17" t="n">
        <f aca="false">MAX(B901-B900,0)</f>
        <v>0</v>
      </c>
      <c r="L901" s="17" t="n">
        <f aca="false">MAX(B900-B901,0)</f>
        <v>144.58</v>
      </c>
      <c r="M901" s="17" t="n">
        <f aca="false">(M900*13+K901)/14</f>
        <v>33.1061327946104</v>
      </c>
      <c r="N901" s="17" t="n">
        <f aca="false">(N900*13+L901)/14</f>
        <v>29.7031353475995</v>
      </c>
      <c r="O901" s="17" t="n">
        <f aca="false">IF(N901=0,100,100-100/(1+M901/N901))</f>
        <v>52.708993073527</v>
      </c>
      <c r="P901" s="17" t="n">
        <f aca="false">AVERAGE(B882:B901)+2*STDEV(B882:B901)</f>
        <v>9286.36065051773</v>
      </c>
      <c r="Q901" s="17" t="n">
        <f aca="false">AVERAGE(B882:B901)-2*STDEV(B882:B901)</f>
        <v>8791.83534948227</v>
      </c>
      <c r="R901" s="19" t="n">
        <f aca="false">B901/B881-1</f>
        <v>0.01344533837078</v>
      </c>
      <c r="S901" s="17" t="n">
        <f aca="false">STDEV(C882:C901)*SQRT(252)*100</f>
        <v>14.2901424041382</v>
      </c>
      <c r="T901" s="19" t="n">
        <f aca="false">B880/B650-1</f>
        <v>0.270168656334357</v>
      </c>
      <c r="U901" s="19" t="n">
        <f aca="false">B901/MAX(B650:B901)-1</f>
        <v>-0.0244624595040891</v>
      </c>
      <c r="V901" s="17" t="n">
        <f aca="false">(B901-AVERAGE(B882:B901))/STDEV(B882:B901)</f>
        <v>-0.384918627219744</v>
      </c>
    </row>
    <row r="902" customFormat="false" ht="15" hidden="false" customHeight="false" outlineLevel="0" collapsed="false">
      <c r="A902" s="17" t="s">
        <v>1466</v>
      </c>
      <c r="B902" s="17" t="n">
        <v>9126.23</v>
      </c>
      <c r="C902" s="19" t="n">
        <f aca="false">B902/B901-1</f>
        <v>0.0149830228737997</v>
      </c>
      <c r="D902" s="17" t="n">
        <f aca="false">AVERAGE(B853:B902)</f>
        <v>8725.6496</v>
      </c>
      <c r="E902" s="17" t="n">
        <f aca="false">AVERAGE(B703:B902)</f>
        <v>7994.64165</v>
      </c>
      <c r="F902" s="17" t="n">
        <f aca="false">B902*2/13+F901*11/13</f>
        <v>9074.95322051866</v>
      </c>
      <c r="G902" s="17" t="n">
        <f aca="false">B902*2/27+G901*25/27</f>
        <v>8968.81221716435</v>
      </c>
      <c r="H902" s="17" t="n">
        <f aca="false">F902-G902</f>
        <v>106.141003354309</v>
      </c>
      <c r="I902" s="17" t="n">
        <f aca="false">H902*2/10+I901*8/10</f>
        <v>131.845226076562</v>
      </c>
      <c r="J902" s="17" t="n">
        <f aca="false">H902-I902</f>
        <v>-25.7042227222534</v>
      </c>
      <c r="K902" s="17" t="n">
        <f aca="false">MAX(B902-B901,0)</f>
        <v>134.719999999999</v>
      </c>
      <c r="L902" s="17" t="n">
        <f aca="false">MAX(B901-B902,0)</f>
        <v>0</v>
      </c>
      <c r="M902" s="17" t="n">
        <f aca="false">(M901*13+K902)/14</f>
        <v>40.3642661664239</v>
      </c>
      <c r="N902" s="17" t="n">
        <f aca="false">(N901*13+L902)/14</f>
        <v>27.5814828227709</v>
      </c>
      <c r="O902" s="17" t="n">
        <f aca="false">IF(N902=0,100,100-100/(1+M902/N902))</f>
        <v>59.4066100777591</v>
      </c>
      <c r="P902" s="17" t="n">
        <f aca="false">AVERAGE(B883:B902)+2*STDEV(B883:B902)</f>
        <v>9276.88704607159</v>
      </c>
      <c r="Q902" s="17" t="n">
        <f aca="false">AVERAGE(B883:B902)-2*STDEV(B883:B902)</f>
        <v>8834.54195392841</v>
      </c>
      <c r="R902" s="19" t="n">
        <f aca="false">B902/B882-1</f>
        <v>0.0377909687396945</v>
      </c>
      <c r="S902" s="17" t="n">
        <f aca="false">STDEV(C883:C902)*SQRT(252)*100</f>
        <v>14.6773444150913</v>
      </c>
      <c r="T902" s="19" t="n">
        <f aca="false">B881/B651-1</f>
        <v>0.274751579032063</v>
      </c>
      <c r="U902" s="19" t="n">
        <f aca="false">B902/MAX(B651:B902)-1</f>
        <v>-0.00984595822058854</v>
      </c>
      <c r="V902" s="17" t="n">
        <f aca="false">(B902-AVERAGE(B883:B902))/STDEV(B883:B902)</f>
        <v>0.637651473950795</v>
      </c>
    </row>
    <row r="903" customFormat="false" ht="15" hidden="false" customHeight="false" outlineLevel="0" collapsed="false">
      <c r="A903" s="17" t="s">
        <v>1467</v>
      </c>
      <c r="B903" s="17" t="n">
        <v>9334.06</v>
      </c>
      <c r="C903" s="19" t="n">
        <f aca="false">B903/B902-1</f>
        <v>0.022772820759503</v>
      </c>
      <c r="D903" s="17" t="n">
        <f aca="false">AVERAGE(B854:B903)</f>
        <v>8746.6558</v>
      </c>
      <c r="E903" s="17" t="n">
        <f aca="false">AVERAGE(B704:B903)</f>
        <v>8002.86335</v>
      </c>
      <c r="F903" s="17" t="n">
        <f aca="false">B903*2/13+F902*11/13</f>
        <v>9114.81580197733</v>
      </c>
      <c r="G903" s="17" t="n">
        <f aca="false">B903*2/27+G902*25/27</f>
        <v>8995.86760848551</v>
      </c>
      <c r="H903" s="17" t="n">
        <f aca="false">F903-G903</f>
        <v>118.948193491819</v>
      </c>
      <c r="I903" s="17" t="n">
        <f aca="false">H903*2/10+I902*8/10</f>
        <v>129.265819559614</v>
      </c>
      <c r="J903" s="17" t="n">
        <f aca="false">H903-I903</f>
        <v>-10.317626067795</v>
      </c>
      <c r="K903" s="17" t="n">
        <f aca="false">MAX(B903-B902,0)</f>
        <v>207.83</v>
      </c>
      <c r="L903" s="17" t="n">
        <f aca="false">MAX(B902-B903,0)</f>
        <v>0</v>
      </c>
      <c r="M903" s="17" t="n">
        <f aca="false">(M902*13+K903)/14</f>
        <v>52.3261042973936</v>
      </c>
      <c r="N903" s="17" t="n">
        <f aca="false">(N902*13+L903)/14</f>
        <v>25.6113769068587</v>
      </c>
      <c r="O903" s="17" t="n">
        <f aca="false">IF(N903=0,100,100-100/(1+M903/N903))</f>
        <v>67.1385622025192</v>
      </c>
      <c r="P903" s="17" t="n">
        <f aca="false">AVERAGE(B884:B903)+2*STDEV(B884:B903)</f>
        <v>9311.7428885066</v>
      </c>
      <c r="Q903" s="17" t="n">
        <f aca="false">AVERAGE(B884:B903)-2*STDEV(B884:B903)</f>
        <v>8848.2401114934</v>
      </c>
      <c r="R903" s="19" t="n">
        <f aca="false">B903/B883-1</f>
        <v>0.0548724532464184</v>
      </c>
      <c r="S903" s="17" t="n">
        <f aca="false">STDEV(C884:C903)*SQRT(252)*100</f>
        <v>16.399300575231</v>
      </c>
      <c r="T903" s="19" t="n">
        <f aca="false">B882/B652-1</f>
        <v>0.252064491878716</v>
      </c>
      <c r="U903" s="19" t="n">
        <f aca="false">B903/MAX(B652:B903)-1</f>
        <v>0</v>
      </c>
      <c r="V903" s="17" t="n">
        <f aca="false">(B903-AVERAGE(B884:B903))/STDEV(B884:B903)</f>
        <v>2.19259527752745</v>
      </c>
    </row>
    <row r="904" customFormat="false" ht="15" hidden="false" customHeight="false" outlineLevel="0" collapsed="false">
      <c r="A904" s="17" t="s">
        <v>1468</v>
      </c>
      <c r="B904" s="17" t="n">
        <v>9367.48</v>
      </c>
      <c r="C904" s="19" t="n">
        <f aca="false">B904/B903-1</f>
        <v>0.00358043552323428</v>
      </c>
      <c r="D904" s="17" t="n">
        <f aca="false">AVERAGE(B855:B904)</f>
        <v>8768.693</v>
      </c>
      <c r="E904" s="17" t="n">
        <f aca="false">AVERAGE(B705:B904)</f>
        <v>8011.1333</v>
      </c>
      <c r="F904" s="17" t="n">
        <f aca="false">B904*2/13+F903*11/13</f>
        <v>9153.68721705774</v>
      </c>
      <c r="G904" s="17" t="n">
        <f aca="false">B904*2/27+G903*25/27</f>
        <v>9023.3944523014</v>
      </c>
      <c r="H904" s="17" t="n">
        <f aca="false">F904-G904</f>
        <v>130.292764756341</v>
      </c>
      <c r="I904" s="17" t="n">
        <f aca="false">H904*2/10+I903*8/10</f>
        <v>129.471208598959</v>
      </c>
      <c r="J904" s="17" t="n">
        <f aca="false">H904-I904</f>
        <v>0.821556157382048</v>
      </c>
      <c r="K904" s="17" t="n">
        <f aca="false">MAX(B904-B903,0)</f>
        <v>33.4200000000001</v>
      </c>
      <c r="L904" s="17" t="n">
        <f aca="false">MAX(B903-B904,0)</f>
        <v>0</v>
      </c>
      <c r="M904" s="17" t="n">
        <f aca="false">(M903*13+K904)/14</f>
        <v>50.9756682761512</v>
      </c>
      <c r="N904" s="17" t="n">
        <f aca="false">(N903*13+L904)/14</f>
        <v>23.7819928420831</v>
      </c>
      <c r="O904" s="17" t="n">
        <f aca="false">IF(N904=0,100,100-100/(1+M904/N904))</f>
        <v>68.1878853801081</v>
      </c>
      <c r="P904" s="17" t="n">
        <f aca="false">AVERAGE(B885:B904)+2*STDEV(B885:B904)</f>
        <v>9344.30457506316</v>
      </c>
      <c r="Q904" s="17" t="n">
        <f aca="false">AVERAGE(B885:B904)-2*STDEV(B885:B904)</f>
        <v>8867.78142493684</v>
      </c>
      <c r="R904" s="19" t="n">
        <f aca="false">B904/B884-1</f>
        <v>0.0588970717067296</v>
      </c>
      <c r="S904" s="17" t="n">
        <f aca="false">STDEV(C885:C904)*SQRT(252)*100</f>
        <v>16.3638669846959</v>
      </c>
      <c r="T904" s="19" t="n">
        <f aca="false">B883/B653-1</f>
        <v>0.264504217148116</v>
      </c>
      <c r="U904" s="19" t="n">
        <f aca="false">B904/MAX(B653:B904)-1</f>
        <v>0</v>
      </c>
      <c r="V904" s="17" t="n">
        <f aca="false">(B904-AVERAGE(B885:B904))/STDEV(B885:B904)</f>
        <v>2.19453766248875</v>
      </c>
    </row>
    <row r="905" customFormat="false" ht="15" hidden="false" customHeight="false" outlineLevel="0" collapsed="false">
      <c r="A905" s="17" t="s">
        <v>1469</v>
      </c>
      <c r="B905" s="17" t="n">
        <v>9445.92</v>
      </c>
      <c r="C905" s="19" t="n">
        <f aca="false">B905/B904-1</f>
        <v>0.00837365011721403</v>
      </c>
      <c r="D905" s="17" t="n">
        <f aca="false">AVERAGE(B856:B905)</f>
        <v>8792.1704</v>
      </c>
      <c r="E905" s="17" t="n">
        <f aca="false">AVERAGE(B706:B905)</f>
        <v>8019.30935</v>
      </c>
      <c r="F905" s="17" t="n">
        <f aca="false">B905*2/13+F904*11/13</f>
        <v>9198.64610674116</v>
      </c>
      <c r="G905" s="17" t="n">
        <f aca="false">B905*2/27+G904*25/27</f>
        <v>9054.69264101981</v>
      </c>
      <c r="H905" s="17" t="n">
        <f aca="false">F905-G905</f>
        <v>143.95346572135</v>
      </c>
      <c r="I905" s="17" t="n">
        <f aca="false">H905*2/10+I904*8/10</f>
        <v>132.367660023437</v>
      </c>
      <c r="J905" s="17" t="n">
        <f aca="false">H905-I905</f>
        <v>11.5858056979127</v>
      </c>
      <c r="K905" s="17" t="n">
        <f aca="false">MAX(B905-B904,0)</f>
        <v>78.4400000000005</v>
      </c>
      <c r="L905" s="17" t="n">
        <f aca="false">MAX(B904-B905,0)</f>
        <v>0</v>
      </c>
      <c r="M905" s="17" t="n">
        <f aca="false">(M904*13+K905)/14</f>
        <v>52.9374062564262</v>
      </c>
      <c r="N905" s="17" t="n">
        <f aca="false">(N904*13+L905)/14</f>
        <v>22.0832790676486</v>
      </c>
      <c r="O905" s="17" t="n">
        <f aca="false">IF(N905=0,100,100-100/(1+M905/N905))</f>
        <v>70.5637465556958</v>
      </c>
      <c r="P905" s="17" t="n">
        <f aca="false">AVERAGE(B886:B905)+2*STDEV(B886:B905)</f>
        <v>9397.66304006442</v>
      </c>
      <c r="Q905" s="17" t="n">
        <f aca="false">AVERAGE(B886:B905)-2*STDEV(B886:B905)</f>
        <v>8867.77795993557</v>
      </c>
      <c r="R905" s="19" t="n">
        <f aca="false">B905/B885-1</f>
        <v>0.0598662308678835</v>
      </c>
      <c r="S905" s="17" t="n">
        <f aca="false">STDEV(C886:C905)*SQRT(252)*100</f>
        <v>16.4009952020109</v>
      </c>
      <c r="T905" s="19" t="n">
        <f aca="false">B884/B654-1</f>
        <v>0.28116953271407</v>
      </c>
      <c r="U905" s="19" t="n">
        <f aca="false">B905/MAX(B654:B905)-1</f>
        <v>0</v>
      </c>
      <c r="V905" s="17" t="n">
        <f aca="false">(B905-AVERAGE(B886:B905))/STDEV(B886:B905)</f>
        <v>2.36428245855755</v>
      </c>
    </row>
    <row r="906" customFormat="false" ht="15" hidden="false" customHeight="false" outlineLevel="0" collapsed="false">
      <c r="A906" s="17" t="s">
        <v>1470</v>
      </c>
      <c r="B906" s="17" t="n">
        <v>9401.1</v>
      </c>
      <c r="C906" s="19" t="n">
        <f aca="false">B906/B905-1</f>
        <v>-0.00474490573708009</v>
      </c>
      <c r="D906" s="17" t="n">
        <f aca="false">AVERAGE(B857:B906)</f>
        <v>8812.7538</v>
      </c>
      <c r="E906" s="17" t="n">
        <f aca="false">AVERAGE(B707:B906)</f>
        <v>8027.3928</v>
      </c>
      <c r="F906" s="17" t="n">
        <f aca="false">B906*2/13+F905*11/13</f>
        <v>9229.79285955021</v>
      </c>
      <c r="G906" s="17" t="n">
        <f aca="false">B906*2/27+G905*25/27</f>
        <v>9080.35244538872</v>
      </c>
      <c r="H906" s="17" t="n">
        <f aca="false">F906-G906</f>
        <v>149.4404141615</v>
      </c>
      <c r="I906" s="17" t="n">
        <f aca="false">H906*2/10+I905*8/10</f>
        <v>135.78221085105</v>
      </c>
      <c r="J906" s="17" t="n">
        <f aca="false">H906-I906</f>
        <v>13.6582033104499</v>
      </c>
      <c r="K906" s="17" t="n">
        <f aca="false">MAX(B906-B905,0)</f>
        <v>0</v>
      </c>
      <c r="L906" s="17" t="n">
        <f aca="false">MAX(B905-B906,0)</f>
        <v>44.8199999999997</v>
      </c>
      <c r="M906" s="17" t="n">
        <f aca="false">(M905*13+K906)/14</f>
        <v>49.1561629523957</v>
      </c>
      <c r="N906" s="17" t="n">
        <f aca="false">(N905*13+L906)/14</f>
        <v>23.7073305628165</v>
      </c>
      <c r="O906" s="17" t="n">
        <f aca="false">IF(N906=0,100,100-100/(1+M906/N906))</f>
        <v>67.4633627635944</v>
      </c>
      <c r="P906" s="17" t="n">
        <f aca="false">AVERAGE(B887:B906)+2*STDEV(B887:B906)</f>
        <v>9434.83539532225</v>
      </c>
      <c r="Q906" s="17" t="n">
        <f aca="false">AVERAGE(B887:B906)-2*STDEV(B887:B906)</f>
        <v>8871.75260467775</v>
      </c>
      <c r="R906" s="19" t="n">
        <f aca="false">B906/B886-1</f>
        <v>0.04577162797579</v>
      </c>
      <c r="S906" s="17" t="n">
        <f aca="false">STDEV(C887:C906)*SQRT(252)*100</f>
        <v>16.4729467162389</v>
      </c>
      <c r="T906" s="19" t="n">
        <f aca="false">B885/B655-1</f>
        <v>0.289194619513882</v>
      </c>
      <c r="U906" s="19" t="n">
        <f aca="false">B906/MAX(B655:B906)-1</f>
        <v>-0.00474490573708009</v>
      </c>
      <c r="V906" s="17" t="n">
        <f aca="false">(B906-AVERAGE(B887:B906))/STDEV(B887:B906)</f>
        <v>1.76035214797712</v>
      </c>
    </row>
    <row r="907" customFormat="false" ht="15" hidden="false" customHeight="false" outlineLevel="0" collapsed="false">
      <c r="A907" s="17" t="s">
        <v>1471</v>
      </c>
      <c r="B907" s="17" t="n">
        <v>9516.84</v>
      </c>
      <c r="C907" s="19" t="n">
        <f aca="false">B907/B906-1</f>
        <v>0.012311325270447</v>
      </c>
      <c r="D907" s="17" t="n">
        <f aca="false">AVERAGE(B858:B907)</f>
        <v>8835.3756</v>
      </c>
      <c r="E907" s="17" t="n">
        <f aca="false">AVERAGE(B708:B907)</f>
        <v>8035.8924</v>
      </c>
      <c r="F907" s="17" t="n">
        <f aca="false">B907*2/13+F906*11/13</f>
        <v>9273.95395808095</v>
      </c>
      <c r="G907" s="17" t="n">
        <f aca="false">B907*2/27+G906*25/27</f>
        <v>9112.6848568414</v>
      </c>
      <c r="H907" s="17" t="n">
        <f aca="false">F907-G907</f>
        <v>161.269101239548</v>
      </c>
      <c r="I907" s="17" t="n">
        <f aca="false">H907*2/10+I906*8/10</f>
        <v>140.879588928749</v>
      </c>
      <c r="J907" s="17" t="n">
        <f aca="false">H907-I907</f>
        <v>20.3895123107987</v>
      </c>
      <c r="K907" s="17" t="n">
        <f aca="false">MAX(B907-B906,0)</f>
        <v>115.74</v>
      </c>
      <c r="L907" s="17" t="n">
        <f aca="false">MAX(B906-B907,0)</f>
        <v>0</v>
      </c>
      <c r="M907" s="17" t="n">
        <f aca="false">(M906*13+K907)/14</f>
        <v>53.9121513129389</v>
      </c>
      <c r="N907" s="17" t="n">
        <f aca="false">(N906*13+L907)/14</f>
        <v>22.0139498083296</v>
      </c>
      <c r="O907" s="17" t="n">
        <f aca="false">IF(N907=0,100,100-100/(1+M907/N907))</f>
        <v>71.0060842276503</v>
      </c>
      <c r="P907" s="17" t="n">
        <f aca="false">AVERAGE(B888:B907)+2*STDEV(B888:B907)</f>
        <v>9491.55906465111</v>
      </c>
      <c r="Q907" s="17" t="n">
        <f aca="false">AVERAGE(B888:B907)-2*STDEV(B888:B907)</f>
        <v>8870.04893534889</v>
      </c>
      <c r="R907" s="19" t="n">
        <f aca="false">B907/B887-1</f>
        <v>0.0613607772811222</v>
      </c>
      <c r="S907" s="17" t="n">
        <f aca="false">STDEV(C888:C907)*SQRT(252)*100</f>
        <v>16.7358810718545</v>
      </c>
      <c r="T907" s="19" t="n">
        <f aca="false">B886/B656-1</f>
        <v>0.301113880373648</v>
      </c>
      <c r="U907" s="19" t="n">
        <f aca="false">B907/MAX(B656:B907)-1</f>
        <v>0</v>
      </c>
      <c r="V907" s="17" t="n">
        <f aca="false">(B907-AVERAGE(B888:B907))/STDEV(B888:B907)</f>
        <v>2.16270650569942</v>
      </c>
    </row>
    <row r="908" customFormat="false" ht="15" hidden="false" customHeight="false" outlineLevel="0" collapsed="false">
      <c r="A908" s="17" t="s">
        <v>1472</v>
      </c>
      <c r="B908" s="17" t="n">
        <v>9517.86</v>
      </c>
      <c r="C908" s="19" t="n">
        <f aca="false">B908/B907-1</f>
        <v>0.000107178433177424</v>
      </c>
      <c r="D908" s="17" t="n">
        <f aca="false">AVERAGE(B859:B908)</f>
        <v>8856.8386</v>
      </c>
      <c r="E908" s="17" t="n">
        <f aca="false">AVERAGE(B709:B908)</f>
        <v>8044.3483</v>
      </c>
      <c r="F908" s="17" t="n">
        <f aca="false">B908*2/13+F907*11/13</f>
        <v>9311.47796453004</v>
      </c>
      <c r="G908" s="17" t="n">
        <f aca="false">B908*2/27+G907*25/27</f>
        <v>9142.69783040871</v>
      </c>
      <c r="H908" s="17" t="n">
        <f aca="false">F908-G908</f>
        <v>168.780134121329</v>
      </c>
      <c r="I908" s="17" t="n">
        <f aca="false">H908*2/10+I907*8/10</f>
        <v>146.459697967265</v>
      </c>
      <c r="J908" s="17" t="n">
        <f aca="false">H908-I908</f>
        <v>22.3204361540637</v>
      </c>
      <c r="K908" s="17" t="n">
        <f aca="false">MAX(B908-B907,0)</f>
        <v>1.02000000000044</v>
      </c>
      <c r="L908" s="17" t="n">
        <f aca="false">MAX(B907-B908,0)</f>
        <v>0</v>
      </c>
      <c r="M908" s="17" t="n">
        <f aca="false">(M907*13+K908)/14</f>
        <v>50.1341405048718</v>
      </c>
      <c r="N908" s="17" t="n">
        <f aca="false">(N907*13+L908)/14</f>
        <v>20.4415248220204</v>
      </c>
      <c r="O908" s="17" t="n">
        <f aca="false">IF(N908=0,100,100-100/(1+M908/N908))</f>
        <v>71.0360154206987</v>
      </c>
      <c r="P908" s="17" t="n">
        <f aca="false">AVERAGE(B889:B908)+2*STDEV(B889:B908)</f>
        <v>9543.49696212769</v>
      </c>
      <c r="Q908" s="17" t="n">
        <f aca="false">AVERAGE(B889:B908)-2*STDEV(B889:B908)</f>
        <v>8862.83203787231</v>
      </c>
      <c r="R908" s="19" t="n">
        <f aca="false">B908/B888-1</f>
        <v>0.0493029716723721</v>
      </c>
      <c r="S908" s="17" t="n">
        <f aca="false">STDEV(C889:C908)*SQRT(252)*100</f>
        <v>16.4505698737959</v>
      </c>
      <c r="T908" s="19" t="n">
        <f aca="false">B887/B657-1</f>
        <v>0.278269683392091</v>
      </c>
      <c r="U908" s="19" t="n">
        <f aca="false">B908/MAX(B657:B908)-1</f>
        <v>0</v>
      </c>
      <c r="V908" s="17" t="n">
        <f aca="false">(B908-AVERAGE(B889:B908))/STDEV(B889:B908)</f>
        <v>1.84934165863925</v>
      </c>
    </row>
    <row r="909" customFormat="false" ht="15" hidden="false" customHeight="false" outlineLevel="0" collapsed="false">
      <c r="A909" s="17" t="s">
        <v>1473</v>
      </c>
      <c r="B909" s="17" t="n">
        <v>9613.2</v>
      </c>
      <c r="C909" s="19" t="n">
        <f aca="false">B909/B908-1</f>
        <v>0.0100169575934086</v>
      </c>
      <c r="D909" s="17" t="n">
        <f aca="false">AVERAGE(B860:B909)</f>
        <v>8881.029</v>
      </c>
      <c r="E909" s="17" t="n">
        <f aca="false">AVERAGE(B710:B909)</f>
        <v>8053.2191</v>
      </c>
      <c r="F909" s="17" t="n">
        <f aca="false">B909*2/13+F908*11/13</f>
        <v>9357.89673921772</v>
      </c>
      <c r="G909" s="17" t="n">
        <f aca="false">B909*2/27+G908*25/27</f>
        <v>9177.54984297102</v>
      </c>
      <c r="H909" s="17" t="n">
        <f aca="false">F909-G909</f>
        <v>180.346896246698</v>
      </c>
      <c r="I909" s="17" t="n">
        <f aca="false">H909*2/10+I908*8/10</f>
        <v>153.237137623152</v>
      </c>
      <c r="J909" s="17" t="n">
        <f aca="false">H909-I909</f>
        <v>27.109758623546</v>
      </c>
      <c r="K909" s="17" t="n">
        <f aca="false">MAX(B909-B908,0)</f>
        <v>95.3400000000002</v>
      </c>
      <c r="L909" s="17" t="n">
        <f aca="false">MAX(B908-B909,0)</f>
        <v>0</v>
      </c>
      <c r="M909" s="17" t="n">
        <f aca="false">(M908*13+K909)/14</f>
        <v>53.3631304688096</v>
      </c>
      <c r="N909" s="17" t="n">
        <f aca="false">(N908*13+L909)/14</f>
        <v>18.9814159061618</v>
      </c>
      <c r="O909" s="17" t="n">
        <f aca="false">IF(N909=0,100,100-100/(1+M909/N909))</f>
        <v>73.7624785042143</v>
      </c>
      <c r="P909" s="17" t="n">
        <f aca="false">AVERAGE(B890:B909)+2*STDEV(B890:B909)</f>
        <v>9608.4744859611</v>
      </c>
      <c r="Q909" s="17" t="n">
        <f aca="false">AVERAGE(B890:B909)-2*STDEV(B890:B909)</f>
        <v>8855.8325140389</v>
      </c>
      <c r="R909" s="19" t="n">
        <f aca="false">B909/B889-1</f>
        <v>0.0641816720577588</v>
      </c>
      <c r="S909" s="17" t="n">
        <f aca="false">STDEV(C890:C909)*SQRT(252)*100</f>
        <v>16.4668451871564</v>
      </c>
      <c r="T909" s="19" t="n">
        <f aca="false">B888/B658-1</f>
        <v>0.292874165464632</v>
      </c>
      <c r="U909" s="19" t="n">
        <f aca="false">B909/MAX(B658:B909)-1</f>
        <v>0</v>
      </c>
      <c r="V909" s="17" t="n">
        <f aca="false">(B909-AVERAGE(B890:B909))/STDEV(B890:B909)</f>
        <v>2.02511427326769</v>
      </c>
    </row>
    <row r="910" customFormat="false" ht="15" hidden="false" customHeight="false" outlineLevel="0" collapsed="false">
      <c r="A910" s="17" t="s">
        <v>1474</v>
      </c>
      <c r="B910" s="17" t="n">
        <v>9595.7</v>
      </c>
      <c r="C910" s="19" t="n">
        <f aca="false">B910/B909-1</f>
        <v>-0.00182041359796947</v>
      </c>
      <c r="D910" s="17" t="n">
        <f aca="false">AVERAGE(B861:B910)</f>
        <v>8906.7578</v>
      </c>
      <c r="E910" s="17" t="n">
        <f aca="false">AVERAGE(B711:B910)</f>
        <v>8062.2903</v>
      </c>
      <c r="F910" s="17" t="n">
        <f aca="false">B910*2/13+F909*11/13</f>
        <v>9394.48185626115</v>
      </c>
      <c r="G910" s="17" t="n">
        <f aca="false">B910*2/27+G909*25/27</f>
        <v>9208.52392867687</v>
      </c>
      <c r="H910" s="17" t="n">
        <f aca="false">F910-G910</f>
        <v>185.957927584277</v>
      </c>
      <c r="I910" s="17" t="n">
        <f aca="false">H910*2/10+I909*8/10</f>
        <v>159.781295615377</v>
      </c>
      <c r="J910" s="17" t="n">
        <f aca="false">H910-I910</f>
        <v>26.1766319689003</v>
      </c>
      <c r="K910" s="17" t="n">
        <f aca="false">MAX(B910-B909,0)</f>
        <v>0</v>
      </c>
      <c r="L910" s="17" t="n">
        <f aca="false">MAX(B909-B910,0)</f>
        <v>17.5</v>
      </c>
      <c r="M910" s="17" t="n">
        <f aca="false">(M909*13+K910)/14</f>
        <v>49.551478292466</v>
      </c>
      <c r="N910" s="17" t="n">
        <f aca="false">(N909*13+L910)/14</f>
        <v>18.8756004842931</v>
      </c>
      <c r="O910" s="17" t="n">
        <f aca="false">IF(N910=0,100,100-100/(1+M910/N910))</f>
        <v>72.4150134395273</v>
      </c>
      <c r="P910" s="17" t="n">
        <f aca="false">AVERAGE(B891:B910)+2*STDEV(B891:B910)</f>
        <v>9657.6634674636</v>
      </c>
      <c r="Q910" s="17" t="n">
        <f aca="false">AVERAGE(B891:B910)-2*STDEV(B891:B910)</f>
        <v>8862.6465325364</v>
      </c>
      <c r="R910" s="19" t="n">
        <f aca="false">B910/B890-1</f>
        <v>0.0619799085181287</v>
      </c>
      <c r="S910" s="17" t="n">
        <f aca="false">STDEV(C891:C910)*SQRT(252)*100</f>
        <v>16.5317283277514</v>
      </c>
      <c r="T910" s="19" t="n">
        <f aca="false">B889/B659-1</f>
        <v>0.286368516836077</v>
      </c>
      <c r="U910" s="19" t="n">
        <f aca="false">B910/MAX(B659:B910)-1</f>
        <v>-0.00182041359796947</v>
      </c>
      <c r="V910" s="17" t="n">
        <f aca="false">(B910-AVERAGE(B891:B910))/STDEV(B891:B910)</f>
        <v>1.68824076700063</v>
      </c>
    </row>
    <row r="911" customFormat="false" ht="15" hidden="false" customHeight="false" outlineLevel="0" collapsed="false">
      <c r="A911" s="17" t="s">
        <v>1475</v>
      </c>
      <c r="B911" s="17" t="n">
        <v>9623.58</v>
      </c>
      <c r="C911" s="19" t="n">
        <f aca="false">B911/B910-1</f>
        <v>0.00290546807424152</v>
      </c>
      <c r="D911" s="17" t="n">
        <f aca="false">AVERAGE(B862:B911)</f>
        <v>8934.1346</v>
      </c>
      <c r="E911" s="17" t="n">
        <f aca="false">AVERAGE(B712:B911)</f>
        <v>8071.64895</v>
      </c>
      <c r="F911" s="17" t="n">
        <f aca="false">B911*2/13+F910*11/13</f>
        <v>9429.72772452867</v>
      </c>
      <c r="G911" s="17" t="n">
        <f aca="false">B911*2/27+G910*25/27</f>
        <v>9239.26882284896</v>
      </c>
      <c r="H911" s="17" t="n">
        <f aca="false">F911-G911</f>
        <v>190.458901679709</v>
      </c>
      <c r="I911" s="17" t="n">
        <f aca="false">H911*2/10+I910*8/10</f>
        <v>165.916816828243</v>
      </c>
      <c r="J911" s="17" t="n">
        <f aca="false">H911-I911</f>
        <v>24.5420848514658</v>
      </c>
      <c r="K911" s="17" t="n">
        <f aca="false">MAX(B911-B910,0)</f>
        <v>27.8799999999992</v>
      </c>
      <c r="L911" s="17" t="n">
        <f aca="false">MAX(B910-B911,0)</f>
        <v>0</v>
      </c>
      <c r="M911" s="17" t="n">
        <f aca="false">(M910*13+K911)/14</f>
        <v>48.0035155572898</v>
      </c>
      <c r="N911" s="17" t="n">
        <f aca="false">(N910*13+L911)/14</f>
        <v>17.5273433068436</v>
      </c>
      <c r="O911" s="17" t="n">
        <f aca="false">IF(N911=0,100,100-100/(1+M911/N911))</f>
        <v>73.2532983534011</v>
      </c>
      <c r="P911" s="17" t="n">
        <f aca="false">AVERAGE(B892:B911)+2*STDEV(B892:B911)</f>
        <v>9708.58902858631</v>
      </c>
      <c r="Q911" s="17" t="n">
        <f aca="false">AVERAGE(B892:B911)-2*STDEV(B892:B911)</f>
        <v>8861.57897141368</v>
      </c>
      <c r="R911" s="19" t="n">
        <f aca="false">B911/B891-1</f>
        <v>0.0546389041095889</v>
      </c>
      <c r="S911" s="17" t="n">
        <f aca="false">STDEV(C892:C911)*SQRT(252)*100</f>
        <v>16.3340950296605</v>
      </c>
      <c r="T911" s="19" t="n">
        <f aca="false">B890/B660-1</f>
        <v>0.280714312037397</v>
      </c>
      <c r="U911" s="19" t="n">
        <f aca="false">B911/MAX(B660:B911)-1</f>
        <v>0</v>
      </c>
      <c r="V911" s="17" t="n">
        <f aca="false">(B911-AVERAGE(B892:B911))/STDEV(B892:B911)</f>
        <v>1.59854536381739</v>
      </c>
    </row>
    <row r="912" customFormat="false" ht="15" hidden="false" customHeight="false" outlineLevel="0" collapsed="false">
      <c r="A912" s="17" t="s">
        <v>1476</v>
      </c>
      <c r="B912" s="17" t="n">
        <v>9629.8</v>
      </c>
      <c r="C912" s="19" t="n">
        <f aca="false">B912/B911-1</f>
        <v>0.000646329120763678</v>
      </c>
      <c r="D912" s="17" t="n">
        <f aca="false">AVERAGE(B863:B912)</f>
        <v>8960.8</v>
      </c>
      <c r="E912" s="17" t="n">
        <f aca="false">AVERAGE(B713:B912)</f>
        <v>8081.17765</v>
      </c>
      <c r="F912" s="17" t="n">
        <f aca="false">B912*2/13+F911*11/13</f>
        <v>9460.50807460118</v>
      </c>
      <c r="G912" s="17" t="n">
        <f aca="false">B912*2/27+G911*25/27</f>
        <v>9268.19705819348</v>
      </c>
      <c r="H912" s="17" t="n">
        <f aca="false">F912-G912</f>
        <v>192.311016407699</v>
      </c>
      <c r="I912" s="17" t="n">
        <f aca="false">H912*2/10+I911*8/10</f>
        <v>171.195656744134</v>
      </c>
      <c r="J912" s="17" t="n">
        <f aca="false">H912-I912</f>
        <v>21.1153596635645</v>
      </c>
      <c r="K912" s="17" t="n">
        <f aca="false">MAX(B912-B911,0)</f>
        <v>6.21999999999935</v>
      </c>
      <c r="L912" s="17" t="n">
        <f aca="false">MAX(B911-B912,0)</f>
        <v>0</v>
      </c>
      <c r="M912" s="17" t="n">
        <f aca="false">(M911*13+K912)/14</f>
        <v>45.0189787317691</v>
      </c>
      <c r="N912" s="17" t="n">
        <f aca="false">(N911*13+L912)/14</f>
        <v>16.2753902134976</v>
      </c>
      <c r="O912" s="17" t="n">
        <f aca="false">IF(N912=0,100,100-100/(1+M912/N912))</f>
        <v>73.4471689756186</v>
      </c>
      <c r="P912" s="17" t="n">
        <f aca="false">AVERAGE(B893:B912)+2*STDEV(B893:B912)</f>
        <v>9754.62369531583</v>
      </c>
      <c r="Q912" s="17" t="n">
        <f aca="false">AVERAGE(B893:B912)-2*STDEV(B893:B912)</f>
        <v>8861.15130468417</v>
      </c>
      <c r="R912" s="19" t="n">
        <f aca="false">B912/B892-1</f>
        <v>0.0497147834087115</v>
      </c>
      <c r="S912" s="17" t="n">
        <f aca="false">STDEV(C893:C912)*SQRT(252)*100</f>
        <v>16.3189603691443</v>
      </c>
      <c r="T912" s="19" t="n">
        <f aca="false">B891/B661-1</f>
        <v>0.291283939541025</v>
      </c>
      <c r="U912" s="19" t="n">
        <f aca="false">B912/MAX(B661:B912)-1</f>
        <v>0</v>
      </c>
      <c r="V912" s="17" t="n">
        <f aca="false">(B912-AVERAGE(B893:B912))/STDEV(B893:B912)</f>
        <v>1.44117491877915</v>
      </c>
    </row>
    <row r="913" customFormat="false" ht="15" hidden="false" customHeight="false" outlineLevel="0" collapsed="false">
      <c r="A913" s="17" t="s">
        <v>1477</v>
      </c>
      <c r="B913" s="17" t="n">
        <v>9718.73</v>
      </c>
      <c r="C913" s="19" t="n">
        <f aca="false">B913/B912-1</f>
        <v>0.00923487507528709</v>
      </c>
      <c r="D913" s="17" t="n">
        <f aca="false">AVERAGE(B864:B913)</f>
        <v>8989.0066</v>
      </c>
      <c r="E913" s="17" t="n">
        <f aca="false">AVERAGE(B714:B913)</f>
        <v>8090.54265</v>
      </c>
      <c r="F913" s="17" t="n">
        <f aca="false">B913*2/13+F912*11/13</f>
        <v>9500.23452466254</v>
      </c>
      <c r="G913" s="17" t="n">
        <f aca="false">B913*2/27+G912*25/27</f>
        <v>9301.56986869767</v>
      </c>
      <c r="H913" s="17" t="n">
        <f aca="false">F913-G913</f>
        <v>198.664655964871</v>
      </c>
      <c r="I913" s="17" t="n">
        <f aca="false">H913*2/10+I912*8/10</f>
        <v>176.689456588282</v>
      </c>
      <c r="J913" s="17" t="n">
        <f aca="false">H913-I913</f>
        <v>21.9751993765891</v>
      </c>
      <c r="K913" s="17" t="n">
        <f aca="false">MAX(B913-B912,0)</f>
        <v>88.9300000000003</v>
      </c>
      <c r="L913" s="17" t="n">
        <f aca="false">MAX(B912-B913,0)</f>
        <v>0</v>
      </c>
      <c r="M913" s="17" t="n">
        <f aca="false">(M912*13+K913)/14</f>
        <v>48.1554802509285</v>
      </c>
      <c r="N913" s="17" t="n">
        <f aca="false">(N912*13+L913)/14</f>
        <v>15.1128623411049</v>
      </c>
      <c r="O913" s="17" t="n">
        <f aca="false">IF(N913=0,100,100-100/(1+M913/N913))</f>
        <v>76.1130737396496</v>
      </c>
      <c r="P913" s="17" t="n">
        <f aca="false">AVERAGE(B894:B913)+2*STDEV(B894:B913)</f>
        <v>9812.67060687305</v>
      </c>
      <c r="Q913" s="17" t="n">
        <f aca="false">AVERAGE(B894:B913)-2*STDEV(B894:B913)</f>
        <v>8858.31439312695</v>
      </c>
      <c r="R913" s="19" t="n">
        <f aca="false">B913/B893-1</f>
        <v>0.0602293318264182</v>
      </c>
      <c r="S913" s="17" t="n">
        <f aca="false">STDEV(C894:C913)*SQRT(252)*100</f>
        <v>16.4406230164831</v>
      </c>
      <c r="T913" s="19" t="n">
        <f aca="false">B892/B662-1</f>
        <v>0.298964649110635</v>
      </c>
      <c r="U913" s="19" t="n">
        <f aca="false">B913/MAX(B662:B913)-1</f>
        <v>0</v>
      </c>
      <c r="V913" s="17" t="n">
        <f aca="false">(B913-AVERAGE(B894:B913))/STDEV(B894:B913)</f>
        <v>1.60626606493478</v>
      </c>
    </row>
    <row r="914" customFormat="false" ht="15" hidden="false" customHeight="false" outlineLevel="0" collapsed="false">
      <c r="A914" s="17" t="s">
        <v>1478</v>
      </c>
      <c r="B914" s="17" t="n">
        <v>9627.83</v>
      </c>
      <c r="C914" s="19" t="n">
        <f aca="false">B914/B913-1</f>
        <v>-0.00935307390986262</v>
      </c>
      <c r="D914" s="17" t="n">
        <f aca="false">AVERAGE(B865:B914)</f>
        <v>9013.6158</v>
      </c>
      <c r="E914" s="17" t="n">
        <f aca="false">AVERAGE(B715:B914)</f>
        <v>8099.71135</v>
      </c>
      <c r="F914" s="17" t="n">
        <f aca="false">B914*2/13+F913*11/13</f>
        <v>9519.86459779138</v>
      </c>
      <c r="G914" s="17" t="n">
        <f aca="false">B914*2/27+G913*25/27</f>
        <v>9325.73728583117</v>
      </c>
      <c r="H914" s="17" t="n">
        <f aca="false">F914-G914</f>
        <v>194.127311960207</v>
      </c>
      <c r="I914" s="17" t="n">
        <f aca="false">H914*2/10+I913*8/10</f>
        <v>180.177027662667</v>
      </c>
      <c r="J914" s="17" t="n">
        <f aca="false">H914-I914</f>
        <v>13.95028429754</v>
      </c>
      <c r="K914" s="17" t="n">
        <f aca="false">MAX(B914-B913,0)</f>
        <v>0</v>
      </c>
      <c r="L914" s="17" t="n">
        <f aca="false">MAX(B913-B914,0)</f>
        <v>90.8999999999996</v>
      </c>
      <c r="M914" s="17" t="n">
        <f aca="false">(M913*13+K914)/14</f>
        <v>44.7158030901479</v>
      </c>
      <c r="N914" s="17" t="n">
        <f aca="false">(N913*13+L914)/14</f>
        <v>20.5262293167403</v>
      </c>
      <c r="O914" s="17" t="n">
        <f aca="false">IF(N914=0,100,100-100/(1+M914/N914))</f>
        <v>68.5383355491955</v>
      </c>
      <c r="P914" s="17" t="n">
        <f aca="false">AVERAGE(B895:B914)+2*STDEV(B895:B914)</f>
        <v>9846.44986491761</v>
      </c>
      <c r="Q914" s="17" t="n">
        <f aca="false">AVERAGE(B895:B914)-2*STDEV(B895:B914)</f>
        <v>8868.46013508239</v>
      </c>
      <c r="R914" s="19" t="n">
        <f aca="false">B914/B894-1</f>
        <v>0.0478039044117806</v>
      </c>
      <c r="S914" s="17" t="n">
        <f aca="false">STDEV(C895:C914)*SQRT(252)*100</f>
        <v>17.0148680187759</v>
      </c>
      <c r="T914" s="19" t="n">
        <f aca="false">B893/B663-1</f>
        <v>0.302973919569704</v>
      </c>
      <c r="U914" s="19" t="n">
        <f aca="false">B914/MAX(B663:B914)-1</f>
        <v>-0.00935307390986262</v>
      </c>
      <c r="V914" s="17" t="n">
        <f aca="false">(B914-AVERAGE(B895:B914))/STDEV(B895:B914)</f>
        <v>1.10583983349419</v>
      </c>
    </row>
    <row r="915" customFormat="false" ht="15" hidden="false" customHeight="false" outlineLevel="0" collapsed="false">
      <c r="A915" s="17" t="s">
        <v>1479</v>
      </c>
      <c r="B915" s="17" t="n">
        <v>9446.69</v>
      </c>
      <c r="C915" s="19" t="n">
        <f aca="false">B915/B914-1</f>
        <v>-0.0188142083937917</v>
      </c>
      <c r="D915" s="17" t="n">
        <f aca="false">AVERAGE(B866:B915)</f>
        <v>9035.2948</v>
      </c>
      <c r="E915" s="17" t="n">
        <f aca="false">AVERAGE(B716:B915)</f>
        <v>8108.74405</v>
      </c>
      <c r="F915" s="17" t="n">
        <f aca="false">B915*2/13+F914*11/13</f>
        <v>9508.60696736194</v>
      </c>
      <c r="G915" s="17" t="n">
        <f aca="false">B915*2/27+G914*25/27</f>
        <v>9334.69674613997</v>
      </c>
      <c r="H915" s="17" t="n">
        <f aca="false">F915-G915</f>
        <v>173.91022122196</v>
      </c>
      <c r="I915" s="17" t="n">
        <f aca="false">H915*2/10+I914*8/10</f>
        <v>178.923666374525</v>
      </c>
      <c r="J915" s="17" t="n">
        <f aca="false">H915-I915</f>
        <v>-5.01344515256488</v>
      </c>
      <c r="K915" s="17" t="n">
        <f aca="false">MAX(B915-B914,0)</f>
        <v>0</v>
      </c>
      <c r="L915" s="17" t="n">
        <f aca="false">MAX(B914-B915,0)</f>
        <v>181.139999999999</v>
      </c>
      <c r="M915" s="17" t="n">
        <f aca="false">(M914*13+K915)/14</f>
        <v>41.5218171551373</v>
      </c>
      <c r="N915" s="17" t="n">
        <f aca="false">(N914*13+L915)/14</f>
        <v>31.9986415084016</v>
      </c>
      <c r="O915" s="17" t="n">
        <f aca="false">IF(N915=0,100,100-100/(1+M915/N915))</f>
        <v>56.4765480383615</v>
      </c>
      <c r="P915" s="17" t="n">
        <f aca="false">AVERAGE(B896:B915)+2*STDEV(B896:B915)</f>
        <v>9854.82379127044</v>
      </c>
      <c r="Q915" s="17" t="n">
        <f aca="false">AVERAGE(B896:B915)-2*STDEV(B896:B915)</f>
        <v>8883.05720872957</v>
      </c>
      <c r="R915" s="19" t="n">
        <f aca="false">B915/B895-1</f>
        <v>0.0249224800314203</v>
      </c>
      <c r="S915" s="17" t="n">
        <f aca="false">STDEV(C896:C915)*SQRT(252)*100</f>
        <v>18.598506690897</v>
      </c>
      <c r="T915" s="19" t="n">
        <f aca="false">B894/B664-1</f>
        <v>0.295876388980951</v>
      </c>
      <c r="U915" s="19" t="n">
        <f aca="false">B915/MAX(B664:B915)-1</f>
        <v>-0.0279913116219916</v>
      </c>
      <c r="V915" s="17" t="n">
        <f aca="false">(B915-AVERAGE(B896:B915))/STDEV(B896:B915)</f>
        <v>0.320033643456679</v>
      </c>
    </row>
    <row r="916" customFormat="false" ht="15" hidden="false" customHeight="false" outlineLevel="0" collapsed="false">
      <c r="A916" s="17" t="s">
        <v>1480</v>
      </c>
      <c r="B916" s="17" t="n">
        <v>9079.63</v>
      </c>
      <c r="C916" s="19" t="n">
        <f aca="false">B916/B915-1</f>
        <v>-0.0388559378999418</v>
      </c>
      <c r="D916" s="17" t="n">
        <f aca="false">AVERAGE(B867:B916)</f>
        <v>9049.8016</v>
      </c>
      <c r="E916" s="17" t="n">
        <f aca="false">AVERAGE(B717:B916)</f>
        <v>8116.05445</v>
      </c>
      <c r="F916" s="17" t="n">
        <f aca="false">B916*2/13+F915*11/13</f>
        <v>9442.61051084472</v>
      </c>
      <c r="G916" s="17" t="n">
        <f aca="false">B916*2/27+G915*25/27</f>
        <v>9315.80291309257</v>
      </c>
      <c r="H916" s="17" t="n">
        <f aca="false">F916-G916</f>
        <v>126.807597752146</v>
      </c>
      <c r="I916" s="17" t="n">
        <f aca="false">H916*2/10+I915*8/10</f>
        <v>168.500452650049</v>
      </c>
      <c r="J916" s="17" t="n">
        <f aca="false">H916-I916</f>
        <v>-41.6928548979037</v>
      </c>
      <c r="K916" s="17" t="n">
        <f aca="false">MAX(B916-B915,0)</f>
        <v>0</v>
      </c>
      <c r="L916" s="17" t="n">
        <f aca="false">MAX(B915-B916,0)</f>
        <v>367.060000000001</v>
      </c>
      <c r="M916" s="17" t="n">
        <f aca="false">(M915*13+K916)/14</f>
        <v>38.5559730726275</v>
      </c>
      <c r="N916" s="17" t="n">
        <f aca="false">(N915*13+L916)/14</f>
        <v>55.931595686373</v>
      </c>
      <c r="O916" s="17" t="n">
        <f aca="false">IF(N916=0,100,100-100/(1+M916/N916))</f>
        <v>40.805339346775</v>
      </c>
      <c r="P916" s="17" t="n">
        <f aca="false">AVERAGE(B897:B916)+2*STDEV(B897:B916)</f>
        <v>9858.56572396373</v>
      </c>
      <c r="Q916" s="17" t="n">
        <f aca="false">AVERAGE(B897:B916)-2*STDEV(B897:B916)</f>
        <v>8873.13127603627</v>
      </c>
      <c r="R916" s="19" t="n">
        <f aca="false">B916/B896-1</f>
        <v>-0.00676477634341088</v>
      </c>
      <c r="S916" s="17" t="n">
        <f aca="false">STDEV(C897:C916)*SQRT(252)*100</f>
        <v>23.2714602466176</v>
      </c>
      <c r="T916" s="19" t="n">
        <f aca="false">B895/B665-1</f>
        <v>0.295351089111972</v>
      </c>
      <c r="U916" s="19" t="n">
        <f aca="false">B916/MAX(B665:B916)-1</f>
        <v>-0.0657596208558114</v>
      </c>
      <c r="V916" s="17" t="n">
        <f aca="false">(B916-AVERAGE(B897:B916))/STDEV(B897:B916)</f>
        <v>-1.16179620309384</v>
      </c>
    </row>
    <row r="917" customFormat="false" ht="15" hidden="false" customHeight="false" outlineLevel="0" collapsed="false">
      <c r="A917" s="17" t="s">
        <v>1481</v>
      </c>
      <c r="B917" s="17" t="n">
        <v>8834.87</v>
      </c>
      <c r="C917" s="19" t="n">
        <f aca="false">B917/B916-1</f>
        <v>-0.0269570456064838</v>
      </c>
      <c r="D917" s="17" t="n">
        <f aca="false">AVERAGE(B868:B917)</f>
        <v>9058.4468</v>
      </c>
      <c r="E917" s="17" t="n">
        <f aca="false">AVERAGE(B718:B917)</f>
        <v>8122.31505</v>
      </c>
      <c r="F917" s="17" t="n">
        <f aca="false">B917*2/13+F916*11/13</f>
        <v>9349.11197071476</v>
      </c>
      <c r="G917" s="17" t="n">
        <f aca="false">B917*2/27+G916*25/27</f>
        <v>9280.17825286349</v>
      </c>
      <c r="H917" s="17" t="n">
        <f aca="false">F917-G917</f>
        <v>68.9337178512706</v>
      </c>
      <c r="I917" s="17" t="n">
        <f aca="false">H917*2/10+I916*8/10</f>
        <v>148.587105690294</v>
      </c>
      <c r="J917" s="17" t="n">
        <f aca="false">H917-I917</f>
        <v>-79.6533878390231</v>
      </c>
      <c r="K917" s="17" t="n">
        <f aca="false">MAX(B917-B916,0)</f>
        <v>0</v>
      </c>
      <c r="L917" s="17" t="n">
        <f aca="false">MAX(B916-B917,0)</f>
        <v>244.759999999998</v>
      </c>
      <c r="M917" s="17" t="n">
        <f aca="false">(M916*13+K917)/14</f>
        <v>35.8019749960112</v>
      </c>
      <c r="N917" s="17" t="n">
        <f aca="false">(N916*13+L917)/14</f>
        <v>69.419338851632</v>
      </c>
      <c r="O917" s="17" t="n">
        <f aca="false">IF(N917=0,100,100-100/(1+M917/N917))</f>
        <v>34.0254019711741</v>
      </c>
      <c r="P917" s="17" t="n">
        <f aca="false">AVERAGE(B898:B917)+2*STDEV(B898:B917)</f>
        <v>9875.69144599189</v>
      </c>
      <c r="Q917" s="17" t="n">
        <f aca="false">AVERAGE(B898:B917)-2*STDEV(B898:B917)</f>
        <v>8844.27455400811</v>
      </c>
      <c r="R917" s="19" t="n">
        <f aca="false">B917/B897-1</f>
        <v>-0.0131040707403113</v>
      </c>
      <c r="S917" s="17" t="n">
        <f aca="false">STDEV(C898:C917)*SQRT(252)*100</f>
        <v>24.0919638115315</v>
      </c>
      <c r="T917" s="19" t="n">
        <f aca="false">B896/B666-1</f>
        <v>0.283333941672446</v>
      </c>
      <c r="U917" s="19" t="n">
        <f aca="false">B917/MAX(B666:B917)-1</f>
        <v>-0.0909439813638201</v>
      </c>
      <c r="V917" s="17" t="n">
        <f aca="false">(B917-AVERAGE(B898:B917))/STDEV(B898:B917)</f>
        <v>-2.03647236759919</v>
      </c>
    </row>
    <row r="918" customFormat="false" ht="15" hidden="false" customHeight="false" outlineLevel="0" collapsed="false">
      <c r="A918" s="17" t="s">
        <v>1482</v>
      </c>
      <c r="B918" s="17" t="n">
        <v>8873.76</v>
      </c>
      <c r="C918" s="19" t="n">
        <f aca="false">B918/B917-1</f>
        <v>0.00440187574916195</v>
      </c>
      <c r="D918" s="17" t="n">
        <f aca="false">AVERAGE(B869:B918)</f>
        <v>9066.5842</v>
      </c>
      <c r="E918" s="17" t="n">
        <f aca="false">AVERAGE(B719:B918)</f>
        <v>8128.7512</v>
      </c>
      <c r="F918" s="17" t="n">
        <f aca="false">B918*2/13+F917*11/13</f>
        <v>9275.9808982971</v>
      </c>
      <c r="G918" s="17" t="n">
        <f aca="false">B918*2/27+G917*25/27</f>
        <v>9250.07319709582</v>
      </c>
      <c r="H918" s="17" t="n">
        <f aca="false">F918-G918</f>
        <v>25.9077012012804</v>
      </c>
      <c r="I918" s="17" t="n">
        <f aca="false">H918*2/10+I917*8/10</f>
        <v>124.051224792491</v>
      </c>
      <c r="J918" s="17" t="n">
        <f aca="false">H918-I918</f>
        <v>-98.1435235912106</v>
      </c>
      <c r="K918" s="17" t="n">
        <f aca="false">MAX(B918-B917,0)</f>
        <v>38.8899999999994</v>
      </c>
      <c r="L918" s="17" t="n">
        <f aca="false">MAX(B917-B918,0)</f>
        <v>0</v>
      </c>
      <c r="M918" s="17" t="n">
        <f aca="false">(M917*13+K918)/14</f>
        <v>36.0225482105818</v>
      </c>
      <c r="N918" s="17" t="n">
        <f aca="false">(N917*13+L918)/14</f>
        <v>64.460814647944</v>
      </c>
      <c r="O918" s="17" t="n">
        <f aca="false">IF(N918=0,100,100-100/(1+M918/N918))</f>
        <v>35.8492661728482</v>
      </c>
      <c r="P918" s="17" t="n">
        <f aca="false">AVERAGE(B899:B918)+2*STDEV(B899:B918)</f>
        <v>9896.83790075569</v>
      </c>
      <c r="Q918" s="17" t="n">
        <f aca="false">AVERAGE(B899:B918)-2*STDEV(B899:B918)</f>
        <v>8801.41109924431</v>
      </c>
      <c r="R918" s="19" t="n">
        <f aca="false">B918/B898-1</f>
        <v>-0.0238886450561164</v>
      </c>
      <c r="S918" s="17" t="n">
        <f aca="false">STDEV(C899:C918)*SQRT(252)*100</f>
        <v>23.4243408238746</v>
      </c>
      <c r="T918" s="19" t="n">
        <f aca="false">B897/B667-1</f>
        <v>0.257858648306871</v>
      </c>
      <c r="U918" s="19" t="n">
        <f aca="false">B918/MAX(B667:B918)-1</f>
        <v>-0.0869424297207556</v>
      </c>
      <c r="V918" s="17" t="n">
        <f aca="false">(B918-AVERAGE(B899:B918))/STDEV(B899:B918)</f>
        <v>-1.73581475035713</v>
      </c>
    </row>
    <row r="919" customFormat="false" ht="15" hidden="false" customHeight="false" outlineLevel="0" collapsed="false">
      <c r="A919" s="17" t="s">
        <v>1483</v>
      </c>
      <c r="B919" s="17" t="n">
        <v>8436.67</v>
      </c>
      <c r="C919" s="19" t="n">
        <f aca="false">B919/B918-1</f>
        <v>-0.0492564594940589</v>
      </c>
      <c r="D919" s="17" t="n">
        <f aca="false">AVERAGE(B870:B919)</f>
        <v>9065.5634</v>
      </c>
      <c r="E919" s="17" t="n">
        <f aca="false">AVERAGE(B720:B919)</f>
        <v>8134.3139</v>
      </c>
      <c r="F919" s="17" t="n">
        <f aca="false">B919*2/13+F918*11/13</f>
        <v>9146.85614471294</v>
      </c>
      <c r="G919" s="17" t="n">
        <f aca="false">B919*2/27+G918*25/27</f>
        <v>9189.82110842206</v>
      </c>
      <c r="H919" s="17" t="n">
        <f aca="false">F919-G919</f>
        <v>-42.9649637091225</v>
      </c>
      <c r="I919" s="17" t="n">
        <f aca="false">H919*2/10+I918*8/10</f>
        <v>90.6479870921683</v>
      </c>
      <c r="J919" s="17" t="n">
        <f aca="false">H919-I919</f>
        <v>-133.612950801291</v>
      </c>
      <c r="K919" s="17" t="n">
        <f aca="false">MAX(B919-B918,0)</f>
        <v>0</v>
      </c>
      <c r="L919" s="17" t="n">
        <f aca="false">MAX(B918-B919,0)</f>
        <v>437.09</v>
      </c>
      <c r="M919" s="17" t="n">
        <f aca="false">(M918*13+K919)/14</f>
        <v>33.4495090526831</v>
      </c>
      <c r="N919" s="17" t="n">
        <f aca="false">(N918*13+L919)/14</f>
        <v>91.0771850302337</v>
      </c>
      <c r="O919" s="17" t="n">
        <f aca="false">IF(N919=0,100,100-100/(1+M919/N919))</f>
        <v>26.8613162013364</v>
      </c>
      <c r="P919" s="17" t="n">
        <f aca="false">AVERAGE(B900:B919)+2*STDEV(B900:B919)</f>
        <v>9992.42521974301</v>
      </c>
      <c r="Q919" s="17" t="n">
        <f aca="false">AVERAGE(B900:B919)-2*STDEV(B900:B919)</f>
        <v>8639.32978025698</v>
      </c>
      <c r="R919" s="19" t="n">
        <f aca="false">B919/B899-1</f>
        <v>-0.0730574041295991</v>
      </c>
      <c r="S919" s="17" t="n">
        <f aca="false">STDEV(C900:C919)*SQRT(252)*100</f>
        <v>28.959912271802</v>
      </c>
      <c r="T919" s="19" t="n">
        <f aca="false">B898/B668-1</f>
        <v>0.280858270412383</v>
      </c>
      <c r="U919" s="19" t="n">
        <f aca="false">B919/MAX(B668:B919)-1</f>
        <v>-0.131916412946959</v>
      </c>
      <c r="V919" s="17" t="n">
        <f aca="false">(B919-AVERAGE(B900:B919))/STDEV(B900:B919)</f>
        <v>-2.59909973633187</v>
      </c>
    </row>
    <row r="920" customFormat="false" ht="15" hidden="false" customHeight="false" outlineLevel="0" collapsed="false">
      <c r="A920" s="17" t="s">
        <v>1484</v>
      </c>
      <c r="B920" s="17" t="n">
        <v>8461.83</v>
      </c>
      <c r="C920" s="19" t="n">
        <f aca="false">B920/B919-1</f>
        <v>0.00298221928794185</v>
      </c>
      <c r="D920" s="17" t="n">
        <f aca="false">AVERAGE(B871:B920)</f>
        <v>9063.3934</v>
      </c>
      <c r="E920" s="17" t="n">
        <f aca="false">AVERAGE(B721:B920)</f>
        <v>8139.61365</v>
      </c>
      <c r="F920" s="17" t="n">
        <f aca="false">B920*2/13+F919*11/13</f>
        <v>9041.46750706479</v>
      </c>
      <c r="G920" s="17" t="n">
        <f aca="false">B920*2/27+G919*25/27</f>
        <v>9135.89584113154</v>
      </c>
      <c r="H920" s="17" t="n">
        <f aca="false">F920-G920</f>
        <v>-94.4283340667444</v>
      </c>
      <c r="I920" s="17" t="n">
        <f aca="false">H920*2/10+I919*8/10</f>
        <v>53.6327228603858</v>
      </c>
      <c r="J920" s="17" t="n">
        <f aca="false">H920-I920</f>
        <v>-148.06105692713</v>
      </c>
      <c r="K920" s="17" t="n">
        <f aca="false">MAX(B920-B919,0)</f>
        <v>25.1599999999999</v>
      </c>
      <c r="L920" s="17" t="n">
        <f aca="false">MAX(B919-B920,0)</f>
        <v>0</v>
      </c>
      <c r="M920" s="17" t="n">
        <f aca="false">(M919*13+K920)/14</f>
        <v>32.8574012632057</v>
      </c>
      <c r="N920" s="17" t="n">
        <f aca="false">(N919*13+L920)/14</f>
        <v>84.5716718137885</v>
      </c>
      <c r="O920" s="17" t="n">
        <f aca="false">IF(N920=0,100,100-100/(1+M920/N920))</f>
        <v>27.9806358018872</v>
      </c>
      <c r="P920" s="17" t="n">
        <f aca="false">AVERAGE(B901:B920)+2*STDEV(B901:B920)</f>
        <v>10056.5569125464</v>
      </c>
      <c r="Q920" s="17" t="n">
        <f aca="false">AVERAGE(B901:B920)-2*STDEV(B901:B920)</f>
        <v>8507.77208745358</v>
      </c>
      <c r="R920" s="19" t="n">
        <f aca="false">B920/B900-1</f>
        <v>-0.073801812372689</v>
      </c>
      <c r="S920" s="17" t="n">
        <f aca="false">STDEV(C901:C920)*SQRT(252)*100</f>
        <v>28.9339440508591</v>
      </c>
      <c r="T920" s="19" t="n">
        <f aca="false">B899/B669-1</f>
        <v>0.27267299348255</v>
      </c>
      <c r="U920" s="19" t="n">
        <f aca="false">B920/MAX(B669:B920)-1</f>
        <v>-0.129327597330104</v>
      </c>
      <c r="V920" s="17" t="n">
        <f aca="false">(B920-AVERAGE(B901:B920))/STDEV(B901:B920)</f>
        <v>-2.11865324791214</v>
      </c>
    </row>
    <row r="921" customFormat="false" ht="15" hidden="false" customHeight="false" outlineLevel="0" collapsed="false">
      <c r="A921" s="17" t="s">
        <v>1485</v>
      </c>
      <c r="B921" s="17" t="n">
        <v>8877.98</v>
      </c>
      <c r="C921" s="19" t="n">
        <f aca="false">B921/B920-1</f>
        <v>0.0491796691732167</v>
      </c>
      <c r="D921" s="17" t="n">
        <f aca="false">AVERAGE(B872:B921)</f>
        <v>9069.439</v>
      </c>
      <c r="E921" s="17" t="n">
        <f aca="false">AVERAGE(B722:B921)</f>
        <v>8146.4873</v>
      </c>
      <c r="F921" s="17" t="n">
        <f aca="false">B921*2/13+F920*11/13</f>
        <v>9016.31558290098</v>
      </c>
      <c r="G921" s="17" t="n">
        <f aca="false">B921*2/27+G920*25/27</f>
        <v>9116.79096401068</v>
      </c>
      <c r="H921" s="17" t="n">
        <f aca="false">F921-G921</f>
        <v>-100.475381109703</v>
      </c>
      <c r="I921" s="17" t="n">
        <f aca="false">H921*2/10+I920*8/10</f>
        <v>22.8111020663679</v>
      </c>
      <c r="J921" s="17" t="n">
        <f aca="false">H921-I921</f>
        <v>-123.286483176071</v>
      </c>
      <c r="K921" s="17" t="n">
        <f aca="false">MAX(B921-B920,0)</f>
        <v>416.15</v>
      </c>
      <c r="L921" s="17" t="n">
        <f aca="false">MAX(B920-B921,0)</f>
        <v>0</v>
      </c>
      <c r="M921" s="17" t="n">
        <f aca="false">(M920*13+K921)/14</f>
        <v>60.2354440301196</v>
      </c>
      <c r="N921" s="17" t="n">
        <f aca="false">(N920*13+L921)/14</f>
        <v>78.5308381128036</v>
      </c>
      <c r="O921" s="17" t="n">
        <f aca="false">IF(N921=0,100,100-100/(1+M921/N921))</f>
        <v>43.4078387774919</v>
      </c>
      <c r="P921" s="17" t="n">
        <f aca="false">AVERAGE(B902:B921)+2*STDEV(B902:B921)</f>
        <v>10061.4436151743</v>
      </c>
      <c r="Q921" s="17" t="n">
        <f aca="false">AVERAGE(B902:B921)-2*STDEV(B902:B921)</f>
        <v>8491.53238482569</v>
      </c>
      <c r="R921" s="19" t="n">
        <f aca="false">B921/B901-1</f>
        <v>-0.0126263553062834</v>
      </c>
      <c r="S921" s="17" t="n">
        <f aca="false">STDEV(C902:C921)*SQRT(252)*100</f>
        <v>34.0577368854756</v>
      </c>
      <c r="T921" s="19" t="n">
        <f aca="false">B900/B670-1</f>
        <v>0.27762651328587</v>
      </c>
      <c r="U921" s="19" t="n">
        <f aca="false">B921/MAX(B670:B921)-1</f>
        <v>-0.0865082166085487</v>
      </c>
      <c r="V921" s="17" t="n">
        <f aca="false">(B921-AVERAGE(B902:B921))/STDEV(B902:B921)</f>
        <v>-1.01536441627086</v>
      </c>
    </row>
    <row r="922" customFormat="false" ht="15" hidden="false" customHeight="false" outlineLevel="0" collapsed="false">
      <c r="A922" s="17" t="s">
        <v>1486</v>
      </c>
      <c r="B922" s="17" t="n">
        <v>8594.49</v>
      </c>
      <c r="C922" s="19" t="n">
        <f aca="false">B922/B921-1</f>
        <v>-0.0319318133178944</v>
      </c>
      <c r="D922" s="17" t="n">
        <f aca="false">AVERAGE(B873:B922)</f>
        <v>9069.7164</v>
      </c>
      <c r="E922" s="17" t="n">
        <f aca="false">AVERAGE(B723:B922)</f>
        <v>8151.55905</v>
      </c>
      <c r="F922" s="17" t="n">
        <f aca="false">B922*2/13+F921*11/13</f>
        <v>8951.41933937775</v>
      </c>
      <c r="G922" s="17" t="n">
        <f aca="false">B922*2/27+G921*25/27</f>
        <v>9078.10200371359</v>
      </c>
      <c r="H922" s="17" t="n">
        <f aca="false">F922-G922</f>
        <v>-126.682664335844</v>
      </c>
      <c r="I922" s="17" t="n">
        <f aca="false">H922*2/10+I921*8/10</f>
        <v>-7.08765121407438</v>
      </c>
      <c r="J922" s="17" t="n">
        <f aca="false">H922-I922</f>
        <v>-119.595013121769</v>
      </c>
      <c r="K922" s="17" t="n">
        <f aca="false">MAX(B922-B921,0)</f>
        <v>0</v>
      </c>
      <c r="L922" s="17" t="n">
        <f aca="false">MAX(B921-B922,0)</f>
        <v>283.49</v>
      </c>
      <c r="M922" s="17" t="n">
        <f aca="false">(M921*13+K922)/14</f>
        <v>55.9329123136825</v>
      </c>
      <c r="N922" s="17" t="n">
        <f aca="false">(N921*13+L922)/14</f>
        <v>93.1707782476033</v>
      </c>
      <c r="O922" s="17" t="n">
        <f aca="false">IF(N922=0,100,100-100/(1+M922/N922))</f>
        <v>37.5127618257661</v>
      </c>
      <c r="P922" s="17" t="n">
        <f aca="false">AVERAGE(B903:B922)+2*STDEV(B903:B922)</f>
        <v>10090.3450171819</v>
      </c>
      <c r="Q922" s="17" t="n">
        <f aca="false">AVERAGE(B903:B922)-2*STDEV(B903:B922)</f>
        <v>8409.45698281811</v>
      </c>
      <c r="R922" s="19" t="n">
        <f aca="false">B922/B902-1</f>
        <v>-0.0582650229065014</v>
      </c>
      <c r="S922" s="17" t="n">
        <f aca="false">STDEV(C903:C922)*SQRT(252)*100</f>
        <v>35.2934390007956</v>
      </c>
      <c r="T922" s="19" t="n">
        <f aca="false">B901/B671-1</f>
        <v>0.256360742735221</v>
      </c>
      <c r="U922" s="19" t="n">
        <f aca="false">B922/MAX(B671:B922)-1</f>
        <v>-0.115677665703235</v>
      </c>
      <c r="V922" s="17" t="n">
        <f aca="false">(B922-AVERAGE(B903:B922))/STDEV(B903:B922)</f>
        <v>-1.55967794784873</v>
      </c>
    </row>
    <row r="923" customFormat="false" ht="15" hidden="false" customHeight="false" outlineLevel="0" collapsed="false">
      <c r="A923" s="17" t="s">
        <v>1487</v>
      </c>
      <c r="B923" s="17" t="n">
        <v>8949.28</v>
      </c>
      <c r="C923" s="19" t="n">
        <f aca="false">B923/B922-1</f>
        <v>0.0412810998674733</v>
      </c>
      <c r="D923" s="17" t="n">
        <f aca="false">AVERAGE(B874:B923)</f>
        <v>9075.8762</v>
      </c>
      <c r="E923" s="17" t="n">
        <f aca="false">AVERAGE(B724:B923)</f>
        <v>8158.78705</v>
      </c>
      <c r="F923" s="17" t="n">
        <f aca="false">B923*2/13+F922*11/13</f>
        <v>8951.09021024271</v>
      </c>
      <c r="G923" s="17" t="n">
        <f aca="false">B923*2/27+G922*25/27</f>
        <v>9068.55963306814</v>
      </c>
      <c r="H923" s="17" t="n">
        <f aca="false">F923-G923</f>
        <v>-117.46942282543</v>
      </c>
      <c r="I923" s="17" t="n">
        <f aca="false">H923*2/10+I922*8/10</f>
        <v>-29.1640055363456</v>
      </c>
      <c r="J923" s="17" t="n">
        <f aca="false">H923-I923</f>
        <v>-88.3054172890847</v>
      </c>
      <c r="K923" s="17" t="n">
        <f aca="false">MAX(B923-B922,0)</f>
        <v>354.790000000001</v>
      </c>
      <c r="L923" s="17" t="n">
        <f aca="false">MAX(B922-B923,0)</f>
        <v>0</v>
      </c>
      <c r="M923" s="17" t="n">
        <f aca="false">(M922*13+K923)/14</f>
        <v>77.2798471484195</v>
      </c>
      <c r="N923" s="17" t="n">
        <f aca="false">(N922*13+L923)/14</f>
        <v>86.5157226584888</v>
      </c>
      <c r="O923" s="17" t="n">
        <f aca="false">IF(N923=0,100,100-100/(1+M923/N923))</f>
        <v>47.1806699286931</v>
      </c>
      <c r="P923" s="17" t="n">
        <f aca="false">AVERAGE(B904:B923)+2*STDEV(B904:B923)</f>
        <v>10080.5575551336</v>
      </c>
      <c r="Q923" s="17" t="n">
        <f aca="false">AVERAGE(B904:B923)-2*STDEV(B904:B923)</f>
        <v>8380.76644486644</v>
      </c>
      <c r="R923" s="19" t="n">
        <f aca="false">B923/B903-1</f>
        <v>-0.0412232190493739</v>
      </c>
      <c r="S923" s="17" t="n">
        <f aca="false">STDEV(C904:C923)*SQRT(252)*100</f>
        <v>37.6051744124281</v>
      </c>
      <c r="T923" s="19" t="n">
        <f aca="false">B902/B672-1</f>
        <v>0.283130895455447</v>
      </c>
      <c r="U923" s="19" t="n">
        <f aca="false">B923/MAX(B672:B923)-1</f>
        <v>-0.0791718671060929</v>
      </c>
      <c r="V923" s="17" t="n">
        <f aca="false">(B923-AVERAGE(B904:B923))/STDEV(B904:B923)</f>
        <v>-0.662156657486647</v>
      </c>
    </row>
    <row r="924" customFormat="false" ht="15" hidden="false" customHeight="false" outlineLevel="0" collapsed="false">
      <c r="A924" s="17" t="s">
        <v>1488</v>
      </c>
      <c r="B924" s="17" t="n">
        <v>8671.66</v>
      </c>
      <c r="C924" s="19" t="n">
        <f aca="false">B924/B923-1</f>
        <v>-0.0310214899969608</v>
      </c>
      <c r="D924" s="17" t="n">
        <f aca="false">AVERAGE(B875:B924)</f>
        <v>9075.7396</v>
      </c>
      <c r="E924" s="17" t="n">
        <f aca="false">AVERAGE(B725:B924)</f>
        <v>8165.26185</v>
      </c>
      <c r="F924" s="17" t="n">
        <f aca="false">B924*2/13+F923*11/13</f>
        <v>8908.10094712845</v>
      </c>
      <c r="G924" s="17" t="n">
        <f aca="false">B924*2/27+G923*25/27</f>
        <v>9039.15966024828</v>
      </c>
      <c r="H924" s="17" t="n">
        <f aca="false">F924-G924</f>
        <v>-131.058713119832</v>
      </c>
      <c r="I924" s="17" t="n">
        <f aca="false">H924*2/10+I923*8/10</f>
        <v>-49.5429470530428</v>
      </c>
      <c r="J924" s="17" t="n">
        <f aca="false">H924-I924</f>
        <v>-81.515766066789</v>
      </c>
      <c r="K924" s="17" t="n">
        <f aca="false">MAX(B924-B923,0)</f>
        <v>0</v>
      </c>
      <c r="L924" s="17" t="n">
        <f aca="false">MAX(B923-B924,0)</f>
        <v>277.620000000001</v>
      </c>
      <c r="M924" s="17" t="n">
        <f aca="false">(M923*13+K924)/14</f>
        <v>71.7598580663896</v>
      </c>
      <c r="N924" s="17" t="n">
        <f aca="false">(N923*13+L924)/14</f>
        <v>100.166028182883</v>
      </c>
      <c r="O924" s="17" t="n">
        <f aca="false">IF(N924=0,100,100-100/(1+M924/N924))</f>
        <v>41.7388327214125</v>
      </c>
      <c r="P924" s="17" t="n">
        <f aca="false">AVERAGE(B905:B924)+2*STDEV(B905:B924)</f>
        <v>10078.5210119145</v>
      </c>
      <c r="Q924" s="17" t="n">
        <f aca="false">AVERAGE(B905:B924)-2*STDEV(B905:B924)</f>
        <v>8313.22098808552</v>
      </c>
      <c r="R924" s="19" t="n">
        <f aca="false">B924/B904-1</f>
        <v>-0.0742803827710333</v>
      </c>
      <c r="S924" s="17" t="n">
        <f aca="false">STDEV(C905:C924)*SQRT(252)*100</f>
        <v>38.9268034398407</v>
      </c>
      <c r="T924" s="19" t="n">
        <f aca="false">B903/B673-1</f>
        <v>0.328336331344779</v>
      </c>
      <c r="U924" s="19" t="n">
        <f aca="false">B924/MAX(B673:B924)-1</f>
        <v>-0.107737327819581</v>
      </c>
      <c r="V924" s="17" t="n">
        <f aca="false">(B924-AVERAGE(B905:B924))/STDEV(B905:B924)</f>
        <v>-1.18781168735948</v>
      </c>
    </row>
    <row r="925" customFormat="false" ht="15" hidden="false" customHeight="false" outlineLevel="0" collapsed="false">
      <c r="A925" s="17" t="s">
        <v>1489</v>
      </c>
      <c r="B925" s="17" t="n">
        <v>8530.34</v>
      </c>
      <c r="C925" s="19" t="n">
        <f aca="false">B925/B924-1</f>
        <v>-0.0162967644026634</v>
      </c>
      <c r="D925" s="17" t="n">
        <f aca="false">AVERAGE(B876:B925)</f>
        <v>9072.4262</v>
      </c>
      <c r="E925" s="17" t="n">
        <f aca="false">AVERAGE(B726:B925)</f>
        <v>8170.65845</v>
      </c>
      <c r="F925" s="17" t="n">
        <f aca="false">B925*2/13+F924*11/13</f>
        <v>8849.98387833946</v>
      </c>
      <c r="G925" s="17" t="n">
        <f aca="false">B925*2/27+G924*25/27</f>
        <v>9001.4693150447</v>
      </c>
      <c r="H925" s="17" t="n">
        <f aca="false">F925-G925</f>
        <v>-151.485436705247</v>
      </c>
      <c r="I925" s="17" t="n">
        <f aca="false">H925*2/10+I924*8/10</f>
        <v>-69.9314449834836</v>
      </c>
      <c r="J925" s="17" t="n">
        <f aca="false">H925-I925</f>
        <v>-81.5539917217631</v>
      </c>
      <c r="K925" s="17" t="n">
        <f aca="false">MAX(B925-B924,0)</f>
        <v>0</v>
      </c>
      <c r="L925" s="17" t="n">
        <f aca="false">MAX(B924-B925,0)</f>
        <v>141.32</v>
      </c>
      <c r="M925" s="17" t="n">
        <f aca="false">(M924*13+K925)/14</f>
        <v>66.6341539187903</v>
      </c>
      <c r="N925" s="17" t="n">
        <f aca="false">(N924*13+L925)/14</f>
        <v>103.105597598391</v>
      </c>
      <c r="O925" s="17" t="n">
        <f aca="false">IF(N925=0,100,100-100/(1+M925/N925))</f>
        <v>39.2566581034765</v>
      </c>
      <c r="P925" s="17" t="n">
        <f aca="false">AVERAGE(B906:B925)+2*STDEV(B906:B925)</f>
        <v>10072.2268376709</v>
      </c>
      <c r="Q925" s="17" t="n">
        <f aca="false">AVERAGE(B906:B925)-2*STDEV(B906:B925)</f>
        <v>8227.95716232911</v>
      </c>
      <c r="R925" s="19" t="n">
        <f aca="false">B925/B905-1</f>
        <v>-0.0969286210342667</v>
      </c>
      <c r="S925" s="17" t="n">
        <f aca="false">STDEV(C906:C925)*SQRT(252)*100</f>
        <v>38.9082275704185</v>
      </c>
      <c r="T925" s="19" t="n">
        <f aca="false">B904/B674-1</f>
        <v>0.335218631381945</v>
      </c>
      <c r="U925" s="19" t="n">
        <f aca="false">B925/MAX(B674:B925)-1</f>
        <v>-0.122278322373396</v>
      </c>
      <c r="V925" s="17" t="n">
        <f aca="false">(B925-AVERAGE(B906:B925))/STDEV(B906:B925)</f>
        <v>-1.34416784765525</v>
      </c>
    </row>
    <row r="926" customFormat="false" ht="15" hidden="false" customHeight="false" outlineLevel="0" collapsed="false">
      <c r="A926" s="17" t="s">
        <v>1490</v>
      </c>
      <c r="B926" s="17" t="n">
        <v>7948.03</v>
      </c>
      <c r="C926" s="19" t="n">
        <f aca="false">B926/B925-1</f>
        <v>-0.0682633986453061</v>
      </c>
      <c r="D926" s="17" t="n">
        <f aca="false">AVERAGE(B877:B926)</f>
        <v>9057.3966</v>
      </c>
      <c r="E926" s="17" t="n">
        <f aca="false">AVERAGE(B727:B926)</f>
        <v>8173.2953</v>
      </c>
      <c r="F926" s="17" t="n">
        <f aca="false">B926*2/13+F925*11/13</f>
        <v>8711.22174321031</v>
      </c>
      <c r="G926" s="17" t="n">
        <f aca="false">B926*2/27+G925*25/27</f>
        <v>8923.43677318954</v>
      </c>
      <c r="H926" s="17" t="n">
        <f aca="false">F926-G926</f>
        <v>-212.21502997923</v>
      </c>
      <c r="I926" s="17" t="n">
        <f aca="false">H926*2/10+I925*8/10</f>
        <v>-98.3881619826329</v>
      </c>
      <c r="J926" s="17" t="n">
        <f aca="false">H926-I926</f>
        <v>-113.826867996597</v>
      </c>
      <c r="K926" s="17" t="n">
        <f aca="false">MAX(B926-B925,0)</f>
        <v>0</v>
      </c>
      <c r="L926" s="17" t="n">
        <f aca="false">MAX(B925-B926,0)</f>
        <v>582.31</v>
      </c>
      <c r="M926" s="17" t="n">
        <f aca="false">(M925*13+K926)/14</f>
        <v>61.8745714960196</v>
      </c>
      <c r="N926" s="17" t="n">
        <f aca="false">(N925*13+L926)/14</f>
        <v>137.33448348422</v>
      </c>
      <c r="O926" s="17" t="n">
        <f aca="false">IF(N926=0,100,100-100/(1+M926/N926))</f>
        <v>31.0601199840826</v>
      </c>
      <c r="P926" s="17" t="n">
        <f aca="false">AVERAGE(B907:B926)+2*STDEV(B907:B926)</f>
        <v>10135.2871155804</v>
      </c>
      <c r="Q926" s="17" t="n">
        <f aca="false">AVERAGE(B907:B926)-2*STDEV(B907:B926)</f>
        <v>8019.58988441965</v>
      </c>
      <c r="R926" s="19" t="n">
        <f aca="false">B926/B906-1</f>
        <v>-0.154563827637191</v>
      </c>
      <c r="S926" s="17" t="n">
        <f aca="false">STDEV(C907:C926)*SQRT(252)*100</f>
        <v>44.9588021398402</v>
      </c>
      <c r="T926" s="19" t="n">
        <f aca="false">B905/B675-1</f>
        <v>0.31852228218235</v>
      </c>
      <c r="U926" s="19" t="n">
        <f aca="false">B926/MAX(B675:B926)-1</f>
        <v>-0.182194587152848</v>
      </c>
      <c r="V926" s="17" t="n">
        <f aca="false">(B926-AVERAGE(B907:B926))/STDEV(B907:B926)</f>
        <v>-2.13529324208718</v>
      </c>
    </row>
    <row r="927" customFormat="false" ht="15" hidden="false" customHeight="false" outlineLevel="0" collapsed="false">
      <c r="A927" s="17" t="s">
        <v>1491</v>
      </c>
      <c r="B927" s="17" t="n">
        <v>8372.27</v>
      </c>
      <c r="C927" s="19" t="n">
        <f aca="false">B927/B926-1</f>
        <v>0.0533767487037669</v>
      </c>
      <c r="D927" s="17" t="n">
        <f aca="false">AVERAGE(B878:B927)</f>
        <v>9049.2758</v>
      </c>
      <c r="E927" s="17" t="n">
        <f aca="false">AVERAGE(B728:B927)</f>
        <v>8178.617</v>
      </c>
      <c r="F927" s="17" t="n">
        <f aca="false">B927*2/13+F926*11/13</f>
        <v>8659.07532117796</v>
      </c>
      <c r="G927" s="17" t="n">
        <f aca="false">B927*2/27+G926*25/27</f>
        <v>8882.60960480513</v>
      </c>
      <c r="H927" s="17" t="n">
        <f aca="false">F927-G927</f>
        <v>-223.534283627174</v>
      </c>
      <c r="I927" s="17" t="n">
        <f aca="false">H927*2/10+I926*8/10</f>
        <v>-123.417386311541</v>
      </c>
      <c r="J927" s="17" t="n">
        <f aca="false">H927-I927</f>
        <v>-100.116897315633</v>
      </c>
      <c r="K927" s="17" t="n">
        <f aca="false">MAX(B927-B926,0)</f>
        <v>424.240000000001</v>
      </c>
      <c r="L927" s="17" t="n">
        <f aca="false">MAX(B926-B927,0)</f>
        <v>0</v>
      </c>
      <c r="M927" s="17" t="n">
        <f aca="false">(M926*13+K927)/14</f>
        <v>87.7578163891611</v>
      </c>
      <c r="N927" s="17" t="n">
        <f aca="false">(N926*13+L927)/14</f>
        <v>127.524877521062</v>
      </c>
      <c r="O927" s="17" t="n">
        <f aca="false">IF(N927=0,100,100-100/(1+M927/N927))</f>
        <v>40.7639902656355</v>
      </c>
      <c r="P927" s="17" t="n">
        <f aca="false">AVERAGE(B908:B927)+2*STDEV(B908:B927)</f>
        <v>10101.5487857067</v>
      </c>
      <c r="Q927" s="17" t="n">
        <f aca="false">AVERAGE(B908:B927)-2*STDEV(B908:B927)</f>
        <v>7938.87121429328</v>
      </c>
      <c r="R927" s="19" t="n">
        <f aca="false">B927/B907-1</f>
        <v>-0.120267862021427</v>
      </c>
      <c r="S927" s="17" t="n">
        <f aca="false">STDEV(C908:C927)*SQRT(252)*100</f>
        <v>49.545536724959</v>
      </c>
      <c r="T927" s="19" t="n">
        <f aca="false">B906/B676-1</f>
        <v>0.305476248666904</v>
      </c>
      <c r="U927" s="19" t="n">
        <f aca="false">B927/MAX(B676:B927)-1</f>
        <v>-0.138542793142725</v>
      </c>
      <c r="V927" s="17" t="n">
        <f aca="false">(B927-AVERAGE(B908:B927))/STDEV(B908:B927)</f>
        <v>-1.19840332847496</v>
      </c>
    </row>
    <row r="928" customFormat="false" ht="15" hidden="false" customHeight="false" outlineLevel="0" collapsed="false">
      <c r="A928" s="17" t="s">
        <v>1492</v>
      </c>
      <c r="B928" s="17" t="n">
        <v>8006.12</v>
      </c>
      <c r="C928" s="19" t="n">
        <f aca="false">B928/B927-1</f>
        <v>-0.0437336588523782</v>
      </c>
      <c r="D928" s="17" t="n">
        <f aca="false">AVERAGE(B879:B928)</f>
        <v>9033.9786</v>
      </c>
      <c r="E928" s="17" t="n">
        <f aca="false">AVERAGE(B729:B928)</f>
        <v>8182.1428</v>
      </c>
      <c r="F928" s="17" t="n">
        <f aca="false">B928*2/13+F927*11/13</f>
        <v>8558.62065638135</v>
      </c>
      <c r="G928" s="17" t="n">
        <f aca="false">B928*2/27+G927*25/27</f>
        <v>8817.68444889364</v>
      </c>
      <c r="H928" s="17" t="n">
        <f aca="false">F928-G928</f>
        <v>-259.06379251229</v>
      </c>
      <c r="I928" s="17" t="n">
        <f aca="false">H928*2/10+I927*8/10</f>
        <v>-150.546667551691</v>
      </c>
      <c r="J928" s="17" t="n">
        <f aca="false">H928-I928</f>
        <v>-108.517124960599</v>
      </c>
      <c r="K928" s="17" t="n">
        <f aca="false">MAX(B928-B927,0)</f>
        <v>0</v>
      </c>
      <c r="L928" s="17" t="n">
        <f aca="false">MAX(B927-B928,0)</f>
        <v>366.150000000001</v>
      </c>
      <c r="M928" s="17" t="n">
        <f aca="false">(M927*13+K928)/14</f>
        <v>81.4894009327924</v>
      </c>
      <c r="N928" s="17" t="n">
        <f aca="false">(N927*13+L928)/14</f>
        <v>144.5695291267</v>
      </c>
      <c r="O928" s="17" t="n">
        <f aca="false">IF(N928=0,100,100-100/(1+M928/N928))</f>
        <v>36.0478574818286</v>
      </c>
      <c r="P928" s="17" t="n">
        <f aca="false">AVERAGE(B909:B928)+2*STDEV(B909:B928)</f>
        <v>10089.0005204492</v>
      </c>
      <c r="Q928" s="17" t="n">
        <f aca="false">AVERAGE(B909:B928)-2*STDEV(B909:B928)</f>
        <v>7800.24547955079</v>
      </c>
      <c r="R928" s="19" t="n">
        <f aca="false">B928/B908-1</f>
        <v>-0.158831922301862</v>
      </c>
      <c r="S928" s="17" t="n">
        <f aca="false">STDEV(C909:C928)*SQRT(252)*100</f>
        <v>51.252513897577</v>
      </c>
      <c r="T928" s="19" t="n">
        <f aca="false">B907/B677-1</f>
        <v>0.311405019718947</v>
      </c>
      <c r="U928" s="19" t="n">
        <f aca="false">B928/MAX(B677:B928)-1</f>
        <v>-0.176217468743344</v>
      </c>
      <c r="V928" s="17" t="n">
        <f aca="false">(B928-AVERAGE(B909:B928))/STDEV(B909:B928)</f>
        <v>-1.6401982444248</v>
      </c>
    </row>
    <row r="929" customFormat="false" ht="15" hidden="false" customHeight="false" outlineLevel="0" collapsed="false">
      <c r="A929" s="17" t="s">
        <v>1493</v>
      </c>
      <c r="B929" s="17" t="n">
        <v>7263.65</v>
      </c>
      <c r="C929" s="19" t="n">
        <f aca="false">B929/B928-1</f>
        <v>-0.0927378055787324</v>
      </c>
      <c r="D929" s="17" t="n">
        <f aca="false">AVERAGE(B880:B929)</f>
        <v>9005.057</v>
      </c>
      <c r="E929" s="17" t="n">
        <f aca="false">AVERAGE(B730:B929)</f>
        <v>8182.06915</v>
      </c>
      <c r="F929" s="17" t="n">
        <f aca="false">B929*2/13+F928*11/13</f>
        <v>8359.39440155345</v>
      </c>
      <c r="G929" s="17" t="n">
        <f aca="false">B929*2/27+G928*25/27</f>
        <v>8702.57078601263</v>
      </c>
      <c r="H929" s="17" t="n">
        <f aca="false">F929-G929</f>
        <v>-343.176384459179</v>
      </c>
      <c r="I929" s="17" t="n">
        <f aca="false">H929*2/10+I928*8/10</f>
        <v>-189.072610933188</v>
      </c>
      <c r="J929" s="17" t="n">
        <f aca="false">H929-I929</f>
        <v>-154.10377352599</v>
      </c>
      <c r="K929" s="17" t="n">
        <f aca="false">MAX(B929-B928,0)</f>
        <v>0</v>
      </c>
      <c r="L929" s="17" t="n">
        <f aca="false">MAX(B928-B929,0)</f>
        <v>742.47</v>
      </c>
      <c r="M929" s="17" t="n">
        <f aca="false">(M928*13+K929)/14</f>
        <v>75.668729437593</v>
      </c>
      <c r="N929" s="17" t="n">
        <f aca="false">(N928*13+L929)/14</f>
        <v>187.27670561765</v>
      </c>
      <c r="O929" s="17" t="n">
        <f aca="false">IF(N929=0,100,100-100/(1+M929/N929))</f>
        <v>28.7773504878286</v>
      </c>
      <c r="P929" s="17" t="n">
        <f aca="false">AVERAGE(B910:B929)+2*STDEV(B910:B929)</f>
        <v>10150.8766963493</v>
      </c>
      <c r="Q929" s="17" t="n">
        <f aca="false">AVERAGE(B910:B929)-2*STDEV(B910:B929)</f>
        <v>7503.41430365067</v>
      </c>
      <c r="R929" s="19" t="n">
        <f aca="false">B929/B909-1</f>
        <v>-0.24440872966338</v>
      </c>
      <c r="S929" s="17" t="n">
        <f aca="false">STDEV(C910:C929)*SQRT(252)*100</f>
        <v>58.8472705705689</v>
      </c>
      <c r="T929" s="19" t="n">
        <f aca="false">B908/B678-1</f>
        <v>0.314075225631333</v>
      </c>
      <c r="U929" s="19" t="n">
        <f aca="false">B929/MAX(B678:B929)-1</f>
        <v>-0.25261325296618</v>
      </c>
      <c r="V929" s="17" t="n">
        <f aca="false">(B929-AVERAGE(B910:B929))/STDEV(B910:B929)</f>
        <v>-2.36225527404946</v>
      </c>
    </row>
    <row r="930" customFormat="false" ht="15" hidden="false" customHeight="false" outlineLevel="0" collapsed="false">
      <c r="A930" s="17" t="s">
        <v>1494</v>
      </c>
      <c r="B930" s="17" t="n">
        <v>7995.26</v>
      </c>
      <c r="C930" s="19" t="n">
        <f aca="false">B930/B929-1</f>
        <v>0.10072208875703</v>
      </c>
      <c r="D930" s="17" t="n">
        <f aca="false">AVERAGE(B881:B930)</f>
        <v>8990.3008</v>
      </c>
      <c r="E930" s="17" t="n">
        <f aca="false">AVERAGE(B731:B930)</f>
        <v>8185.96115</v>
      </c>
      <c r="F930" s="17" t="n">
        <f aca="false">B930*2/13+F929*11/13</f>
        <v>8303.37372439138</v>
      </c>
      <c r="G930" s="17" t="n">
        <f aca="false">B930*2/27+G929*25/27</f>
        <v>8650.17739445614</v>
      </c>
      <c r="H930" s="17" t="n">
        <f aca="false">F930-G930</f>
        <v>-346.803670064757</v>
      </c>
      <c r="I930" s="17" t="n">
        <f aca="false">H930*2/10+I929*8/10</f>
        <v>-220.618822759502</v>
      </c>
      <c r="J930" s="17" t="n">
        <f aca="false">H930-I930</f>
        <v>-126.184847305255</v>
      </c>
      <c r="K930" s="17" t="n">
        <f aca="false">MAX(B930-B929,0)</f>
        <v>731.610000000001</v>
      </c>
      <c r="L930" s="17" t="n">
        <f aca="false">MAX(B929-B930,0)</f>
        <v>0</v>
      </c>
      <c r="M930" s="17" t="n">
        <f aca="false">(M929*13+K930)/14</f>
        <v>122.521677334908</v>
      </c>
      <c r="N930" s="17" t="n">
        <f aca="false">(N929*13+L930)/14</f>
        <v>173.899798073532</v>
      </c>
      <c r="O930" s="17" t="n">
        <f aca="false">IF(N930=0,100,100-100/(1+M930/N930))</f>
        <v>41.3336035002474</v>
      </c>
      <c r="P930" s="17" t="n">
        <f aca="false">AVERAGE(B911:B930)+2*STDEV(B911:B930)</f>
        <v>10068.7287748441</v>
      </c>
      <c r="Q930" s="17" t="n">
        <f aca="false">AVERAGE(B911:B930)-2*STDEV(B911:B930)</f>
        <v>7425.51822515588</v>
      </c>
      <c r="R930" s="19" t="n">
        <f aca="false">B930/B910-1</f>
        <v>-0.166787206769699</v>
      </c>
      <c r="S930" s="17" t="n">
        <f aca="false">STDEV(C911:C930)*SQRT(252)*100</f>
        <v>71.4060646220957</v>
      </c>
      <c r="T930" s="19" t="n">
        <f aca="false">B909/B679-1</f>
        <v>0.315616964030333</v>
      </c>
      <c r="U930" s="19" t="n">
        <f aca="false">B930/MAX(B679:B930)-1</f>
        <v>-0.177334898695611</v>
      </c>
      <c r="V930" s="17" t="n">
        <f aca="false">(B930-AVERAGE(B911:B930))/STDEV(B911:B930)</f>
        <v>-1.13780341878354</v>
      </c>
    </row>
    <row r="931" customFormat="false" ht="15" hidden="false" customHeight="false" outlineLevel="0" collapsed="false">
      <c r="A931" s="17" t="s">
        <v>1495</v>
      </c>
      <c r="B931" s="17" t="n">
        <v>7020.38</v>
      </c>
      <c r="C931" s="19" t="n">
        <f aca="false">B931/B930-1</f>
        <v>-0.121932244855077</v>
      </c>
      <c r="D931" s="17" t="n">
        <f aca="false">AVERAGE(B882:B931)</f>
        <v>8953.264</v>
      </c>
      <c r="E931" s="17" t="n">
        <f aca="false">AVERAGE(B732:B931)</f>
        <v>8184.83605</v>
      </c>
      <c r="F931" s="17" t="n">
        <f aca="false">B931*2/13+F930*11/13</f>
        <v>8105.99007448501</v>
      </c>
      <c r="G931" s="17" t="n">
        <f aca="false">B931*2/27+G930*25/27</f>
        <v>8529.45166153346</v>
      </c>
      <c r="H931" s="17" t="n">
        <f aca="false">F931-G931</f>
        <v>-423.461587048446</v>
      </c>
      <c r="I931" s="17" t="n">
        <f aca="false">H931*2/10+I930*8/10</f>
        <v>-261.187375617291</v>
      </c>
      <c r="J931" s="17" t="n">
        <f aca="false">H931-I931</f>
        <v>-162.274211431155</v>
      </c>
      <c r="K931" s="17" t="n">
        <f aca="false">MAX(B931-B930,0)</f>
        <v>0</v>
      </c>
      <c r="L931" s="17" t="n">
        <f aca="false">MAX(B930-B931,0)</f>
        <v>974.88</v>
      </c>
      <c r="M931" s="17" t="n">
        <f aca="false">(M930*13+K931)/14</f>
        <v>113.770128953843</v>
      </c>
      <c r="N931" s="17" t="n">
        <f aca="false">(N930*13+L931)/14</f>
        <v>231.112669639708</v>
      </c>
      <c r="O931" s="17" t="n">
        <f aca="false">IF(N931=0,100,100-100/(1+M931/N931))</f>
        <v>32.9880554837188</v>
      </c>
      <c r="P931" s="17" t="n">
        <f aca="false">AVERAGE(B912:B931)+2*STDEV(B912:B931)</f>
        <v>10080.2817906096</v>
      </c>
      <c r="Q931" s="17" t="n">
        <f aca="false">AVERAGE(B912:B931)-2*STDEV(B912:B931)</f>
        <v>7153.64520939039</v>
      </c>
      <c r="R931" s="19" t="n">
        <f aca="false">B931/B911-1</f>
        <v>-0.270502245526093</v>
      </c>
      <c r="S931" s="17" t="n">
        <f aca="false">STDEV(C912:C931)*SQRT(252)*100</f>
        <v>81.8364803968485</v>
      </c>
      <c r="T931" s="19" t="n">
        <f aca="false">B910/B680-1</f>
        <v>0.309764300572733</v>
      </c>
      <c r="U931" s="19" t="n">
        <f aca="false">B931/MAX(B680:B931)-1</f>
        <v>-0.277644301261585</v>
      </c>
      <c r="V931" s="17" t="n">
        <f aca="false">(B931-AVERAGE(B912:B931))/STDEV(B912:B931)</f>
        <v>-2.18214111071471</v>
      </c>
    </row>
    <row r="932" customFormat="false" ht="15" hidden="false" customHeight="false" outlineLevel="0" collapsed="false">
      <c r="A932" s="17" t="s">
        <v>1496</v>
      </c>
      <c r="B932" s="17" t="n">
        <v>7473.95</v>
      </c>
      <c r="C932" s="19" t="n">
        <f aca="false">B932/B931-1</f>
        <v>0.0646076138328695</v>
      </c>
      <c r="D932" s="17" t="n">
        <f aca="false">AVERAGE(B883:B932)</f>
        <v>8926.865</v>
      </c>
      <c r="E932" s="17" t="n">
        <f aca="false">AVERAGE(B733:B932)</f>
        <v>8186.566</v>
      </c>
      <c r="F932" s="17" t="n">
        <f aca="false">B932*2/13+F931*11/13</f>
        <v>8008.75313994886</v>
      </c>
      <c r="G932" s="17" t="n">
        <f aca="false">B932*2/27+G931*25/27</f>
        <v>8451.26635327172</v>
      </c>
      <c r="H932" s="17" t="n">
        <f aca="false">F932-G932</f>
        <v>-442.513213322864</v>
      </c>
      <c r="I932" s="17" t="n">
        <f aca="false">H932*2/10+I931*8/10</f>
        <v>-297.452543158405</v>
      </c>
      <c r="J932" s="17" t="n">
        <f aca="false">H932-I932</f>
        <v>-145.060670164458</v>
      </c>
      <c r="K932" s="17" t="n">
        <f aca="false">MAX(B932-B931,0)</f>
        <v>453.57</v>
      </c>
      <c r="L932" s="17" t="n">
        <f aca="false">MAX(B931-B932,0)</f>
        <v>0</v>
      </c>
      <c r="M932" s="17" t="n">
        <f aca="false">(M931*13+K932)/14</f>
        <v>138.041548314283</v>
      </c>
      <c r="N932" s="17" t="n">
        <f aca="false">(N931*13+L932)/14</f>
        <v>214.604621808301</v>
      </c>
      <c r="O932" s="17" t="n">
        <f aca="false">IF(N932=0,100,100-100/(1+M932/N932))</f>
        <v>39.144490996825</v>
      </c>
      <c r="P932" s="17" t="n">
        <f aca="false">AVERAGE(B913:B932)+2*STDEV(B913:B932)</f>
        <v>9975.95657379411</v>
      </c>
      <c r="Q932" s="17" t="n">
        <f aca="false">AVERAGE(B913:B932)-2*STDEV(B913:B932)</f>
        <v>7042.38542620589</v>
      </c>
      <c r="R932" s="19" t="n">
        <f aca="false">B932/B912-1</f>
        <v>-0.223872769943301</v>
      </c>
      <c r="S932" s="17" t="n">
        <f aca="false">STDEV(C913:C932)*SQRT(252)*100</f>
        <v>86.4141001905688</v>
      </c>
      <c r="T932" s="19" t="n">
        <f aca="false">B911/B681-1</f>
        <v>0.309458885768402</v>
      </c>
      <c r="U932" s="19" t="n">
        <f aca="false">B932/MAX(B681:B932)-1</f>
        <v>-0.230974623227521</v>
      </c>
      <c r="V932" s="17" t="n">
        <f aca="false">(B932-AVERAGE(B913:B932))/STDEV(B913:B932)</f>
        <v>-1.41155056130285</v>
      </c>
    </row>
    <row r="933" customFormat="false" ht="15" hidden="false" customHeight="false" outlineLevel="0" collapsed="false">
      <c r="A933" s="17" t="s">
        <v>1497</v>
      </c>
      <c r="B933" s="17" t="n">
        <v>7175.18</v>
      </c>
      <c r="C933" s="19" t="n">
        <f aca="false">B933/B932-1</f>
        <v>-0.039974845964985</v>
      </c>
      <c r="D933" s="17" t="n">
        <f aca="false">AVERAGE(B884:B933)</f>
        <v>8893.3982</v>
      </c>
      <c r="E933" s="17" t="n">
        <f aca="false">AVERAGE(B734:B933)</f>
        <v>8187.5518</v>
      </c>
      <c r="F933" s="17" t="n">
        <f aca="false">B933*2/13+F932*11/13</f>
        <v>7880.51111841827</v>
      </c>
      <c r="G933" s="17" t="n">
        <f aca="false">B933*2/27+G932*25/27</f>
        <v>8356.74143821456</v>
      </c>
      <c r="H933" s="17" t="n">
        <f aca="false">F933-G933</f>
        <v>-476.230319796291</v>
      </c>
      <c r="I933" s="17" t="n">
        <f aca="false">H933*2/10+I932*8/10</f>
        <v>-333.208098485983</v>
      </c>
      <c r="J933" s="17" t="n">
        <f aca="false">H933-I933</f>
        <v>-143.022221310309</v>
      </c>
      <c r="K933" s="17" t="n">
        <f aca="false">MAX(B933-B932,0)</f>
        <v>0</v>
      </c>
      <c r="L933" s="17" t="n">
        <f aca="false">MAX(B932-B933,0)</f>
        <v>298.77</v>
      </c>
      <c r="M933" s="17" t="n">
        <f aca="false">(M932*13+K933)/14</f>
        <v>128.181437720405</v>
      </c>
      <c r="N933" s="17" t="n">
        <f aca="false">(N932*13+L933)/14</f>
        <v>220.616434536279</v>
      </c>
      <c r="O933" s="17" t="n">
        <f aca="false">IF(N933=0,100,100-100/(1+M933/N933))</f>
        <v>36.7494895800497</v>
      </c>
      <c r="P933" s="17" t="n">
        <f aca="false">AVERAGE(B914:B933)+2*STDEV(B914:B933)</f>
        <v>9848.27783381474</v>
      </c>
      <c r="Q933" s="17" t="n">
        <f aca="false">AVERAGE(B914:B933)-2*STDEV(B914:B933)</f>
        <v>6915.70916618526</v>
      </c>
      <c r="R933" s="19" t="n">
        <f aca="false">B933/B913-1</f>
        <v>-0.261716294207165</v>
      </c>
      <c r="S933" s="17" t="n">
        <f aca="false">STDEV(C914:C933)*SQRT(252)*100</f>
        <v>86.6382328779694</v>
      </c>
      <c r="T933" s="19" t="n">
        <f aca="false">B912/B682-1</f>
        <v>0.304718355180706</v>
      </c>
      <c r="U933" s="19" t="n">
        <f aca="false">B933/MAX(B682:B933)-1</f>
        <v>-0.261716294207165</v>
      </c>
      <c r="V933" s="17" t="n">
        <f aca="false">(B933-AVERAGE(B914:B933))/STDEV(B914:B933)</f>
        <v>-1.64608387632474</v>
      </c>
    </row>
    <row r="934" customFormat="false" ht="15" hidden="false" customHeight="false" outlineLevel="0" collapsed="false">
      <c r="A934" s="17" t="s">
        <v>1498</v>
      </c>
      <c r="B934" s="17" t="n">
        <v>7288.52</v>
      </c>
      <c r="C934" s="19" t="n">
        <f aca="false">B934/B933-1</f>
        <v>0.015796119400489</v>
      </c>
      <c r="D934" s="17" t="n">
        <f aca="false">AVERAGE(B885:B934)</f>
        <v>8862.2396</v>
      </c>
      <c r="E934" s="17" t="n">
        <f aca="false">AVERAGE(B735:B934)</f>
        <v>8188.16065</v>
      </c>
      <c r="F934" s="17" t="n">
        <f aca="false">B934*2/13+F933*11/13</f>
        <v>7789.43556173853</v>
      </c>
      <c r="G934" s="17" t="n">
        <f aca="false">B934*2/27+G933*25/27</f>
        <v>8277.61392427274</v>
      </c>
      <c r="H934" s="17" t="n">
        <f aca="false">F934-G934</f>
        <v>-488.178362534205</v>
      </c>
      <c r="I934" s="17" t="n">
        <f aca="false">H934*2/10+I933*8/10</f>
        <v>-364.202151295627</v>
      </c>
      <c r="J934" s="17" t="n">
        <f aca="false">H934-I934</f>
        <v>-123.976211238578</v>
      </c>
      <c r="K934" s="17" t="n">
        <f aca="false">MAX(B934-B933,0)</f>
        <v>113.34</v>
      </c>
      <c r="L934" s="17" t="n">
        <f aca="false">MAX(B933-B934,0)</f>
        <v>0</v>
      </c>
      <c r="M934" s="17" t="n">
        <f aca="false">(M933*13+K934)/14</f>
        <v>127.121335026091</v>
      </c>
      <c r="N934" s="17" t="n">
        <f aca="false">(N933*13+L934)/14</f>
        <v>204.858117783688</v>
      </c>
      <c r="O934" s="17" t="n">
        <f aca="false">IF(N934=0,100,100-100/(1+M934/N934))</f>
        <v>38.291928596837</v>
      </c>
      <c r="P934" s="17" t="n">
        <f aca="false">AVERAGE(B915:B934)+2*STDEV(B915:B934)</f>
        <v>9685.3621673312</v>
      </c>
      <c r="Q934" s="17" t="n">
        <f aca="false">AVERAGE(B915:B934)-2*STDEV(B915:B934)</f>
        <v>6844.6938326688</v>
      </c>
      <c r="R934" s="19" t="n">
        <f aca="false">B934/B914-1</f>
        <v>-0.24297375421045</v>
      </c>
      <c r="S934" s="17" t="n">
        <f aca="false">STDEV(C915:C934)*SQRT(252)*100</f>
        <v>87.2605330332014</v>
      </c>
      <c r="T934" s="19" t="n">
        <f aca="false">B913/B683-1</f>
        <v>0.296994503067419</v>
      </c>
      <c r="U934" s="19" t="n">
        <f aca="false">B934/MAX(B683:B934)-1</f>
        <v>-0.250054276639026</v>
      </c>
      <c r="V934" s="17" t="n">
        <f aca="false">(B934-AVERAGE(B915:B934))/STDEV(B915:B934)</f>
        <v>-1.37503979339573</v>
      </c>
    </row>
    <row r="935" customFormat="false" ht="15" hidden="false" customHeight="false" outlineLevel="0" collapsed="false">
      <c r="A935" s="17" t="s">
        <v>1499</v>
      </c>
      <c r="B935" s="17" t="n">
        <v>6994.29</v>
      </c>
      <c r="C935" s="19" t="n">
        <f aca="false">B935/B934-1</f>
        <v>-0.040368963795119</v>
      </c>
      <c r="D935" s="17" t="n">
        <f aca="false">AVERAGE(B886:B935)</f>
        <v>8823.878</v>
      </c>
      <c r="E935" s="17" t="n">
        <f aca="false">AVERAGE(B736:B935)</f>
        <v>8187.0276</v>
      </c>
      <c r="F935" s="17" t="n">
        <f aca="false">B935*2/13+F934*11/13</f>
        <v>7667.10547531722</v>
      </c>
      <c r="G935" s="17" t="n">
        <f aca="false">B935*2/27+G934*25/27</f>
        <v>8182.55289284513</v>
      </c>
      <c r="H935" s="17" t="n">
        <f aca="false">F935-G935</f>
        <v>-515.447417527908</v>
      </c>
      <c r="I935" s="17" t="n">
        <f aca="false">H935*2/10+I934*8/10</f>
        <v>-394.451204542083</v>
      </c>
      <c r="J935" s="17" t="n">
        <f aca="false">H935-I935</f>
        <v>-120.996212985825</v>
      </c>
      <c r="K935" s="17" t="n">
        <f aca="false">MAX(B935-B934,0)</f>
        <v>0</v>
      </c>
      <c r="L935" s="17" t="n">
        <f aca="false">MAX(B934-B935,0)</f>
        <v>294.230000000001</v>
      </c>
      <c r="M935" s="17" t="n">
        <f aca="false">(M934*13+K935)/14</f>
        <v>118.041239667084</v>
      </c>
      <c r="N935" s="17" t="n">
        <f aca="false">(N934*13+L935)/14</f>
        <v>211.241823656282</v>
      </c>
      <c r="O935" s="17" t="n">
        <f aca="false">IF(N935=0,100,100-100/(1+M935/N935))</f>
        <v>35.8479535739633</v>
      </c>
      <c r="P935" s="17" t="n">
        <f aca="false">AVERAGE(B916:B935)+2*STDEV(B916:B935)</f>
        <v>9556.6323655926</v>
      </c>
      <c r="Q935" s="17" t="n">
        <f aca="false">AVERAGE(B916:B935)-2*STDEV(B916:B935)</f>
        <v>6728.1836344074</v>
      </c>
      <c r="R935" s="19" t="n">
        <f aca="false">B935/B915-1</f>
        <v>-0.259604157646753</v>
      </c>
      <c r="S935" s="17" t="n">
        <f aca="false">STDEV(C916:C935)*SQRT(252)*100</f>
        <v>87.8053474019221</v>
      </c>
      <c r="T935" s="19" t="n">
        <f aca="false">B914/B684-1</f>
        <v>0.314189345978602</v>
      </c>
      <c r="U935" s="19" t="n">
        <f aca="false">B935/MAX(B684:B935)-1</f>
        <v>-0.280328808393689</v>
      </c>
      <c r="V935" s="17" t="n">
        <f aca="false">(B935-AVERAGE(B916:B935))/STDEV(B916:B935)</f>
        <v>-1.62367164352865</v>
      </c>
    </row>
    <row r="936" customFormat="false" ht="15" hidden="false" customHeight="false" outlineLevel="0" collapsed="false">
      <c r="A936" s="17" t="s">
        <v>1500</v>
      </c>
      <c r="B936" s="17" t="n">
        <v>7006.92</v>
      </c>
      <c r="C936" s="19" t="n">
        <f aca="false">B936/B935-1</f>
        <v>0.00180575869745181</v>
      </c>
      <c r="D936" s="17" t="n">
        <f aca="false">AVERAGE(B887:B936)</f>
        <v>8784.2238</v>
      </c>
      <c r="E936" s="17" t="n">
        <f aca="false">AVERAGE(B737:B936)</f>
        <v>8185.68255</v>
      </c>
      <c r="F936" s="17" t="n">
        <f aca="false">B936*2/13+F935*11/13</f>
        <v>7565.53847911457</v>
      </c>
      <c r="G936" s="17" t="n">
        <f aca="false">B936*2/27+G935*25/27</f>
        <v>8095.4689748566</v>
      </c>
      <c r="H936" s="17" t="n">
        <f aca="false">F936-G936</f>
        <v>-529.930495742029</v>
      </c>
      <c r="I936" s="17" t="n">
        <f aca="false">H936*2/10+I935*8/10</f>
        <v>-421.547062782072</v>
      </c>
      <c r="J936" s="17" t="n">
        <f aca="false">H936-I936</f>
        <v>-108.383432959957</v>
      </c>
      <c r="K936" s="17" t="n">
        <f aca="false">MAX(B936-B935,0)</f>
        <v>12.6300000000001</v>
      </c>
      <c r="L936" s="17" t="n">
        <f aca="false">MAX(B935-B936,0)</f>
        <v>0</v>
      </c>
      <c r="M936" s="17" t="n">
        <f aca="false">(M935*13+K936)/14</f>
        <v>110.51186540515</v>
      </c>
      <c r="N936" s="17" t="n">
        <f aca="false">(N935*13+L936)/14</f>
        <v>196.153121966547</v>
      </c>
      <c r="O936" s="17" t="n">
        <f aca="false">IF(N936=0,100,100-100/(1+M936/N936))</f>
        <v>36.0366751849641</v>
      </c>
      <c r="P936" s="17" t="n">
        <f aca="false">AVERAGE(B917:B936)+2*STDEV(B917:B936)</f>
        <v>9467.52143568317</v>
      </c>
      <c r="Q936" s="17" t="n">
        <f aca="false">AVERAGE(B917:B936)-2*STDEV(B917:B936)</f>
        <v>6610.02356431683</v>
      </c>
      <c r="R936" s="19" t="n">
        <f aca="false">B936/B916-1</f>
        <v>-0.228281328644449</v>
      </c>
      <c r="S936" s="17" t="n">
        <f aca="false">STDEV(C917:C936)*SQRT(252)*100</f>
        <v>87.4303449210716</v>
      </c>
      <c r="T936" s="19" t="n">
        <f aca="false">B915/B685-1</f>
        <v>0.291067601845575</v>
      </c>
      <c r="U936" s="19" t="n">
        <f aca="false">B936/MAX(B685:B936)-1</f>
        <v>-0.279029255880141</v>
      </c>
      <c r="V936" s="17" t="n">
        <f aca="false">(B936-AVERAGE(B917:B936))/STDEV(B917:B936)</f>
        <v>-1.44441402436686</v>
      </c>
    </row>
    <row r="937" customFormat="false" ht="15" hidden="false" customHeight="false" outlineLevel="0" collapsed="false">
      <c r="A937" s="17" t="s">
        <v>1501</v>
      </c>
      <c r="B937" s="17" t="n">
        <v>7553.83</v>
      </c>
      <c r="C937" s="19" t="n">
        <f aca="false">B937/B936-1</f>
        <v>0.0780528391932547</v>
      </c>
      <c r="D937" s="17" t="n">
        <f aca="false">AVERAGE(B888:B937)</f>
        <v>8755.9676</v>
      </c>
      <c r="E937" s="17" t="n">
        <f aca="false">AVERAGE(B738:B937)</f>
        <v>8186.36525</v>
      </c>
      <c r="F937" s="17" t="n">
        <f aca="false">B937*2/13+F936*11/13</f>
        <v>7563.73717463541</v>
      </c>
      <c r="G937" s="17" t="n">
        <f aca="false">B937*2/27+G936*25/27</f>
        <v>8055.34756931167</v>
      </c>
      <c r="H937" s="17" t="n">
        <f aca="false">F937-G937</f>
        <v>-491.61039467626</v>
      </c>
      <c r="I937" s="17" t="n">
        <f aca="false">H937*2/10+I936*8/10</f>
        <v>-435.55972916091</v>
      </c>
      <c r="J937" s="17" t="n">
        <f aca="false">H937-I937</f>
        <v>-56.0506655153498</v>
      </c>
      <c r="K937" s="17" t="n">
        <f aca="false">MAX(B937-B936,0)</f>
        <v>546.91</v>
      </c>
      <c r="L937" s="17" t="n">
        <f aca="false">MAX(B936-B937,0)</f>
        <v>0</v>
      </c>
      <c r="M937" s="17" t="n">
        <f aca="false">(M936*13+K937)/14</f>
        <v>141.683160733353</v>
      </c>
      <c r="N937" s="17" t="n">
        <f aca="false">(N936*13+L937)/14</f>
        <v>182.142184683222</v>
      </c>
      <c r="O937" s="17" t="n">
        <f aca="false">IF(N937=0,100,100-100/(1+M937/N937))</f>
        <v>43.7529559494761</v>
      </c>
      <c r="P937" s="17" t="n">
        <f aca="false">AVERAGE(B918:B937)+2*STDEV(B918:B937)</f>
        <v>9367.60705604071</v>
      </c>
      <c r="Q937" s="17" t="n">
        <f aca="false">AVERAGE(B918:B937)-2*STDEV(B918:B937)</f>
        <v>6581.83394395929</v>
      </c>
      <c r="R937" s="19" t="n">
        <f aca="false">B937/B917-1</f>
        <v>-0.144998172016114</v>
      </c>
      <c r="S937" s="17" t="n">
        <f aca="false">STDEV(C918:C937)*SQRT(252)*100</f>
        <v>92.7393056703099</v>
      </c>
      <c r="T937" s="19" t="n">
        <f aca="false">B916/B686-1</f>
        <v>0.235130557803881</v>
      </c>
      <c r="U937" s="19" t="n">
        <f aca="false">B937/MAX(B686:B937)-1</f>
        <v>-0.222755442326312</v>
      </c>
      <c r="V937" s="17" t="n">
        <f aca="false">(B937-AVERAGE(B918:B937))/STDEV(B918:B937)</f>
        <v>-0.604342827740954</v>
      </c>
    </row>
    <row r="938" customFormat="false" ht="15" hidden="false" customHeight="false" outlineLevel="0" collapsed="false">
      <c r="A938" s="17" t="s">
        <v>1502</v>
      </c>
      <c r="B938" s="17" t="n">
        <v>7469.62</v>
      </c>
      <c r="C938" s="19" t="n">
        <f aca="false">B938/B937-1</f>
        <v>-0.0111479871800133</v>
      </c>
      <c r="D938" s="17" t="n">
        <f aca="false">AVERAGE(B889:B938)</f>
        <v>8723.947</v>
      </c>
      <c r="E938" s="17" t="n">
        <f aca="false">AVERAGE(B739:B938)</f>
        <v>8186.2037</v>
      </c>
      <c r="F938" s="17" t="n">
        <f aca="false">B938*2/13+F937*11/13</f>
        <v>7549.25760930688</v>
      </c>
      <c r="G938" s="17" t="n">
        <f aca="false">B938*2/27+G937*25/27</f>
        <v>8011.96034195525</v>
      </c>
      <c r="H938" s="17" t="n">
        <f aca="false">F938-G938</f>
        <v>-462.702732648363</v>
      </c>
      <c r="I938" s="17" t="n">
        <f aca="false">H938*2/10+I937*8/10</f>
        <v>-440.9883298584</v>
      </c>
      <c r="J938" s="17" t="n">
        <f aca="false">H938-I938</f>
        <v>-21.7144027899626</v>
      </c>
      <c r="K938" s="17" t="n">
        <f aca="false">MAX(B938-B937,0)</f>
        <v>0</v>
      </c>
      <c r="L938" s="17" t="n">
        <f aca="false">MAX(B937-B938,0)</f>
        <v>84.21</v>
      </c>
      <c r="M938" s="17" t="n">
        <f aca="false">(M937*13+K938)/14</f>
        <v>131.562934966685</v>
      </c>
      <c r="N938" s="17" t="n">
        <f aca="false">(N937*13+L938)/14</f>
        <v>175.147028634421</v>
      </c>
      <c r="O938" s="17" t="n">
        <f aca="false">IF(N938=0,100,100-100/(1+M938/N938))</f>
        <v>42.8949009096393</v>
      </c>
      <c r="P938" s="17" t="n">
        <f aca="false">AVERAGE(B919:B938)+2*STDEV(B919:B938)</f>
        <v>9247.24485503758</v>
      </c>
      <c r="Q938" s="17" t="n">
        <f aca="false">AVERAGE(B919:B938)-2*STDEV(B919:B938)</f>
        <v>6561.78214496242</v>
      </c>
      <c r="R938" s="19" t="n">
        <f aca="false">B938/B918-1</f>
        <v>-0.158235066082472</v>
      </c>
      <c r="S938" s="17" t="n">
        <f aca="false">STDEV(C919:C938)*SQRT(252)*100</f>
        <v>92.6685315013825</v>
      </c>
      <c r="T938" s="19" t="n">
        <f aca="false">B917/B687-1</f>
        <v>0.208899878081988</v>
      </c>
      <c r="U938" s="19" t="n">
        <f aca="false">B938/MAX(B687:B938)-1</f>
        <v>-0.231420154690994</v>
      </c>
      <c r="V938" s="17" t="n">
        <f aca="false">(B938-AVERAGE(B919:B938))/STDEV(B919:B938)</f>
        <v>-0.64777440158583</v>
      </c>
    </row>
    <row r="939" customFormat="false" ht="15" hidden="false" customHeight="false" outlineLevel="0" collapsed="false">
      <c r="A939" s="17" t="s">
        <v>1503</v>
      </c>
      <c r="B939" s="17" t="n">
        <v>7897.13</v>
      </c>
      <c r="C939" s="19" t="n">
        <f aca="false">B939/B938-1</f>
        <v>0.0572331658103089</v>
      </c>
      <c r="D939" s="17" t="n">
        <f aca="false">AVERAGE(B890:B939)</f>
        <v>8701.2212</v>
      </c>
      <c r="E939" s="17" t="n">
        <f aca="false">AVERAGE(B740:B939)</f>
        <v>8188.1201</v>
      </c>
      <c r="F939" s="17" t="n">
        <f aca="false">B939*2/13+F938*11/13</f>
        <v>7602.77643864429</v>
      </c>
      <c r="G939" s="17" t="n">
        <f aca="false">B939*2/27+G938*25/27</f>
        <v>8003.4543906993</v>
      </c>
      <c r="H939" s="17" t="n">
        <f aca="false">F939-G939</f>
        <v>-400.677952055016</v>
      </c>
      <c r="I939" s="17" t="n">
        <f aca="false">H939*2/10+I938*8/10</f>
        <v>-432.926254297724</v>
      </c>
      <c r="J939" s="17" t="n">
        <f aca="false">H939-I939</f>
        <v>32.2483022427074</v>
      </c>
      <c r="K939" s="17" t="n">
        <f aca="false">MAX(B939-B938,0)</f>
        <v>427.51</v>
      </c>
      <c r="L939" s="17" t="n">
        <f aca="false">MAX(B938-B939,0)</f>
        <v>0</v>
      </c>
      <c r="M939" s="17" t="n">
        <f aca="false">(M938*13+K939)/14</f>
        <v>152.702011040493</v>
      </c>
      <c r="N939" s="17" t="n">
        <f aca="false">(N938*13+L939)/14</f>
        <v>162.636526589105</v>
      </c>
      <c r="O939" s="17" t="n">
        <f aca="false">IF(N939=0,100,100-100/(1+M939/N939))</f>
        <v>48.424785688535</v>
      </c>
      <c r="P939" s="17" t="n">
        <f aca="false">AVERAGE(B920:B939)+2*STDEV(B920:B939)</f>
        <v>9196.72400042393</v>
      </c>
      <c r="Q939" s="17" t="n">
        <f aca="false">AVERAGE(B920:B939)-2*STDEV(B920:B939)</f>
        <v>6558.34899957607</v>
      </c>
      <c r="R939" s="19" t="n">
        <f aca="false">B939/B919-1</f>
        <v>-0.0639517724410224</v>
      </c>
      <c r="S939" s="17" t="n">
        <f aca="false">STDEV(C920:C939)*SQRT(252)*100</f>
        <v>93.9204054285747</v>
      </c>
      <c r="T939" s="19" t="n">
        <f aca="false">B918/B688-1</f>
        <v>0.212184463565864</v>
      </c>
      <c r="U939" s="19" t="n">
        <f aca="false">B939/MAX(B688:B939)-1</f>
        <v>-0.187431896965962</v>
      </c>
      <c r="V939" s="17" t="n">
        <f aca="false">(B939-AVERAGE(B920:B939))/STDEV(B920:B939)</f>
        <v>0.0297054057800024</v>
      </c>
    </row>
    <row r="940" customFormat="false" ht="15" hidden="false" customHeight="false" outlineLevel="0" collapsed="false">
      <c r="A940" s="17" t="s">
        <v>1504</v>
      </c>
      <c r="B940" s="17" t="n">
        <v>7588.37</v>
      </c>
      <c r="C940" s="19" t="n">
        <f aca="false">B940/B939-1</f>
        <v>-0.0390977481692717</v>
      </c>
      <c r="D940" s="17" t="n">
        <f aca="false">AVERAGE(B891:B940)</f>
        <v>8672.2752</v>
      </c>
      <c r="E940" s="17" t="n">
        <f aca="false">AVERAGE(B741:B940)</f>
        <v>8188.7005</v>
      </c>
      <c r="F940" s="17" t="n">
        <f aca="false">B940*2/13+F939*11/13</f>
        <v>7600.56006346824</v>
      </c>
      <c r="G940" s="17" t="n">
        <f aca="false">B940*2/27+G939*25/27</f>
        <v>7972.70739879565</v>
      </c>
      <c r="H940" s="17" t="n">
        <f aca="false">F940-G940</f>
        <v>-372.147335327408</v>
      </c>
      <c r="I940" s="17" t="n">
        <f aca="false">H940*2/10+I939*8/10</f>
        <v>-420.770470503661</v>
      </c>
      <c r="J940" s="17" t="n">
        <f aca="false">H940-I940</f>
        <v>48.6231351762527</v>
      </c>
      <c r="K940" s="17" t="n">
        <f aca="false">MAX(B940-B939,0)</f>
        <v>0</v>
      </c>
      <c r="L940" s="17" t="n">
        <f aca="false">MAX(B939-B940,0)</f>
        <v>308.76</v>
      </c>
      <c r="M940" s="17" t="n">
        <f aca="false">(M939*13+K940)/14</f>
        <v>141.794724537601</v>
      </c>
      <c r="N940" s="17" t="n">
        <f aca="false">(N939*13+L940)/14</f>
        <v>173.073917547026</v>
      </c>
      <c r="O940" s="17" t="n">
        <f aca="false">IF(N940=0,100,100-100/(1+M940/N940))</f>
        <v>45.0329774342822</v>
      </c>
      <c r="P940" s="17" t="n">
        <f aca="false">AVERAGE(B921:B940)+2*STDEV(B921:B940)</f>
        <v>9129.22251490099</v>
      </c>
      <c r="Q940" s="17" t="n">
        <f aca="false">AVERAGE(B921:B940)-2*STDEV(B921:B940)</f>
        <v>6538.50448509901</v>
      </c>
      <c r="R940" s="19" t="n">
        <f aca="false">B940/B920-1</f>
        <v>-0.103223534389133</v>
      </c>
      <c r="S940" s="17" t="n">
        <f aca="false">STDEV(C921:C940)*SQRT(252)*100</f>
        <v>94.8303662770865</v>
      </c>
      <c r="T940" s="19" t="n">
        <f aca="false">B919/B689-1</f>
        <v>0.143370778598601</v>
      </c>
      <c r="U940" s="19" t="n">
        <f aca="false">B940/MAX(B689:B940)-1</f>
        <v>-0.219201480028769</v>
      </c>
      <c r="V940" s="17" t="n">
        <f aca="false">(B940-AVERAGE(B921:B940))/STDEV(B921:B940)</f>
        <v>-0.379035459939674</v>
      </c>
    </row>
    <row r="941" customFormat="false" ht="15" hidden="false" customHeight="false" outlineLevel="0" collapsed="false">
      <c r="A941" s="17" t="s">
        <v>1505</v>
      </c>
      <c r="B941" s="17" t="n">
        <v>7889.01</v>
      </c>
      <c r="C941" s="19" t="n">
        <f aca="false">B941/B940-1</f>
        <v>0.0396185215006648</v>
      </c>
      <c r="D941" s="17" t="n">
        <f aca="false">AVERAGE(B892:B941)</f>
        <v>8647.5554</v>
      </c>
      <c r="E941" s="17" t="n">
        <f aca="false">AVERAGE(B742:B941)</f>
        <v>8190.59215</v>
      </c>
      <c r="F941" s="17" t="n">
        <f aca="false">B941*2/13+F940*11/13</f>
        <v>7644.93697678082</v>
      </c>
      <c r="G941" s="17" t="n">
        <f aca="false">B941*2/27+G940*25/27</f>
        <v>7966.50759147745</v>
      </c>
      <c r="H941" s="17" t="n">
        <f aca="false">F941-G941</f>
        <v>-321.570614696633</v>
      </c>
      <c r="I941" s="17" t="n">
        <f aca="false">H941*2/10+I940*8/10</f>
        <v>-400.930499342255</v>
      </c>
      <c r="J941" s="17" t="n">
        <f aca="false">H941-I941</f>
        <v>79.3598846456219</v>
      </c>
      <c r="K941" s="17" t="n">
        <f aca="false">MAX(B941-B940,0)</f>
        <v>300.64</v>
      </c>
      <c r="L941" s="17" t="n">
        <f aca="false">MAX(B940-B941,0)</f>
        <v>0</v>
      </c>
      <c r="M941" s="17" t="n">
        <f aca="false">(M940*13+K941)/14</f>
        <v>153.140815642058</v>
      </c>
      <c r="N941" s="17" t="n">
        <f aca="false">(N940*13+L941)/14</f>
        <v>160.711494865096</v>
      </c>
      <c r="O941" s="17" t="n">
        <f aca="false">IF(N941=0,100,100-100/(1+M941/N941))</f>
        <v>48.7939105481167</v>
      </c>
      <c r="P941" s="17" t="n">
        <f aca="false">AVERAGE(B922:B941)+2*STDEV(B922:B941)</f>
        <v>8983.91006314335</v>
      </c>
      <c r="Q941" s="17" t="n">
        <f aca="false">AVERAGE(B922:B941)-2*STDEV(B922:B941)</f>
        <v>6584.91993685665</v>
      </c>
      <c r="R941" s="19" t="n">
        <f aca="false">B941/B921-1</f>
        <v>-0.111395835539165</v>
      </c>
      <c r="S941" s="17" t="n">
        <f aca="false">STDEV(C922:C941)*SQRT(252)*100</f>
        <v>94.1814470605029</v>
      </c>
      <c r="T941" s="19" t="n">
        <f aca="false">B920/B690-1</f>
        <v>0.131499701808671</v>
      </c>
      <c r="U941" s="19" t="n">
        <f aca="false">B941/MAX(B690:B941)-1</f>
        <v>-0.188267397077602</v>
      </c>
      <c r="V941" s="17" t="n">
        <f aca="false">(B941-AVERAGE(B922:B941))/STDEV(B922:B941)</f>
        <v>0.1743983834763</v>
      </c>
    </row>
    <row r="942" customFormat="false" ht="15" hidden="false" customHeight="false" outlineLevel="0" collapsed="false">
      <c r="A942" s="17" t="s">
        <v>1506</v>
      </c>
      <c r="B942" s="17" t="n">
        <v>7813.5</v>
      </c>
      <c r="C942" s="19" t="n">
        <f aca="false">B942/B941-1</f>
        <v>-0.00957154319743547</v>
      </c>
      <c r="D942" s="17" t="n">
        <f aca="false">AVERAGE(B893:B942)</f>
        <v>8620.3508</v>
      </c>
      <c r="E942" s="17" t="n">
        <f aca="false">AVERAGE(B743:B942)</f>
        <v>8192.2641</v>
      </c>
      <c r="F942" s="17" t="n">
        <f aca="false">B942*2/13+F941*11/13</f>
        <v>7670.86974958377</v>
      </c>
      <c r="G942" s="17" t="n">
        <f aca="false">B942*2/27+G941*25/27</f>
        <v>7955.17369581246</v>
      </c>
      <c r="H942" s="17" t="n">
        <f aca="false">F942-G942</f>
        <v>-284.303946228686</v>
      </c>
      <c r="I942" s="17" t="n">
        <f aca="false">H942*2/10+I941*8/10</f>
        <v>-377.605188719541</v>
      </c>
      <c r="J942" s="17" t="n">
        <f aca="false">H942-I942</f>
        <v>93.3012424908552</v>
      </c>
      <c r="K942" s="17" t="n">
        <f aca="false">MAX(B942-B941,0)</f>
        <v>0</v>
      </c>
      <c r="L942" s="17" t="n">
        <f aca="false">MAX(B941-B942,0)</f>
        <v>75.5100000000002</v>
      </c>
      <c r="M942" s="17" t="n">
        <f aca="false">(M941*13+K942)/14</f>
        <v>142.20218595334</v>
      </c>
      <c r="N942" s="17" t="n">
        <f aca="false">(N941*13+L942)/14</f>
        <v>154.625673803303</v>
      </c>
      <c r="O942" s="17" t="n">
        <f aca="false">IF(N942=0,100,100-100/(1+M942/N942))</f>
        <v>47.9072908014516</v>
      </c>
      <c r="P942" s="17" t="n">
        <f aca="false">AVERAGE(B923:B942)+2*STDEV(B923:B942)</f>
        <v>8883.07993031471</v>
      </c>
      <c r="Q942" s="17" t="n">
        <f aca="false">AVERAGE(B923:B942)-2*STDEV(B923:B942)</f>
        <v>6607.65106968529</v>
      </c>
      <c r="R942" s="19" t="n">
        <f aca="false">B942/B922-1</f>
        <v>-0.0908710115434424</v>
      </c>
      <c r="S942" s="17" t="n">
        <f aca="false">STDEV(C923:C942)*SQRT(252)*100</f>
        <v>93.6411191423384</v>
      </c>
      <c r="T942" s="19" t="n">
        <f aca="false">B921/B691-1</f>
        <v>0.183787488466113</v>
      </c>
      <c r="U942" s="19" t="n">
        <f aca="false">B942/MAX(B691:B942)-1</f>
        <v>-0.19603693075124</v>
      </c>
      <c r="V942" s="17" t="n">
        <f aca="false">(B942-AVERAGE(B923:B942))/STDEV(B923:B942)</f>
        <v>0.119774344395286</v>
      </c>
    </row>
    <row r="943" customFormat="false" ht="15" hidden="false" customHeight="false" outlineLevel="0" collapsed="false">
      <c r="A943" s="17" t="s">
        <v>1507</v>
      </c>
      <c r="B943" s="17" t="n">
        <v>7486.29</v>
      </c>
      <c r="C943" s="19" t="n">
        <f aca="false">B943/B942-1</f>
        <v>-0.0418775196774813</v>
      </c>
      <c r="D943" s="17" t="n">
        <f aca="false">AVERAGE(B894:B943)</f>
        <v>8586.744</v>
      </c>
      <c r="E943" s="17" t="n">
        <f aca="false">AVERAGE(B744:B943)</f>
        <v>8192.06295</v>
      </c>
      <c r="F943" s="17" t="n">
        <f aca="false">B943*2/13+F942*11/13</f>
        <v>7642.47286503242</v>
      </c>
      <c r="G943" s="17" t="n">
        <f aca="false">B943*2/27+G942*25/27</f>
        <v>7920.44157019672</v>
      </c>
      <c r="H943" s="17" t="n">
        <f aca="false">F943-G943</f>
        <v>-277.968705164298</v>
      </c>
      <c r="I943" s="17" t="n">
        <f aca="false">H943*2/10+I942*8/10</f>
        <v>-357.677892008493</v>
      </c>
      <c r="J943" s="17" t="n">
        <f aca="false">H943-I943</f>
        <v>79.7091868441949</v>
      </c>
      <c r="K943" s="17" t="n">
        <f aca="false">MAX(B943-B942,0)</f>
        <v>0</v>
      </c>
      <c r="L943" s="17" t="n">
        <f aca="false">MAX(B942-B943,0)</f>
        <v>327.21</v>
      </c>
      <c r="M943" s="17" t="n">
        <f aca="false">(M942*13+K943)/14</f>
        <v>132.044886956673</v>
      </c>
      <c r="N943" s="17" t="n">
        <f aca="false">(N942*13+L943)/14</f>
        <v>166.953125674496</v>
      </c>
      <c r="O943" s="17" t="n">
        <f aca="false">IF(N943=0,100,100-100/(1+M943/N943))</f>
        <v>44.162463086187</v>
      </c>
      <c r="P943" s="17" t="n">
        <f aca="false">AVERAGE(B924:B943)+2*STDEV(B924:B943)</f>
        <v>8662.59764869913</v>
      </c>
      <c r="Q943" s="17" t="n">
        <f aca="false">AVERAGE(B924:B943)-2*STDEV(B924:B943)</f>
        <v>6681.83435130087</v>
      </c>
      <c r="R943" s="19" t="n">
        <f aca="false">B943/B923-1</f>
        <v>-0.163475720951853</v>
      </c>
      <c r="S943" s="17" t="n">
        <f aca="false">STDEV(C924:C943)*SQRT(252)*100</f>
        <v>93.066526131881</v>
      </c>
      <c r="T943" s="19" t="n">
        <f aca="false">B922/B692-1</f>
        <v>0.139101944739343</v>
      </c>
      <c r="U943" s="19" t="n">
        <f aca="false">B943/MAX(B692:B943)-1</f>
        <v>-0.229704910003673</v>
      </c>
      <c r="V943" s="17" t="n">
        <f aca="false">(B943-AVERAGE(B924:B943))/STDEV(B924:B943)</f>
        <v>-0.375463338288256</v>
      </c>
    </row>
    <row r="944" customFormat="false" ht="15" hidden="false" customHeight="false" outlineLevel="0" collapsed="false">
      <c r="A944" s="17" t="s">
        <v>1508</v>
      </c>
      <c r="B944" s="17" t="n">
        <v>7635.66</v>
      </c>
      <c r="C944" s="19" t="n">
        <f aca="false">B944/B943-1</f>
        <v>0.0199524731208649</v>
      </c>
      <c r="D944" s="17" t="n">
        <f aca="false">AVERAGE(B895:B944)</f>
        <v>8555.6856</v>
      </c>
      <c r="E944" s="17" t="n">
        <f aca="false">AVERAGE(B745:B944)</f>
        <v>8192.06425</v>
      </c>
      <c r="F944" s="17" t="n">
        <f aca="false">B944*2/13+F943*11/13</f>
        <v>7641.42473195051</v>
      </c>
      <c r="G944" s="17" t="n">
        <f aca="false">B944*2/27+G943*25/27</f>
        <v>7899.34663907104</v>
      </c>
      <c r="H944" s="17" t="n">
        <f aca="false">F944-G944</f>
        <v>-257.921907120525</v>
      </c>
      <c r="I944" s="17" t="n">
        <f aca="false">H944*2/10+I943*8/10</f>
        <v>-337.726695030899</v>
      </c>
      <c r="J944" s="17" t="n">
        <f aca="false">H944-I944</f>
        <v>79.8047879103739</v>
      </c>
      <c r="K944" s="17" t="n">
        <f aca="false">MAX(B944-B943,0)</f>
        <v>149.37</v>
      </c>
      <c r="L944" s="17" t="n">
        <f aca="false">MAX(B943-B944,0)</f>
        <v>0</v>
      </c>
      <c r="M944" s="17" t="n">
        <f aca="false">(M943*13+K944)/14</f>
        <v>133.282395031196</v>
      </c>
      <c r="N944" s="17" t="n">
        <f aca="false">(N943*13+L944)/14</f>
        <v>155.027902412032</v>
      </c>
      <c r="O944" s="17" t="n">
        <f aca="false">IF(N944=0,100,100-100/(1+M944/N944))</f>
        <v>46.2288014729828</v>
      </c>
      <c r="P944" s="17" t="n">
        <f aca="false">AVERAGE(B925:B944)+2*STDEV(B925:B944)</f>
        <v>8491.93594631038</v>
      </c>
      <c r="Q944" s="17" t="n">
        <f aca="false">AVERAGE(B925:B944)-2*STDEV(B925:B944)</f>
        <v>6748.89605368962</v>
      </c>
      <c r="R944" s="19" t="n">
        <f aca="false">B944/B924-1</f>
        <v>-0.119469628652415</v>
      </c>
      <c r="S944" s="17" t="n">
        <f aca="false">STDEV(C925:C944)*SQRT(252)*100</f>
        <v>93.0978812850375</v>
      </c>
      <c r="T944" s="19" t="n">
        <f aca="false">B923/B693-1</f>
        <v>0.186817442182753</v>
      </c>
      <c r="U944" s="19" t="n">
        <f aca="false">B944/MAX(B693:B944)-1</f>
        <v>-0.214335617925387</v>
      </c>
      <c r="V944" s="17" t="n">
        <f aca="false">(B944-AVERAGE(B925:B944))/STDEV(B925:B944)</f>
        <v>0.0349825613619881</v>
      </c>
    </row>
    <row r="945" customFormat="false" ht="15" hidden="false" customHeight="false" outlineLevel="0" collapsed="false">
      <c r="A945" s="17" t="s">
        <v>1509</v>
      </c>
      <c r="B945" s="17" t="n">
        <v>7528.11</v>
      </c>
      <c r="C945" s="19" t="n">
        <f aca="false">B945/B944-1</f>
        <v>-0.0140852264244349</v>
      </c>
      <c r="D945" s="17" t="n">
        <f aca="false">AVERAGE(B896:B945)</f>
        <v>8521.9082</v>
      </c>
      <c r="E945" s="17" t="n">
        <f aca="false">AVERAGE(B746:B945)</f>
        <v>8191.3661</v>
      </c>
      <c r="F945" s="17" t="n">
        <f aca="false">B945*2/13+F944*11/13</f>
        <v>7623.99169626582</v>
      </c>
      <c r="G945" s="17" t="n">
        <f aca="false">B945*2/27+G944*25/27</f>
        <v>7871.84762876948</v>
      </c>
      <c r="H945" s="17" t="n">
        <f aca="false">F945-G945</f>
        <v>-247.855932503661</v>
      </c>
      <c r="I945" s="17" t="n">
        <f aca="false">H945*2/10+I944*8/10</f>
        <v>-319.752542525452</v>
      </c>
      <c r="J945" s="17" t="n">
        <f aca="false">H945-I945</f>
        <v>71.8966100217903</v>
      </c>
      <c r="K945" s="17" t="n">
        <f aca="false">MAX(B945-B944,0)</f>
        <v>0</v>
      </c>
      <c r="L945" s="17" t="n">
        <f aca="false">MAX(B944-B945,0)</f>
        <v>107.55</v>
      </c>
      <c r="M945" s="17" t="n">
        <f aca="false">(M944*13+K945)/14</f>
        <v>123.762223957539</v>
      </c>
      <c r="N945" s="17" t="n">
        <f aca="false">(N944*13+L945)/14</f>
        <v>151.636623668315</v>
      </c>
      <c r="O945" s="17" t="n">
        <f aca="false">IF(N945=0,100,100-100/(1+M945/N945))</f>
        <v>44.9392671844718</v>
      </c>
      <c r="P945" s="17" t="n">
        <f aca="false">AVERAGE(B926:B945)+2*STDEV(B926:B945)</f>
        <v>8329.55396224198</v>
      </c>
      <c r="Q945" s="17" t="n">
        <f aca="false">AVERAGE(B926:B945)-2*STDEV(B926:B945)</f>
        <v>6811.05503775802</v>
      </c>
      <c r="R945" s="19" t="n">
        <f aca="false">B945/B925-1</f>
        <v>-0.117490041428595</v>
      </c>
      <c r="S945" s="17" t="n">
        <f aca="false">STDEV(C926:C945)*SQRT(252)*100</f>
        <v>93.064621934928</v>
      </c>
      <c r="T945" s="19" t="n">
        <f aca="false">B924/B694-1</f>
        <v>0.144193570520027</v>
      </c>
      <c r="U945" s="19" t="n">
        <f aca="false">B945/MAX(B694:B945)-1</f>
        <v>-0.225401878640522</v>
      </c>
      <c r="V945" s="17" t="n">
        <f aca="false">(B945-AVERAGE(B926:B945))/STDEV(B926:B945)</f>
        <v>-0.11114792198971</v>
      </c>
    </row>
    <row r="946" customFormat="false" ht="15" hidden="false" customHeight="false" outlineLevel="0" collapsed="false">
      <c r="A946" s="17" t="s">
        <v>1510</v>
      </c>
      <c r="B946" s="17" t="n">
        <v>8081.66</v>
      </c>
      <c r="C946" s="19" t="n">
        <f aca="false">B946/B945-1</f>
        <v>0.0735310722080309</v>
      </c>
      <c r="D946" s="17" t="n">
        <f aca="false">AVERAGE(B897:B946)</f>
        <v>8500.712</v>
      </c>
      <c r="E946" s="17" t="n">
        <f aca="false">AVERAGE(B747:B946)</f>
        <v>8193.08415</v>
      </c>
      <c r="F946" s="17" t="n">
        <f aca="false">B946*2/13+F945*11/13</f>
        <v>7694.40220453261</v>
      </c>
      <c r="G946" s="17" t="n">
        <f aca="false">B946*2/27+G945*25/27</f>
        <v>7887.38928589766</v>
      </c>
      <c r="H946" s="17" t="n">
        <f aca="false">F946-G946</f>
        <v>-192.98708136505</v>
      </c>
      <c r="I946" s="17" t="n">
        <f aca="false">H946*2/10+I945*8/10</f>
        <v>-294.399450293371</v>
      </c>
      <c r="J946" s="17" t="n">
        <f aca="false">H946-I946</f>
        <v>101.412368928321</v>
      </c>
      <c r="K946" s="17" t="n">
        <f aca="false">MAX(B946-B945,0)</f>
        <v>553.55</v>
      </c>
      <c r="L946" s="17" t="n">
        <f aca="false">MAX(B945-B946,0)</f>
        <v>0</v>
      </c>
      <c r="M946" s="17" t="n">
        <f aca="false">(M945*13+K946)/14</f>
        <v>154.461350817715</v>
      </c>
      <c r="N946" s="17" t="n">
        <f aca="false">(N945*13+L946)/14</f>
        <v>140.805436263436</v>
      </c>
      <c r="O946" s="17" t="n">
        <f aca="false">IF(N946=0,100,100-100/(1+M946/N946))</f>
        <v>52.3124704761538</v>
      </c>
      <c r="P946" s="17" t="n">
        <f aca="false">AVERAGE(B927:B946)+2*STDEV(B927:B946)</f>
        <v>8352.41102278021</v>
      </c>
      <c r="Q946" s="17" t="n">
        <f aca="false">AVERAGE(B927:B946)-2*STDEV(B927:B946)</f>
        <v>6801.56097721979</v>
      </c>
      <c r="R946" s="19" t="n">
        <f aca="false">B946/B926-1</f>
        <v>0.0168129712645775</v>
      </c>
      <c r="S946" s="17" t="n">
        <f aca="false">STDEV(C927:C946)*SQRT(252)*100</f>
        <v>93.8033721613323</v>
      </c>
      <c r="T946" s="19" t="n">
        <f aca="false">B925/B695-1</f>
        <v>0.122451557553285</v>
      </c>
      <c r="U946" s="19" t="n">
        <f aca="false">B946/MAX(B695:B946)-1</f>
        <v>-0.168444848246633</v>
      </c>
      <c r="V946" s="17" t="n">
        <f aca="false">(B946-AVERAGE(B927:B946))/STDEV(B927:B946)</f>
        <v>1.30167065847461</v>
      </c>
    </row>
    <row r="947" customFormat="false" ht="15" hidden="false" customHeight="false" outlineLevel="0" collapsed="false">
      <c r="A947" s="17" t="s">
        <v>1511</v>
      </c>
      <c r="B947" s="17" t="n">
        <v>8049.31</v>
      </c>
      <c r="C947" s="19" t="n">
        <f aca="false">B947/B946-1</f>
        <v>-0.00400289049526947</v>
      </c>
      <c r="D947" s="17" t="n">
        <f aca="false">AVERAGE(B898:B947)</f>
        <v>8482.6546</v>
      </c>
      <c r="E947" s="17" t="n">
        <f aca="false">AVERAGE(B748:B947)</f>
        <v>8194.6868</v>
      </c>
      <c r="F947" s="17" t="n">
        <f aca="false">B947*2/13+F946*11/13</f>
        <v>7749.00340383529</v>
      </c>
      <c r="G947" s="17" t="n">
        <f aca="false">B947*2/27+G946*25/27</f>
        <v>7899.38341286821</v>
      </c>
      <c r="H947" s="17" t="n">
        <f aca="false">F947-G947</f>
        <v>-150.380009032918</v>
      </c>
      <c r="I947" s="17" t="n">
        <f aca="false">H947*2/10+I946*8/10</f>
        <v>-265.595562041281</v>
      </c>
      <c r="J947" s="17" t="n">
        <f aca="false">H947-I947</f>
        <v>115.215553008363</v>
      </c>
      <c r="K947" s="17" t="n">
        <f aca="false">MAX(B947-B946,0)</f>
        <v>0</v>
      </c>
      <c r="L947" s="17" t="n">
        <f aca="false">MAX(B946-B947,0)</f>
        <v>32.3499999999995</v>
      </c>
      <c r="M947" s="17" t="n">
        <f aca="false">(M946*13+K947)/14</f>
        <v>143.428397187878</v>
      </c>
      <c r="N947" s="17" t="n">
        <f aca="false">(N946*13+L947)/14</f>
        <v>133.058619387476</v>
      </c>
      <c r="O947" s="17" t="n">
        <f aca="false">IF(N947=0,100,100-100/(1+M947/N947))</f>
        <v>51.8752739150006</v>
      </c>
      <c r="P947" s="17" t="n">
        <f aca="false">AVERAGE(B928:B947)+2*STDEV(B928:B947)</f>
        <v>8277.77549276386</v>
      </c>
      <c r="Q947" s="17" t="n">
        <f aca="false">AVERAGE(B928:B947)-2*STDEV(B928:B947)</f>
        <v>6843.90050723614</v>
      </c>
      <c r="R947" s="19" t="n">
        <f aca="false">B947/B927-1</f>
        <v>-0.0385749623459348</v>
      </c>
      <c r="S947" s="17" t="n">
        <f aca="false">STDEV(C928:C947)*SQRT(252)*100</f>
        <v>91.8676574496484</v>
      </c>
      <c r="T947" s="19" t="n">
        <f aca="false">B926/B696-1</f>
        <v>0.0501473873916727</v>
      </c>
      <c r="U947" s="19" t="n">
        <f aca="false">B947/MAX(B696:B947)-1</f>
        <v>-0.171773472459879</v>
      </c>
      <c r="V947" s="17" t="n">
        <f aca="false">(B947-AVERAGE(B928:B947))/STDEV(B928:B947)</f>
        <v>1.36266272842531</v>
      </c>
    </row>
    <row r="948" customFormat="false" ht="15" hidden="false" customHeight="false" outlineLevel="0" collapsed="false">
      <c r="A948" s="17" t="s">
        <v>1512</v>
      </c>
      <c r="B948" s="17" t="n">
        <v>8229.54</v>
      </c>
      <c r="C948" s="19" t="n">
        <f aca="false">B948/B947-1</f>
        <v>0.0223907390819835</v>
      </c>
      <c r="D948" s="17" t="n">
        <f aca="false">AVERAGE(B899:B948)</f>
        <v>8465.4268</v>
      </c>
      <c r="E948" s="17" t="n">
        <f aca="false">AVERAGE(B749:B948)</f>
        <v>8197.2194</v>
      </c>
      <c r="F948" s="17" t="n">
        <f aca="false">B948*2/13+F947*11/13</f>
        <v>7822.93211093755</v>
      </c>
      <c r="G948" s="17" t="n">
        <f aca="false">B948*2/27+G947*25/27</f>
        <v>7923.83945635945</v>
      </c>
      <c r="H948" s="17" t="n">
        <f aca="false">F948-G948</f>
        <v>-100.907345421899</v>
      </c>
      <c r="I948" s="17" t="n">
        <f aca="false">H948*2/10+I947*8/10</f>
        <v>-232.657918717404</v>
      </c>
      <c r="J948" s="17" t="n">
        <f aca="false">H948-I948</f>
        <v>131.750573295506</v>
      </c>
      <c r="K948" s="17" t="n">
        <f aca="false">MAX(B948-B947,0)</f>
        <v>180.23</v>
      </c>
      <c r="L948" s="17" t="n">
        <f aca="false">MAX(B947-B948,0)</f>
        <v>0</v>
      </c>
      <c r="M948" s="17" t="n">
        <f aca="false">(M947*13+K948)/14</f>
        <v>146.05708310303</v>
      </c>
      <c r="N948" s="17" t="n">
        <f aca="false">(N947*13+L948)/14</f>
        <v>123.55443228837</v>
      </c>
      <c r="O948" s="17" t="n">
        <f aca="false">IF(N948=0,100,100-100/(1+M948/N948))</f>
        <v>54.1731620368647</v>
      </c>
      <c r="P948" s="17" t="n">
        <f aca="false">AVERAGE(B929:B948)+2*STDEV(B929:B948)</f>
        <v>8324.25300870154</v>
      </c>
      <c r="Q948" s="17" t="n">
        <f aca="false">AVERAGE(B929:B948)-2*STDEV(B929:B948)</f>
        <v>6819.76499129846</v>
      </c>
      <c r="R948" s="19" t="n">
        <f aca="false">B948/B928-1</f>
        <v>0.0279061517938779</v>
      </c>
      <c r="S948" s="17" t="n">
        <f aca="false">STDEV(C929:C948)*SQRT(252)*100</f>
        <v>90.7183167822049</v>
      </c>
      <c r="T948" s="19" t="n">
        <f aca="false">B927/B697-1</f>
        <v>0.0999515206615262</v>
      </c>
      <c r="U948" s="19" t="n">
        <f aca="false">B948/MAX(B697:B948)-1</f>
        <v>-0.153228868380951</v>
      </c>
      <c r="V948" s="17" t="n">
        <f aca="false">(B948-AVERAGE(B929:B948))/STDEV(B929:B948)</f>
        <v>1.7481854089738</v>
      </c>
    </row>
    <row r="949" customFormat="false" ht="15" hidden="false" customHeight="false" outlineLevel="0" collapsed="false">
      <c r="A949" s="17" t="s">
        <v>1513</v>
      </c>
      <c r="B949" s="17" t="n">
        <v>8238.53</v>
      </c>
      <c r="C949" s="19" t="n">
        <f aca="false">B949/B948-1</f>
        <v>0.00109240613691641</v>
      </c>
      <c r="D949" s="17" t="n">
        <f aca="false">AVERAGE(B900:B949)</f>
        <v>8448.1652</v>
      </c>
      <c r="E949" s="17" t="n">
        <f aca="false">AVERAGE(B750:B949)</f>
        <v>8200.45435</v>
      </c>
      <c r="F949" s="17" t="n">
        <f aca="false">B949*2/13+F948*11/13</f>
        <v>7886.87024771639</v>
      </c>
      <c r="G949" s="17" t="n">
        <f aca="false">B949*2/27+G948*25/27</f>
        <v>7947.14986699949</v>
      </c>
      <c r="H949" s="17" t="n">
        <f aca="false">F949-G949</f>
        <v>-60.2796192831011</v>
      </c>
      <c r="I949" s="17" t="n">
        <f aca="false">H949*2/10+I948*8/10</f>
        <v>-198.182258830544</v>
      </c>
      <c r="J949" s="17" t="n">
        <f aca="false">H949-I949</f>
        <v>137.902639547443</v>
      </c>
      <c r="K949" s="17" t="n">
        <f aca="false">MAX(B949-B948,0)</f>
        <v>8.98999999999978</v>
      </c>
      <c r="L949" s="17" t="n">
        <f aca="false">MAX(B948-B949,0)</f>
        <v>0</v>
      </c>
      <c r="M949" s="17" t="n">
        <f aca="false">(M948*13+K949)/14</f>
        <v>136.266577167099</v>
      </c>
      <c r="N949" s="17" t="n">
        <f aca="false">(N948*13+L949)/14</f>
        <v>114.729115696344</v>
      </c>
      <c r="O949" s="17" t="n">
        <f aca="false">IF(N949=0,100,100-100/(1+M949/N949))</f>
        <v>54.290404593212</v>
      </c>
      <c r="P949" s="17" t="n">
        <f aca="false">AVERAGE(B930:B949)+2*STDEV(B930:B949)</f>
        <v>8414.08480167005</v>
      </c>
      <c r="Q949" s="17" t="n">
        <f aca="false">AVERAGE(B930:B949)-2*STDEV(B930:B949)</f>
        <v>6827.42119832995</v>
      </c>
      <c r="R949" s="19" t="n">
        <f aca="false">B949/B929-1</f>
        <v>0.134213515243714</v>
      </c>
      <c r="S949" s="17" t="n">
        <f aca="false">STDEV(C930:C949)*SQRT(252)*100</f>
        <v>83.412214824646</v>
      </c>
      <c r="T949" s="19" t="n">
        <f aca="false">B928/B698-1</f>
        <v>0.0541456163288736</v>
      </c>
      <c r="U949" s="19" t="n">
        <f aca="false">B949/MAX(B698:B949)-1</f>
        <v>-0.152303850400207</v>
      </c>
      <c r="V949" s="17" t="n">
        <f aca="false">(B949-AVERAGE(B930:B949))/STDEV(B930:B949)</f>
        <v>1.55742401527207</v>
      </c>
    </row>
    <row r="950" customFormat="false" ht="15" hidden="false" customHeight="false" outlineLevel="0" collapsed="false">
      <c r="A950" s="17" t="s">
        <v>1514</v>
      </c>
      <c r="B950" s="17" t="n">
        <v>8332.74</v>
      </c>
      <c r="C950" s="19" t="n">
        <f aca="false">B950/B949-1</f>
        <v>0.0114352924611549</v>
      </c>
      <c r="D950" s="17" t="n">
        <f aca="false">AVERAGE(B901:B950)</f>
        <v>8432.0982</v>
      </c>
      <c r="E950" s="17" t="n">
        <f aca="false">AVERAGE(B751:B950)</f>
        <v>8203.9828</v>
      </c>
      <c r="F950" s="17" t="n">
        <f aca="false">B950*2/13+F949*11/13</f>
        <v>7955.46559422156</v>
      </c>
      <c r="G950" s="17" t="n">
        <f aca="false">B950*2/27+G949*25/27</f>
        <v>7975.7120990736</v>
      </c>
      <c r="H950" s="17" t="n">
        <f aca="false">F950-G950</f>
        <v>-20.2465048520417</v>
      </c>
      <c r="I950" s="17" t="n">
        <f aca="false">H950*2/10+I949*8/10</f>
        <v>-162.595108034843</v>
      </c>
      <c r="J950" s="17" t="n">
        <f aca="false">H950-I950</f>
        <v>142.348603182802</v>
      </c>
      <c r="K950" s="17" t="n">
        <f aca="false">MAX(B950-B949,0)</f>
        <v>94.2099999999991</v>
      </c>
      <c r="L950" s="17" t="n">
        <f aca="false">MAX(B949-B950,0)</f>
        <v>0</v>
      </c>
      <c r="M950" s="17" t="n">
        <f aca="false">(M949*13+K950)/14</f>
        <v>133.262535940878</v>
      </c>
      <c r="N950" s="17" t="n">
        <f aca="false">(N949*13+L950)/14</f>
        <v>106.534178860891</v>
      </c>
      <c r="O950" s="17" t="n">
        <f aca="false">IF(N950=0,100,100-100/(1+M950/N950))</f>
        <v>55.573128285365</v>
      </c>
      <c r="P950" s="17" t="n">
        <f aca="false">AVERAGE(B931:B950)+2*STDEV(B931:B950)</f>
        <v>8477.49017913537</v>
      </c>
      <c r="Q950" s="17" t="n">
        <f aca="false">AVERAGE(B931:B950)-2*STDEV(B931:B950)</f>
        <v>6797.76382086463</v>
      </c>
      <c r="R950" s="19" t="n">
        <f aca="false">B950/B930-1</f>
        <v>0.0422100094305875</v>
      </c>
      <c r="S950" s="17" t="n">
        <f aca="false">STDEV(C931:C950)*SQRT(252)*100</f>
        <v>75.8776461825744</v>
      </c>
      <c r="T950" s="19" t="n">
        <f aca="false">B929/B699-1</f>
        <v>-0.0477835386037244</v>
      </c>
      <c r="U950" s="19" t="n">
        <f aca="false">B950/MAX(B699:B950)-1</f>
        <v>-0.142610197011338</v>
      </c>
      <c r="V950" s="17" t="n">
        <f aca="false">(B950-AVERAGE(B931:B950))/STDEV(B931:B950)</f>
        <v>1.65530057101827</v>
      </c>
    </row>
    <row r="951" customFormat="false" ht="15" hidden="false" customHeight="false" outlineLevel="0" collapsed="false">
      <c r="A951" s="17" t="s">
        <v>1515</v>
      </c>
      <c r="B951" s="17" t="n">
        <v>8692.16</v>
      </c>
      <c r="C951" s="19" t="n">
        <f aca="false">B951/B950-1</f>
        <v>0.0431334711031426</v>
      </c>
      <c r="D951" s="17" t="n">
        <f aca="false">AVERAGE(B902:B951)</f>
        <v>8426.1112</v>
      </c>
      <c r="E951" s="17" t="n">
        <f aca="false">AVERAGE(B752:B951)</f>
        <v>8209.15835</v>
      </c>
      <c r="F951" s="17" t="n">
        <f aca="false">B951*2/13+F950*11/13</f>
        <v>8068.80319511055</v>
      </c>
      <c r="G951" s="17" t="n">
        <f aca="false">B951*2/27+G950*25/27</f>
        <v>8028.78231395704</v>
      </c>
      <c r="H951" s="17" t="n">
        <f aca="false">F951-G951</f>
        <v>40.0208811535122</v>
      </c>
      <c r="I951" s="17" t="n">
        <f aca="false">H951*2/10+I950*8/10</f>
        <v>-122.071910197172</v>
      </c>
      <c r="J951" s="17" t="n">
        <f aca="false">H951-I951</f>
        <v>162.092791350684</v>
      </c>
      <c r="K951" s="17" t="n">
        <f aca="false">MAX(B951-B950,0)</f>
        <v>359.42</v>
      </c>
      <c r="L951" s="17" t="n">
        <f aca="false">MAX(B950-B951,0)</f>
        <v>0</v>
      </c>
      <c r="M951" s="17" t="n">
        <f aca="false">(M950*13+K951)/14</f>
        <v>149.416640516529</v>
      </c>
      <c r="N951" s="17" t="n">
        <f aca="false">(N950*13+L951)/14</f>
        <v>98.9245946565415</v>
      </c>
      <c r="O951" s="17" t="n">
        <f aca="false">IF(N951=0,100,100-100/(1+M951/N951))</f>
        <v>60.1658602577215</v>
      </c>
      <c r="P951" s="17" t="n">
        <f aca="false">AVERAGE(B932:B951)+2*STDEV(B932:B951)</f>
        <v>8632.17984226356</v>
      </c>
      <c r="Q951" s="17" t="n">
        <f aca="false">AVERAGE(B932:B951)-2*STDEV(B932:B951)</f>
        <v>6810.25215773645</v>
      </c>
      <c r="R951" s="19" t="n">
        <f aca="false">B951/B931-1</f>
        <v>0.238132408786989</v>
      </c>
      <c r="S951" s="17" t="n">
        <f aca="false">STDEV(C932:C951)*SQRT(252)*100</f>
        <v>60.9316570613151</v>
      </c>
      <c r="T951" s="19" t="n">
        <f aca="false">B930/B700-1</f>
        <v>0.0479924290088503</v>
      </c>
      <c r="U951" s="19" t="n">
        <f aca="false">B951/MAX(B700:B951)-1</f>
        <v>-0.105627998719997</v>
      </c>
      <c r="V951" s="17" t="n">
        <f aca="false">(B951-AVERAGE(B932:B951))/STDEV(B932:B951)</f>
        <v>2.13168504600008</v>
      </c>
    </row>
    <row r="952" customFormat="false" ht="15" hidden="false" customHeight="false" outlineLevel="0" collapsed="false">
      <c r="A952" s="17" t="s">
        <v>1516</v>
      </c>
      <c r="B952" s="17" t="n">
        <v>8591.96</v>
      </c>
      <c r="C952" s="19" t="n">
        <f aca="false">B952/B951-1</f>
        <v>-0.0115276294960057</v>
      </c>
      <c r="D952" s="17" t="n">
        <f aca="false">AVERAGE(B903:B952)</f>
        <v>8415.4258</v>
      </c>
      <c r="E952" s="17" t="n">
        <f aca="false">AVERAGE(B753:B952)</f>
        <v>8213.76275</v>
      </c>
      <c r="F952" s="17" t="n">
        <f aca="false">B952*2/13+F951*11/13</f>
        <v>8149.28885740124</v>
      </c>
      <c r="G952" s="17" t="n">
        <f aca="false">B952*2/27+G951*25/27</f>
        <v>8070.49917958985</v>
      </c>
      <c r="H952" s="17" t="n">
        <f aca="false">F952-G952</f>
        <v>78.7896778113836</v>
      </c>
      <c r="I952" s="17" t="n">
        <f aca="false">H952*2/10+I951*8/10</f>
        <v>-81.899592595461</v>
      </c>
      <c r="J952" s="17" t="n">
        <f aca="false">H952-I952</f>
        <v>160.689270406845</v>
      </c>
      <c r="K952" s="17" t="n">
        <f aca="false">MAX(B952-B951,0)</f>
        <v>0</v>
      </c>
      <c r="L952" s="17" t="n">
        <f aca="false">MAX(B951-B952,0)</f>
        <v>100.200000000001</v>
      </c>
      <c r="M952" s="17" t="n">
        <f aca="false">(M951*13+K952)/14</f>
        <v>138.744023336777</v>
      </c>
      <c r="N952" s="17" t="n">
        <f aca="false">(N951*13+L952)/14</f>
        <v>99.0156950382172</v>
      </c>
      <c r="O952" s="17" t="n">
        <f aca="false">IF(N952=0,100,100-100/(1+M952/N952))</f>
        <v>58.3547222738337</v>
      </c>
      <c r="P952" s="17" t="n">
        <f aca="false">AVERAGE(B933:B952)+2*STDEV(B933:B952)</f>
        <v>8758.6694210448</v>
      </c>
      <c r="Q952" s="17" t="n">
        <f aca="false">AVERAGE(B933:B952)-2*STDEV(B933:B952)</f>
        <v>6795.5635789552</v>
      </c>
      <c r="R952" s="19" t="n">
        <f aca="false">B952/B932-1</f>
        <v>0.149587567484396</v>
      </c>
      <c r="S952" s="17" t="n">
        <f aca="false">STDEV(C933:C952)*SQRT(252)*100</f>
        <v>58.042991502317</v>
      </c>
      <c r="T952" s="19" t="n">
        <f aca="false">B931/B701-1</f>
        <v>-0.0828703298483421</v>
      </c>
      <c r="U952" s="19" t="n">
        <f aca="false">B952/MAX(B701:B952)-1</f>
        <v>-0.115937987782354</v>
      </c>
      <c r="V952" s="17" t="n">
        <f aca="false">(B952-AVERAGE(B933:B952))/STDEV(B933:B952)</f>
        <v>1.66031496117938</v>
      </c>
    </row>
    <row r="953" customFormat="false" ht="15" hidden="false" customHeight="false" outlineLevel="0" collapsed="false">
      <c r="A953" s="17" t="s">
        <v>1517</v>
      </c>
      <c r="B953" s="17" t="n">
        <v>8757.83</v>
      </c>
      <c r="C953" s="19" t="n">
        <f aca="false">B953/B952-1</f>
        <v>0.0193052574732657</v>
      </c>
      <c r="D953" s="17" t="n">
        <f aca="false">AVERAGE(B904:B953)</f>
        <v>8403.9012</v>
      </c>
      <c r="E953" s="17" t="n">
        <f aca="false">AVERAGE(B754:B953)</f>
        <v>8218.7112</v>
      </c>
      <c r="F953" s="17" t="n">
        <f aca="false">B953*2/13+F952*11/13</f>
        <v>8242.9105716472</v>
      </c>
      <c r="G953" s="17" t="n">
        <f aca="false">B953*2/27+G952*25/27</f>
        <v>8121.41257369431</v>
      </c>
      <c r="H953" s="17" t="n">
        <f aca="false">F953-G953</f>
        <v>121.497997952893</v>
      </c>
      <c r="I953" s="17" t="n">
        <f aca="false">H953*2/10+I952*8/10</f>
        <v>-41.2200744857903</v>
      </c>
      <c r="J953" s="17" t="n">
        <f aca="false">H953-I953</f>
        <v>162.718072438683</v>
      </c>
      <c r="K953" s="17" t="n">
        <f aca="false">MAX(B953-B952,0)</f>
        <v>165.870000000001</v>
      </c>
      <c r="L953" s="17" t="n">
        <f aca="false">MAX(B952-B953,0)</f>
        <v>0</v>
      </c>
      <c r="M953" s="17" t="n">
        <f aca="false">(M952*13+K953)/14</f>
        <v>140.681593098436</v>
      </c>
      <c r="N953" s="17" t="n">
        <f aca="false">(N952*13+L953)/14</f>
        <v>91.9431453926302</v>
      </c>
      <c r="O953" s="17" t="n">
        <f aca="false">IF(N953=0,100,100-100/(1+M953/N953))</f>
        <v>60.4757662538281</v>
      </c>
      <c r="P953" s="17" t="n">
        <f aca="false">AVERAGE(B934:B953)+2*STDEV(B934:B953)</f>
        <v>8887.40588915846</v>
      </c>
      <c r="Q953" s="17" t="n">
        <f aca="false">AVERAGE(B934:B953)-2*STDEV(B934:B953)</f>
        <v>6825.09211084154</v>
      </c>
      <c r="R953" s="19" t="n">
        <f aca="false">B953/B933-1</f>
        <v>0.220572863677287</v>
      </c>
      <c r="S953" s="17" t="n">
        <f aca="false">STDEV(C934:C953)*SQRT(252)*100</f>
        <v>55.3476143210205</v>
      </c>
      <c r="T953" s="19" t="n">
        <f aca="false">B932/B702-1</f>
        <v>-0.0269206532720891</v>
      </c>
      <c r="U953" s="19" t="n">
        <f aca="false">B953/MAX(B702:B953)-1</f>
        <v>-0.0988709430141592</v>
      </c>
      <c r="V953" s="17" t="n">
        <f aca="false">(B953-AVERAGE(B934:B953))/STDEV(B934:B953)</f>
        <v>1.74867861424229</v>
      </c>
    </row>
    <row r="954" customFormat="false" ht="15" hidden="false" customHeight="false" outlineLevel="0" collapsed="false">
      <c r="A954" s="17" t="s">
        <v>1518</v>
      </c>
      <c r="B954" s="17" t="n">
        <v>8832.41</v>
      </c>
      <c r="C954" s="19" t="n">
        <f aca="false">B954/B953-1</f>
        <v>0.00851580813968766</v>
      </c>
      <c r="D954" s="17" t="n">
        <f aca="false">AVERAGE(B905:B954)</f>
        <v>8393.1998</v>
      </c>
      <c r="E954" s="17" t="n">
        <f aca="false">AVERAGE(B755:B954)</f>
        <v>8223.87415</v>
      </c>
      <c r="F954" s="17" t="n">
        <f aca="false">B954*2/13+F953*11/13</f>
        <v>8333.60279139379</v>
      </c>
      <c r="G954" s="17" t="n">
        <f aca="false">B954*2/27+G953*25/27</f>
        <v>8174.07904971695</v>
      </c>
      <c r="H954" s="17" t="n">
        <f aca="false">F954-G954</f>
        <v>159.523741676833</v>
      </c>
      <c r="I954" s="17" t="n">
        <f aca="false">H954*2/10+I953*8/10</f>
        <v>-1.07131125326561</v>
      </c>
      <c r="J954" s="17" t="n">
        <f aca="false">H954-I954</f>
        <v>160.595052930099</v>
      </c>
      <c r="K954" s="17" t="n">
        <f aca="false">MAX(B954-B953,0)</f>
        <v>74.5799999999999</v>
      </c>
      <c r="L954" s="17" t="n">
        <f aca="false">MAX(B953-B954,0)</f>
        <v>0</v>
      </c>
      <c r="M954" s="17" t="n">
        <f aca="false">(M953*13+K954)/14</f>
        <v>135.960050734262</v>
      </c>
      <c r="N954" s="17" t="n">
        <f aca="false">(N953*13+L954)/14</f>
        <v>85.3757778645852</v>
      </c>
      <c r="O954" s="17" t="n">
        <f aca="false">IF(N954=0,100,100-100/(1+M954/N954))</f>
        <v>61.4270412499181</v>
      </c>
      <c r="P954" s="17" t="n">
        <f aca="false">AVERAGE(B935:B954)+2*STDEV(B935:B954)</f>
        <v>9015.5463048889</v>
      </c>
      <c r="Q954" s="17" t="n">
        <f aca="false">AVERAGE(B935:B954)-2*STDEV(B935:B954)</f>
        <v>6851.3406951111</v>
      </c>
      <c r="R954" s="19" t="n">
        <f aca="false">B954/B934-1</f>
        <v>0.211824897235653</v>
      </c>
      <c r="S954" s="17" t="n">
        <f aca="false">STDEV(C935:C954)*SQRT(252)*100</f>
        <v>55.316995105103</v>
      </c>
      <c r="T954" s="19" t="n">
        <f aca="false">B933/B703-1</f>
        <v>-0.0669127094354541</v>
      </c>
      <c r="U954" s="19" t="n">
        <f aca="false">B954/MAX(B703:B954)-1</f>
        <v>-0.0911971008557703</v>
      </c>
      <c r="V954" s="17" t="n">
        <f aca="false">(B954-AVERAGE(B935:B954))/STDEV(B935:B954)</f>
        <v>1.6615177336913</v>
      </c>
    </row>
    <row r="955" customFormat="false" ht="15" hidden="false" customHeight="false" outlineLevel="0" collapsed="false">
      <c r="A955" s="17" t="s">
        <v>1519</v>
      </c>
      <c r="B955" s="17" t="n">
        <v>8726.51</v>
      </c>
      <c r="C955" s="19" t="n">
        <f aca="false">B955/B954-1</f>
        <v>-0.0119899325325703</v>
      </c>
      <c r="D955" s="17" t="n">
        <f aca="false">AVERAGE(B906:B955)</f>
        <v>8378.8116</v>
      </c>
      <c r="E955" s="17" t="n">
        <f aca="false">AVERAGE(B756:B955)</f>
        <v>8228.21825</v>
      </c>
      <c r="F955" s="17" t="n">
        <f aca="false">B955*2/13+F954*11/13</f>
        <v>8394.05005425628</v>
      </c>
      <c r="G955" s="17" t="n">
        <f aca="false">B955*2/27+G954*25/27</f>
        <v>8214.99986084903</v>
      </c>
      <c r="H955" s="17" t="n">
        <f aca="false">F955-G955</f>
        <v>179.050193407251</v>
      </c>
      <c r="I955" s="17" t="n">
        <f aca="false">H955*2/10+I954*8/10</f>
        <v>34.9529896788377</v>
      </c>
      <c r="J955" s="17" t="n">
        <f aca="false">H955-I955</f>
        <v>144.097203728413</v>
      </c>
      <c r="K955" s="17" t="n">
        <f aca="false">MAX(B955-B954,0)</f>
        <v>0</v>
      </c>
      <c r="L955" s="17" t="n">
        <f aca="false">MAX(B954-B955,0)</f>
        <v>105.9</v>
      </c>
      <c r="M955" s="17" t="n">
        <f aca="false">(M954*13+K955)/14</f>
        <v>126.248618538958</v>
      </c>
      <c r="N955" s="17" t="n">
        <f aca="false">(N954*13+L955)/14</f>
        <v>86.8417937314005</v>
      </c>
      <c r="O955" s="17" t="n">
        <f aca="false">IF(N955=0,100,100-100/(1+M955/N955))</f>
        <v>59.2465034882845</v>
      </c>
      <c r="P955" s="17" t="n">
        <f aca="false">AVERAGE(B936:B955)+2*STDEV(B936:B955)</f>
        <v>9062.20931748104</v>
      </c>
      <c r="Q955" s="17" t="n">
        <f aca="false">AVERAGE(B936:B955)-2*STDEV(B936:B955)</f>
        <v>6977.89968251896</v>
      </c>
      <c r="R955" s="19" t="n">
        <f aca="false">B955/B935-1</f>
        <v>0.247662021448925</v>
      </c>
      <c r="S955" s="17" t="n">
        <f aca="false">STDEV(C936:C955)*SQRT(252)*100</f>
        <v>52.7316037638775</v>
      </c>
      <c r="T955" s="19" t="n">
        <f aca="false">B934/B704-1</f>
        <v>-0.0550943865876535</v>
      </c>
      <c r="U955" s="19" t="n">
        <f aca="false">B955/MAX(B704:B955)-1</f>
        <v>-0.102093586301914</v>
      </c>
      <c r="V955" s="17" t="n">
        <f aca="false">(B955-AVERAGE(B936:B955))/STDEV(B936:B955)</f>
        <v>1.35575921763246</v>
      </c>
    </row>
    <row r="956" customFormat="false" ht="15" hidden="false" customHeight="false" outlineLevel="0" collapsed="false">
      <c r="A956" s="17" t="s">
        <v>1520</v>
      </c>
      <c r="B956" s="17" t="n">
        <v>8403</v>
      </c>
      <c r="C956" s="19" t="n">
        <f aca="false">B956/B955-1</f>
        <v>-0.0370720941132251</v>
      </c>
      <c r="D956" s="17" t="n">
        <f aca="false">AVERAGE(B907:B956)</f>
        <v>8358.8496</v>
      </c>
      <c r="E956" s="17" t="n">
        <f aca="false">AVERAGE(B757:B956)</f>
        <v>8231.02675</v>
      </c>
      <c r="F956" s="17" t="n">
        <f aca="false">B956*2/13+F955*11/13</f>
        <v>8395.42696898608</v>
      </c>
      <c r="G956" s="17" t="n">
        <f aca="false">B956*2/27+G955*25/27</f>
        <v>8228.92579708244</v>
      </c>
      <c r="H956" s="17" t="n">
        <f aca="false">F956-G956</f>
        <v>166.501171903647</v>
      </c>
      <c r="I956" s="17" t="n">
        <f aca="false">H956*2/10+I955*8/10</f>
        <v>61.2626261237995</v>
      </c>
      <c r="J956" s="17" t="n">
        <f aca="false">H956-I956</f>
        <v>105.238545779847</v>
      </c>
      <c r="K956" s="17" t="n">
        <f aca="false">MAX(B956-B955,0)</f>
        <v>0</v>
      </c>
      <c r="L956" s="17" t="n">
        <f aca="false">MAX(B955-B956,0)</f>
        <v>323.51</v>
      </c>
      <c r="M956" s="17" t="n">
        <f aca="false">(M955*13+K956)/14</f>
        <v>117.230860071889</v>
      </c>
      <c r="N956" s="17" t="n">
        <f aca="false">(N955*13+L956)/14</f>
        <v>103.746665607729</v>
      </c>
      <c r="O956" s="17" t="n">
        <f aca="false">IF(N956=0,100,100-100/(1+M956/N956))</f>
        <v>53.0510330004577</v>
      </c>
      <c r="P956" s="17" t="n">
        <f aca="false">AVERAGE(B937:B956)+2*STDEV(B937:B956)</f>
        <v>9028.128512159</v>
      </c>
      <c r="Q956" s="17" t="n">
        <f aca="false">AVERAGE(B937:B956)-2*STDEV(B937:B956)</f>
        <v>7151.588487841</v>
      </c>
      <c r="R956" s="19" t="n">
        <f aca="false">B956/B936-1</f>
        <v>0.199243034029217</v>
      </c>
      <c r="S956" s="17" t="n">
        <f aca="false">STDEV(C937:C956)*SQRT(252)*100</f>
        <v>55.4298769933538</v>
      </c>
      <c r="T956" s="19" t="n">
        <f aca="false">B935/B705-1</f>
        <v>-0.10452570893043</v>
      </c>
      <c r="U956" s="19" t="n">
        <f aca="false">B956/MAX(B705:B956)-1</f>
        <v>-0.135380857375398</v>
      </c>
      <c r="V956" s="17" t="n">
        <f aca="false">(B956-AVERAGE(B937:B956))/STDEV(B937:B956)</f>
        <v>0.667486962051465</v>
      </c>
    </row>
    <row r="957" customFormat="false" ht="15" hidden="false" customHeight="false" outlineLevel="0" collapsed="false">
      <c r="A957" s="17" t="s">
        <v>1521</v>
      </c>
      <c r="B957" s="17" t="n">
        <v>8664.64</v>
      </c>
      <c r="C957" s="19" t="n">
        <f aca="false">B957/B956-1</f>
        <v>0.0311364988694514</v>
      </c>
      <c r="D957" s="17" t="n">
        <f aca="false">AVERAGE(B908:B957)</f>
        <v>8341.8056</v>
      </c>
      <c r="E957" s="17" t="n">
        <f aca="false">AVERAGE(B758:B957)</f>
        <v>8235.421</v>
      </c>
      <c r="F957" s="17" t="n">
        <f aca="false">B957*2/13+F956*11/13</f>
        <v>8436.84435837284</v>
      </c>
      <c r="G957" s="17" t="n">
        <f aca="false">B957*2/27+G956*25/27</f>
        <v>8261.20092322448</v>
      </c>
      <c r="H957" s="17" t="n">
        <f aca="false">F957-G957</f>
        <v>175.64343514836</v>
      </c>
      <c r="I957" s="17" t="n">
        <f aca="false">H957*2/10+I956*8/10</f>
        <v>84.1387879287116</v>
      </c>
      <c r="J957" s="17" t="n">
        <f aca="false">H957-I957</f>
        <v>91.5046472196488</v>
      </c>
      <c r="K957" s="17" t="n">
        <f aca="false">MAX(B957-B956,0)</f>
        <v>261.639999999999</v>
      </c>
      <c r="L957" s="17" t="n">
        <f aca="false">MAX(B956-B957,0)</f>
        <v>0</v>
      </c>
      <c r="M957" s="17" t="n">
        <f aca="false">(M956*13+K957)/14</f>
        <v>127.545798638183</v>
      </c>
      <c r="N957" s="17" t="n">
        <f aca="false">(N956*13+L957)/14</f>
        <v>96.3361894928913</v>
      </c>
      <c r="O957" s="17" t="n">
        <f aca="false">IF(N957=0,100,100-100/(1+M957/N957))</f>
        <v>56.9701027326547</v>
      </c>
      <c r="P957" s="17" t="n">
        <f aca="false">AVERAGE(B938:B957)+2*STDEV(B938:B957)</f>
        <v>9081.57461350534</v>
      </c>
      <c r="Q957" s="17" t="n">
        <f aca="false">AVERAGE(B938:B957)-2*STDEV(B938:B957)</f>
        <v>7209.22338649466</v>
      </c>
      <c r="R957" s="19" t="n">
        <f aca="false">B957/B937-1</f>
        <v>0.147052554796706</v>
      </c>
      <c r="S957" s="17" t="n">
        <f aca="false">STDEV(C938:C957)*SQRT(252)*100</f>
        <v>49.9908264428788</v>
      </c>
      <c r="T957" s="19" t="n">
        <f aca="false">B936/B706-1</f>
        <v>-0.099877832745192</v>
      </c>
      <c r="U957" s="19" t="n">
        <f aca="false">B957/MAX(B706:B957)-1</f>
        <v>-0.108459644418561</v>
      </c>
      <c r="V957" s="17" t="n">
        <f aca="false">(B957-AVERAGE(B938:B957))/STDEV(B938:B957)</f>
        <v>1.10928119149738</v>
      </c>
    </row>
    <row r="958" customFormat="false" ht="15" hidden="false" customHeight="false" outlineLevel="0" collapsed="false">
      <c r="A958" s="17" t="s">
        <v>1522</v>
      </c>
      <c r="B958" s="17" t="n">
        <v>8641.5</v>
      </c>
      <c r="C958" s="19" t="n">
        <f aca="false">B958/B957-1</f>
        <v>-0.00267062451527123</v>
      </c>
      <c r="D958" s="17" t="n">
        <f aca="false">AVERAGE(B909:B958)</f>
        <v>8324.2784</v>
      </c>
      <c r="E958" s="17" t="n">
        <f aca="false">AVERAGE(B759:B958)</f>
        <v>8239.4942</v>
      </c>
      <c r="F958" s="17" t="n">
        <f aca="false">B958*2/13+F957*11/13</f>
        <v>8468.32984170009</v>
      </c>
      <c r="G958" s="17" t="n">
        <f aca="false">B958*2/27+G957*25/27</f>
        <v>8289.37122520785</v>
      </c>
      <c r="H958" s="17" t="n">
        <f aca="false">F958-G958</f>
        <v>178.958616492244</v>
      </c>
      <c r="I958" s="17" t="n">
        <f aca="false">H958*2/10+I957*8/10</f>
        <v>103.102753641418</v>
      </c>
      <c r="J958" s="17" t="n">
        <f aca="false">H958-I958</f>
        <v>75.8558628508258</v>
      </c>
      <c r="K958" s="17" t="n">
        <f aca="false">MAX(B958-B957,0)</f>
        <v>0</v>
      </c>
      <c r="L958" s="17" t="n">
        <f aca="false">MAX(B957-B958,0)</f>
        <v>23.1399999999994</v>
      </c>
      <c r="M958" s="17" t="n">
        <f aca="false">(M957*13+K958)/14</f>
        <v>118.435384449741</v>
      </c>
      <c r="N958" s="17" t="n">
        <f aca="false">(N957*13+L958)/14</f>
        <v>91.107890243399</v>
      </c>
      <c r="O958" s="17" t="n">
        <f aca="false">IF(N958=0,100,100-100/(1+M958/N958))</f>
        <v>56.5207280563791</v>
      </c>
      <c r="P958" s="17" t="n">
        <f aca="false">AVERAGE(B939:B958)+2*STDEV(B939:B958)</f>
        <v>9108.22765869384</v>
      </c>
      <c r="Q958" s="17" t="n">
        <f aca="false">AVERAGE(B939:B958)-2*STDEV(B939:B958)</f>
        <v>7299.75834130616</v>
      </c>
      <c r="R958" s="19" t="n">
        <f aca="false">B958/B938-1</f>
        <v>0.156886160206276</v>
      </c>
      <c r="S958" s="17" t="n">
        <f aca="false">STDEV(C939:C958)*SQRT(252)*100</f>
        <v>49.6643123518791</v>
      </c>
      <c r="T958" s="19" t="n">
        <f aca="false">B937/B707-1</f>
        <v>-0.0336564785107179</v>
      </c>
      <c r="U958" s="19" t="n">
        <f aca="false">B958/MAX(B707:B958)-1</f>
        <v>-0.11084061394853</v>
      </c>
      <c r="V958" s="17" t="n">
        <f aca="false">(B958-AVERAGE(B939:B958))/STDEV(B939:B958)</f>
        <v>0.967684650867019</v>
      </c>
    </row>
    <row r="959" customFormat="false" ht="15" hidden="false" customHeight="false" outlineLevel="0" collapsed="false">
      <c r="A959" s="17" t="s">
        <v>1523</v>
      </c>
      <c r="B959" s="17" t="n">
        <v>8786.6</v>
      </c>
      <c r="C959" s="19" t="n">
        <f aca="false">B959/B958-1</f>
        <v>0.0167910663657931</v>
      </c>
      <c r="D959" s="17" t="n">
        <f aca="false">AVERAGE(B910:B959)</f>
        <v>8307.7464</v>
      </c>
      <c r="E959" s="17" t="n">
        <f aca="false">AVERAGE(B760:B959)</f>
        <v>8243.9102</v>
      </c>
      <c r="F959" s="17" t="n">
        <f aca="false">B959*2/13+F958*11/13</f>
        <v>8517.29448143854</v>
      </c>
      <c r="G959" s="17" t="n">
        <f aca="false">B959*2/27+G958*25/27</f>
        <v>8326.20298630356</v>
      </c>
      <c r="H959" s="17" t="n">
        <f aca="false">F959-G959</f>
        <v>191.091495134975</v>
      </c>
      <c r="I959" s="17" t="n">
        <f aca="false">H959*2/10+I958*8/10</f>
        <v>120.700501940129</v>
      </c>
      <c r="J959" s="17" t="n">
        <f aca="false">H959-I959</f>
        <v>70.3909931948456</v>
      </c>
      <c r="K959" s="17" t="n">
        <f aca="false">MAX(B959-B958,0)</f>
        <v>145.1</v>
      </c>
      <c r="L959" s="17" t="n">
        <f aca="false">MAX(B958-B959,0)</f>
        <v>0</v>
      </c>
      <c r="M959" s="17" t="n">
        <f aca="false">(M958*13+K959)/14</f>
        <v>120.339999846188</v>
      </c>
      <c r="N959" s="17" t="n">
        <f aca="false">(N958*13+L959)/14</f>
        <v>84.6001837974419</v>
      </c>
      <c r="O959" s="17" t="n">
        <f aca="false">IF(N959=0,100,100-100/(1+M959/N959))</f>
        <v>58.7195725634008</v>
      </c>
      <c r="P959" s="17" t="n">
        <f aca="false">AVERAGE(B940:B959)+2*STDEV(B940:B959)</f>
        <v>9176.33895970837</v>
      </c>
      <c r="Q959" s="17" t="n">
        <f aca="false">AVERAGE(B940:B959)-2*STDEV(B940:B959)</f>
        <v>7320.59404029163</v>
      </c>
      <c r="R959" s="19" t="n">
        <f aca="false">B959/B939-1</f>
        <v>0.112632057468979</v>
      </c>
      <c r="S959" s="17" t="n">
        <f aca="false">STDEV(C940:C959)*SQRT(252)*100</f>
        <v>46.281967971719</v>
      </c>
      <c r="T959" s="19" t="n">
        <f aca="false">B938/B708-1</f>
        <v>-0.0456208762847082</v>
      </c>
      <c r="U959" s="19" t="n">
        <f aca="false">B959/MAX(B708:B959)-1</f>
        <v>-0.0959106796875723</v>
      </c>
      <c r="V959" s="17" t="n">
        <f aca="false">(B959-AVERAGE(B940:B959))/STDEV(B940:B959)</f>
        <v>1.15992988986684</v>
      </c>
    </row>
    <row r="960" customFormat="false" ht="15" hidden="false" customHeight="false" outlineLevel="0" collapsed="false">
      <c r="A960" s="17" t="s">
        <v>1524</v>
      </c>
      <c r="B960" s="17" t="n">
        <v>8837.66</v>
      </c>
      <c r="C960" s="19" t="n">
        <f aca="false">B960/B959-1</f>
        <v>0.00581112148043617</v>
      </c>
      <c r="D960" s="17" t="n">
        <f aca="false">AVERAGE(B911:B960)</f>
        <v>8292.5856</v>
      </c>
      <c r="E960" s="17" t="n">
        <f aca="false">AVERAGE(B761:B960)</f>
        <v>8248.6146</v>
      </c>
      <c r="F960" s="17" t="n">
        <f aca="false">B960*2/13+F959*11/13</f>
        <v>8566.58148429415</v>
      </c>
      <c r="G960" s="17" t="n">
        <f aca="false">B960*2/27+G959*25/27</f>
        <v>8364.08869102182</v>
      </c>
      <c r="H960" s="17" t="n">
        <f aca="false">F960-G960</f>
        <v>202.492793272331</v>
      </c>
      <c r="I960" s="17" t="n">
        <f aca="false">H960*2/10+I959*8/10</f>
        <v>137.05896020657</v>
      </c>
      <c r="J960" s="17" t="n">
        <f aca="false">H960-I960</f>
        <v>65.4338330657614</v>
      </c>
      <c r="K960" s="17" t="n">
        <f aca="false">MAX(B960-B959,0)</f>
        <v>51.0599999999995</v>
      </c>
      <c r="L960" s="17" t="n">
        <f aca="false">MAX(B959-B960,0)</f>
        <v>0</v>
      </c>
      <c r="M960" s="17" t="n">
        <f aca="false">(M959*13+K960)/14</f>
        <v>115.391428428603</v>
      </c>
      <c r="N960" s="17" t="n">
        <f aca="false">(N959*13+L960)/14</f>
        <v>78.5573135261961</v>
      </c>
      <c r="O960" s="17" t="n">
        <f aca="false">IF(N960=0,100,100-100/(1+M960/N960))</f>
        <v>59.4958375422181</v>
      </c>
      <c r="P960" s="17" t="n">
        <f aca="false">AVERAGE(B941:B960)+2*STDEV(B941:B960)</f>
        <v>9219.70518861372</v>
      </c>
      <c r="Q960" s="17" t="n">
        <f aca="false">AVERAGE(B941:B960)-2*STDEV(B941:B960)</f>
        <v>7402.15681138628</v>
      </c>
      <c r="R960" s="19" t="n">
        <f aca="false">B960/B940-1</f>
        <v>0.164632193738576</v>
      </c>
      <c r="S960" s="17" t="n">
        <f aca="false">STDEV(C941:C960)*SQRT(252)*100</f>
        <v>43.149477640237</v>
      </c>
      <c r="T960" s="19" t="n">
        <f aca="false">B939/B709-1</f>
        <v>0.00741034616483649</v>
      </c>
      <c r="U960" s="19" t="n">
        <f aca="false">B960/MAX(B709:B960)-1</f>
        <v>-0.0906569068180719</v>
      </c>
      <c r="V960" s="17" t="n">
        <f aca="false">(B960-AVERAGE(B941:B960))/STDEV(B941:B960)</f>
        <v>1.15920765928331</v>
      </c>
    </row>
    <row r="961" customFormat="false" ht="15" hidden="false" customHeight="false" outlineLevel="0" collapsed="false">
      <c r="A961" s="17" t="s">
        <v>1525</v>
      </c>
      <c r="B961" s="17" t="n">
        <v>8677.6</v>
      </c>
      <c r="C961" s="19" t="n">
        <f aca="false">B961/B960-1</f>
        <v>-0.0181111289640017</v>
      </c>
      <c r="D961" s="17" t="n">
        <f aca="false">AVERAGE(B912:B961)</f>
        <v>8273.666</v>
      </c>
      <c r="E961" s="17" t="n">
        <f aca="false">AVERAGE(B762:B961)</f>
        <v>8252.2864</v>
      </c>
      <c r="F961" s="17" t="n">
        <f aca="false">B961*2/13+F960*11/13</f>
        <v>8583.6612559412</v>
      </c>
      <c r="G961" s="17" t="n">
        <f aca="false">B961*2/27+G960*25/27</f>
        <v>8387.31175094613</v>
      </c>
      <c r="H961" s="17" t="n">
        <f aca="false">F961-G961</f>
        <v>196.349504995074</v>
      </c>
      <c r="I961" s="17" t="n">
        <f aca="false">H961*2/10+I960*8/10</f>
        <v>148.917069164271</v>
      </c>
      <c r="J961" s="17" t="n">
        <f aca="false">H961-I961</f>
        <v>47.4324358308036</v>
      </c>
      <c r="K961" s="17" t="n">
        <f aca="false">MAX(B961-B960,0)</f>
        <v>0</v>
      </c>
      <c r="L961" s="17" t="n">
        <f aca="false">MAX(B960-B961,0)</f>
        <v>160.06</v>
      </c>
      <c r="M961" s="17" t="n">
        <f aca="false">(M960*13+K961)/14</f>
        <v>107.149183540846</v>
      </c>
      <c r="N961" s="17" t="n">
        <f aca="false">(N960*13+L961)/14</f>
        <v>84.3789339886106</v>
      </c>
      <c r="O961" s="17" t="n">
        <f aca="false">IF(N961=0,100,100-100/(1+M961/N961))</f>
        <v>55.9443620722512</v>
      </c>
      <c r="P961" s="17" t="n">
        <f aca="false">AVERAGE(B942:B961)+2*STDEV(B942:B961)</f>
        <v>9250.44471990682</v>
      </c>
      <c r="Q961" s="17" t="n">
        <f aca="false">AVERAGE(B942:B961)-2*STDEV(B942:B961)</f>
        <v>7450.27628009318</v>
      </c>
      <c r="R961" s="19" t="n">
        <f aca="false">B961/B941-1</f>
        <v>0.0999605780699986</v>
      </c>
      <c r="S961" s="17" t="n">
        <f aca="false">STDEV(C942:C961)*SQRT(252)*100</f>
        <v>42.3974444794985</v>
      </c>
      <c r="T961" s="19" t="n">
        <f aca="false">B940/B710-1</f>
        <v>-0.0248141094344764</v>
      </c>
      <c r="U961" s="19" t="n">
        <f aca="false">B961/MAX(B710:B961)-1</f>
        <v>-0.107126136851214</v>
      </c>
      <c r="V961" s="17" t="n">
        <f aca="false">(B961-AVERAGE(B942:B961))/STDEV(B942:B961)</f>
        <v>0.727130845675485</v>
      </c>
    </row>
    <row r="962" customFormat="false" ht="15" hidden="false" customHeight="false" outlineLevel="0" collapsed="false">
      <c r="A962" s="17" t="s">
        <v>1526</v>
      </c>
      <c r="B962" s="17" t="n">
        <v>8982.76</v>
      </c>
      <c r="C962" s="19" t="n">
        <f aca="false">B962/B961-1</f>
        <v>0.0351664054577303</v>
      </c>
      <c r="D962" s="17" t="n">
        <f aca="false">AVERAGE(B913:B962)</f>
        <v>8260.7252</v>
      </c>
      <c r="E962" s="17" t="n">
        <f aca="false">AVERAGE(B763:B962)</f>
        <v>8257.36555</v>
      </c>
      <c r="F962" s="17" t="n">
        <f aca="false">B962*2/13+F961*11/13</f>
        <v>8645.06106271948</v>
      </c>
      <c r="G962" s="17" t="n">
        <f aca="false">B962*2/27+G961*25/27</f>
        <v>8431.41902865382</v>
      </c>
      <c r="H962" s="17" t="n">
        <f aca="false">F962-G962</f>
        <v>213.642034065657</v>
      </c>
      <c r="I962" s="17" t="n">
        <f aca="false">H962*2/10+I961*8/10</f>
        <v>161.862062144548</v>
      </c>
      <c r="J962" s="17" t="n">
        <f aca="false">H962-I962</f>
        <v>51.7799719211089</v>
      </c>
      <c r="K962" s="17" t="n">
        <f aca="false">MAX(B962-B961,0)</f>
        <v>305.16</v>
      </c>
      <c r="L962" s="17" t="n">
        <f aca="false">MAX(B961-B962,0)</f>
        <v>0</v>
      </c>
      <c r="M962" s="17" t="n">
        <f aca="false">(M961*13+K962)/14</f>
        <v>121.292813287928</v>
      </c>
      <c r="N962" s="17" t="n">
        <f aca="false">(N961*13+L962)/14</f>
        <v>78.3518672751384</v>
      </c>
      <c r="O962" s="17" t="n">
        <f aca="false">IF(N962=0,100,100-100/(1+M962/N962))</f>
        <v>60.7543426380512</v>
      </c>
      <c r="P962" s="17" t="n">
        <f aca="false">AVERAGE(B943:B962)+2*STDEV(B943:B962)</f>
        <v>9313.96339586432</v>
      </c>
      <c r="Q962" s="17" t="n">
        <f aca="false">AVERAGE(B943:B962)-2*STDEV(B943:B962)</f>
        <v>7503.68360413569</v>
      </c>
      <c r="R962" s="19" t="n">
        <f aca="false">B962/B942-1</f>
        <v>0.149646125295962</v>
      </c>
      <c r="S962" s="17" t="n">
        <f aca="false">STDEV(C943:C962)*SQRT(252)*100</f>
        <v>43.3071301108073</v>
      </c>
      <c r="T962" s="19" t="n">
        <f aca="false">B941/B711-1</f>
        <v>0.0176938408250933</v>
      </c>
      <c r="U962" s="19" t="n">
        <f aca="false">B962/MAX(B711:B962)-1</f>
        <v>-0.0757269725571139</v>
      </c>
      <c r="V962" s="17" t="n">
        <f aca="false">(B962-AVERAGE(B943:B962))/STDEV(B943:B962)</f>
        <v>1.26817192043435</v>
      </c>
    </row>
    <row r="963" customFormat="false" ht="15" hidden="false" customHeight="false" outlineLevel="0" collapsed="false">
      <c r="A963" s="17" t="s">
        <v>1527</v>
      </c>
      <c r="B963" s="17" t="n">
        <v>9000.51</v>
      </c>
      <c r="C963" s="19" t="n">
        <f aca="false">B963/B962-1</f>
        <v>0.00197600737412551</v>
      </c>
      <c r="D963" s="17" t="n">
        <f aca="false">AVERAGE(B914:B963)</f>
        <v>8246.3608</v>
      </c>
      <c r="E963" s="17" t="n">
        <f aca="false">AVERAGE(B764:B963)</f>
        <v>8262.7327</v>
      </c>
      <c r="F963" s="17" t="n">
        <f aca="false">B963*2/13+F962*11/13</f>
        <v>8699.74551460879</v>
      </c>
      <c r="G963" s="17" t="n">
        <f aca="false">B963*2/27+G962*25/27</f>
        <v>8473.57391542021</v>
      </c>
      <c r="H963" s="17" t="n">
        <f aca="false">F963-G963</f>
        <v>226.171599188583</v>
      </c>
      <c r="I963" s="17" t="n">
        <f aca="false">H963*2/10+I962*8/10</f>
        <v>174.723969553355</v>
      </c>
      <c r="J963" s="17" t="n">
        <f aca="false">H963-I963</f>
        <v>51.4476296352281</v>
      </c>
      <c r="K963" s="17" t="n">
        <f aca="false">MAX(B963-B962,0)</f>
        <v>17.75</v>
      </c>
      <c r="L963" s="17" t="n">
        <f aca="false">MAX(B962-B963,0)</f>
        <v>0</v>
      </c>
      <c r="M963" s="17" t="n">
        <f aca="false">(M962*13+K963)/14</f>
        <v>113.896898053076</v>
      </c>
      <c r="N963" s="17" t="n">
        <f aca="false">(N962*13+L963)/14</f>
        <v>72.7553053269142</v>
      </c>
      <c r="O963" s="17" t="n">
        <f aca="false">IF(N963=0,100,100-100/(1+M963/N963))</f>
        <v>61.0209234022288</v>
      </c>
      <c r="P963" s="17" t="n">
        <f aca="false">AVERAGE(B944:B963)+2*STDEV(B944:B963)</f>
        <v>9315.00086775844</v>
      </c>
      <c r="Q963" s="17" t="n">
        <f aca="false">AVERAGE(B944:B963)-2*STDEV(B944:B963)</f>
        <v>7654.06813224156</v>
      </c>
      <c r="R963" s="19" t="n">
        <f aca="false">B963/B943-1</f>
        <v>0.202265741775967</v>
      </c>
      <c r="S963" s="17" t="n">
        <f aca="false">STDEV(C944:C963)*SQRT(252)*100</f>
        <v>39.309233045817</v>
      </c>
      <c r="T963" s="19" t="n">
        <f aca="false">B942/B712-1</f>
        <v>0.0115794025421863</v>
      </c>
      <c r="U963" s="19" t="n">
        <f aca="false">B963/MAX(B712:B963)-1</f>
        <v>-0.0739006022391814</v>
      </c>
      <c r="V963" s="17" t="n">
        <f aca="false">(B963-AVERAGE(B944:B963))/STDEV(B944:B963)</f>
        <v>1.24261624559872</v>
      </c>
    </row>
    <row r="964" customFormat="false" ht="15" hidden="false" customHeight="false" outlineLevel="0" collapsed="false">
      <c r="A964" s="17" t="s">
        <v>1528</v>
      </c>
      <c r="B964" s="17" t="n">
        <v>8718.18</v>
      </c>
      <c r="C964" s="19" t="n">
        <f aca="false">B964/B963-1</f>
        <v>-0.0313682224673935</v>
      </c>
      <c r="D964" s="17" t="n">
        <f aca="false">AVERAGE(B915:B964)</f>
        <v>8228.1678</v>
      </c>
      <c r="E964" s="17" t="n">
        <f aca="false">AVERAGE(B765:B964)</f>
        <v>8266.8798</v>
      </c>
      <c r="F964" s="17" t="n">
        <f aca="false">B964*2/13+F963*11/13</f>
        <v>8702.58158928436</v>
      </c>
      <c r="G964" s="17" t="n">
        <f aca="false">B964*2/27+G963*25/27</f>
        <v>8491.69288464834</v>
      </c>
      <c r="H964" s="17" t="n">
        <f aca="false">F964-G964</f>
        <v>210.888704636021</v>
      </c>
      <c r="I964" s="17" t="n">
        <f aca="false">H964*2/10+I963*8/10</f>
        <v>181.956916569888</v>
      </c>
      <c r="J964" s="17" t="n">
        <f aca="false">H964-I964</f>
        <v>28.9317880661332</v>
      </c>
      <c r="K964" s="17" t="n">
        <f aca="false">MAX(B964-B963,0)</f>
        <v>0</v>
      </c>
      <c r="L964" s="17" t="n">
        <f aca="false">MAX(B963-B964,0)</f>
        <v>282.33</v>
      </c>
      <c r="M964" s="17" t="n">
        <f aca="false">(M963*13+K964)/14</f>
        <v>105.761405334999</v>
      </c>
      <c r="N964" s="17" t="n">
        <f aca="false">(N963*13+L964)/14</f>
        <v>87.7249263749918</v>
      </c>
      <c r="O964" s="17" t="n">
        <f aca="false">IF(N964=0,100,100-100/(1+M964/N964))</f>
        <v>54.6609181125626</v>
      </c>
      <c r="P964" s="17" t="n">
        <f aca="false">AVERAGE(B945:B964)+2*STDEV(B945:B964)</f>
        <v>9271.55141143369</v>
      </c>
      <c r="Q964" s="17" t="n">
        <f aca="false">AVERAGE(B945:B964)-2*STDEV(B945:B964)</f>
        <v>7805.76958856631</v>
      </c>
      <c r="R964" s="19" t="n">
        <f aca="false">B964/B944-1</f>
        <v>0.141771634672052</v>
      </c>
      <c r="S964" s="17" t="n">
        <f aca="false">STDEV(C945:C964)*SQRT(252)*100</f>
        <v>41.6570682213725</v>
      </c>
      <c r="T964" s="19" t="n">
        <f aca="false">B943/B713-1</f>
        <v>-0.0458134552170416</v>
      </c>
      <c r="U964" s="19" t="n">
        <f aca="false">B964/MAX(B713:B964)-1</f>
        <v>-0.102950694175062</v>
      </c>
      <c r="V964" s="17" t="n">
        <f aca="false">(B964-AVERAGE(B945:B964))/STDEV(B945:B964)</f>
        <v>0.489894190797979</v>
      </c>
    </row>
    <row r="965" customFormat="false" ht="15" hidden="false" customHeight="false" outlineLevel="0" collapsed="false">
      <c r="A965" s="17" t="s">
        <v>1529</v>
      </c>
      <c r="B965" s="17" t="n">
        <v>8834.11</v>
      </c>
      <c r="C965" s="19" t="n">
        <f aca="false">B965/B964-1</f>
        <v>0.0132975001663191</v>
      </c>
      <c r="D965" s="17" t="n">
        <f aca="false">AVERAGE(B916:B965)</f>
        <v>8215.9162</v>
      </c>
      <c r="E965" s="17" t="n">
        <f aca="false">AVERAGE(B766:B965)</f>
        <v>8271.5297</v>
      </c>
      <c r="F965" s="17" t="n">
        <f aca="false">B965*2/13+F964*11/13</f>
        <v>8722.81672939446</v>
      </c>
      <c r="G965" s="17" t="n">
        <f aca="false">B965*2/27+G964*25/27</f>
        <v>8517.05711541513</v>
      </c>
      <c r="H965" s="17" t="n">
        <f aca="false">F965-G965</f>
        <v>205.759613979331</v>
      </c>
      <c r="I965" s="17" t="n">
        <f aca="false">H965*2/10+I964*8/10</f>
        <v>186.717456051777</v>
      </c>
      <c r="J965" s="17" t="n">
        <f aca="false">H965-I965</f>
        <v>19.0421579275545</v>
      </c>
      <c r="K965" s="17" t="n">
        <f aca="false">MAX(B965-B964,0)</f>
        <v>115.93</v>
      </c>
      <c r="L965" s="17" t="n">
        <f aca="false">MAX(B964-B965,0)</f>
        <v>0</v>
      </c>
      <c r="M965" s="17" t="n">
        <f aca="false">(M964*13+K965)/14</f>
        <v>106.487733525357</v>
      </c>
      <c r="N965" s="17" t="n">
        <f aca="false">(N964*13+L965)/14</f>
        <v>81.4588602053495</v>
      </c>
      <c r="O965" s="17" t="n">
        <f aca="false">IF(N965=0,100,100-100/(1+M965/N965))</f>
        <v>56.6585067659883</v>
      </c>
      <c r="P965" s="17" t="n">
        <f aca="false">AVERAGE(B946:B965)+2*STDEV(B946:B965)</f>
        <v>9171.90405951885</v>
      </c>
      <c r="Q965" s="17" t="n">
        <f aca="false">AVERAGE(B946:B965)-2*STDEV(B946:B965)</f>
        <v>8036.01694048114</v>
      </c>
      <c r="R965" s="19" t="n">
        <f aca="false">B965/B945-1</f>
        <v>0.173483118604803</v>
      </c>
      <c r="S965" s="17" t="n">
        <f aca="false">STDEV(C946:C965)*SQRT(252)*100</f>
        <v>40.949110760532</v>
      </c>
      <c r="T965" s="19" t="n">
        <f aca="false">B944/B714-1</f>
        <v>-0.0203269400276364</v>
      </c>
      <c r="U965" s="19" t="n">
        <f aca="false">B965/MAX(B714:B965)-1</f>
        <v>-0.0910221808816583</v>
      </c>
      <c r="V965" s="17" t="n">
        <f aca="false">(B965-AVERAGE(B946:B965))/STDEV(B946:B965)</f>
        <v>0.810466097000826</v>
      </c>
    </row>
    <row r="966" customFormat="false" ht="15" hidden="false" customHeight="false" outlineLevel="0" collapsed="false">
      <c r="A966" s="17" t="s">
        <v>1530</v>
      </c>
      <c r="B966" s="17" t="n">
        <v>8930.62</v>
      </c>
      <c r="C966" s="19" t="n">
        <f aca="false">B966/B965-1</f>
        <v>0.0109246998282793</v>
      </c>
      <c r="D966" s="17" t="n">
        <f aca="false">AVERAGE(B917:B966)</f>
        <v>8212.936</v>
      </c>
      <c r="E966" s="17" t="n">
        <f aca="false">AVERAGE(B767:B966)</f>
        <v>8277.0083</v>
      </c>
      <c r="F966" s="17" t="n">
        <f aca="false">B966*2/13+F965*11/13</f>
        <v>8754.78646333377</v>
      </c>
      <c r="G966" s="17" t="n">
        <f aca="false">B966*2/27+G965*25/27</f>
        <v>8547.69140316216</v>
      </c>
      <c r="H966" s="17" t="n">
        <f aca="false">F966-G966</f>
        <v>207.095060171618</v>
      </c>
      <c r="I966" s="17" t="n">
        <f aca="false">H966*2/10+I965*8/10</f>
        <v>190.792976875745</v>
      </c>
      <c r="J966" s="17" t="n">
        <f aca="false">H966-I966</f>
        <v>16.3020832958727</v>
      </c>
      <c r="K966" s="17" t="n">
        <f aca="false">MAX(B966-B965,0)</f>
        <v>96.5100000000002</v>
      </c>
      <c r="L966" s="17" t="n">
        <f aca="false">MAX(B965-B966,0)</f>
        <v>0</v>
      </c>
      <c r="M966" s="17" t="n">
        <f aca="false">(M965*13+K966)/14</f>
        <v>105.775038273545</v>
      </c>
      <c r="N966" s="17" t="n">
        <f aca="false">(N965*13+L966)/14</f>
        <v>75.6403701906817</v>
      </c>
      <c r="O966" s="17" t="n">
        <f aca="false">IF(N966=0,100,100-100/(1+M966/N966))</f>
        <v>58.3054323604508</v>
      </c>
      <c r="P966" s="17" t="n">
        <f aca="false">AVERAGE(B947:B966)+2*STDEV(B947:B966)</f>
        <v>9175.5650134806</v>
      </c>
      <c r="Q966" s="17" t="n">
        <f aca="false">AVERAGE(B947:B966)-2*STDEV(B947:B966)</f>
        <v>8117.2519865194</v>
      </c>
      <c r="R966" s="19" t="n">
        <f aca="false">B966/B946-1</f>
        <v>0.105047725343556</v>
      </c>
      <c r="S966" s="17" t="n">
        <f aca="false">STDEV(C947:C966)*SQRT(252)*100</f>
        <v>32.9861857390791</v>
      </c>
      <c r="T966" s="19" t="n">
        <f aca="false">B945/B715-1</f>
        <v>-0.0146646335477707</v>
      </c>
      <c r="U966" s="19" t="n">
        <f aca="false">B966/MAX(B715:B966)-1</f>
        <v>-0.0810918710572265</v>
      </c>
      <c r="V966" s="17" t="n">
        <f aca="false">(B966-AVERAGE(B947:B966))/STDEV(B947:B966)</f>
        <v>1.07420580776964</v>
      </c>
    </row>
    <row r="967" customFormat="false" ht="15" hidden="false" customHeight="false" outlineLevel="0" collapsed="false">
      <c r="A967" s="17" t="s">
        <v>1531</v>
      </c>
      <c r="B967" s="17" t="n">
        <v>8984.86</v>
      </c>
      <c r="C967" s="19" t="n">
        <f aca="false">B967/B966-1</f>
        <v>0.00607348649925754</v>
      </c>
      <c r="D967" s="17" t="n">
        <f aca="false">AVERAGE(B918:B967)</f>
        <v>8215.9358</v>
      </c>
      <c r="E967" s="17" t="n">
        <f aca="false">AVERAGE(B768:B967)</f>
        <v>8282.407</v>
      </c>
      <c r="F967" s="17" t="n">
        <f aca="false">B967*2/13+F966*11/13</f>
        <v>8790.18239205165</v>
      </c>
      <c r="G967" s="17" t="n">
        <f aca="false">B967*2/27+G966*25/27</f>
        <v>8580.07426218718</v>
      </c>
      <c r="H967" s="17" t="n">
        <f aca="false">F967-G967</f>
        <v>210.108129864475</v>
      </c>
      <c r="I967" s="17" t="n">
        <f aca="false">H967*2/10+I966*8/10</f>
        <v>194.656007473491</v>
      </c>
      <c r="J967" s="17" t="n">
        <f aca="false">H967-I967</f>
        <v>15.4521223909839</v>
      </c>
      <c r="K967" s="17" t="n">
        <f aca="false">MAX(B967-B966,0)</f>
        <v>54.2399999999998</v>
      </c>
      <c r="L967" s="17" t="n">
        <f aca="false">MAX(B966-B967,0)</f>
        <v>0</v>
      </c>
      <c r="M967" s="17" t="n">
        <f aca="false">(M966*13+K967)/14</f>
        <v>102.093964111149</v>
      </c>
      <c r="N967" s="17" t="n">
        <f aca="false">(N966*13+L967)/14</f>
        <v>70.237486605633</v>
      </c>
      <c r="O967" s="17" t="n">
        <f aca="false">IF(N967=0,100,100-100/(1+M967/N967))</f>
        <v>59.2427927035416</v>
      </c>
      <c r="P967" s="17" t="n">
        <f aca="false">AVERAGE(B948:B967)+2*STDEV(B948:B967)</f>
        <v>9162.06855377855</v>
      </c>
      <c r="Q967" s="17" t="n">
        <f aca="false">AVERAGE(B948:B967)-2*STDEV(B948:B967)</f>
        <v>8224.30344622145</v>
      </c>
      <c r="R967" s="19" t="n">
        <f aca="false">B967/B947-1</f>
        <v>0.116227353648946</v>
      </c>
      <c r="S967" s="17" t="n">
        <f aca="false">STDEV(C948:C967)*SQRT(252)*100</f>
        <v>32.8062812052781</v>
      </c>
      <c r="T967" s="19" t="n">
        <f aca="false">B946/B716-1</f>
        <v>0.0609264133481238</v>
      </c>
      <c r="U967" s="19" t="n">
        <f aca="false">B967/MAX(B716:B967)-1</f>
        <v>-0.0755108949420346</v>
      </c>
      <c r="V967" s="17" t="n">
        <f aca="false">(B967-AVERAGE(B948:B967))/STDEV(B948:B967)</f>
        <v>1.24412391823713</v>
      </c>
    </row>
    <row r="968" customFormat="false" ht="15" hidden="false" customHeight="false" outlineLevel="0" collapsed="false">
      <c r="A968" s="17" t="s">
        <v>1532</v>
      </c>
      <c r="B968" s="17" t="n">
        <v>9101.88</v>
      </c>
      <c r="C968" s="19" t="n">
        <f aca="false">B968/B967-1</f>
        <v>0.0130241317060031</v>
      </c>
      <c r="D968" s="17" t="n">
        <f aca="false">AVERAGE(B919:B968)</f>
        <v>8220.4982</v>
      </c>
      <c r="E968" s="17" t="n">
        <f aca="false">AVERAGE(B769:B968)</f>
        <v>8288.1436</v>
      </c>
      <c r="F968" s="17" t="n">
        <f aca="false">B968*2/13+F967*11/13</f>
        <v>8838.13587019755</v>
      </c>
      <c r="G968" s="17" t="n">
        <f aca="false">B968*2/27+G967*25/27</f>
        <v>8618.7265390622</v>
      </c>
      <c r="H968" s="17" t="n">
        <f aca="false">F968-G968</f>
        <v>219.40933113535</v>
      </c>
      <c r="I968" s="17" t="n">
        <f aca="false">H968*2/10+I967*8/10</f>
        <v>199.606672205863</v>
      </c>
      <c r="J968" s="17" t="n">
        <f aca="false">H968-I968</f>
        <v>19.8026589294871</v>
      </c>
      <c r="K968" s="17" t="n">
        <f aca="false">MAX(B968-B967,0)</f>
        <v>117.019999999999</v>
      </c>
      <c r="L968" s="17" t="n">
        <f aca="false">MAX(B967-B968,0)</f>
        <v>0</v>
      </c>
      <c r="M968" s="17" t="n">
        <f aca="false">(M967*13+K968)/14</f>
        <v>103.160109531781</v>
      </c>
      <c r="N968" s="17" t="n">
        <f aca="false">(N967*13+L968)/14</f>
        <v>65.2205232766592</v>
      </c>
      <c r="O968" s="17" t="n">
        <f aca="false">IF(N968=0,100,100-100/(1+M968/N968))</f>
        <v>61.2660184316698</v>
      </c>
      <c r="P968" s="17" t="n">
        <f aca="false">AVERAGE(B949:B968)+2*STDEV(B949:B968)</f>
        <v>9185.96733574971</v>
      </c>
      <c r="Q968" s="17" t="n">
        <f aca="false">AVERAGE(B949:B968)-2*STDEV(B949:B968)</f>
        <v>8287.6386642503</v>
      </c>
      <c r="R968" s="19" t="n">
        <f aca="false">B968/B948-1</f>
        <v>0.106001064458038</v>
      </c>
      <c r="S968" s="17" t="n">
        <f aca="false">STDEV(C949:C968)*SQRT(252)*100</f>
        <v>32.3399897830515</v>
      </c>
      <c r="T968" s="19" t="n">
        <f aca="false">B947/B717-1</f>
        <v>0.0615291286142892</v>
      </c>
      <c r="U968" s="19" t="n">
        <f aca="false">B968/MAX(B717:B968)-1</f>
        <v>-0.0634702270769947</v>
      </c>
      <c r="V968" s="17" t="n">
        <f aca="false">(B968-AVERAGE(B949:B968))/STDEV(B949:B968)</f>
        <v>1.62558320393201</v>
      </c>
    </row>
    <row r="969" customFormat="false" ht="15" hidden="false" customHeight="false" outlineLevel="0" collapsed="false">
      <c r="A969" s="17" t="s">
        <v>1533</v>
      </c>
      <c r="B969" s="17" t="n">
        <v>9220.35</v>
      </c>
      <c r="C969" s="19" t="n">
        <f aca="false">B969/B968-1</f>
        <v>0.013015992300492</v>
      </c>
      <c r="D969" s="17" t="n">
        <f aca="false">AVERAGE(B920:B969)</f>
        <v>8236.1718</v>
      </c>
      <c r="E969" s="17" t="n">
        <f aca="false">AVERAGE(B770:B969)</f>
        <v>8294.1923</v>
      </c>
      <c r="F969" s="17" t="n">
        <f aca="false">B969*2/13+F968*11/13</f>
        <v>8896.93804401332</v>
      </c>
      <c r="G969" s="17" t="n">
        <f aca="false">B969*2/27+G968*25/27</f>
        <v>8663.29123987241</v>
      </c>
      <c r="H969" s="17" t="n">
        <f aca="false">F969-G969</f>
        <v>233.646804140904</v>
      </c>
      <c r="I969" s="17" t="n">
        <f aca="false">H969*2/10+I968*8/10</f>
        <v>206.414698592871</v>
      </c>
      <c r="J969" s="17" t="n">
        <f aca="false">H969-I969</f>
        <v>27.2321055480332</v>
      </c>
      <c r="K969" s="17" t="n">
        <f aca="false">MAX(B969-B968,0)</f>
        <v>118.470000000001</v>
      </c>
      <c r="L969" s="17" t="n">
        <f aca="false">MAX(B968-B969,0)</f>
        <v>0</v>
      </c>
      <c r="M969" s="17" t="n">
        <f aca="false">(M968*13+K969)/14</f>
        <v>104.253673136654</v>
      </c>
      <c r="N969" s="17" t="n">
        <f aca="false">(N968*13+L969)/14</f>
        <v>60.5619144711836</v>
      </c>
      <c r="O969" s="17" t="n">
        <f aca="false">IF(N969=0,100,100-100/(1+M969/N969))</f>
        <v>63.2547410410692</v>
      </c>
      <c r="P969" s="17" t="n">
        <f aca="false">AVERAGE(B950:B969)+2*STDEV(B950:B969)</f>
        <v>9220.12630394026</v>
      </c>
      <c r="Q969" s="17" t="n">
        <f aca="false">AVERAGE(B950:B969)-2*STDEV(B950:B969)</f>
        <v>8351.66169605974</v>
      </c>
      <c r="R969" s="19" t="n">
        <f aca="false">B969/B949-1</f>
        <v>0.119174173062427</v>
      </c>
      <c r="S969" s="17" t="n">
        <f aca="false">STDEV(C950:C969)*SQRT(252)*100</f>
        <v>32.4136935115105</v>
      </c>
      <c r="T969" s="19" t="n">
        <f aca="false">B948/B718-1</f>
        <v>0.0847567992217788</v>
      </c>
      <c r="U969" s="19" t="n">
        <f aca="false">B969/MAX(B718:B969)-1</f>
        <v>-0.0512803627634474</v>
      </c>
      <c r="V969" s="17" t="n">
        <f aca="false">(B969-AVERAGE(B950:B969))/STDEV(B950:B969)</f>
        <v>2.00103030593401</v>
      </c>
    </row>
    <row r="970" customFormat="false" ht="15" hidden="false" customHeight="false" outlineLevel="0" collapsed="false">
      <c r="A970" s="17" t="s">
        <v>1534</v>
      </c>
      <c r="B970" s="17" t="n">
        <v>9298.92</v>
      </c>
      <c r="C970" s="19" t="n">
        <f aca="false">B970/B969-1</f>
        <v>0.00852136849468832</v>
      </c>
      <c r="D970" s="17" t="n">
        <f aca="false">AVERAGE(B921:B970)</f>
        <v>8252.9136</v>
      </c>
      <c r="E970" s="17" t="n">
        <f aca="false">AVERAGE(B771:B970)</f>
        <v>8301.03755</v>
      </c>
      <c r="F970" s="17" t="n">
        <f aca="false">B970*2/13+F969*11/13</f>
        <v>8958.78142185742</v>
      </c>
      <c r="G970" s="17" t="n">
        <f aca="false">B970*2/27+G969*25/27</f>
        <v>8710.37485173371</v>
      </c>
      <c r="H970" s="17" t="n">
        <f aca="false">F970-G970</f>
        <v>248.406570123707</v>
      </c>
      <c r="I970" s="17" t="n">
        <f aca="false">H970*2/10+I969*8/10</f>
        <v>214.813072899038</v>
      </c>
      <c r="J970" s="17" t="n">
        <f aca="false">H970-I970</f>
        <v>33.5934972246686</v>
      </c>
      <c r="K970" s="17" t="n">
        <f aca="false">MAX(B970-B969,0)</f>
        <v>78.5699999999997</v>
      </c>
      <c r="L970" s="17" t="n">
        <f aca="false">MAX(B969-B970,0)</f>
        <v>0</v>
      </c>
      <c r="M970" s="17" t="n">
        <f aca="false">(M969*13+K970)/14</f>
        <v>102.419125055465</v>
      </c>
      <c r="N970" s="17" t="n">
        <f aca="false">(N969*13+L970)/14</f>
        <v>56.2360634375276</v>
      </c>
      <c r="O970" s="17" t="n">
        <f aca="false">IF(N970=0,100,100-100/(1+M970/N970))</f>
        <v>64.5545387001248</v>
      </c>
      <c r="P970" s="17" t="n">
        <f aca="false">AVERAGE(B951:B970)+2*STDEV(B951:B970)</f>
        <v>9271.13512403614</v>
      </c>
      <c r="Q970" s="17" t="n">
        <f aca="false">AVERAGE(B951:B970)-2*STDEV(B951:B970)</f>
        <v>8397.27087596386</v>
      </c>
      <c r="R970" s="19" t="n">
        <f aca="false">B970/B950-1</f>
        <v>0.115949855629721</v>
      </c>
      <c r="S970" s="17" t="n">
        <f aca="false">STDEV(C951:C970)*SQRT(252)*100</f>
        <v>32.3634834654794</v>
      </c>
      <c r="T970" s="19" t="n">
        <f aca="false">B949/B719-1</f>
        <v>0.124847592819898</v>
      </c>
      <c r="U970" s="19" t="n">
        <f aca="false">B970/MAX(B719:B970)-1</f>
        <v>-0.0431959731364077</v>
      </c>
      <c r="V970" s="17" t="n">
        <f aca="false">(B970-AVERAGE(B951:B970))/STDEV(B951:B970)</f>
        <v>2.12718165790693</v>
      </c>
    </row>
    <row r="971" customFormat="false" ht="15" hidden="false" customHeight="false" outlineLevel="0" collapsed="false">
      <c r="A971" s="17" t="s">
        <v>1535</v>
      </c>
      <c r="B971" s="17" t="n">
        <v>9112.45</v>
      </c>
      <c r="C971" s="19" t="n">
        <f aca="false">B971/B970-1</f>
        <v>-0.0200528663543723</v>
      </c>
      <c r="D971" s="17" t="n">
        <f aca="false">AVERAGE(B922:B971)</f>
        <v>8257.603</v>
      </c>
      <c r="E971" s="17" t="n">
        <f aca="false">AVERAGE(B772:B971)</f>
        <v>8306.51505</v>
      </c>
      <c r="F971" s="17" t="n">
        <f aca="false">B971*2/13+F970*11/13</f>
        <v>8982.42274157166</v>
      </c>
      <c r="G971" s="17" t="n">
        <f aca="false">B971*2/27+G970*25/27</f>
        <v>8740.15819604974</v>
      </c>
      <c r="H971" s="17" t="n">
        <f aca="false">F971-G971</f>
        <v>242.264545521928</v>
      </c>
      <c r="I971" s="17" t="n">
        <f aca="false">H971*2/10+I970*8/10</f>
        <v>220.303367423616</v>
      </c>
      <c r="J971" s="17" t="n">
        <f aca="false">H971-I971</f>
        <v>21.9611780983119</v>
      </c>
      <c r="K971" s="17" t="n">
        <f aca="false">MAX(B971-B970,0)</f>
        <v>0</v>
      </c>
      <c r="L971" s="17" t="n">
        <f aca="false">MAX(B970-B971,0)</f>
        <v>186.469999999999</v>
      </c>
      <c r="M971" s="17" t="n">
        <f aca="false">(M970*13+K971)/14</f>
        <v>95.1034732657887</v>
      </c>
      <c r="N971" s="17" t="n">
        <f aca="false">(N970*13+L971)/14</f>
        <v>65.5384874777041</v>
      </c>
      <c r="O971" s="17" t="n">
        <f aca="false">IF(N971=0,100,100-100/(1+M971/N971))</f>
        <v>59.2021367428691</v>
      </c>
      <c r="P971" s="17" t="n">
        <f aca="false">AVERAGE(B952:B971)+2*STDEV(B952:B971)</f>
        <v>9303.66135432175</v>
      </c>
      <c r="Q971" s="17" t="n">
        <f aca="false">AVERAGE(B952:B971)-2*STDEV(B952:B971)</f>
        <v>8406.77364567825</v>
      </c>
      <c r="R971" s="19" t="n">
        <f aca="false">B971/B951-1</f>
        <v>0.0483527684718184</v>
      </c>
      <c r="S971" s="17" t="n">
        <f aca="false">STDEV(C952:C971)*SQRT(252)*100</f>
        <v>30.3807473415039</v>
      </c>
      <c r="T971" s="19" t="n">
        <f aca="false">B950/B720-1</f>
        <v>0.125759942068772</v>
      </c>
      <c r="U971" s="19" t="n">
        <f aca="false">B971/MAX(B720:B971)-1</f>
        <v>-0.0623826364144285</v>
      </c>
      <c r="V971" s="17" t="n">
        <f aca="false">(B971-AVERAGE(B952:B971))/STDEV(B952:B971)</f>
        <v>1.14722276833987</v>
      </c>
    </row>
    <row r="972" customFormat="false" ht="15" hidden="false" customHeight="false" outlineLevel="0" collapsed="false">
      <c r="A972" s="17" t="s">
        <v>1536</v>
      </c>
      <c r="B972" s="17" t="n">
        <v>9000.08</v>
      </c>
      <c r="C972" s="19" t="n">
        <f aca="false">B972/B971-1</f>
        <v>-0.0123314805568207</v>
      </c>
      <c r="D972" s="17" t="n">
        <f aca="false">AVERAGE(B923:B972)</f>
        <v>8265.7148</v>
      </c>
      <c r="E972" s="17" t="n">
        <f aca="false">AVERAGE(B773:B972)</f>
        <v>8311.57005</v>
      </c>
      <c r="F972" s="17" t="n">
        <f aca="false">B972*2/13+F971*11/13</f>
        <v>8985.13924286833</v>
      </c>
      <c r="G972" s="17" t="n">
        <f aca="false">B972*2/27+G971*25/27</f>
        <v>8759.41166300901</v>
      </c>
      <c r="H972" s="17" t="n">
        <f aca="false">F972-G972</f>
        <v>225.727579859316</v>
      </c>
      <c r="I972" s="17" t="n">
        <f aca="false">H972*2/10+I971*8/10</f>
        <v>221.388209910756</v>
      </c>
      <c r="J972" s="17" t="n">
        <f aca="false">H972-I972</f>
        <v>4.33936994856015</v>
      </c>
      <c r="K972" s="17" t="n">
        <f aca="false">MAX(B972-B971,0)</f>
        <v>0</v>
      </c>
      <c r="L972" s="17" t="n">
        <f aca="false">MAX(B971-B972,0)</f>
        <v>112.370000000001</v>
      </c>
      <c r="M972" s="17" t="n">
        <f aca="false">(M971*13+K972)/14</f>
        <v>88.310368032518</v>
      </c>
      <c r="N972" s="17" t="n">
        <f aca="false">(N971*13+L972)/14</f>
        <v>68.883595515011</v>
      </c>
      <c r="O972" s="17" t="n">
        <f aca="false">IF(N972=0,100,100-100/(1+M972/N972))</f>
        <v>56.1792361739238</v>
      </c>
      <c r="P972" s="17" t="n">
        <f aca="false">AVERAGE(B953:B972)+2*STDEV(B953:B972)</f>
        <v>9310.56729931084</v>
      </c>
      <c r="Q972" s="17" t="n">
        <f aca="false">AVERAGE(B953:B972)-2*STDEV(B953:B972)</f>
        <v>8440.67970068916</v>
      </c>
      <c r="R972" s="19" t="n">
        <f aca="false">B972/B952-1</f>
        <v>0.0475002211369699</v>
      </c>
      <c r="S972" s="17" t="n">
        <f aca="false">STDEV(C953:C972)*SQRT(252)*100</f>
        <v>30.4314071899839</v>
      </c>
      <c r="T972" s="19" t="n">
        <f aca="false">B951/B721-1</f>
        <v>0.158452670509446</v>
      </c>
      <c r="U972" s="19" t="n">
        <f aca="false">B972/MAX(B721:B972)-1</f>
        <v>-0.0739448467032214</v>
      </c>
      <c r="V972" s="17" t="n">
        <f aca="false">(B972-AVERAGE(B953:B972))/STDEV(B953:B972)</f>
        <v>0.572287730953743</v>
      </c>
    </row>
    <row r="973" customFormat="false" ht="15" hidden="false" customHeight="false" outlineLevel="0" collapsed="false">
      <c r="A973" s="17" t="s">
        <v>1537</v>
      </c>
      <c r="B973" s="17" t="n">
        <v>9094.42</v>
      </c>
      <c r="C973" s="19" t="n">
        <f aca="false">B973/B972-1</f>
        <v>0.0104821290477417</v>
      </c>
      <c r="D973" s="17" t="n">
        <f aca="false">AVERAGE(B924:B973)</f>
        <v>8268.6176</v>
      </c>
      <c r="E973" s="17" t="n">
        <f aca="false">AVERAGE(B774:B973)</f>
        <v>8317.2798</v>
      </c>
      <c r="F973" s="17" t="n">
        <f aca="false">B973*2/13+F972*11/13</f>
        <v>9001.95166704244</v>
      </c>
      <c r="G973" s="17" t="n">
        <f aca="false">B973*2/27+G972*25/27</f>
        <v>8784.22709537872</v>
      </c>
      <c r="H973" s="17" t="n">
        <f aca="false">F973-G973</f>
        <v>217.724571663717</v>
      </c>
      <c r="I973" s="17" t="n">
        <f aca="false">H973*2/10+I972*8/10</f>
        <v>220.655482261348</v>
      </c>
      <c r="J973" s="17" t="n">
        <f aca="false">H973-I973</f>
        <v>-2.93091059763128</v>
      </c>
      <c r="K973" s="17" t="n">
        <f aca="false">MAX(B973-B972,0)</f>
        <v>94.3400000000002</v>
      </c>
      <c r="L973" s="17" t="n">
        <f aca="false">MAX(B972-B973,0)</f>
        <v>0</v>
      </c>
      <c r="M973" s="17" t="n">
        <f aca="false">(M972*13+K973)/14</f>
        <v>88.7410560301953</v>
      </c>
      <c r="N973" s="17" t="n">
        <f aca="false">(N972*13+L973)/14</f>
        <v>63.9633386925103</v>
      </c>
      <c r="O973" s="17" t="n">
        <f aca="false">IF(N973=0,100,100-100/(1+M973/N973))</f>
        <v>58.1129679937106</v>
      </c>
      <c r="P973" s="17" t="n">
        <f aca="false">AVERAGE(B954:B973)+2*STDEV(B954:B973)</f>
        <v>9334.20036147784</v>
      </c>
      <c r="Q973" s="17" t="n">
        <f aca="false">AVERAGE(B954:B973)-2*STDEV(B954:B973)</f>
        <v>8450.70563852216</v>
      </c>
      <c r="R973" s="19" t="n">
        <f aca="false">B973/B953-1</f>
        <v>0.0384330364942</v>
      </c>
      <c r="S973" s="17" t="n">
        <f aca="false">STDEV(C954:C973)*SQRT(252)*100</f>
        <v>29.9423300692479</v>
      </c>
      <c r="T973" s="19" t="n">
        <f aca="false">B952/B722-1</f>
        <v>0.133483022741005</v>
      </c>
      <c r="U973" s="19" t="n">
        <f aca="false">B973/MAX(B722:B973)-1</f>
        <v>-0.0642378170810383</v>
      </c>
      <c r="V973" s="17" t="n">
        <f aca="false">(B973-AVERAGE(B954:B973))/STDEV(B954:B973)</f>
        <v>0.914400481416947</v>
      </c>
    </row>
    <row r="974" customFormat="false" ht="15" hidden="false" customHeight="false" outlineLevel="0" collapsed="false">
      <c r="A974" s="17" t="s">
        <v>1538</v>
      </c>
      <c r="B974" s="17" t="n">
        <v>9152.64</v>
      </c>
      <c r="C974" s="19" t="n">
        <f aca="false">B974/B973-1</f>
        <v>0.00640172765278035</v>
      </c>
      <c r="D974" s="17" t="n">
        <f aca="false">AVERAGE(B925:B974)</f>
        <v>8278.2372</v>
      </c>
      <c r="E974" s="17" t="n">
        <f aca="false">AVERAGE(B775:B974)</f>
        <v>8323.7991</v>
      </c>
      <c r="F974" s="17" t="n">
        <f aca="false">B974*2/13+F973*11/13</f>
        <v>9025.13448749745</v>
      </c>
      <c r="G974" s="17" t="n">
        <f aca="false">B974*2/27+G973*25/27</f>
        <v>8811.51694016548</v>
      </c>
      <c r="H974" s="17" t="n">
        <f aca="false">F974-G974</f>
        <v>213.617547331967</v>
      </c>
      <c r="I974" s="17" t="n">
        <f aca="false">H974*2/10+I973*8/10</f>
        <v>219.247895275472</v>
      </c>
      <c r="J974" s="17" t="n">
        <f aca="false">H974-I974</f>
        <v>-5.63034794350497</v>
      </c>
      <c r="K974" s="17" t="n">
        <f aca="false">MAX(B974-B973,0)</f>
        <v>58.2199999999993</v>
      </c>
      <c r="L974" s="17" t="n">
        <f aca="false">MAX(B973-B974,0)</f>
        <v>0</v>
      </c>
      <c r="M974" s="17" t="n">
        <f aca="false">(M973*13+K974)/14</f>
        <v>86.560980599467</v>
      </c>
      <c r="N974" s="17" t="n">
        <f aca="false">(N973*13+L974)/14</f>
        <v>59.3945287859024</v>
      </c>
      <c r="O974" s="17" t="n">
        <f aca="false">IF(N974=0,100,100-100/(1+M974/N974))</f>
        <v>59.3064153343594</v>
      </c>
      <c r="P974" s="17" t="n">
        <f aca="false">AVERAGE(B955:B974)+2*STDEV(B955:B974)</f>
        <v>9364.04584625068</v>
      </c>
      <c r="Q974" s="17" t="n">
        <f aca="false">AVERAGE(B955:B974)-2*STDEV(B955:B974)</f>
        <v>8452.88315374932</v>
      </c>
      <c r="R974" s="19" t="n">
        <f aca="false">B974/B954-1</f>
        <v>0.0362562426336639</v>
      </c>
      <c r="S974" s="17" t="n">
        <f aca="false">STDEV(C955:C974)*SQRT(252)*100</f>
        <v>29.8912067782065</v>
      </c>
      <c r="T974" s="19" t="n">
        <f aca="false">B953/B723-1</f>
        <v>0.167137990959103</v>
      </c>
      <c r="U974" s="19" t="n">
        <f aca="false">B974/MAX(B723:B974)-1</f>
        <v>-0.0582473224382198</v>
      </c>
      <c r="V974" s="17" t="n">
        <f aca="false">(B974-AVERAGE(B955:B974))/STDEV(B955:B974)</f>
        <v>1.07192931409288</v>
      </c>
    </row>
    <row r="975" customFormat="false" ht="15" hidden="false" customHeight="false" outlineLevel="0" collapsed="false">
      <c r="A975" s="17" t="s">
        <v>1539</v>
      </c>
      <c r="B975" s="17" t="n">
        <v>9331.93</v>
      </c>
      <c r="C975" s="19" t="n">
        <f aca="false">B975/B974-1</f>
        <v>0.0195888836445004</v>
      </c>
      <c r="D975" s="17" t="n">
        <f aca="false">AVERAGE(B926:B975)</f>
        <v>8294.269</v>
      </c>
      <c r="E975" s="17" t="n">
        <f aca="false">AVERAGE(B776:B975)</f>
        <v>8331.453</v>
      </c>
      <c r="F975" s="17" t="n">
        <f aca="false">B975*2/13+F974*11/13</f>
        <v>9072.33379711322</v>
      </c>
      <c r="G975" s="17" t="n">
        <f aca="false">B975*2/27+G974*25/27</f>
        <v>8850.06605570878</v>
      </c>
      <c r="H975" s="17" t="n">
        <f aca="false">F975-G975</f>
        <v>222.267741404448</v>
      </c>
      <c r="I975" s="17" t="n">
        <f aca="false">H975*2/10+I974*8/10</f>
        <v>219.851864501267</v>
      </c>
      <c r="J975" s="17" t="n">
        <f aca="false">H975-I975</f>
        <v>2.4158769031809</v>
      </c>
      <c r="K975" s="17" t="n">
        <f aca="false">MAX(B975-B974,0)</f>
        <v>179.290000000001</v>
      </c>
      <c r="L975" s="17" t="n">
        <f aca="false">MAX(B974-B975,0)</f>
        <v>0</v>
      </c>
      <c r="M975" s="17" t="n">
        <f aca="false">(M974*13+K975)/14</f>
        <v>93.1844819852195</v>
      </c>
      <c r="N975" s="17" t="n">
        <f aca="false">(N974*13+L975)/14</f>
        <v>55.1520624440522</v>
      </c>
      <c r="O975" s="17" t="n">
        <f aca="false">IF(N975=0,100,100-100/(1+M975/N975))</f>
        <v>62.8196391818004</v>
      </c>
      <c r="P975" s="17" t="n">
        <f aca="false">AVERAGE(B956:B975)+2*STDEV(B956:B975)</f>
        <v>9422.96514219252</v>
      </c>
      <c r="Q975" s="17" t="n">
        <f aca="false">AVERAGE(B956:B975)-2*STDEV(B956:B975)</f>
        <v>8454.50585780748</v>
      </c>
      <c r="R975" s="19" t="n">
        <f aca="false">B975/B955-1</f>
        <v>0.0693771049365668</v>
      </c>
      <c r="S975" s="17" t="n">
        <f aca="false">STDEV(C956:C975)*SQRT(252)*100</f>
        <v>30.0391874746391</v>
      </c>
      <c r="T975" s="19" t="n">
        <f aca="false">B954/B724-1</f>
        <v>0.197338918486586</v>
      </c>
      <c r="U975" s="19" t="n">
        <f aca="false">B975/MAX(B724:B975)-1</f>
        <v>-0.0397994388155654</v>
      </c>
      <c r="V975" s="17" t="n">
        <f aca="false">(B975-AVERAGE(B956:B975))/STDEV(B956:B975)</f>
        <v>1.62400012613716</v>
      </c>
    </row>
    <row r="976" customFormat="false" ht="15" hidden="false" customHeight="false" outlineLevel="0" collapsed="false">
      <c r="A976" s="17" t="s">
        <v>1540</v>
      </c>
      <c r="B976" s="17" t="n">
        <v>9298.54</v>
      </c>
      <c r="C976" s="19" t="n">
        <f aca="false">B976/B975-1</f>
        <v>-0.00357803798356815</v>
      </c>
      <c r="D976" s="17" t="n">
        <f aca="false">AVERAGE(B927:B976)</f>
        <v>8321.2792</v>
      </c>
      <c r="E976" s="17" t="n">
        <f aca="false">AVERAGE(B777:B976)</f>
        <v>8339.4817</v>
      </c>
      <c r="F976" s="17" t="n">
        <f aca="false">B976*2/13+F975*11/13</f>
        <v>9107.1347514035</v>
      </c>
      <c r="G976" s="17" t="n">
        <f aca="false">B976*2/27+G975*25/27</f>
        <v>8883.2863478785</v>
      </c>
      <c r="H976" s="17" t="n">
        <f aca="false">F976-G976</f>
        <v>223.848403525</v>
      </c>
      <c r="I976" s="17" t="n">
        <f aca="false">H976*2/10+I975*8/10</f>
        <v>220.651172306014</v>
      </c>
      <c r="J976" s="17" t="n">
        <f aca="false">H976-I976</f>
        <v>3.19723121898633</v>
      </c>
      <c r="K976" s="17" t="n">
        <f aca="false">MAX(B976-B975,0)</f>
        <v>0</v>
      </c>
      <c r="L976" s="17" t="n">
        <f aca="false">MAX(B975-B976,0)</f>
        <v>33.3899999999994</v>
      </c>
      <c r="M976" s="17" t="n">
        <f aca="false">(M975*13+K976)/14</f>
        <v>86.5284475577038</v>
      </c>
      <c r="N976" s="17" t="n">
        <f aca="false">(N975*13+L976)/14</f>
        <v>53.5976294123342</v>
      </c>
      <c r="O976" s="17" t="n">
        <f aca="false">IF(N976=0,100,100-100/(1+M976/N976))</f>
        <v>61.7504246380961</v>
      </c>
      <c r="P976" s="17" t="n">
        <f aca="false">AVERAGE(B957:B976)+2*STDEV(B957:B976)</f>
        <v>9422.67900792034</v>
      </c>
      <c r="Q976" s="17" t="n">
        <f aca="false">AVERAGE(B957:B976)-2*STDEV(B957:B976)</f>
        <v>8544.34599207966</v>
      </c>
      <c r="R976" s="19" t="n">
        <f aca="false">B976/B956-1</f>
        <v>0.106573842675235</v>
      </c>
      <c r="S976" s="17" t="n">
        <f aca="false">STDEV(C957:C976)*SQRT(252)*100</f>
        <v>26.1336000772478</v>
      </c>
      <c r="T976" s="19" t="n">
        <f aca="false">B955/B725-1</f>
        <v>0.171183274236279</v>
      </c>
      <c r="U976" s="19" t="n">
        <f aca="false">B976/MAX(B725:B976)-1</f>
        <v>-0.0432350728953267</v>
      </c>
      <c r="V976" s="17" t="n">
        <f aca="false">(B976-AVERAGE(B957:B976))/STDEV(B957:B976)</f>
        <v>1.43466086014529</v>
      </c>
    </row>
    <row r="977" customFormat="false" ht="15" hidden="false" customHeight="false" outlineLevel="0" collapsed="false">
      <c r="A977" s="17" t="s">
        <v>1541</v>
      </c>
      <c r="B977" s="17" t="n">
        <v>9485.02</v>
      </c>
      <c r="C977" s="19" t="n">
        <f aca="false">B977/B976-1</f>
        <v>0.020054761285105</v>
      </c>
      <c r="D977" s="17" t="n">
        <f aca="false">AVERAGE(B928:B977)</f>
        <v>8343.5342</v>
      </c>
      <c r="E977" s="17" t="n">
        <f aca="false">AVERAGE(B778:B977)</f>
        <v>8349.82835</v>
      </c>
      <c r="F977" s="17" t="n">
        <f aca="false">B977*2/13+F976*11/13</f>
        <v>9165.27094349527</v>
      </c>
      <c r="G977" s="17" t="n">
        <f aca="false">B977*2/27+G976*25/27</f>
        <v>8927.85921099861</v>
      </c>
      <c r="H977" s="17" t="n">
        <f aca="false">F977-G977</f>
        <v>237.411732496659</v>
      </c>
      <c r="I977" s="17" t="n">
        <f aca="false">H977*2/10+I976*8/10</f>
        <v>224.003284344143</v>
      </c>
      <c r="J977" s="17" t="n">
        <f aca="false">H977-I977</f>
        <v>13.4084481525161</v>
      </c>
      <c r="K977" s="17" t="n">
        <f aca="false">MAX(B977-B976,0)</f>
        <v>186.48</v>
      </c>
      <c r="L977" s="17" t="n">
        <f aca="false">MAX(B976-B977,0)</f>
        <v>0</v>
      </c>
      <c r="M977" s="17" t="n">
        <f aca="false">(M976*13+K977)/14</f>
        <v>93.6678441607249</v>
      </c>
      <c r="N977" s="17" t="n">
        <f aca="false">(N976*13+L977)/14</f>
        <v>49.7692273114531</v>
      </c>
      <c r="O977" s="17" t="n">
        <f aca="false">IF(N977=0,100,100-100/(1+M977/N977))</f>
        <v>65.302395816756</v>
      </c>
      <c r="P977" s="17" t="n">
        <f aca="false">AVERAGE(B958:B977)+2*STDEV(B958:B977)</f>
        <v>9490.71380837641</v>
      </c>
      <c r="Q977" s="17" t="n">
        <f aca="false">AVERAGE(B958:B977)-2*STDEV(B958:B977)</f>
        <v>8558.34919162359</v>
      </c>
      <c r="R977" s="19" t="n">
        <f aca="false">B977/B957-1</f>
        <v>0.0946813716438306</v>
      </c>
      <c r="S977" s="17" t="n">
        <f aca="false">STDEV(C958:C977)*SQRT(252)*100</f>
        <v>24.9441504988481</v>
      </c>
      <c r="T977" s="19" t="n">
        <f aca="false">B956/B726-1</f>
        <v>0.13237906062264</v>
      </c>
      <c r="U977" s="19" t="n">
        <f aca="false">B977/MAX(B726:B977)-1</f>
        <v>-0.0240473806762817</v>
      </c>
      <c r="V977" s="17" t="n">
        <f aca="false">(B977-AVERAGE(B958:B977))/STDEV(B958:B977)</f>
        <v>1.97557261065423</v>
      </c>
    </row>
    <row r="978" customFormat="false" ht="15" hidden="false" customHeight="false" outlineLevel="0" collapsed="false">
      <c r="A978" s="17" t="s">
        <v>1542</v>
      </c>
      <c r="B978" s="17" t="n">
        <v>9377.99</v>
      </c>
      <c r="C978" s="19" t="n">
        <f aca="false">B978/B977-1</f>
        <v>-0.0112841090477406</v>
      </c>
      <c r="D978" s="17" t="n">
        <f aca="false">AVERAGE(B929:B978)</f>
        <v>8370.9716</v>
      </c>
      <c r="E978" s="17" t="n">
        <f aca="false">AVERAGE(B779:B978)</f>
        <v>8359.1117</v>
      </c>
      <c r="F978" s="17" t="n">
        <f aca="false">B978*2/13+F977*11/13</f>
        <v>9197.9969521883</v>
      </c>
      <c r="G978" s="17" t="n">
        <f aca="false">B978*2/27+G977*25/27</f>
        <v>8961.20223240612</v>
      </c>
      <c r="H978" s="17" t="n">
        <f aca="false">F978-G978</f>
        <v>236.794719782183</v>
      </c>
      <c r="I978" s="17" t="n">
        <f aca="false">H978*2/10+I977*8/10</f>
        <v>226.561571431751</v>
      </c>
      <c r="J978" s="17" t="n">
        <f aca="false">H978-I978</f>
        <v>10.2331483504321</v>
      </c>
      <c r="K978" s="17" t="n">
        <f aca="false">MAX(B978-B977,0)</f>
        <v>0</v>
      </c>
      <c r="L978" s="17" t="n">
        <f aca="false">MAX(B977-B978,0)</f>
        <v>107.030000000001</v>
      </c>
      <c r="M978" s="17" t="n">
        <f aca="false">(M977*13+K978)/14</f>
        <v>86.9772838635303</v>
      </c>
      <c r="N978" s="17" t="n">
        <f aca="false">(N977*13+L978)/14</f>
        <v>53.8592825034923</v>
      </c>
      <c r="O978" s="17" t="n">
        <f aca="false">IF(N978=0,100,100-100/(1+M978/N978))</f>
        <v>61.7576003925472</v>
      </c>
      <c r="P978" s="17" t="n">
        <f aca="false">AVERAGE(B959:B978)+2*STDEV(B959:B978)</f>
        <v>9516.36256843842</v>
      </c>
      <c r="Q978" s="17" t="n">
        <f aca="false">AVERAGE(B959:B978)-2*STDEV(B959:B978)</f>
        <v>8606.34943156158</v>
      </c>
      <c r="R978" s="19" t="n">
        <f aca="false">B978/B958-1</f>
        <v>0.085227101776312</v>
      </c>
      <c r="S978" s="17" t="n">
        <f aca="false">STDEV(C959:C978)*SQRT(252)*100</f>
        <v>25.4614854286083</v>
      </c>
      <c r="T978" s="19" t="n">
        <f aca="false">B957/B727-1</f>
        <v>0.185649014153118</v>
      </c>
      <c r="U978" s="19" t="n">
        <f aca="false">B978/MAX(B727:B978)-1</f>
        <v>-0.0350601364581586</v>
      </c>
      <c r="V978" s="17" t="n">
        <f aca="false">(B978-AVERAGE(B959:B978))/STDEV(B959:B978)</f>
        <v>1.39177771031608</v>
      </c>
    </row>
    <row r="979" customFormat="false" ht="15" hidden="false" customHeight="false" outlineLevel="0" collapsed="false">
      <c r="A979" s="17" t="s">
        <v>1543</v>
      </c>
      <c r="B979" s="17" t="n">
        <v>9413.99</v>
      </c>
      <c r="C979" s="19" t="n">
        <f aca="false">B979/B978-1</f>
        <v>0.00383877568647439</v>
      </c>
      <c r="D979" s="17" t="n">
        <f aca="false">AVERAGE(B930:B979)</f>
        <v>8413.9784</v>
      </c>
      <c r="E979" s="17" t="n">
        <f aca="false">AVERAGE(B780:B979)</f>
        <v>8368.42215</v>
      </c>
      <c r="F979" s="17" t="n">
        <f aca="false">B979*2/13+F978*11/13</f>
        <v>9231.22665185164</v>
      </c>
      <c r="G979" s="17" t="n">
        <f aca="false">B979*2/27+G978*25/27</f>
        <v>8994.7420670427</v>
      </c>
      <c r="H979" s="17" t="n">
        <f aca="false">F979-G979</f>
        <v>236.484584808939</v>
      </c>
      <c r="I979" s="17" t="n">
        <f aca="false">H979*2/10+I978*8/10</f>
        <v>228.546174107189</v>
      </c>
      <c r="J979" s="17" t="n">
        <f aca="false">H979-I979</f>
        <v>7.93841070175034</v>
      </c>
      <c r="K979" s="17" t="n">
        <f aca="false">MAX(B979-B978,0)</f>
        <v>36</v>
      </c>
      <c r="L979" s="17" t="n">
        <f aca="false">MAX(B978-B979,0)</f>
        <v>0</v>
      </c>
      <c r="M979" s="17" t="n">
        <f aca="false">(M978*13+K979)/14</f>
        <v>83.3360493018495</v>
      </c>
      <c r="N979" s="17" t="n">
        <f aca="false">(N978*13+L979)/14</f>
        <v>50.0121908960999</v>
      </c>
      <c r="O979" s="17" t="n">
        <f aca="false">IF(N979=0,100,100-100/(1+M979/N979))</f>
        <v>62.4950499370227</v>
      </c>
      <c r="P979" s="17" t="n">
        <f aca="false">AVERAGE(B960:B979)+2*STDEV(B960:B979)</f>
        <v>9554.43311084775</v>
      </c>
      <c r="Q979" s="17" t="n">
        <f aca="false">AVERAGE(B960:B979)-2*STDEV(B960:B979)</f>
        <v>8631.01788915225</v>
      </c>
      <c r="R979" s="19" t="n">
        <f aca="false">B979/B959-1</f>
        <v>0.0714030455466277</v>
      </c>
      <c r="S979" s="17" t="n">
        <f aca="false">STDEV(C960:C979)*SQRT(252)*100</f>
        <v>25.0246795200919</v>
      </c>
      <c r="T979" s="19" t="n">
        <f aca="false">B958/B728-1</f>
        <v>0.183611470272403</v>
      </c>
      <c r="U979" s="19" t="n">
        <f aca="false">B979/MAX(B728:B979)-1</f>
        <v>-0.0313559487710843</v>
      </c>
      <c r="V979" s="17" t="n">
        <f aca="false">(B979-AVERAGE(B960:B979))/STDEV(B960:B979)</f>
        <v>1.39163614569888</v>
      </c>
    </row>
    <row r="980" customFormat="false" ht="15" hidden="false" customHeight="false" outlineLevel="0" collapsed="false">
      <c r="A980" s="17" t="s">
        <v>1544</v>
      </c>
      <c r="B980" s="17" t="n">
        <v>9389.98</v>
      </c>
      <c r="C980" s="19" t="n">
        <f aca="false">B980/B979-1</f>
        <v>-0.00255045947573773</v>
      </c>
      <c r="D980" s="17" t="n">
        <f aca="false">AVERAGE(B931:B980)</f>
        <v>8441.8728</v>
      </c>
      <c r="E980" s="17" t="n">
        <f aca="false">AVERAGE(B781:B980)</f>
        <v>8376.7479</v>
      </c>
      <c r="F980" s="17" t="n">
        <f aca="false">B980*2/13+F979*11/13</f>
        <v>9255.65024387447</v>
      </c>
      <c r="G980" s="17" t="n">
        <f aca="false">B980*2/27+G979*25/27</f>
        <v>9024.01895096547</v>
      </c>
      <c r="H980" s="17" t="n">
        <f aca="false">F980-G980</f>
        <v>231.631292909</v>
      </c>
      <c r="I980" s="17" t="n">
        <f aca="false">H980*2/10+I979*8/10</f>
        <v>229.163197867551</v>
      </c>
      <c r="J980" s="17" t="n">
        <f aca="false">H980-I980</f>
        <v>2.46809504144909</v>
      </c>
      <c r="K980" s="17" t="n">
        <f aca="false">MAX(B980-B979,0)</f>
        <v>0</v>
      </c>
      <c r="L980" s="17" t="n">
        <f aca="false">MAX(B979-B980,0)</f>
        <v>24.0100000000002</v>
      </c>
      <c r="M980" s="17" t="n">
        <f aca="false">(M979*13+K980)/14</f>
        <v>77.3834743517174</v>
      </c>
      <c r="N980" s="17" t="n">
        <f aca="false">(N979*13+L980)/14</f>
        <v>48.1548915463785</v>
      </c>
      <c r="O980" s="17" t="n">
        <f aca="false">IF(N980=0,100,100-100/(1+M980/N980))</f>
        <v>61.6412949126105</v>
      </c>
      <c r="P980" s="17" t="n">
        <f aca="false">AVERAGE(B961:B980)+2*STDEV(B961:B980)</f>
        <v>9583.88053360422</v>
      </c>
      <c r="Q980" s="17" t="n">
        <f aca="false">AVERAGE(B961:B980)-2*STDEV(B961:B980)</f>
        <v>8656.80246639578</v>
      </c>
      <c r="R980" s="19" t="n">
        <f aca="false">B980/B960-1</f>
        <v>0.0624961811158158</v>
      </c>
      <c r="S980" s="17" t="n">
        <f aca="false">STDEV(C961:C980)*SQRT(252)*100</f>
        <v>25.1013710150489</v>
      </c>
      <c r="T980" s="19" t="n">
        <f aca="false">B959/B729-1</f>
        <v>0.207219188885439</v>
      </c>
      <c r="U980" s="19" t="n">
        <f aca="false">B980/MAX(B729:B980)-1</f>
        <v>-0.033826436170158</v>
      </c>
      <c r="V980" s="17" t="n">
        <f aca="false">(B980-AVERAGE(B961:B980))/STDEV(B961:B980)</f>
        <v>1.16339069831267</v>
      </c>
    </row>
    <row r="981" customFormat="false" ht="15" hidden="false" customHeight="false" outlineLevel="0" collapsed="false">
      <c r="A981" s="17" t="s">
        <v>1545</v>
      </c>
      <c r="B981" s="17" t="n">
        <v>9442.05</v>
      </c>
      <c r="C981" s="19" t="n">
        <f aca="false">B981/B980-1</f>
        <v>0.00554527272688543</v>
      </c>
      <c r="D981" s="17" t="n">
        <f aca="false">AVERAGE(B932:B981)</f>
        <v>8490.3062</v>
      </c>
      <c r="E981" s="17" t="n">
        <f aca="false">AVERAGE(B782:B981)</f>
        <v>8385.7268</v>
      </c>
      <c r="F981" s="17" t="n">
        <f aca="false">B981*2/13+F980*11/13</f>
        <v>9284.32712943224</v>
      </c>
      <c r="G981" s="17" t="n">
        <f aca="false">B981*2/27+G980*25/27</f>
        <v>9054.98421385691</v>
      </c>
      <c r="H981" s="17" t="n">
        <f aca="false">F981-G981</f>
        <v>229.342915575327</v>
      </c>
      <c r="I981" s="17" t="n">
        <f aca="false">H981*2/10+I980*8/10</f>
        <v>229.199141409106</v>
      </c>
      <c r="J981" s="17" t="n">
        <f aca="false">H981-I981</f>
        <v>0.14377416622122</v>
      </c>
      <c r="K981" s="17" t="n">
        <f aca="false">MAX(B981-B980,0)</f>
        <v>52.0699999999997</v>
      </c>
      <c r="L981" s="17" t="n">
        <f aca="false">MAX(B980-B981,0)</f>
        <v>0</v>
      </c>
      <c r="M981" s="17" t="n">
        <f aca="false">(M980*13+K981)/14</f>
        <v>75.5753690408805</v>
      </c>
      <c r="N981" s="17" t="n">
        <f aca="false">(N980*13+L981)/14</f>
        <v>44.7152564359229</v>
      </c>
      <c r="O981" s="17" t="n">
        <f aca="false">IF(N981=0,100,100-100/(1+M981/N981))</f>
        <v>62.8273140498835</v>
      </c>
      <c r="P981" s="17" t="n">
        <f aca="false">AVERAGE(B962:B981)+2*STDEV(B962:B981)</f>
        <v>9593.57935423114</v>
      </c>
      <c r="Q981" s="17" t="n">
        <f aca="false">AVERAGE(B962:B981)-2*STDEV(B962:B981)</f>
        <v>8723.54864576886</v>
      </c>
      <c r="R981" s="19" t="n">
        <f aca="false">B981/B961-1</f>
        <v>0.0880946344611413</v>
      </c>
      <c r="S981" s="17" t="n">
        <f aca="false">STDEV(C962:C981)*SQRT(252)*100</f>
        <v>23.8148332128964</v>
      </c>
      <c r="T981" s="19" t="n">
        <f aca="false">B960/B730-1</f>
        <v>0.224585207417076</v>
      </c>
      <c r="U981" s="19" t="n">
        <f aca="false">B981/MAX(B730:B981)-1</f>
        <v>-0.0284687402572147</v>
      </c>
      <c r="V981" s="17" t="n">
        <f aca="false">(B981-AVERAGE(B962:B981))/STDEV(B962:B981)</f>
        <v>1.3033379040197</v>
      </c>
    </row>
    <row r="982" customFormat="false" ht="15" hidden="false" customHeight="false" outlineLevel="0" collapsed="false">
      <c r="A982" s="17" t="s">
        <v>1546</v>
      </c>
      <c r="B982" s="17" t="n">
        <v>9416.71</v>
      </c>
      <c r="C982" s="19" t="n">
        <f aca="false">B982/B981-1</f>
        <v>-0.00268373923035781</v>
      </c>
      <c r="D982" s="17" t="n">
        <f aca="false">AVERAGE(B933:B982)</f>
        <v>8529.1614</v>
      </c>
      <c r="E982" s="17" t="n">
        <f aca="false">AVERAGE(B783:B982)</f>
        <v>8395.00195</v>
      </c>
      <c r="F982" s="17" t="n">
        <f aca="false">B982*2/13+F981*11/13</f>
        <v>9304.6937249042</v>
      </c>
      <c r="G982" s="17" t="n">
        <f aca="false">B982*2/27+G981*25/27</f>
        <v>9081.77871653418</v>
      </c>
      <c r="H982" s="17" t="n">
        <f aca="false">F982-G982</f>
        <v>222.915008370024</v>
      </c>
      <c r="I982" s="17" t="n">
        <f aca="false">H982*2/10+I981*8/10</f>
        <v>227.94231480129</v>
      </c>
      <c r="J982" s="17" t="n">
        <f aca="false">H982-I982</f>
        <v>-5.02730643126557</v>
      </c>
      <c r="K982" s="17" t="n">
        <f aca="false">MAX(B982-B981,0)</f>
        <v>0</v>
      </c>
      <c r="L982" s="17" t="n">
        <f aca="false">MAX(B981-B982,0)</f>
        <v>25.3400000000001</v>
      </c>
      <c r="M982" s="17" t="n">
        <f aca="false">(M981*13+K982)/14</f>
        <v>70.1771283951033</v>
      </c>
      <c r="N982" s="17" t="n">
        <f aca="false">(N981*13+L982)/14</f>
        <v>43.3313095476427</v>
      </c>
      <c r="O982" s="17" t="n">
        <f aca="false">IF(N982=0,100,100-100/(1+M982/N982))</f>
        <v>61.8254727727826</v>
      </c>
      <c r="P982" s="17" t="n">
        <f aca="false">AVERAGE(B963:B982)+2*STDEV(B963:B982)</f>
        <v>9621.59891317071</v>
      </c>
      <c r="Q982" s="17" t="n">
        <f aca="false">AVERAGE(B963:B982)-2*STDEV(B963:B982)</f>
        <v>8738.9240868293</v>
      </c>
      <c r="R982" s="19" t="n">
        <f aca="false">B982/B962-1</f>
        <v>0.048309205633903</v>
      </c>
      <c r="S982" s="17" t="n">
        <f aca="false">STDEV(C963:C982)*SQRT(252)*100</f>
        <v>20.9314640333867</v>
      </c>
      <c r="T982" s="19" t="n">
        <f aca="false">B961/B731-1</f>
        <v>0.197670245949154</v>
      </c>
      <c r="U982" s="19" t="n">
        <f aca="false">B982/MAX(B731:B982)-1</f>
        <v>-0.0310760768125054</v>
      </c>
      <c r="V982" s="17" t="n">
        <f aca="false">(B982-AVERAGE(B963:B982))/STDEV(B963:B982)</f>
        <v>1.0715089767771</v>
      </c>
    </row>
    <row r="983" customFormat="false" ht="15" hidden="false" customHeight="false" outlineLevel="0" collapsed="false">
      <c r="A983" s="17" t="s">
        <v>1547</v>
      </c>
      <c r="B983" s="17" t="n">
        <v>9555.53</v>
      </c>
      <c r="C983" s="19" t="n">
        <f aca="false">B983/B982-1</f>
        <v>0.0147418790639196</v>
      </c>
      <c r="D983" s="17" t="n">
        <f aca="false">AVERAGE(B934:B983)</f>
        <v>8576.7684</v>
      </c>
      <c r="E983" s="17" t="n">
        <f aca="false">AVERAGE(B784:B983)</f>
        <v>8404.13885</v>
      </c>
      <c r="F983" s="17" t="n">
        <f aca="false">B983*2/13+F982*11/13</f>
        <v>9343.28392107279</v>
      </c>
      <c r="G983" s="17" t="n">
        <f aca="false">B983*2/27+G982*25/27</f>
        <v>9116.87140419831</v>
      </c>
      <c r="H983" s="17" t="n">
        <f aca="false">F983-G983</f>
        <v>226.412516874472</v>
      </c>
      <c r="I983" s="17" t="n">
        <f aca="false">H983*2/10+I982*8/10</f>
        <v>227.636355215926</v>
      </c>
      <c r="J983" s="17" t="n">
        <f aca="false">H983-I983</f>
        <v>-1.22383834145407</v>
      </c>
      <c r="K983" s="17" t="n">
        <f aca="false">MAX(B983-B982,0)</f>
        <v>138.820000000002</v>
      </c>
      <c r="L983" s="17" t="n">
        <f aca="false">MAX(B982-B983,0)</f>
        <v>0</v>
      </c>
      <c r="M983" s="17" t="n">
        <f aca="false">(M982*13+K983)/14</f>
        <v>75.080190652596</v>
      </c>
      <c r="N983" s="17" t="n">
        <f aca="false">(N982*13+L983)/14</f>
        <v>40.2362160085254</v>
      </c>
      <c r="O983" s="17" t="n">
        <f aca="false">IF(N983=0,100,100-100/(1+M983/N983))</f>
        <v>65.1079866486241</v>
      </c>
      <c r="P983" s="17" t="n">
        <f aca="false">AVERAGE(B964:B983)+2*STDEV(B964:B983)</f>
        <v>9671.02605409853</v>
      </c>
      <c r="Q983" s="17" t="n">
        <f aca="false">AVERAGE(B964:B983)-2*STDEV(B964:B983)</f>
        <v>8744.99894590148</v>
      </c>
      <c r="R983" s="19" t="n">
        <f aca="false">B983/B963-1</f>
        <v>0.0616653945165331</v>
      </c>
      <c r="S983" s="17" t="n">
        <f aca="false">STDEV(C964:C983)*SQRT(252)*100</f>
        <v>21.3792572277946</v>
      </c>
      <c r="T983" s="19" t="n">
        <f aca="false">B962/B732-1</f>
        <v>0.260214703786217</v>
      </c>
      <c r="U983" s="19" t="n">
        <f aca="false">B983/MAX(B732:B983)-1</f>
        <v>-0.0167923175147369</v>
      </c>
      <c r="V983" s="17" t="n">
        <f aca="false">(B983-AVERAGE(B964:B983))/STDEV(B964:B983)</f>
        <v>1.50111156325265</v>
      </c>
    </row>
    <row r="984" customFormat="false" ht="15" hidden="false" customHeight="false" outlineLevel="0" collapsed="false">
      <c r="A984" s="17" t="s">
        <v>1548</v>
      </c>
      <c r="B984" s="17" t="n">
        <v>9598.89</v>
      </c>
      <c r="C984" s="19" t="n">
        <f aca="false">B984/B983-1</f>
        <v>0.00453768655427789</v>
      </c>
      <c r="D984" s="17" t="n">
        <f aca="false">AVERAGE(B935:B984)</f>
        <v>8622.9758</v>
      </c>
      <c r="E984" s="17" t="n">
        <f aca="false">AVERAGE(B785:B984)</f>
        <v>8414.68265</v>
      </c>
      <c r="F984" s="17" t="n">
        <f aca="false">B984*2/13+F983*11/13</f>
        <v>9382.60793321543</v>
      </c>
      <c r="G984" s="17" t="n">
        <f aca="false">B984*2/27+G983*25/27</f>
        <v>9152.57648536881</v>
      </c>
      <c r="H984" s="17" t="n">
        <f aca="false">F984-G984</f>
        <v>230.031447846626</v>
      </c>
      <c r="I984" s="17" t="n">
        <f aca="false">H984*2/10+I983*8/10</f>
        <v>228.115373742066</v>
      </c>
      <c r="J984" s="17" t="n">
        <f aca="false">H984-I984</f>
        <v>1.91607410455993</v>
      </c>
      <c r="K984" s="17" t="n">
        <f aca="false">MAX(B984-B983,0)</f>
        <v>43.3599999999988</v>
      </c>
      <c r="L984" s="17" t="n">
        <f aca="false">MAX(B983-B984,0)</f>
        <v>0</v>
      </c>
      <c r="M984" s="17" t="n">
        <f aca="false">(M983*13+K984)/14</f>
        <v>72.8144627488391</v>
      </c>
      <c r="N984" s="17" t="n">
        <f aca="false">(N983*13+L984)/14</f>
        <v>37.362200579345</v>
      </c>
      <c r="O984" s="17" t="n">
        <f aca="false">IF(N984=0,100,100-100/(1+M984/N984))</f>
        <v>66.0888254819862</v>
      </c>
      <c r="P984" s="17" t="n">
        <f aca="false">AVERAGE(B965:B984)+2*STDEV(B965:B984)</f>
        <v>9685.48693039638</v>
      </c>
      <c r="Q984" s="17" t="n">
        <f aca="false">AVERAGE(B965:B984)-2*STDEV(B965:B984)</f>
        <v>8818.60906960362</v>
      </c>
      <c r="R984" s="19" t="n">
        <f aca="false">B984/B964-1</f>
        <v>0.101019937647536</v>
      </c>
      <c r="S984" s="17" t="n">
        <f aca="false">STDEV(C965:C984)*SQRT(252)*100</f>
        <v>17.0699788151091</v>
      </c>
      <c r="T984" s="19" t="n">
        <f aca="false">B963/B733-1</f>
        <v>0.289837231764885</v>
      </c>
      <c r="U984" s="19" t="n">
        <f aca="false">B984/MAX(B733:B984)-1</f>
        <v>-0.0123308292338609</v>
      </c>
      <c r="V984" s="17" t="n">
        <f aca="false">(B984-AVERAGE(B965:B984))/STDEV(B965:B984)</f>
        <v>1.60041923176035</v>
      </c>
    </row>
    <row r="985" customFormat="false" ht="15" hidden="false" customHeight="false" outlineLevel="0" collapsed="false">
      <c r="A985" s="17" t="s">
        <v>1549</v>
      </c>
      <c r="B985" s="17" t="n">
        <v>9657.31</v>
      </c>
      <c r="C985" s="19" t="n">
        <f aca="false">B985/B984-1</f>
        <v>0.00608612037433498</v>
      </c>
      <c r="D985" s="17" t="n">
        <f aca="false">AVERAGE(B936:B985)</f>
        <v>8676.2362</v>
      </c>
      <c r="E985" s="17" t="n">
        <f aca="false">AVERAGE(B786:B985)</f>
        <v>8425.54475</v>
      </c>
      <c r="F985" s="17" t="n">
        <f aca="false">B985*2/13+F984*11/13</f>
        <v>9424.86978964383</v>
      </c>
      <c r="G985" s="17" t="n">
        <f aca="false">B985*2/27+G984*25/27</f>
        <v>9189.96415311927</v>
      </c>
      <c r="H985" s="17" t="n">
        <f aca="false">F985-G985</f>
        <v>234.905636524562</v>
      </c>
      <c r="I985" s="17" t="n">
        <f aca="false">H985*2/10+I984*8/10</f>
        <v>229.473426298565</v>
      </c>
      <c r="J985" s="17" t="n">
        <f aca="false">H985-I985</f>
        <v>5.43221022599619</v>
      </c>
      <c r="K985" s="17" t="n">
        <f aca="false">MAX(B985-B984,0)</f>
        <v>58.4200000000001</v>
      </c>
      <c r="L985" s="17" t="n">
        <f aca="false">MAX(B984-B985,0)</f>
        <v>0</v>
      </c>
      <c r="M985" s="17" t="n">
        <f aca="false">(M984*13+K985)/14</f>
        <v>71.7862868382077</v>
      </c>
      <c r="N985" s="17" t="n">
        <f aca="false">(N984*13+L985)/14</f>
        <v>34.6934719665346</v>
      </c>
      <c r="O985" s="17" t="n">
        <f aca="false">IF(N985=0,100,100-100/(1+M985/N985))</f>
        <v>67.4177774668386</v>
      </c>
      <c r="P985" s="17" t="n">
        <f aca="false">AVERAGE(B966:B985)+2*STDEV(B966:B985)</f>
        <v>9715.74704462876</v>
      </c>
      <c r="Q985" s="17" t="n">
        <f aca="false">AVERAGE(B966:B985)-2*STDEV(B966:B985)</f>
        <v>8870.66895537124</v>
      </c>
      <c r="R985" s="19" t="n">
        <f aca="false">B985/B965-1</f>
        <v>0.0931842596481138</v>
      </c>
      <c r="S985" s="17" t="n">
        <f aca="false">STDEV(C966:C985)*SQRT(252)*100</f>
        <v>16.7878418258038</v>
      </c>
      <c r="T985" s="19" t="n">
        <f aca="false">B964/B734-1</f>
        <v>0.216476087487355</v>
      </c>
      <c r="U985" s="19" t="n">
        <f aca="false">B985/MAX(B734:B985)-1</f>
        <v>-0.00631975577055854</v>
      </c>
      <c r="V985" s="17" t="n">
        <f aca="false">(B985-AVERAGE(B966:B985))/STDEV(B966:B985)</f>
        <v>1.72340049814754</v>
      </c>
    </row>
    <row r="986" customFormat="false" ht="15" hidden="false" customHeight="false" outlineLevel="0" collapsed="false">
      <c r="A986" s="17" t="s">
        <v>1550</v>
      </c>
      <c r="B986" s="17" t="n">
        <v>9704.69</v>
      </c>
      <c r="C986" s="19" t="n">
        <f aca="false">B986/B985-1</f>
        <v>0.00490612810399593</v>
      </c>
      <c r="D986" s="17" t="n">
        <f aca="false">AVERAGE(B937:B986)</f>
        <v>8730.1916</v>
      </c>
      <c r="E986" s="17" t="n">
        <f aca="false">AVERAGE(B787:B986)</f>
        <v>8436.04765</v>
      </c>
      <c r="F986" s="17" t="n">
        <f aca="false">B986*2/13+F985*11/13</f>
        <v>9467.91905277555</v>
      </c>
      <c r="G986" s="17" t="n">
        <f aca="false">B986*2/27+G985*25/27</f>
        <v>9228.09199362895</v>
      </c>
      <c r="H986" s="17" t="n">
        <f aca="false">F986-G986</f>
        <v>239.827059146597</v>
      </c>
      <c r="I986" s="17" t="n">
        <f aca="false">H986*2/10+I985*8/10</f>
        <v>231.544152868172</v>
      </c>
      <c r="J986" s="17" t="n">
        <f aca="false">H986-I986</f>
        <v>8.28290627842546</v>
      </c>
      <c r="K986" s="17" t="n">
        <f aca="false">MAX(B986-B985,0)</f>
        <v>47.380000000001</v>
      </c>
      <c r="L986" s="17" t="n">
        <f aca="false">MAX(B985-B986,0)</f>
        <v>0</v>
      </c>
      <c r="M986" s="17" t="n">
        <f aca="false">(M985*13+K986)/14</f>
        <v>70.0429806354787</v>
      </c>
      <c r="N986" s="17" t="n">
        <f aca="false">(N985*13+L986)/14</f>
        <v>32.2153668260679</v>
      </c>
      <c r="O986" s="17" t="n">
        <f aca="false">IF(N986=0,100,100-100/(1+M986/N986))</f>
        <v>68.4961006844138</v>
      </c>
      <c r="P986" s="17" t="n">
        <f aca="false">AVERAGE(B967:B986)+2*STDEV(B967:B986)</f>
        <v>9756.41109902157</v>
      </c>
      <c r="Q986" s="17" t="n">
        <f aca="false">AVERAGE(B967:B986)-2*STDEV(B967:B986)</f>
        <v>8907.41190097843</v>
      </c>
      <c r="R986" s="19" t="n">
        <f aca="false">B986/B966-1</f>
        <v>0.0866759530693277</v>
      </c>
      <c r="S986" s="17" t="n">
        <f aca="false">STDEV(C967:C986)*SQRT(252)*100</f>
        <v>16.6182768364645</v>
      </c>
      <c r="T986" s="19" t="n">
        <f aca="false">B965/B735-1</f>
        <v>0.223408439391212</v>
      </c>
      <c r="U986" s="19" t="n">
        <f aca="false">B986/MAX(B735:B986)-1</f>
        <v>-0.00144463319795884</v>
      </c>
      <c r="V986" s="17" t="n">
        <f aca="false">(B986-AVERAGE(B967:B986))/STDEV(B967:B986)</f>
        <v>1.75631968020332</v>
      </c>
    </row>
    <row r="987" customFormat="false" ht="15" hidden="false" customHeight="false" outlineLevel="0" collapsed="false">
      <c r="A987" s="17" t="s">
        <v>1551</v>
      </c>
      <c r="B987" s="17" t="n">
        <v>9629.66</v>
      </c>
      <c r="C987" s="19" t="n">
        <f aca="false">B987/B986-1</f>
        <v>-0.00773131341650279</v>
      </c>
      <c r="D987" s="17" t="n">
        <f aca="false">AVERAGE(B938:B987)</f>
        <v>8771.7082</v>
      </c>
      <c r="E987" s="17" t="n">
        <f aca="false">AVERAGE(B788:B987)</f>
        <v>8445.59935</v>
      </c>
      <c r="F987" s="17" t="n">
        <f aca="false">B987*2/13+F986*11/13</f>
        <v>9492.80227542546</v>
      </c>
      <c r="G987" s="17" t="n">
        <f aca="false">B987*2/27+G986*25/27</f>
        <v>9257.83777187866</v>
      </c>
      <c r="H987" s="17" t="n">
        <f aca="false">F987-G987</f>
        <v>234.964503546807</v>
      </c>
      <c r="I987" s="17" t="n">
        <f aca="false">H987*2/10+I986*8/10</f>
        <v>232.228223003899</v>
      </c>
      <c r="J987" s="17" t="n">
        <f aca="false">H987-I987</f>
        <v>2.73628054290867</v>
      </c>
      <c r="K987" s="17" t="n">
        <f aca="false">MAX(B987-B986,0)</f>
        <v>0</v>
      </c>
      <c r="L987" s="17" t="n">
        <f aca="false">MAX(B986-B987,0)</f>
        <v>75.0300000000007</v>
      </c>
      <c r="M987" s="17" t="n">
        <f aca="false">(M986*13+K987)/14</f>
        <v>65.0399105900873</v>
      </c>
      <c r="N987" s="17" t="n">
        <f aca="false">(N986*13+L987)/14</f>
        <v>35.2735549099202</v>
      </c>
      <c r="O987" s="17" t="n">
        <f aca="false">IF(N987=0,100,100-100/(1+M987/N987))</f>
        <v>64.836669998289</v>
      </c>
      <c r="P987" s="17" t="n">
        <f aca="false">AVERAGE(B968:B987)+2*STDEV(B968:B987)</f>
        <v>9775.40648405043</v>
      </c>
      <c r="Q987" s="17" t="n">
        <f aca="false">AVERAGE(B968:B987)-2*STDEV(B968:B987)</f>
        <v>8952.89651594958</v>
      </c>
      <c r="R987" s="19" t="n">
        <f aca="false">B987/B967-1</f>
        <v>0.0717651694072028</v>
      </c>
      <c r="S987" s="17" t="n">
        <f aca="false">STDEV(C968:C987)*SQRT(252)*100</f>
        <v>17.1283552351109</v>
      </c>
      <c r="T987" s="19" t="n">
        <f aca="false">B966/B736-1</f>
        <v>0.227419725038586</v>
      </c>
      <c r="U987" s="19" t="n">
        <f aca="false">B987/MAX(B736:B987)-1</f>
        <v>-0.0091647777024364</v>
      </c>
      <c r="V987" s="17" t="n">
        <f aca="false">(B987-AVERAGE(B968:B987))/STDEV(B968:B987)</f>
        <v>1.29121109918242</v>
      </c>
    </row>
    <row r="988" customFormat="false" ht="15" hidden="false" customHeight="false" outlineLevel="0" collapsed="false">
      <c r="A988" s="17" t="s">
        <v>1552</v>
      </c>
      <c r="B988" s="17" t="n">
        <v>9824.39</v>
      </c>
      <c r="C988" s="19" t="n">
        <f aca="false">B988/B987-1</f>
        <v>0.020221897761707</v>
      </c>
      <c r="D988" s="17" t="n">
        <f aca="false">AVERAGE(B939:B988)</f>
        <v>8818.8036</v>
      </c>
      <c r="E988" s="17" t="n">
        <f aca="false">AVERAGE(B789:B988)</f>
        <v>8456.39895</v>
      </c>
      <c r="F988" s="17" t="n">
        <f aca="false">B988*2/13+F987*11/13</f>
        <v>9543.81577151385</v>
      </c>
      <c r="G988" s="17" t="n">
        <f aca="false">B988*2/27+G987*25/27</f>
        <v>9299.80460359135</v>
      </c>
      <c r="H988" s="17" t="n">
        <f aca="false">F988-G988</f>
        <v>244.011167922505</v>
      </c>
      <c r="I988" s="17" t="n">
        <f aca="false">H988*2/10+I987*8/10</f>
        <v>234.58481198762</v>
      </c>
      <c r="J988" s="17" t="n">
        <f aca="false">H988-I988</f>
        <v>9.42635593488473</v>
      </c>
      <c r="K988" s="17" t="n">
        <f aca="false">MAX(B988-B987,0)</f>
        <v>194.73</v>
      </c>
      <c r="L988" s="17" t="n">
        <f aca="false">MAX(B987-B988,0)</f>
        <v>0</v>
      </c>
      <c r="M988" s="17" t="n">
        <f aca="false">(M987*13+K988)/14</f>
        <v>74.303488405081</v>
      </c>
      <c r="N988" s="17" t="n">
        <f aca="false">(N987*13+L988)/14</f>
        <v>32.7540152734974</v>
      </c>
      <c r="O988" s="17" t="n">
        <f aca="false">IF(N988=0,100,100-100/(1+M988/N988))</f>
        <v>69.4052129481408</v>
      </c>
      <c r="P988" s="17" t="n">
        <f aca="false">AVERAGE(B969:B988)+2*STDEV(B969:B988)</f>
        <v>9840.44508899855</v>
      </c>
      <c r="Q988" s="17" t="n">
        <f aca="false">AVERAGE(B969:B988)-2*STDEV(B969:B988)</f>
        <v>8960.10891100146</v>
      </c>
      <c r="R988" s="19" t="n">
        <f aca="false">B988/B968-1</f>
        <v>0.0793803038493146</v>
      </c>
      <c r="S988" s="17" t="n">
        <f aca="false">STDEV(C969:C988)*SQRT(252)*100</f>
        <v>17.8337297546367</v>
      </c>
      <c r="T988" s="19" t="n">
        <f aca="false">B967/B737-1</f>
        <v>0.211339990751339</v>
      </c>
      <c r="U988" s="19" t="n">
        <f aca="false">B988/MAX(B737:B988)-1</f>
        <v>0</v>
      </c>
      <c r="V988" s="17" t="n">
        <f aca="false">(B988-AVERAGE(B969:B988))/STDEV(B969:B988)</f>
        <v>1.92705019105281</v>
      </c>
    </row>
    <row r="989" customFormat="false" ht="15" hidden="false" customHeight="false" outlineLevel="0" collapsed="false">
      <c r="A989" s="17" t="s">
        <v>1553</v>
      </c>
      <c r="B989" s="17" t="n">
        <v>9901.52</v>
      </c>
      <c r="C989" s="19" t="n">
        <f aca="false">B989/B988-1</f>
        <v>0.00785086911248434</v>
      </c>
      <c r="D989" s="17" t="n">
        <f aca="false">AVERAGE(B940:B989)</f>
        <v>8858.8914</v>
      </c>
      <c r="E989" s="17" t="n">
        <f aca="false">AVERAGE(B790:B989)</f>
        <v>8467.24045</v>
      </c>
      <c r="F989" s="17" t="n">
        <f aca="false">B989*2/13+F988*11/13</f>
        <v>9598.84719128095</v>
      </c>
      <c r="G989" s="17" t="n">
        <f aca="false">B989*2/27+G988*25/27</f>
        <v>9344.37611443643</v>
      </c>
      <c r="H989" s="17" t="n">
        <f aca="false">F989-G989</f>
        <v>254.47107684452</v>
      </c>
      <c r="I989" s="17" t="n">
        <f aca="false">H989*2/10+I988*8/10</f>
        <v>238.562064959</v>
      </c>
      <c r="J989" s="17" t="n">
        <f aca="false">H989-I989</f>
        <v>15.9090118855202</v>
      </c>
      <c r="K989" s="17" t="n">
        <f aca="false">MAX(B989-B988,0)</f>
        <v>77.130000000001</v>
      </c>
      <c r="L989" s="17" t="n">
        <f aca="false">MAX(B988-B989,0)</f>
        <v>0</v>
      </c>
      <c r="M989" s="17" t="n">
        <f aca="false">(M988*13+K989)/14</f>
        <v>74.5053820904325</v>
      </c>
      <c r="N989" s="17" t="n">
        <f aca="false">(N988*13+L989)/14</f>
        <v>30.4144427539618</v>
      </c>
      <c r="O989" s="17" t="n">
        <f aca="false">IF(N989=0,100,100-100/(1+M989/N989))</f>
        <v>71.0117293856817</v>
      </c>
      <c r="P989" s="17" t="n">
        <f aca="false">AVERAGE(B970:B989)+2*STDEV(B970:B989)</f>
        <v>9919.04353745956</v>
      </c>
      <c r="Q989" s="17" t="n">
        <f aca="false">AVERAGE(B970:B989)-2*STDEV(B970:B989)</f>
        <v>8949.62746254044</v>
      </c>
      <c r="R989" s="19" t="n">
        <f aca="false">B989/B969-1</f>
        <v>0.073876805110435</v>
      </c>
      <c r="S989" s="17" t="n">
        <f aca="false">STDEV(C970:C989)*SQRT(252)*100</f>
        <v>17.5754083399965</v>
      </c>
      <c r="T989" s="19" t="n">
        <f aca="false">B968/B738-1</f>
        <v>0.213271784727397</v>
      </c>
      <c r="U989" s="19" t="n">
        <f aca="false">B989/MAX(B738:B989)-1</f>
        <v>0</v>
      </c>
      <c r="V989" s="17" t="n">
        <f aca="false">(B989-AVERAGE(B970:B989))/STDEV(B970:B989)</f>
        <v>1.92769446303635</v>
      </c>
    </row>
    <row r="990" customFormat="false" ht="15" hidden="false" customHeight="false" outlineLevel="0" collapsed="false">
      <c r="A990" s="17" t="s">
        <v>1554</v>
      </c>
      <c r="B990" s="17" t="n">
        <v>9967.17</v>
      </c>
      <c r="C990" s="19" t="n">
        <f aca="false">B990/B989-1</f>
        <v>0.00663029514660374</v>
      </c>
      <c r="D990" s="17" t="n">
        <f aca="false">AVERAGE(B941:B990)</f>
        <v>8906.4674</v>
      </c>
      <c r="E990" s="17" t="n">
        <f aca="false">AVERAGE(B791:B990)</f>
        <v>8478.53915</v>
      </c>
      <c r="F990" s="17" t="n">
        <f aca="false">B990*2/13+F989*11/13</f>
        <v>9655.51223877619</v>
      </c>
      <c r="G990" s="17" t="n">
        <f aca="false">B990*2/27+G989*25/27</f>
        <v>9390.50899484855</v>
      </c>
      <c r="H990" s="17" t="n">
        <f aca="false">F990-G990</f>
        <v>265.003243927644</v>
      </c>
      <c r="I990" s="17" t="n">
        <f aca="false">H990*2/10+I989*8/10</f>
        <v>243.850300752729</v>
      </c>
      <c r="J990" s="17" t="n">
        <f aca="false">H990-I990</f>
        <v>21.152943174915</v>
      </c>
      <c r="K990" s="17" t="n">
        <f aca="false">MAX(B990-B989,0)</f>
        <v>65.6499999999996</v>
      </c>
      <c r="L990" s="17" t="n">
        <f aca="false">MAX(B989-B990,0)</f>
        <v>0</v>
      </c>
      <c r="M990" s="17" t="n">
        <f aca="false">(M989*13+K990)/14</f>
        <v>73.8728547982587</v>
      </c>
      <c r="N990" s="17" t="n">
        <f aca="false">(N989*13+L990)/14</f>
        <v>28.2419825572503</v>
      </c>
      <c r="O990" s="17" t="n">
        <f aca="false">IF(N990=0,100,100-100/(1+M990/N990))</f>
        <v>72.3429197082038</v>
      </c>
      <c r="P990" s="17" t="n">
        <f aca="false">AVERAGE(B971:B990)+2*STDEV(B971:B990)</f>
        <v>10002.6796298901</v>
      </c>
      <c r="Q990" s="17" t="n">
        <f aca="false">AVERAGE(B971:B990)-2*STDEV(B971:B990)</f>
        <v>8932.81637010994</v>
      </c>
      <c r="R990" s="19" t="n">
        <f aca="false">B990/B970-1</f>
        <v>0.0718631841117032</v>
      </c>
      <c r="S990" s="17" t="n">
        <f aca="false">STDEV(C971:C990)*SQRT(252)*100</f>
        <v>17.5183058942765</v>
      </c>
      <c r="T990" s="19" t="n">
        <f aca="false">B969/B739-1</f>
        <v>0.227113929609987</v>
      </c>
      <c r="U990" s="19" t="n">
        <f aca="false">B990/MAX(B739:B990)-1</f>
        <v>0</v>
      </c>
      <c r="V990" s="17" t="n">
        <f aca="false">(B990-AVERAGE(B971:B990))/STDEV(B971:B990)</f>
        <v>1.86723675361144</v>
      </c>
    </row>
    <row r="991" customFormat="false" ht="15" hidden="false" customHeight="false" outlineLevel="0" collapsed="false">
      <c r="A991" s="17" t="s">
        <v>1555</v>
      </c>
      <c r="B991" s="17" t="n">
        <v>10094.26</v>
      </c>
      <c r="C991" s="19" t="n">
        <f aca="false">B991/B990-1</f>
        <v>0.0127508610769156</v>
      </c>
      <c r="D991" s="17" t="n">
        <f aca="false">AVERAGE(B942:B991)</f>
        <v>8950.5724</v>
      </c>
      <c r="E991" s="17" t="n">
        <f aca="false">AVERAGE(B792:B991)</f>
        <v>8491.6855</v>
      </c>
      <c r="F991" s="17" t="n">
        <f aca="false">B991*2/13+F990*11/13</f>
        <v>9723.01189434909</v>
      </c>
      <c r="G991" s="17" t="n">
        <f aca="false">B991*2/27+G990*25/27</f>
        <v>9442.63869893384</v>
      </c>
      <c r="H991" s="17" t="n">
        <f aca="false">F991-G991</f>
        <v>280.373195415245</v>
      </c>
      <c r="I991" s="17" t="n">
        <f aca="false">H991*2/10+I990*8/10</f>
        <v>251.154879685232</v>
      </c>
      <c r="J991" s="17" t="n">
        <f aca="false">H991-I991</f>
        <v>29.2183157300126</v>
      </c>
      <c r="K991" s="17" t="n">
        <f aca="false">MAX(B991-B990,0)</f>
        <v>127.09</v>
      </c>
      <c r="L991" s="17" t="n">
        <f aca="false">MAX(B990-B991,0)</f>
        <v>0</v>
      </c>
      <c r="M991" s="17" t="n">
        <f aca="false">(M990*13+K991)/14</f>
        <v>77.674079455526</v>
      </c>
      <c r="N991" s="17" t="n">
        <f aca="false">(N990*13+L991)/14</f>
        <v>26.2246980888752</v>
      </c>
      <c r="O991" s="17" t="n">
        <f aca="false">IF(N991=0,100,100-100/(1+M991/N991))</f>
        <v>74.7593776282227</v>
      </c>
      <c r="P991" s="17" t="n">
        <f aca="false">AVERAGE(B972:B991)+2*STDEV(B972:B991)</f>
        <v>10093.0885105546</v>
      </c>
      <c r="Q991" s="17" t="n">
        <f aca="false">AVERAGE(B972:B991)-2*STDEV(B972:B991)</f>
        <v>8940.58848944537</v>
      </c>
      <c r="R991" s="19" t="n">
        <f aca="false">B991/B971-1</f>
        <v>0.10774380106338</v>
      </c>
      <c r="S991" s="17" t="n">
        <f aca="false">STDEV(C972:C991)*SQRT(252)*100</f>
        <v>15.4024726765732</v>
      </c>
      <c r="T991" s="19" t="n">
        <f aca="false">B970/B740-1</f>
        <v>0.244453842128718</v>
      </c>
      <c r="U991" s="19" t="n">
        <f aca="false">B991/MAX(B740:B991)-1</f>
        <v>0</v>
      </c>
      <c r="V991" s="17" t="n">
        <f aca="false">(B991-AVERAGE(B972:B991))/STDEV(B972:B991)</f>
        <v>2.00406590689428</v>
      </c>
    </row>
    <row r="992" customFormat="false" ht="15" hidden="false" customHeight="false" outlineLevel="0" collapsed="false">
      <c r="A992" s="17" t="s">
        <v>1556</v>
      </c>
      <c r="B992" s="17" t="n">
        <v>9588.48</v>
      </c>
      <c r="C992" s="19" t="n">
        <f aca="false">B992/B991-1</f>
        <v>-0.0501057036375129</v>
      </c>
      <c r="D992" s="17" t="n">
        <f aca="false">AVERAGE(B943:B992)</f>
        <v>8986.072</v>
      </c>
      <c r="E992" s="17" t="n">
        <f aca="false">AVERAGE(B793:B992)</f>
        <v>8501.7528</v>
      </c>
      <c r="F992" s="17" t="n">
        <f aca="false">B992*2/13+F991*11/13</f>
        <v>9702.31467983384</v>
      </c>
      <c r="G992" s="17" t="n">
        <f aca="false">B992*2/27+G991*25/27</f>
        <v>9453.44175827207</v>
      </c>
      <c r="H992" s="17" t="n">
        <f aca="false">F992-G992</f>
        <v>248.872921561768</v>
      </c>
      <c r="I992" s="17" t="n">
        <f aca="false">H992*2/10+I991*8/10</f>
        <v>250.698488060539</v>
      </c>
      <c r="J992" s="17" t="n">
        <f aca="false">H992-I992</f>
        <v>-1.82556649877134</v>
      </c>
      <c r="K992" s="17" t="n">
        <f aca="false">MAX(B992-B991,0)</f>
        <v>0</v>
      </c>
      <c r="L992" s="17" t="n">
        <f aca="false">MAX(B991-B992,0)</f>
        <v>505.780000000001</v>
      </c>
      <c r="M992" s="17" t="n">
        <f aca="false">(M991*13+K992)/14</f>
        <v>72.1259309229884</v>
      </c>
      <c r="N992" s="17" t="n">
        <f aca="false">(N991*13+L992)/14</f>
        <v>60.4786482253842</v>
      </c>
      <c r="O992" s="17" t="n">
        <f aca="false">IF(N992=0,100,100-100/(1+M992/N992))</f>
        <v>54.3917347245497</v>
      </c>
      <c r="P992" s="17" t="n">
        <f aca="false">AVERAGE(B973:B992)+2*STDEV(B973:B992)</f>
        <v>10069.0217620795</v>
      </c>
      <c r="Q992" s="17" t="n">
        <f aca="false">AVERAGE(B973:B992)-2*STDEV(B973:B992)</f>
        <v>9023.4952379205</v>
      </c>
      <c r="R992" s="19" t="n">
        <f aca="false">B992/B972-1</f>
        <v>0.0653771966471408</v>
      </c>
      <c r="S992" s="17" t="n">
        <f aca="false">STDEV(C973:C992)*SQRT(252)*100</f>
        <v>24.3398943117403</v>
      </c>
      <c r="T992" s="19" t="n">
        <f aca="false">B971/B741-1</f>
        <v>0.213265643057619</v>
      </c>
      <c r="U992" s="19" t="n">
        <f aca="false">B992/MAX(B741:B992)-1</f>
        <v>-0.0501057036375129</v>
      </c>
      <c r="V992" s="17" t="n">
        <f aca="false">(B992-AVERAGE(B973:B992))/STDEV(B973:B992)</f>
        <v>0.161532009085898</v>
      </c>
    </row>
    <row r="993" customFormat="false" ht="15" hidden="false" customHeight="false" outlineLevel="0" collapsed="false">
      <c r="A993" s="17" t="s">
        <v>1557</v>
      </c>
      <c r="B993" s="17" t="n">
        <v>9663.78</v>
      </c>
      <c r="C993" s="19" t="n">
        <f aca="false">B993/B992-1</f>
        <v>0.00785317380857031</v>
      </c>
      <c r="D993" s="17" t="n">
        <f aca="false">AVERAGE(B944:B993)</f>
        <v>9029.6218</v>
      </c>
      <c r="E993" s="17" t="n">
        <f aca="false">AVERAGE(B794:B993)</f>
        <v>8512.24155</v>
      </c>
      <c r="F993" s="17" t="n">
        <f aca="false">B993*2/13+F992*11/13</f>
        <v>9696.38626755171</v>
      </c>
      <c r="G993" s="17" t="n">
        <f aca="false">B993*2/27+G992*25/27</f>
        <v>9469.02236877044</v>
      </c>
      <c r="H993" s="17" t="n">
        <f aca="false">F993-G993</f>
        <v>227.363898781274</v>
      </c>
      <c r="I993" s="17" t="n">
        <f aca="false">H993*2/10+I992*8/10</f>
        <v>246.031570204686</v>
      </c>
      <c r="J993" s="17" t="n">
        <f aca="false">H993-I993</f>
        <v>-18.6676714234122</v>
      </c>
      <c r="K993" s="17" t="n">
        <f aca="false">MAX(B993-B992,0)</f>
        <v>75.3000000000011</v>
      </c>
      <c r="L993" s="17" t="n">
        <f aca="false">MAX(B992-B993,0)</f>
        <v>0</v>
      </c>
      <c r="M993" s="17" t="n">
        <f aca="false">(M992*13+K993)/14</f>
        <v>72.352650142775</v>
      </c>
      <c r="N993" s="17" t="n">
        <f aca="false">(N992*13+L993)/14</f>
        <v>56.1587447807139</v>
      </c>
      <c r="O993" s="17" t="n">
        <f aca="false">IF(N993=0,100,100-100/(1+M993/N993))</f>
        <v>56.3005717787525</v>
      </c>
      <c r="P993" s="17" t="n">
        <f aca="false">AVERAGE(B974:B993)+2*STDEV(B974:B993)</f>
        <v>10054.09703381</v>
      </c>
      <c r="Q993" s="17" t="n">
        <f aca="false">AVERAGE(B974:B993)-2*STDEV(B974:B993)</f>
        <v>9095.35596619002</v>
      </c>
      <c r="R993" s="19" t="n">
        <f aca="false">B993/B973-1</f>
        <v>0.0626054217861063</v>
      </c>
      <c r="S993" s="17" t="n">
        <f aca="false">STDEV(C974:C993)*SQRT(252)*100</f>
        <v>24.2545336665941</v>
      </c>
      <c r="T993" s="19" t="n">
        <f aca="false">B972/B742-1</f>
        <v>0.203362432161046</v>
      </c>
      <c r="U993" s="19" t="n">
        <f aca="false">B993/MAX(B742:B993)-1</f>
        <v>-0.0426460186284086</v>
      </c>
      <c r="V993" s="17" t="n">
        <f aca="false">(B993-AVERAGE(B974:B993))/STDEV(B974:B993)</f>
        <v>0.371543487632474</v>
      </c>
    </row>
    <row r="994" customFormat="false" ht="15" hidden="false" customHeight="false" outlineLevel="0" collapsed="false">
      <c r="A994" s="17" t="s">
        <v>1558</v>
      </c>
      <c r="B994" s="17" t="n">
        <v>9776.89</v>
      </c>
      <c r="C994" s="19" t="n">
        <f aca="false">B994/B993-1</f>
        <v>0.0117045296974889</v>
      </c>
      <c r="D994" s="17" t="n">
        <f aca="false">AVERAGE(B945:B994)</f>
        <v>9072.4464</v>
      </c>
      <c r="E994" s="17" t="n">
        <f aca="false">AVERAGE(B795:B994)</f>
        <v>8523.1865</v>
      </c>
      <c r="F994" s="17" t="n">
        <f aca="false">B994*2/13+F993*11/13</f>
        <v>9708.77145715914</v>
      </c>
      <c r="G994" s="17" t="n">
        <f aca="false">B994*2/27+G993*25/27</f>
        <v>9491.82737849115</v>
      </c>
      <c r="H994" s="17" t="n">
        <f aca="false">F994-G994</f>
        <v>216.944078667993</v>
      </c>
      <c r="I994" s="17" t="n">
        <f aca="false">H994*2/10+I993*8/10</f>
        <v>240.214071897347</v>
      </c>
      <c r="J994" s="17" t="n">
        <f aca="false">H994-I994</f>
        <v>-23.2699932293541</v>
      </c>
      <c r="K994" s="17" t="n">
        <f aca="false">MAX(B994-B993,0)</f>
        <v>113.109999999999</v>
      </c>
      <c r="L994" s="17" t="n">
        <f aca="false">MAX(B993-B994,0)</f>
        <v>0</v>
      </c>
      <c r="M994" s="17" t="n">
        <f aca="false">(M993*13+K994)/14</f>
        <v>75.263889418291</v>
      </c>
      <c r="N994" s="17" t="n">
        <f aca="false">(N993*13+L994)/14</f>
        <v>52.1474058678058</v>
      </c>
      <c r="O994" s="17" t="n">
        <f aca="false">IF(N994=0,100,100-100/(1+M994/N994))</f>
        <v>59.0715989891548</v>
      </c>
      <c r="P994" s="17" t="n">
        <f aca="false">AVERAGE(B975:B994)+2*STDEV(B975:B994)</f>
        <v>10049.5510116973</v>
      </c>
      <c r="Q994" s="17" t="n">
        <f aca="false">AVERAGE(B975:B994)-2*STDEV(B975:B994)</f>
        <v>9162.32698830272</v>
      </c>
      <c r="R994" s="19" t="n">
        <f aca="false">B994/B974-1</f>
        <v>0.0682043650793651</v>
      </c>
      <c r="S994" s="17" t="n">
        <f aca="false">STDEV(C975:C994)*SQRT(252)*100</f>
        <v>24.4211837917741</v>
      </c>
      <c r="T994" s="19" t="n">
        <f aca="false">B973/B743-1</f>
        <v>0.208316725392346</v>
      </c>
      <c r="U994" s="19" t="n">
        <f aca="false">B994/MAX(B743:B994)-1</f>
        <v>-0.0314406405224356</v>
      </c>
      <c r="V994" s="17" t="n">
        <f aca="false">(B994-AVERAGE(B975:B994))/STDEV(B975:B994)</f>
        <v>0.770723043976802</v>
      </c>
    </row>
    <row r="995" customFormat="false" ht="15" hidden="false" customHeight="false" outlineLevel="0" collapsed="false">
      <c r="A995" s="17" t="s">
        <v>1559</v>
      </c>
      <c r="B995" s="17" t="n">
        <v>9949.37</v>
      </c>
      <c r="C995" s="19" t="n">
        <f aca="false">B995/B994-1</f>
        <v>0.0176416017772525</v>
      </c>
      <c r="D995" s="17" t="n">
        <f aca="false">AVERAGE(B946:B995)</f>
        <v>9120.8716</v>
      </c>
      <c r="E995" s="17" t="n">
        <f aca="false">AVERAGE(B796:B995)</f>
        <v>8534.4218</v>
      </c>
      <c r="F995" s="17" t="n">
        <f aca="false">B995*2/13+F994*11/13</f>
        <v>9745.7866175962</v>
      </c>
      <c r="G995" s="17" t="n">
        <f aca="false">B995*2/27+G994*25/27</f>
        <v>9525.71942452884</v>
      </c>
      <c r="H995" s="17" t="n">
        <f aca="false">F995-G995</f>
        <v>220.067193067354</v>
      </c>
      <c r="I995" s="17" t="n">
        <f aca="false">H995*2/10+I994*8/10</f>
        <v>236.184696131349</v>
      </c>
      <c r="J995" s="17" t="n">
        <f aca="false">H995-I995</f>
        <v>-16.1175030639945</v>
      </c>
      <c r="K995" s="17" t="n">
        <f aca="false">MAX(B995-B994,0)</f>
        <v>172.480000000001</v>
      </c>
      <c r="L995" s="17" t="n">
        <f aca="false">MAX(B994-B995,0)</f>
        <v>0</v>
      </c>
      <c r="M995" s="17" t="n">
        <f aca="false">(M994*13+K995)/14</f>
        <v>82.2078973169846</v>
      </c>
      <c r="N995" s="17" t="n">
        <f aca="false">(N994*13+L995)/14</f>
        <v>48.4225911629625</v>
      </c>
      <c r="O995" s="17" t="n">
        <f aca="false">IF(N995=0,100,100-100/(1+M995/N995))</f>
        <v>62.9316312551371</v>
      </c>
      <c r="P995" s="17" t="n">
        <f aca="false">AVERAGE(B976:B995)+2*STDEV(B976:B995)</f>
        <v>10086.0354761528</v>
      </c>
      <c r="Q995" s="17" t="n">
        <f aca="false">AVERAGE(B976:B995)-2*STDEV(B976:B995)</f>
        <v>9187.58652384722</v>
      </c>
      <c r="R995" s="19" t="n">
        <f aca="false">B995/B975-1</f>
        <v>0.0661642339794664</v>
      </c>
      <c r="S995" s="17" t="n">
        <f aca="false">STDEV(C976:C995)*SQRT(252)*100</f>
        <v>24.2594211433508</v>
      </c>
      <c r="T995" s="19" t="n">
        <f aca="false">B974/B744-1</f>
        <v>0.198711265945465</v>
      </c>
      <c r="U995" s="19" t="n">
        <f aca="false">B995/MAX(B744:B995)-1</f>
        <v>-0.0143537020049017</v>
      </c>
      <c r="V995" s="17" t="n">
        <f aca="false">(B995-AVERAGE(B976:B995))/STDEV(B976:B995)</f>
        <v>1.39154928812785</v>
      </c>
    </row>
    <row r="996" customFormat="false" ht="15" hidden="false" customHeight="false" outlineLevel="0" collapsed="false">
      <c r="A996" s="17" t="s">
        <v>1560</v>
      </c>
      <c r="B996" s="17" t="n">
        <v>9982.48</v>
      </c>
      <c r="C996" s="19" t="n">
        <f aca="false">B996/B995-1</f>
        <v>0.00332784889897542</v>
      </c>
      <c r="D996" s="17" t="n">
        <f aca="false">AVERAGE(B947:B996)</f>
        <v>9158.888</v>
      </c>
      <c r="E996" s="17" t="n">
        <f aca="false">AVERAGE(B797:B996)</f>
        <v>8545.8792</v>
      </c>
      <c r="F996" s="17" t="n">
        <f aca="false">B996*2/13+F995*11/13</f>
        <v>9782.20098411986</v>
      </c>
      <c r="G996" s="17" t="n">
        <f aca="false">B996*2/27+G995*25/27</f>
        <v>9559.55354123041</v>
      </c>
      <c r="H996" s="17" t="n">
        <f aca="false">F996-G996</f>
        <v>222.647442889451</v>
      </c>
      <c r="I996" s="17" t="n">
        <f aca="false">H996*2/10+I995*8/10</f>
        <v>233.477245482969</v>
      </c>
      <c r="J996" s="17" t="n">
        <f aca="false">H996-I996</f>
        <v>-10.8298025935185</v>
      </c>
      <c r="K996" s="17" t="n">
        <f aca="false">MAX(B996-B995,0)</f>
        <v>33.1099999999988</v>
      </c>
      <c r="L996" s="17" t="n">
        <f aca="false">MAX(B995-B996,0)</f>
        <v>0</v>
      </c>
      <c r="M996" s="17" t="n">
        <f aca="false">(M995*13+K996)/14</f>
        <v>78.7009046514856</v>
      </c>
      <c r="N996" s="17" t="n">
        <f aca="false">(N995*13+L996)/14</f>
        <v>44.9638346513223</v>
      </c>
      <c r="O996" s="17" t="n">
        <f aca="false">IF(N996=0,100,100-100/(1+M996/N996))</f>
        <v>63.640537387765</v>
      </c>
      <c r="P996" s="17" t="n">
        <f aca="false">AVERAGE(B977:B996)+2*STDEV(B977:B996)</f>
        <v>10115.9168811076</v>
      </c>
      <c r="Q996" s="17" t="n">
        <f aca="false">AVERAGE(B977:B996)-2*STDEV(B977:B996)</f>
        <v>9226.09911889239</v>
      </c>
      <c r="R996" s="19" t="n">
        <f aca="false">B996/B976-1</f>
        <v>0.0735534825897397</v>
      </c>
      <c r="S996" s="17" t="n">
        <f aca="false">STDEV(C977:C996)*SQRT(252)*100</f>
        <v>24.1223850897829</v>
      </c>
      <c r="T996" s="19" t="n">
        <f aca="false">B975/B745-1</f>
        <v>0.217037875566986</v>
      </c>
      <c r="U996" s="19" t="n">
        <f aca="false">B996/MAX(B745:B996)-1</f>
        <v>-0.0110736200573396</v>
      </c>
      <c r="V996" s="17" t="n">
        <f aca="false">(B996-AVERAGE(B977:B996))/STDEV(B977:B996)</f>
        <v>1.4001608564189</v>
      </c>
    </row>
    <row r="997" customFormat="false" ht="15" hidden="false" customHeight="false" outlineLevel="0" collapsed="false">
      <c r="A997" s="17" t="s">
        <v>1561</v>
      </c>
      <c r="B997" s="17" t="n">
        <v>10012.05</v>
      </c>
      <c r="C997" s="19" t="n">
        <f aca="false">B997/B996-1</f>
        <v>0.00296218975645335</v>
      </c>
      <c r="D997" s="17" t="n">
        <f aca="false">AVERAGE(B948:B997)</f>
        <v>9198.1428</v>
      </c>
      <c r="E997" s="17" t="n">
        <f aca="false">AVERAGE(B798:B997)</f>
        <v>8557.8919</v>
      </c>
      <c r="F997" s="17" t="n">
        <f aca="false">B997*2/13+F996*11/13</f>
        <v>9817.56237117834</v>
      </c>
      <c r="G997" s="17" t="n">
        <f aca="false">B997*2/27+G996*25/27</f>
        <v>9593.07179743556</v>
      </c>
      <c r="H997" s="17" t="n">
        <f aca="false">F997-G997</f>
        <v>224.49057374278</v>
      </c>
      <c r="I997" s="17" t="n">
        <f aca="false">H997*2/10+I996*8/10</f>
        <v>231.679911134931</v>
      </c>
      <c r="J997" s="17" t="n">
        <f aca="false">H997-I997</f>
        <v>-7.18933739215154</v>
      </c>
      <c r="K997" s="17" t="n">
        <f aca="false">MAX(B997-B996,0)</f>
        <v>29.5699999999997</v>
      </c>
      <c r="L997" s="17" t="n">
        <f aca="false">MAX(B996-B997,0)</f>
        <v>0</v>
      </c>
      <c r="M997" s="17" t="n">
        <f aca="false">(M996*13+K997)/14</f>
        <v>75.1915543192366</v>
      </c>
      <c r="N997" s="17" t="n">
        <f aca="false">(N996*13+L997)/14</f>
        <v>41.7521321762279</v>
      </c>
      <c r="O997" s="17" t="n">
        <f aca="false">IF(N997=0,100,100-100/(1+M997/N997))</f>
        <v>64.297232772932</v>
      </c>
      <c r="P997" s="17" t="n">
        <f aca="false">AVERAGE(B978:B997)+2*STDEV(B978:B997)</f>
        <v>10158.0371845372</v>
      </c>
      <c r="Q997" s="17" t="n">
        <f aca="false">AVERAGE(B978:B997)-2*STDEV(B978:B997)</f>
        <v>9236.68181546283</v>
      </c>
      <c r="R997" s="19" t="n">
        <f aca="false">B997/B977-1</f>
        <v>0.0555644584829551</v>
      </c>
      <c r="S997" s="17" t="n">
        <f aca="false">STDEV(C978:C997)*SQRT(252)*100</f>
        <v>23.3323317306478</v>
      </c>
      <c r="T997" s="19" t="n">
        <f aca="false">B976/B746-1</f>
        <v>0.201664502038627</v>
      </c>
      <c r="U997" s="19" t="n">
        <f aca="false">B997/MAX(B746:B997)-1</f>
        <v>-0.00814423246478702</v>
      </c>
      <c r="V997" s="17" t="n">
        <f aca="false">(B997-AVERAGE(B978:B997))/STDEV(B978:B997)</f>
        <v>1.36620683207679</v>
      </c>
    </row>
    <row r="998" customFormat="false" ht="15" hidden="false" customHeight="false" outlineLevel="0" collapsed="false">
      <c r="A998" s="17" t="s">
        <v>1562</v>
      </c>
      <c r="B998" s="17" t="n">
        <v>10008.64</v>
      </c>
      <c r="C998" s="19" t="n">
        <f aca="false">B998/B997-1</f>
        <v>-0.000340589589544638</v>
      </c>
      <c r="D998" s="17" t="n">
        <f aca="false">AVERAGE(B949:B998)</f>
        <v>9233.7248</v>
      </c>
      <c r="E998" s="17" t="n">
        <f aca="false">AVERAGE(B799:B998)</f>
        <v>8569.33885</v>
      </c>
      <c r="F998" s="17" t="n">
        <f aca="false">B998*2/13+F997*11/13</f>
        <v>9846.9589294586</v>
      </c>
      <c r="G998" s="17" t="n">
        <f aca="false">B998*2/27+G997*25/27</f>
        <v>9623.85462725515</v>
      </c>
      <c r="H998" s="17" t="n">
        <f aca="false">F998-G998</f>
        <v>223.104302203448</v>
      </c>
      <c r="I998" s="17" t="n">
        <f aca="false">H998*2/10+I997*8/10</f>
        <v>229.964789348635</v>
      </c>
      <c r="J998" s="17" t="n">
        <f aca="false">H998-I998</f>
        <v>-6.86048714518651</v>
      </c>
      <c r="K998" s="17" t="n">
        <f aca="false">MAX(B998-B997,0)</f>
        <v>0</v>
      </c>
      <c r="L998" s="17" t="n">
        <f aca="false">MAX(B997-B998,0)</f>
        <v>3.40999999999985</v>
      </c>
      <c r="M998" s="17" t="n">
        <f aca="false">(M997*13+K998)/14</f>
        <v>69.8207290107197</v>
      </c>
      <c r="N998" s="17" t="n">
        <f aca="false">(N997*13+L998)/14</f>
        <v>39.0134084493544</v>
      </c>
      <c r="O998" s="17" t="n">
        <f aca="false">IF(N998=0,100,100-100/(1+M998/N998))</f>
        <v>64.1533351944223</v>
      </c>
      <c r="P998" s="17" t="n">
        <f aca="false">AVERAGE(B979:B998)+2*STDEV(B979:B998)</f>
        <v>10183.8243521534</v>
      </c>
      <c r="Q998" s="17" t="n">
        <f aca="false">AVERAGE(B979:B998)-2*STDEV(B979:B998)</f>
        <v>9273.95964784664</v>
      </c>
      <c r="R998" s="19" t="n">
        <f aca="false">B998/B978-1</f>
        <v>0.0672478857409744</v>
      </c>
      <c r="S998" s="17" t="n">
        <f aca="false">STDEV(C979:C998)*SQRT(252)*100</f>
        <v>22.7720710093317</v>
      </c>
      <c r="T998" s="19" t="n">
        <f aca="false">B977/B747-1</f>
        <v>0.227233793690596</v>
      </c>
      <c r="U998" s="19" t="n">
        <f aca="false">B998/MAX(B747:B998)-1</f>
        <v>-0.00848204821353926</v>
      </c>
      <c r="V998" s="17" t="n">
        <f aca="false">(B998-AVERAGE(B979:B998))/STDEV(B979:B998)</f>
        <v>1.22984438752641</v>
      </c>
    </row>
    <row r="999" customFormat="false" ht="15" hidden="false" customHeight="false" outlineLevel="0" collapsed="false">
      <c r="A999" s="17" t="s">
        <v>1563</v>
      </c>
      <c r="B999" s="17" t="n">
        <v>10130.33</v>
      </c>
      <c r="C999" s="19" t="n">
        <f aca="false">B999/B998-1</f>
        <v>0.012158495060268</v>
      </c>
      <c r="D999" s="17" t="n">
        <f aca="false">AVERAGE(B950:B999)</f>
        <v>9271.5608</v>
      </c>
      <c r="E999" s="17" t="n">
        <f aca="false">AVERAGE(B800:B999)</f>
        <v>8580.6778</v>
      </c>
      <c r="F999" s="17" t="n">
        <f aca="false">B999*2/13+F998*11/13</f>
        <v>9890.55447877266</v>
      </c>
      <c r="G999" s="17" t="n">
        <f aca="false">B999*2/27+G998*25/27</f>
        <v>9661.37132153255</v>
      </c>
      <c r="H999" s="17" t="n">
        <f aca="false">F999-G999</f>
        <v>229.183157240113</v>
      </c>
      <c r="I999" s="17" t="n">
        <f aca="false">H999*2/10+I998*8/10</f>
        <v>229.80846292693</v>
      </c>
      <c r="J999" s="17" t="n">
        <f aca="false">H999-I999</f>
        <v>-0.625305686817114</v>
      </c>
      <c r="K999" s="17" t="n">
        <f aca="false">MAX(B999-B998,0)</f>
        <v>121.690000000001</v>
      </c>
      <c r="L999" s="17" t="n">
        <f aca="false">MAX(B998-B999,0)</f>
        <v>0</v>
      </c>
      <c r="M999" s="17" t="n">
        <f aca="false">(M998*13+K999)/14</f>
        <v>73.5256769385255</v>
      </c>
      <c r="N999" s="17" t="n">
        <f aca="false">(N998*13+L999)/14</f>
        <v>36.2267364172577</v>
      </c>
      <c r="O999" s="17" t="n">
        <f aca="false">IF(N999=0,100,100-100/(1+M999/N999))</f>
        <v>66.9923099551152</v>
      </c>
      <c r="P999" s="17" t="n">
        <f aca="false">AVERAGE(B980:B999)+2*STDEV(B980:B999)</f>
        <v>10227.9716656047</v>
      </c>
      <c r="Q999" s="17" t="n">
        <f aca="false">AVERAGE(B980:B999)-2*STDEV(B980:B999)</f>
        <v>9301.44633439531</v>
      </c>
      <c r="R999" s="19" t="n">
        <f aca="false">B999/B979-1</f>
        <v>0.0760931337296937</v>
      </c>
      <c r="S999" s="17" t="n">
        <f aca="false">STDEV(C980:C999)*SQRT(252)*100</f>
        <v>22.9857927440674</v>
      </c>
      <c r="T999" s="19" t="n">
        <f aca="false">B978/B748-1</f>
        <v>0.214290523655254</v>
      </c>
      <c r="U999" s="19" t="n">
        <f aca="false">B999/MAX(B748:B999)-1</f>
        <v>0</v>
      </c>
      <c r="V999" s="17" t="n">
        <f aca="false">(B999-AVERAGE(B980:B999))/STDEV(B980:B999)</f>
        <v>1.57846089117829</v>
      </c>
    </row>
    <row r="1000" customFormat="false" ht="15" hidden="false" customHeight="false" outlineLevel="0" collapsed="false">
      <c r="A1000" s="17" t="s">
        <v>1564</v>
      </c>
      <c r="B1000" s="17" t="n">
        <v>10209.82</v>
      </c>
      <c r="C1000" s="19" t="n">
        <f aca="false">B1000/B999-1</f>
        <v>0.0078467335220076</v>
      </c>
      <c r="D1000" s="17" t="n">
        <f aca="false">AVERAGE(B951:B1000)</f>
        <v>9309.1024</v>
      </c>
      <c r="E1000" s="17" t="n">
        <f aca="false">AVERAGE(B801:B1000)</f>
        <v>8592.4642</v>
      </c>
      <c r="F1000" s="17" t="n">
        <f aca="false">B1000*2/13+F999*11/13</f>
        <v>9939.67225126917</v>
      </c>
      <c r="G1000" s="17" t="n">
        <f aca="false">B1000*2/27+G999*25/27</f>
        <v>9701.99714956717</v>
      </c>
      <c r="H1000" s="17" t="n">
        <f aca="false">F1000-G1000</f>
        <v>237.675101702</v>
      </c>
      <c r="I1000" s="17" t="n">
        <f aca="false">H1000*2/10+I999*8/10</f>
        <v>231.381790681944</v>
      </c>
      <c r="J1000" s="17" t="n">
        <f aca="false">H1000-I1000</f>
        <v>6.29331102005534</v>
      </c>
      <c r="K1000" s="17" t="n">
        <f aca="false">MAX(B1000-B999,0)</f>
        <v>79.4899999999998</v>
      </c>
      <c r="L1000" s="17" t="n">
        <f aca="false">MAX(B999-B1000,0)</f>
        <v>0</v>
      </c>
      <c r="M1000" s="17" t="n">
        <f aca="false">(M999*13+K1000)/14</f>
        <v>73.9517000143451</v>
      </c>
      <c r="N1000" s="17" t="n">
        <f aca="false">(N999*13+L1000)/14</f>
        <v>33.6391123874536</v>
      </c>
      <c r="O1000" s="17" t="n">
        <f aca="false">IF(N1000=0,100,100-100/(1+M1000/N1000))</f>
        <v>68.7342147191639</v>
      </c>
      <c r="P1000" s="17" t="n">
        <f aca="false">AVERAGE(B981:B1000)+2*STDEV(B981:B1000)</f>
        <v>10274.4066106657</v>
      </c>
      <c r="Q1000" s="17" t="n">
        <f aca="false">AVERAGE(B981:B1000)-2*STDEV(B981:B1000)</f>
        <v>9336.99538933433</v>
      </c>
      <c r="R1000" s="19" t="n">
        <f aca="false">B1000/B980-1</f>
        <v>0.0873100901173378</v>
      </c>
      <c r="S1000" s="17" t="n">
        <f aca="false">STDEV(C981:C1000)*SQRT(252)*100</f>
        <v>22.9024219891884</v>
      </c>
      <c r="T1000" s="19" t="n">
        <f aca="false">B979/B749-1</f>
        <v>0.240063280968025</v>
      </c>
      <c r="U1000" s="19" t="n">
        <f aca="false">B1000/MAX(B749:B1000)-1</f>
        <v>0</v>
      </c>
      <c r="V1000" s="17" t="n">
        <f aca="false">(B1000-AVERAGE(B981:B1000))/STDEV(B981:B1000)</f>
        <v>1.72440436301184</v>
      </c>
    </row>
    <row r="1001" customFormat="false" ht="15" hidden="false" customHeight="false" outlineLevel="0" collapsed="false">
      <c r="A1001" s="17" t="s">
        <v>1565</v>
      </c>
      <c r="B1001" s="17" t="n">
        <v>10002.7</v>
      </c>
      <c r="C1001" s="19" t="n">
        <f aca="false">B1001/B1000-1</f>
        <v>-0.02028635176722</v>
      </c>
      <c r="D1001" s="17" t="n">
        <f aca="false">AVERAGE(B952:B1001)</f>
        <v>9335.3132</v>
      </c>
      <c r="E1001" s="17" t="n">
        <f aca="false">AVERAGE(B802:B1001)</f>
        <v>8603.3157</v>
      </c>
      <c r="F1001" s="17" t="n">
        <f aca="false">B1001*2/13+F1000*11/13</f>
        <v>9949.36882799699</v>
      </c>
      <c r="G1001" s="17" t="n">
        <f aca="false">B1001*2/27+G1000*25/27</f>
        <v>9724.27143478442</v>
      </c>
      <c r="H1001" s="17" t="n">
        <f aca="false">F1001-G1001</f>
        <v>225.097393212573</v>
      </c>
      <c r="I1001" s="17" t="n">
        <f aca="false">H1001*2/10+I1000*8/10</f>
        <v>230.12491118807</v>
      </c>
      <c r="J1001" s="17" t="n">
        <f aca="false">H1001-I1001</f>
        <v>-5.0275179754974</v>
      </c>
      <c r="K1001" s="17" t="n">
        <f aca="false">MAX(B1001-B1000,0)</f>
        <v>0</v>
      </c>
      <c r="L1001" s="17" t="n">
        <f aca="false">MAX(B1000-B1001,0)</f>
        <v>207.119999999999</v>
      </c>
      <c r="M1001" s="17" t="n">
        <f aca="false">(M1000*13+K1001)/14</f>
        <v>68.6694357276061</v>
      </c>
      <c r="N1001" s="17" t="n">
        <f aca="false">(N1000*13+L1001)/14</f>
        <v>46.0306043597782</v>
      </c>
      <c r="O1001" s="17" t="n">
        <f aca="false">IF(N1001=0,100,100-100/(1+M1001/N1001))</f>
        <v>59.8687111837888</v>
      </c>
      <c r="P1001" s="17" t="n">
        <f aca="false">AVERAGE(B982:B1001)+2*STDEV(B982:B1001)</f>
        <v>10277.2490358473</v>
      </c>
      <c r="Q1001" s="17" t="n">
        <f aca="false">AVERAGE(B982:B1001)-2*STDEV(B982:B1001)</f>
        <v>9390.21796415272</v>
      </c>
      <c r="R1001" s="19" t="n">
        <f aca="false">B1001/B981-1</f>
        <v>0.0593779952446769</v>
      </c>
      <c r="S1001" s="17" t="n">
        <f aca="false">STDEV(C982:C1001)*SQRT(252)*100</f>
        <v>24.4955438529061</v>
      </c>
      <c r="T1001" s="19" t="n">
        <f aca="false">B980/B750-1</f>
        <v>0.231141791387234</v>
      </c>
      <c r="U1001" s="19" t="n">
        <f aca="false">B1001/MAX(B750:B1001)-1</f>
        <v>-0.02028635176722</v>
      </c>
      <c r="V1001" s="17" t="n">
        <f aca="false">(B1001-AVERAGE(B982:B1001))/STDEV(B982:B1001)</f>
        <v>0.761941742028114</v>
      </c>
    </row>
    <row r="1002" customFormat="false" ht="15" hidden="false" customHeight="false" outlineLevel="0" collapsed="false">
      <c r="A1002" s="17" t="s">
        <v>1566</v>
      </c>
      <c r="B1002" s="17" t="n">
        <v>10101.83</v>
      </c>
      <c r="C1002" s="19" t="n">
        <f aca="false">B1002/B1001-1</f>
        <v>0.00991032421246252</v>
      </c>
      <c r="D1002" s="17" t="n">
        <f aca="false">AVERAGE(B953:B1002)</f>
        <v>9365.5106</v>
      </c>
      <c r="E1002" s="17" t="n">
        <f aca="false">AVERAGE(B803:B1002)</f>
        <v>8614.75115</v>
      </c>
      <c r="F1002" s="17" t="n">
        <f aca="false">B1002*2/13+F1001*11/13</f>
        <v>9972.82439292053</v>
      </c>
      <c r="G1002" s="17" t="n">
        <f aca="false">B1002*2/27+G1001*25/27</f>
        <v>9752.2387359115</v>
      </c>
      <c r="H1002" s="17" t="n">
        <f aca="false">F1002-G1002</f>
        <v>220.585657009033</v>
      </c>
      <c r="I1002" s="17" t="n">
        <f aca="false">H1002*2/10+I1001*8/10</f>
        <v>228.217060352263</v>
      </c>
      <c r="J1002" s="17" t="n">
        <f aca="false">H1002-I1002</f>
        <v>-7.63140334322981</v>
      </c>
      <c r="K1002" s="17" t="n">
        <f aca="false">MAX(B1002-B1001,0)</f>
        <v>99.1299999999992</v>
      </c>
      <c r="L1002" s="17" t="n">
        <f aca="false">MAX(B1001-B1002,0)</f>
        <v>0</v>
      </c>
      <c r="M1002" s="17" t="n">
        <f aca="false">(M1001*13+K1002)/14</f>
        <v>70.8451903184914</v>
      </c>
      <c r="N1002" s="17" t="n">
        <f aca="false">(N1001*13+L1002)/14</f>
        <v>42.7427040483655</v>
      </c>
      <c r="O1002" s="17" t="n">
        <f aca="false">IF(N1002=0,100,100-100/(1+M1002/N1002))</f>
        <v>62.3703702875954</v>
      </c>
      <c r="P1002" s="17" t="n">
        <f aca="false">AVERAGE(B983:B1002)+2*STDEV(B983:B1002)</f>
        <v>10280.6449081976</v>
      </c>
      <c r="Q1002" s="17" t="n">
        <f aca="false">AVERAGE(B983:B1002)-2*STDEV(B983:B1002)</f>
        <v>9455.33409180239</v>
      </c>
      <c r="R1002" s="19" t="n">
        <f aca="false">B1002/B982-1</f>
        <v>0.0727557713893707</v>
      </c>
      <c r="S1002" s="17" t="n">
        <f aca="false">STDEV(C983:C1002)*SQRT(252)*100</f>
        <v>24.5156389580612</v>
      </c>
      <c r="T1002" s="19" t="n">
        <f aca="false">B981/B751-1</f>
        <v>0.23311849863851</v>
      </c>
      <c r="U1002" s="19" t="n">
        <f aca="false">B1002/MAX(B751:B1002)-1</f>
        <v>-0.0105770718778587</v>
      </c>
      <c r="V1002" s="17" t="n">
        <f aca="false">(B1002-AVERAGE(B983:B1002))/STDEV(B983:B1002)</f>
        <v>1.13334513666676</v>
      </c>
    </row>
    <row r="1003" customFormat="false" ht="15" hidden="false" customHeight="false" outlineLevel="0" collapsed="false">
      <c r="A1003" s="17" t="s">
        <v>1567</v>
      </c>
      <c r="B1003" s="17" t="n">
        <v>9849.36</v>
      </c>
      <c r="C1003" s="19" t="n">
        <f aca="false">B1003/B1002-1</f>
        <v>-0.0249925013586646</v>
      </c>
      <c r="D1003" s="17" t="n">
        <f aca="false">AVERAGE(B954:B1003)</f>
        <v>9387.3412</v>
      </c>
      <c r="E1003" s="17" t="n">
        <f aca="false">AVERAGE(B804:B1003)</f>
        <v>8624.56005</v>
      </c>
      <c r="F1003" s="17" t="n">
        <f aca="false">B1003*2/13+F1002*11/13</f>
        <v>9953.82987093276</v>
      </c>
      <c r="G1003" s="17" t="n">
        <f aca="false">B1003*2/27+G1002*25/27</f>
        <v>9759.43290362176</v>
      </c>
      <c r="H1003" s="17" t="n">
        <f aca="false">F1003-G1003</f>
        <v>194.396967310997</v>
      </c>
      <c r="I1003" s="17" t="n">
        <f aca="false">H1003*2/10+I1002*8/10</f>
        <v>221.453041744009</v>
      </c>
      <c r="J1003" s="17" t="n">
        <f aca="false">H1003-I1003</f>
        <v>-27.0560744330126</v>
      </c>
      <c r="K1003" s="17" t="n">
        <f aca="false">MAX(B1003-B1002,0)</f>
        <v>0</v>
      </c>
      <c r="L1003" s="17" t="n">
        <f aca="false">MAX(B1002-B1003,0)</f>
        <v>252.469999999999</v>
      </c>
      <c r="M1003" s="17" t="n">
        <f aca="false">(M1002*13+K1003)/14</f>
        <v>65.7848195814563</v>
      </c>
      <c r="N1003" s="17" t="n">
        <f aca="false">(N1002*13+L1003)/14</f>
        <v>57.7232251877679</v>
      </c>
      <c r="O1003" s="17" t="n">
        <f aca="false">IF(N1003=0,100,100-100/(1+M1003/N1003))</f>
        <v>53.2635908084981</v>
      </c>
      <c r="P1003" s="17" t="n">
        <f aca="false">AVERAGE(B984:B1003)+2*STDEV(B984:B1003)</f>
        <v>10268.549977976</v>
      </c>
      <c r="Q1003" s="17" t="n">
        <f aca="false">AVERAGE(B984:B1003)-2*STDEV(B984:B1003)</f>
        <v>9496.81202202404</v>
      </c>
      <c r="R1003" s="19" t="n">
        <f aca="false">B1003/B983-1</f>
        <v>0.0307497334004498</v>
      </c>
      <c r="S1003" s="17" t="n">
        <f aca="false">STDEV(C984:C1003)*SQRT(252)*100</f>
        <v>26.131650996734</v>
      </c>
      <c r="T1003" s="19" t="n">
        <f aca="false">B982/B752-1</f>
        <v>0.227559874228922</v>
      </c>
      <c r="U1003" s="19" t="n">
        <f aca="false">B1003/MAX(B752:B1003)-1</f>
        <v>-0.0353052257532454</v>
      </c>
      <c r="V1003" s="17" t="n">
        <f aca="false">(B1003-AVERAGE(B984:B1003))/STDEV(B984:B1003)</f>
        <v>-0.172706291004694</v>
      </c>
    </row>
    <row r="1004" customFormat="false" ht="15" hidden="false" customHeight="false" outlineLevel="0" collapsed="false">
      <c r="A1004" s="17" t="s">
        <v>1568</v>
      </c>
      <c r="B1004" s="17" t="n">
        <v>9961.16</v>
      </c>
      <c r="C1004" s="19" t="n">
        <f aca="false">B1004/B1003-1</f>
        <v>0.0113509913334471</v>
      </c>
      <c r="D1004" s="17" t="n">
        <f aca="false">AVERAGE(B955:B1004)</f>
        <v>9409.9162</v>
      </c>
      <c r="E1004" s="17" t="n">
        <f aca="false">AVERAGE(B805:B1004)</f>
        <v>8634.77915</v>
      </c>
      <c r="F1004" s="17" t="n">
        <f aca="false">B1004*2/13+F1003*11/13</f>
        <v>9954.95758309695</v>
      </c>
      <c r="G1004" s="17" t="n">
        <f aca="false">B1004*2/27+G1003*25/27</f>
        <v>9774.37565150163</v>
      </c>
      <c r="H1004" s="17" t="n">
        <f aca="false">F1004-G1004</f>
        <v>180.581931595318</v>
      </c>
      <c r="I1004" s="17" t="n">
        <f aca="false">H1004*2/10+I1003*8/10</f>
        <v>213.278819714271</v>
      </c>
      <c r="J1004" s="17" t="n">
        <f aca="false">H1004-I1004</f>
        <v>-32.6968881189534</v>
      </c>
      <c r="K1004" s="17" t="n">
        <f aca="false">MAX(B1004-B1003,0)</f>
        <v>111.799999999999</v>
      </c>
      <c r="L1004" s="17" t="n">
        <f aca="false">MAX(B1003-B1004,0)</f>
        <v>0</v>
      </c>
      <c r="M1004" s="17" t="n">
        <f aca="false">(M1003*13+K1004)/14</f>
        <v>69.0716181827808</v>
      </c>
      <c r="N1004" s="17" t="n">
        <f aca="false">(N1003*13+L1004)/14</f>
        <v>53.6001376743559</v>
      </c>
      <c r="O1004" s="17" t="n">
        <f aca="false">IF(N1004=0,100,100-100/(1+M1004/N1004))</f>
        <v>56.3060483647283</v>
      </c>
      <c r="P1004" s="17" t="n">
        <f aca="false">AVERAGE(B985:B1004)+2*STDEV(B985:B1004)</f>
        <v>10263.9126532794</v>
      </c>
      <c r="Q1004" s="17" t="n">
        <f aca="false">AVERAGE(B985:B1004)-2*STDEV(B985:B1004)</f>
        <v>9537.67634672059</v>
      </c>
      <c r="R1004" s="19" t="n">
        <f aca="false">B1004/B984-1</f>
        <v>0.0377408221158906</v>
      </c>
      <c r="S1004" s="17" t="n">
        <f aca="false">STDEV(C985:C1004)*SQRT(252)*100</f>
        <v>26.3426903226492</v>
      </c>
      <c r="T1004" s="19" t="n">
        <f aca="false">B983/B753-1</f>
        <v>0.230092403072035</v>
      </c>
      <c r="U1004" s="19" t="n">
        <f aca="false">B1004/MAX(B753:B1004)-1</f>
        <v>-0.0243549837313488</v>
      </c>
      <c r="V1004" s="17" t="n">
        <f aca="false">(B1004-AVERAGE(B985:B1004))/STDEV(B985:B1004)</f>
        <v>0.332484065887774</v>
      </c>
    </row>
    <row r="1005" customFormat="false" ht="15" hidden="false" customHeight="false" outlineLevel="0" collapsed="false">
      <c r="A1005" s="17" t="s">
        <v>1569</v>
      </c>
      <c r="B1005" s="17" t="n">
        <v>10156.85</v>
      </c>
      <c r="C1005" s="19" t="n">
        <f aca="false">B1005/B1004-1</f>
        <v>0.0196453023543444</v>
      </c>
      <c r="D1005" s="17" t="n">
        <f aca="false">AVERAGE(B956:B1005)</f>
        <v>9438.523</v>
      </c>
      <c r="E1005" s="17" t="n">
        <f aca="false">AVERAGE(B806:B1005)</f>
        <v>8646.09865</v>
      </c>
      <c r="F1005" s="17" t="n">
        <f aca="false">B1005*2/13+F1004*11/13</f>
        <v>9986.01795492819</v>
      </c>
      <c r="G1005" s="17" t="n">
        <f aca="false">B1005*2/27+G1004*25/27</f>
        <v>9802.70708472373</v>
      </c>
      <c r="H1005" s="17" t="n">
        <f aca="false">F1005-G1005</f>
        <v>183.310870204456</v>
      </c>
      <c r="I1005" s="17" t="n">
        <f aca="false">H1005*2/10+I1004*8/10</f>
        <v>207.285229812308</v>
      </c>
      <c r="J1005" s="17" t="n">
        <f aca="false">H1005-I1005</f>
        <v>-23.9743596078524</v>
      </c>
      <c r="K1005" s="17" t="n">
        <f aca="false">MAX(B1005-B1004,0)</f>
        <v>195.690000000001</v>
      </c>
      <c r="L1005" s="17" t="n">
        <f aca="false">MAX(B1004-B1005,0)</f>
        <v>0</v>
      </c>
      <c r="M1005" s="17" t="n">
        <f aca="false">(M1004*13+K1005)/14</f>
        <v>78.1157883125822</v>
      </c>
      <c r="N1005" s="17" t="n">
        <f aca="false">(N1004*13+L1005)/14</f>
        <v>49.7715564119019</v>
      </c>
      <c r="O1005" s="17" t="n">
        <f aca="false">IF(N1005=0,100,100-100/(1+M1005/N1005))</f>
        <v>61.0817188212579</v>
      </c>
      <c r="P1005" s="17" t="n">
        <f aca="false">AVERAGE(B986:B1005)+2*STDEV(B986:B1005)</f>
        <v>10287.0886735849</v>
      </c>
      <c r="Q1005" s="17" t="n">
        <f aca="false">AVERAGE(B986:B1005)-2*STDEV(B986:B1005)</f>
        <v>9564.45432641512</v>
      </c>
      <c r="R1005" s="19" t="n">
        <f aca="false">B1005/B985-1</f>
        <v>0.0517266195244848</v>
      </c>
      <c r="S1005" s="17" t="n">
        <f aca="false">STDEV(C986:C1005)*SQRT(252)*100</f>
        <v>27.0526361349372</v>
      </c>
      <c r="T1005" s="19" t="n">
        <f aca="false">B984/B754-1</f>
        <v>0.230655322815142</v>
      </c>
      <c r="U1005" s="19" t="n">
        <f aca="false">B1005/MAX(B754:B1005)-1</f>
        <v>-0.00518814239624199</v>
      </c>
      <c r="V1005" s="17" t="n">
        <f aca="false">(B1005-AVERAGE(B986:B1005))/STDEV(B986:B1005)</f>
        <v>1.279089491968</v>
      </c>
    </row>
    <row r="1006" customFormat="false" ht="15" hidden="false" customHeight="false" outlineLevel="0" collapsed="false">
      <c r="A1006" s="17" t="s">
        <v>1570</v>
      </c>
      <c r="B1006" s="17" t="n">
        <v>10279.25</v>
      </c>
      <c r="C1006" s="19" t="n">
        <f aca="false">B1006/B1005-1</f>
        <v>0.0120509803728517</v>
      </c>
      <c r="D1006" s="17" t="n">
        <f aca="false">AVERAGE(B957:B1006)</f>
        <v>9476.048</v>
      </c>
      <c r="E1006" s="17" t="n">
        <f aca="false">AVERAGE(B807:B1006)</f>
        <v>8658.23285</v>
      </c>
      <c r="F1006" s="17" t="n">
        <f aca="false">B1006*2/13+F1005*11/13</f>
        <v>10031.1305772469</v>
      </c>
      <c r="G1006" s="17" t="n">
        <f aca="false">B1006*2/27+G1005*25/27</f>
        <v>9838.00655992938</v>
      </c>
      <c r="H1006" s="17" t="n">
        <f aca="false">F1006-G1006</f>
        <v>193.124017317547</v>
      </c>
      <c r="I1006" s="17" t="n">
        <f aca="false">H1006*2/10+I1005*8/10</f>
        <v>204.452987313356</v>
      </c>
      <c r="J1006" s="17" t="n">
        <f aca="false">H1006-I1006</f>
        <v>-11.3289699958092</v>
      </c>
      <c r="K1006" s="17" t="n">
        <f aca="false">MAX(B1006-B1005,0)</f>
        <v>122.4</v>
      </c>
      <c r="L1006" s="17" t="n">
        <f aca="false">MAX(B1005-B1006,0)</f>
        <v>0</v>
      </c>
      <c r="M1006" s="17" t="n">
        <f aca="false">(M1005*13+K1006)/14</f>
        <v>81.2789462902549</v>
      </c>
      <c r="N1006" s="17" t="n">
        <f aca="false">(N1005*13+L1006)/14</f>
        <v>46.2164452396232</v>
      </c>
      <c r="O1006" s="17" t="n">
        <f aca="false">IF(N1006=0,100,100-100/(1+M1006/N1006))</f>
        <v>63.7504974218676</v>
      </c>
      <c r="P1006" s="17" t="n">
        <f aca="false">AVERAGE(B987:B1006)+2*STDEV(B987:B1006)</f>
        <v>10332.7717593151</v>
      </c>
      <c r="Q1006" s="17" t="n">
        <f aca="false">AVERAGE(B987:B1006)-2*STDEV(B987:B1006)</f>
        <v>9576.22724068488</v>
      </c>
      <c r="R1006" s="19" t="n">
        <f aca="false">B1006/B986-1</f>
        <v>0.059204364075514</v>
      </c>
      <c r="S1006" s="17" t="n">
        <f aca="false">STDEV(C987:C1006)*SQRT(252)*100</f>
        <v>27.2493002832807</v>
      </c>
      <c r="T1006" s="19" t="n">
        <f aca="false">B985/B755-1</f>
        <v>0.229026596875163</v>
      </c>
      <c r="U1006" s="19" t="n">
        <f aca="false">B1006/MAX(B755:B1006)-1</f>
        <v>0</v>
      </c>
      <c r="V1006" s="17" t="n">
        <f aca="false">(B1006-AVERAGE(B987:B1006))/STDEV(B987:B1006)</f>
        <v>1.71701990829554</v>
      </c>
    </row>
    <row r="1007" customFormat="false" ht="15" hidden="false" customHeight="false" outlineLevel="0" collapsed="false">
      <c r="A1007" s="17" t="s">
        <v>1571</v>
      </c>
      <c r="B1007" s="17" t="n">
        <v>10341.89</v>
      </c>
      <c r="C1007" s="19" t="n">
        <f aca="false">B1007/B1006-1</f>
        <v>0.00609382980275797</v>
      </c>
      <c r="D1007" s="17" t="n">
        <f aca="false">AVERAGE(B958:B1007)</f>
        <v>9509.593</v>
      </c>
      <c r="E1007" s="17" t="n">
        <f aca="false">AVERAGE(B808:B1007)</f>
        <v>8670.49835</v>
      </c>
      <c r="F1007" s="17" t="n">
        <f aca="false">B1007*2/13+F1006*11/13</f>
        <v>10078.9397192089</v>
      </c>
      <c r="G1007" s="17" t="n">
        <f aca="false">B1007*2/27+G1006*25/27</f>
        <v>9875.33125919387</v>
      </c>
      <c r="H1007" s="17" t="n">
        <f aca="false">F1007-G1007</f>
        <v>203.608460015066</v>
      </c>
      <c r="I1007" s="17" t="n">
        <f aca="false">H1007*2/10+I1006*8/10</f>
        <v>204.284081853698</v>
      </c>
      <c r="J1007" s="17" t="n">
        <f aca="false">H1007-I1007</f>
        <v>-0.675621838631656</v>
      </c>
      <c r="K1007" s="17" t="n">
        <f aca="false">MAX(B1007-B1006,0)</f>
        <v>62.6399999999994</v>
      </c>
      <c r="L1007" s="17" t="n">
        <f aca="false">MAX(B1006-B1007,0)</f>
        <v>0</v>
      </c>
      <c r="M1007" s="17" t="n">
        <f aca="false">(M1006*13+K1007)/14</f>
        <v>79.9475929838081</v>
      </c>
      <c r="N1007" s="17" t="n">
        <f aca="false">(N1006*13+L1007)/14</f>
        <v>42.9152705796501</v>
      </c>
      <c r="O1007" s="17" t="n">
        <f aca="false">IF(N1007=0,100,100-100/(1+M1007/N1007))</f>
        <v>65.070592256313</v>
      </c>
      <c r="P1007" s="17" t="n">
        <f aca="false">AVERAGE(B988:B1007)+2*STDEV(B988:B1007)</f>
        <v>10373.685368108</v>
      </c>
      <c r="Q1007" s="17" t="n">
        <f aca="false">AVERAGE(B988:B1007)-2*STDEV(B988:B1007)</f>
        <v>9606.53663189197</v>
      </c>
      <c r="R1007" s="19" t="n">
        <f aca="false">B1007/B987-1</f>
        <v>0.0739621128887209</v>
      </c>
      <c r="S1007" s="17" t="n">
        <f aca="false">STDEV(C988:C1007)*SQRT(252)*100</f>
        <v>26.9660883043244</v>
      </c>
      <c r="T1007" s="19" t="n">
        <f aca="false">B986/B756-1</f>
        <v>0.237637891676125</v>
      </c>
      <c r="U1007" s="19" t="n">
        <f aca="false">B1007/MAX(B756:B1007)-1</f>
        <v>0</v>
      </c>
      <c r="V1007" s="17" t="n">
        <f aca="false">(B1007-AVERAGE(B988:B1007))/STDEV(B988:B1007)</f>
        <v>1.83421536603262</v>
      </c>
    </row>
    <row r="1008" customFormat="false" ht="15" hidden="false" customHeight="false" outlineLevel="0" collapsed="false">
      <c r="A1008" s="17" t="s">
        <v>1572</v>
      </c>
      <c r="B1008" s="17" t="n">
        <v>10604.06</v>
      </c>
      <c r="C1008" s="19" t="n">
        <f aca="false">B1008/B1007-1</f>
        <v>0.0253502986398038</v>
      </c>
      <c r="D1008" s="17" t="n">
        <f aca="false">AVERAGE(B959:B1008)</f>
        <v>9548.8442</v>
      </c>
      <c r="E1008" s="17" t="n">
        <f aca="false">AVERAGE(B809:B1008)</f>
        <v>8684.07585</v>
      </c>
      <c r="F1008" s="17" t="n">
        <f aca="false">B1008*2/13+F1007*11/13</f>
        <v>10159.7274547153</v>
      </c>
      <c r="G1008" s="17" t="n">
        <f aca="false">B1008*2/27+G1007*25/27</f>
        <v>9929.31116592025</v>
      </c>
      <c r="H1008" s="17" t="n">
        <f aca="false">F1008-G1008</f>
        <v>230.416288795002</v>
      </c>
      <c r="I1008" s="17" t="n">
        <f aca="false">H1008*2/10+I1007*8/10</f>
        <v>209.510523241959</v>
      </c>
      <c r="J1008" s="17" t="n">
        <f aca="false">H1008-I1008</f>
        <v>20.9057655530437</v>
      </c>
      <c r="K1008" s="17" t="n">
        <f aca="false">MAX(B1008-B1007,0)</f>
        <v>262.17</v>
      </c>
      <c r="L1008" s="17" t="n">
        <f aca="false">MAX(B1007-B1008,0)</f>
        <v>0</v>
      </c>
      <c r="M1008" s="17" t="n">
        <f aca="false">(M1007*13+K1008)/14</f>
        <v>92.9634791992503</v>
      </c>
      <c r="N1008" s="17" t="n">
        <f aca="false">(N1007*13+L1008)/14</f>
        <v>39.8498941096751</v>
      </c>
      <c r="O1008" s="17" t="n">
        <f aca="false">IF(N1008=0,100,100-100/(1+M1008/N1008))</f>
        <v>69.9955711410297</v>
      </c>
      <c r="P1008" s="17" t="n">
        <f aca="false">AVERAGE(B989:B1008)+2*STDEV(B989:B1008)</f>
        <v>10492.0233486184</v>
      </c>
      <c r="Q1008" s="17" t="n">
        <f aca="false">AVERAGE(B989:B1008)-2*STDEV(B989:B1008)</f>
        <v>9566.1656513816</v>
      </c>
      <c r="R1008" s="19" t="n">
        <f aca="false">B1008/B988-1</f>
        <v>0.0793606524170967</v>
      </c>
      <c r="S1008" s="17" t="n">
        <f aca="false">STDEV(C989:C1008)*SQRT(252)*100</f>
        <v>27.4397718820113</v>
      </c>
      <c r="T1008" s="19" t="n">
        <f aca="false">B987/B757-1</f>
        <v>0.23682503638038</v>
      </c>
      <c r="U1008" s="19" t="n">
        <f aca="false">B1008/MAX(B757:B1008)-1</f>
        <v>0</v>
      </c>
      <c r="V1008" s="17" t="n">
        <f aca="false">(B1008-AVERAGE(B989:B1008))/STDEV(B989:B1008)</f>
        <v>2.48403400097431</v>
      </c>
    </row>
    <row r="1009" customFormat="false" ht="15" hidden="false" customHeight="false" outlineLevel="0" collapsed="false">
      <c r="A1009" s="17" t="s">
        <v>1573</v>
      </c>
      <c r="B1009" s="17" t="n">
        <v>10524.01</v>
      </c>
      <c r="C1009" s="19" t="n">
        <f aca="false">B1009/B1008-1</f>
        <v>-0.00754899538478648</v>
      </c>
      <c r="D1009" s="17" t="n">
        <f aca="false">AVERAGE(B960:B1009)</f>
        <v>9583.5924</v>
      </c>
      <c r="E1009" s="17" t="n">
        <f aca="false">AVERAGE(B810:B1009)</f>
        <v>8697.18695</v>
      </c>
      <c r="F1009" s="17" t="n">
        <f aca="false">B1009*2/13+F1008*11/13</f>
        <v>10215.7709232206</v>
      </c>
      <c r="G1009" s="17" t="n">
        <f aca="false">B1009*2/27+G1008*25/27</f>
        <v>9973.36293140764</v>
      </c>
      <c r="H1009" s="17" t="n">
        <f aca="false">F1009-G1009</f>
        <v>242.407991812959</v>
      </c>
      <c r="I1009" s="17" t="n">
        <f aca="false">H1009*2/10+I1008*8/10</f>
        <v>216.090016956159</v>
      </c>
      <c r="J1009" s="17" t="n">
        <f aca="false">H1009-I1009</f>
        <v>26.3179748568003</v>
      </c>
      <c r="K1009" s="17" t="n">
        <f aca="false">MAX(B1009-B1008,0)</f>
        <v>0</v>
      </c>
      <c r="L1009" s="17" t="n">
        <f aca="false">MAX(B1008-B1009,0)</f>
        <v>80.0499999999993</v>
      </c>
      <c r="M1009" s="17" t="n">
        <f aca="false">(M1008*13+K1009)/14</f>
        <v>86.3232306850182</v>
      </c>
      <c r="N1009" s="17" t="n">
        <f aca="false">(N1008*13+L1009)/14</f>
        <v>42.7213302446983</v>
      </c>
      <c r="O1009" s="17" t="n">
        <f aca="false">IF(N1009=0,100,100-100/(1+M1009/N1009))</f>
        <v>66.8941256129607</v>
      </c>
      <c r="P1009" s="17" t="n">
        <f aca="false">AVERAGE(B990:B1009)+2*STDEV(B990:B1009)</f>
        <v>10568.5146503495</v>
      </c>
      <c r="Q1009" s="17" t="n">
        <f aca="false">AVERAGE(B990:B1009)-2*STDEV(B990:B1009)</f>
        <v>9551.92334965051</v>
      </c>
      <c r="R1009" s="19" t="n">
        <f aca="false">B1009/B989-1</f>
        <v>0.062868125297934</v>
      </c>
      <c r="S1009" s="17" t="n">
        <f aca="false">STDEV(C990:C1009)*SQRT(252)*100</f>
        <v>27.6942223062303</v>
      </c>
      <c r="T1009" s="19" t="n">
        <f aca="false">B988/B758-1</f>
        <v>0.255214734900075</v>
      </c>
      <c r="U1009" s="19" t="n">
        <f aca="false">B1009/MAX(B758:B1009)-1</f>
        <v>-0.00754899538478648</v>
      </c>
      <c r="V1009" s="17" t="n">
        <f aca="false">(B1009-AVERAGE(B990:B1009))/STDEV(B990:B1009)</f>
        <v>1.82488675510447</v>
      </c>
    </row>
    <row r="1010" customFormat="false" ht="15" hidden="false" customHeight="false" outlineLevel="0" collapsed="false">
      <c r="A1010" s="17" t="s">
        <v>1574</v>
      </c>
      <c r="B1010" s="17" t="n">
        <v>10666.7</v>
      </c>
      <c r="C1010" s="19" t="n">
        <f aca="false">B1010/B1009-1</f>
        <v>0.0135585199938046</v>
      </c>
      <c r="D1010" s="17" t="n">
        <f aca="false">AVERAGE(B961:B1010)</f>
        <v>9620.1732</v>
      </c>
      <c r="E1010" s="17" t="n">
        <f aca="false">AVERAGE(B811:B1010)</f>
        <v>8711.4027</v>
      </c>
      <c r="F1010" s="17" t="n">
        <f aca="false">B1010*2/13+F1009*11/13</f>
        <v>10285.1446273405</v>
      </c>
      <c r="G1010" s="17" t="n">
        <f aca="false">B1010*2/27+G1009*25/27</f>
        <v>10024.7212327849</v>
      </c>
      <c r="H1010" s="17" t="n">
        <f aca="false">F1010-G1010</f>
        <v>260.423394555653</v>
      </c>
      <c r="I1010" s="17" t="n">
        <f aca="false">H1010*2/10+I1009*8/10</f>
        <v>224.956692476058</v>
      </c>
      <c r="J1010" s="17" t="n">
        <f aca="false">H1010-I1010</f>
        <v>35.4667020795957</v>
      </c>
      <c r="K1010" s="17" t="n">
        <f aca="false">MAX(B1010-B1009,0)</f>
        <v>142.690000000001</v>
      </c>
      <c r="L1010" s="17" t="n">
        <f aca="false">MAX(B1009-B1010,0)</f>
        <v>0</v>
      </c>
      <c r="M1010" s="17" t="n">
        <f aca="false">(M1009*13+K1010)/14</f>
        <v>90.3494284932312</v>
      </c>
      <c r="N1010" s="17" t="n">
        <f aca="false">(N1009*13+L1010)/14</f>
        <v>39.6698066557913</v>
      </c>
      <c r="O1010" s="17" t="n">
        <f aca="false">IF(N1010=0,100,100-100/(1+M1010/N1010))</f>
        <v>69.489278559189</v>
      </c>
      <c r="P1010" s="17" t="n">
        <f aca="false">AVERAGE(B991:B1010)+2*STDEV(B991:B1010)</f>
        <v>10668.6293303854</v>
      </c>
      <c r="Q1010" s="17" t="n">
        <f aca="false">AVERAGE(B991:B1010)-2*STDEV(B991:B1010)</f>
        <v>9521.76166961455</v>
      </c>
      <c r="R1010" s="19" t="n">
        <f aca="false">B1010/B990-1</f>
        <v>0.0701834121420624</v>
      </c>
      <c r="S1010" s="17" t="n">
        <f aca="false">STDEV(C991:C1010)*SQRT(252)*100</f>
        <v>27.916337303098</v>
      </c>
      <c r="T1010" s="19" t="n">
        <f aca="false">B989/B759-1</f>
        <v>0.252817774628641</v>
      </c>
      <c r="U1010" s="19" t="n">
        <f aca="false">B1010/MAX(B759:B1010)-1</f>
        <v>0</v>
      </c>
      <c r="V1010" s="17" t="n">
        <f aca="false">(B1010-AVERAGE(B991:B1010))/STDEV(B991:B1010)</f>
        <v>1.99327095722919</v>
      </c>
    </row>
    <row r="1011" customFormat="false" ht="15" hidden="false" customHeight="false" outlineLevel="0" collapsed="false">
      <c r="A1011" s="17" t="s">
        <v>1575</v>
      </c>
      <c r="B1011" s="17" t="n">
        <v>10754.59</v>
      </c>
      <c r="C1011" s="19" t="n">
        <f aca="false">B1011/B1010-1</f>
        <v>0.00823966175105695</v>
      </c>
      <c r="D1011" s="17" t="n">
        <f aca="false">AVERAGE(B962:B1011)</f>
        <v>9661.713</v>
      </c>
      <c r="E1011" s="17" t="n">
        <f aca="false">AVERAGE(B812:B1011)</f>
        <v>8726.0826</v>
      </c>
      <c r="F1011" s="17" t="n">
        <f aca="false">B1011*2/13+F1010*11/13</f>
        <v>10357.366992365</v>
      </c>
      <c r="G1011" s="17" t="n">
        <f aca="false">B1011*2/27+G1010*25/27</f>
        <v>10078.7855859119</v>
      </c>
      <c r="H1011" s="17" t="n">
        <f aca="false">F1011-G1011</f>
        <v>278.581406453142</v>
      </c>
      <c r="I1011" s="17" t="n">
        <f aca="false">H1011*2/10+I1010*8/10</f>
        <v>235.681635271475</v>
      </c>
      <c r="J1011" s="17" t="n">
        <f aca="false">H1011-I1011</f>
        <v>42.8997711816677</v>
      </c>
      <c r="K1011" s="17" t="n">
        <f aca="false">MAX(B1011-B1010,0)</f>
        <v>87.8899999999994</v>
      </c>
      <c r="L1011" s="17" t="n">
        <f aca="false">MAX(B1010-B1011,0)</f>
        <v>0</v>
      </c>
      <c r="M1011" s="17" t="n">
        <f aca="false">(M1010*13+K1011)/14</f>
        <v>90.1737550294289</v>
      </c>
      <c r="N1011" s="17" t="n">
        <f aca="false">(N1010*13+L1011)/14</f>
        <v>36.8362490375205</v>
      </c>
      <c r="O1011" s="17" t="n">
        <f aca="false">IF(N1011=0,100,100-100/(1+M1011/N1011))</f>
        <v>70.9973640988915</v>
      </c>
      <c r="P1011" s="17" t="n">
        <f aca="false">AVERAGE(B992:B1011)+2*STDEV(B992:B1011)</f>
        <v>10773.0169310442</v>
      </c>
      <c r="Q1011" s="17" t="n">
        <f aca="false">AVERAGE(B992:B1011)-2*STDEV(B992:B1011)</f>
        <v>9483.40706895577</v>
      </c>
      <c r="R1011" s="19" t="n">
        <f aca="false">B1011/B991-1</f>
        <v>0.0654163851535428</v>
      </c>
      <c r="S1011" s="17" t="n">
        <f aca="false">STDEV(C992:C1011)*SQRT(252)*100</f>
        <v>27.7645772848139</v>
      </c>
      <c r="T1011" s="19" t="n">
        <f aca="false">B990/B760-1</f>
        <v>0.262181547415529</v>
      </c>
      <c r="U1011" s="19" t="n">
        <f aca="false">B1011/MAX(B760:B1011)-1</f>
        <v>0</v>
      </c>
      <c r="V1011" s="17" t="n">
        <f aca="false">(B1011-AVERAGE(B992:B1011))/STDEV(B992:B1011)</f>
        <v>1.94284494377429</v>
      </c>
    </row>
    <row r="1012" customFormat="false" ht="15" hidden="false" customHeight="false" outlineLevel="0" collapsed="false">
      <c r="A1012" s="17" t="s">
        <v>1576</v>
      </c>
      <c r="B1012" s="17" t="n">
        <v>10836.33</v>
      </c>
      <c r="C1012" s="19" t="n">
        <f aca="false">B1012/B1011-1</f>
        <v>0.00760047570386213</v>
      </c>
      <c r="D1012" s="17" t="n">
        <f aca="false">AVERAGE(B963:B1012)</f>
        <v>9698.7844</v>
      </c>
      <c r="E1012" s="17" t="n">
        <f aca="false">AVERAGE(B813:B1012)</f>
        <v>8741.71405</v>
      </c>
      <c r="F1012" s="17" t="n">
        <f aca="false">B1012*2/13+F1011*11/13</f>
        <v>10431.0536089243</v>
      </c>
      <c r="G1012" s="17" t="n">
        <f aca="false">B1012*2/27+G1011*25/27</f>
        <v>10134.8999869555</v>
      </c>
      <c r="H1012" s="17" t="n">
        <f aca="false">F1012-G1012</f>
        <v>296.153621968806</v>
      </c>
      <c r="I1012" s="17" t="n">
        <f aca="false">H1012*2/10+I1011*8/10</f>
        <v>247.776032610941</v>
      </c>
      <c r="J1012" s="17" t="n">
        <f aca="false">H1012-I1012</f>
        <v>48.3775893578651</v>
      </c>
      <c r="K1012" s="17" t="n">
        <f aca="false">MAX(B1012-B1011,0)</f>
        <v>81.7399999999998</v>
      </c>
      <c r="L1012" s="17" t="n">
        <f aca="false">MAX(B1011-B1012,0)</f>
        <v>0</v>
      </c>
      <c r="M1012" s="17" t="n">
        <f aca="false">(M1011*13+K1012)/14</f>
        <v>89.5713439558982</v>
      </c>
      <c r="N1012" s="17" t="n">
        <f aca="false">(N1011*13+L1012)/14</f>
        <v>34.2050883919833</v>
      </c>
      <c r="O1012" s="17" t="n">
        <f aca="false">IF(N1012=0,100,100-100/(1+M1012/N1012))</f>
        <v>72.3654271308712</v>
      </c>
      <c r="P1012" s="17" t="n">
        <f aca="false">AVERAGE(B993:B1012)+2*STDEV(B993:B1012)</f>
        <v>10856.6513822909</v>
      </c>
      <c r="Q1012" s="17" t="n">
        <f aca="false">AVERAGE(B993:B1012)-2*STDEV(B993:B1012)</f>
        <v>9524.55761770907</v>
      </c>
      <c r="R1012" s="19" t="n">
        <f aca="false">B1012/B992-1</f>
        <v>0.130140543652383</v>
      </c>
      <c r="S1012" s="17" t="n">
        <f aca="false">STDEV(C993:C1012)*SQRT(252)*100</f>
        <v>19.3036799163514</v>
      </c>
      <c r="T1012" s="19" t="n">
        <f aca="false">B991/B761-1</f>
        <v>0.27079881761095</v>
      </c>
      <c r="U1012" s="19" t="n">
        <f aca="false">B1012/MAX(B761:B1012)-1</f>
        <v>0</v>
      </c>
      <c r="V1012" s="17" t="n">
        <f aca="false">(B1012-AVERAGE(B993:B1012))/STDEV(B993:B1012)</f>
        <v>1.93897912344838</v>
      </c>
    </row>
    <row r="1013" customFormat="false" ht="15" hidden="false" customHeight="false" outlineLevel="0" collapsed="false">
      <c r="A1013" s="17" t="s">
        <v>1577</v>
      </c>
      <c r="B1013" s="17" t="n">
        <v>10602.21</v>
      </c>
      <c r="C1013" s="19" t="n">
        <f aca="false">B1013/B1012-1</f>
        <v>-0.0216051006198594</v>
      </c>
      <c r="D1013" s="17" t="n">
        <f aca="false">AVERAGE(B964:B1013)</f>
        <v>9730.8184</v>
      </c>
      <c r="E1013" s="17" t="n">
        <f aca="false">AVERAGE(B814:B1013)</f>
        <v>8755.7074</v>
      </c>
      <c r="F1013" s="17" t="n">
        <f aca="false">B1013*2/13+F1012*11/13</f>
        <v>10457.3853613975</v>
      </c>
      <c r="G1013" s="17" t="n">
        <f aca="false">B1013*2/27+G1012*25/27</f>
        <v>10169.5155434773</v>
      </c>
      <c r="H1013" s="17" t="n">
        <f aca="false">F1013-G1013</f>
        <v>287.869817920177</v>
      </c>
      <c r="I1013" s="17" t="n">
        <f aca="false">H1013*2/10+I1012*8/10</f>
        <v>255.794789672788</v>
      </c>
      <c r="J1013" s="17" t="n">
        <f aca="false">H1013-I1013</f>
        <v>32.0750282473884</v>
      </c>
      <c r="K1013" s="17" t="n">
        <f aca="false">MAX(B1013-B1012,0)</f>
        <v>0</v>
      </c>
      <c r="L1013" s="17" t="n">
        <f aca="false">MAX(B1012-B1013,0)</f>
        <v>234.120000000001</v>
      </c>
      <c r="M1013" s="17" t="n">
        <f aca="false">(M1012*13+K1013)/14</f>
        <v>83.1733908161912</v>
      </c>
      <c r="N1013" s="17" t="n">
        <f aca="false">(N1012*13+L1013)/14</f>
        <v>48.4847249354131</v>
      </c>
      <c r="O1013" s="17" t="n">
        <f aca="false">IF(N1013=0,100,100-100/(1+M1013/N1013))</f>
        <v>63.1737666465713</v>
      </c>
      <c r="P1013" s="17" t="n">
        <f aca="false">AVERAGE(B994:B1013)+2*STDEV(B994:B1013)</f>
        <v>10879.0751325944</v>
      </c>
      <c r="Q1013" s="17" t="n">
        <f aca="false">AVERAGE(B994:B1013)-2*STDEV(B994:B1013)</f>
        <v>9595.9768674056</v>
      </c>
      <c r="R1013" s="19" t="n">
        <f aca="false">B1013/B993-1</f>
        <v>0.0971079639644112</v>
      </c>
      <c r="S1013" s="17" t="n">
        <f aca="false">STDEV(C994:C1013)*SQRT(252)*100</f>
        <v>21.6588272877729</v>
      </c>
      <c r="T1013" s="19" t="n">
        <f aca="false">B992/B762-1</f>
        <v>0.203535113274498</v>
      </c>
      <c r="U1013" s="19" t="n">
        <f aca="false">B1013/MAX(B762:B1013)-1</f>
        <v>-0.0216051006198594</v>
      </c>
      <c r="V1013" s="17" t="n">
        <f aca="false">(B1013-AVERAGE(B994:B1013))/STDEV(B994:B1013)</f>
        <v>1.13688564592155</v>
      </c>
    </row>
    <row r="1014" customFormat="false" ht="15" hidden="false" customHeight="false" outlineLevel="0" collapsed="false">
      <c r="A1014" s="17" t="s">
        <v>1578</v>
      </c>
      <c r="B1014" s="17" t="n">
        <v>10689.52</v>
      </c>
      <c r="C1014" s="19" t="n">
        <f aca="false">B1014/B1013-1</f>
        <v>0.00823507551727443</v>
      </c>
      <c r="D1014" s="17" t="n">
        <f aca="false">AVERAGE(B965:B1014)</f>
        <v>9770.2452</v>
      </c>
      <c r="E1014" s="17" t="n">
        <f aca="false">AVERAGE(B815:B1014)</f>
        <v>8770.29505</v>
      </c>
      <c r="F1014" s="17" t="n">
        <f aca="false">B1014*2/13+F1013*11/13</f>
        <v>10493.0983827209</v>
      </c>
      <c r="G1014" s="17" t="n">
        <f aca="false">B1014*2/27+G1013*25/27</f>
        <v>10208.0343921086</v>
      </c>
      <c r="H1014" s="17" t="n">
        <f aca="false">F1014-G1014</f>
        <v>285.063990612332</v>
      </c>
      <c r="I1014" s="17" t="n">
        <f aca="false">H1014*2/10+I1013*8/10</f>
        <v>261.648629860697</v>
      </c>
      <c r="J1014" s="17" t="n">
        <f aca="false">H1014-I1014</f>
        <v>23.4153607516355</v>
      </c>
      <c r="K1014" s="17" t="n">
        <f aca="false">MAX(B1014-B1013,0)</f>
        <v>87.3100000000013</v>
      </c>
      <c r="L1014" s="17" t="n">
        <f aca="false">MAX(B1013-B1014,0)</f>
        <v>0</v>
      </c>
      <c r="M1014" s="17" t="n">
        <f aca="false">(M1013*13+K1014)/14</f>
        <v>83.4688629007491</v>
      </c>
      <c r="N1014" s="17" t="n">
        <f aca="false">(N1013*13+L1014)/14</f>
        <v>45.0215302971693</v>
      </c>
      <c r="O1014" s="17" t="n">
        <f aca="false">IF(N1014=0,100,100-100/(1+M1014/N1014))</f>
        <v>64.9611701103436</v>
      </c>
      <c r="P1014" s="17" t="n">
        <f aca="false">AVERAGE(B995:B1014)+2*STDEV(B995:B1014)</f>
        <v>10916.5275175668</v>
      </c>
      <c r="Q1014" s="17" t="n">
        <f aca="false">AVERAGE(B995:B1014)-2*STDEV(B995:B1014)</f>
        <v>9649.78748243315</v>
      </c>
      <c r="R1014" s="19" t="n">
        <f aca="false">B1014/B994-1</f>
        <v>0.093345634450219</v>
      </c>
      <c r="S1014" s="17" t="n">
        <f aca="false">STDEV(C995:C1014)*SQRT(252)*100</f>
        <v>21.5454363644197</v>
      </c>
      <c r="T1014" s="19" t="n">
        <f aca="false">B993/B763-1</f>
        <v>0.219084454805553</v>
      </c>
      <c r="U1014" s="19" t="n">
        <f aca="false">B1014/MAX(B763:B1014)-1</f>
        <v>-0.0135479447377479</v>
      </c>
      <c r="V1014" s="17" t="n">
        <f aca="false">(B1014-AVERAGE(B995:B1014))/STDEV(B995:B1014)</f>
        <v>1.28317567529035</v>
      </c>
    </row>
    <row r="1015" customFormat="false" ht="15" hidden="false" customHeight="false" outlineLevel="0" collapsed="false">
      <c r="A1015" s="17" t="s">
        <v>1579</v>
      </c>
      <c r="B1015" s="17" t="n">
        <v>10701.68</v>
      </c>
      <c r="C1015" s="19" t="n">
        <f aca="false">B1015/B1014-1</f>
        <v>0.00113756277176158</v>
      </c>
      <c r="D1015" s="17" t="n">
        <f aca="false">AVERAGE(B966:B1015)</f>
        <v>9807.5966</v>
      </c>
      <c r="E1015" s="17" t="n">
        <f aca="false">AVERAGE(B816:B1015)</f>
        <v>8785.39555</v>
      </c>
      <c r="F1015" s="17" t="n">
        <f aca="false">B1015*2/13+F1014*11/13</f>
        <v>10525.1878623023</v>
      </c>
      <c r="G1015" s="17" t="n">
        <f aca="false">B1015*2/27+G1014*25/27</f>
        <v>10244.6007334339</v>
      </c>
      <c r="H1015" s="17" t="n">
        <f aca="false">F1015-G1015</f>
        <v>280.587128868439</v>
      </c>
      <c r="I1015" s="17" t="n">
        <f aca="false">H1015*2/10+I1014*8/10</f>
        <v>265.436329662245</v>
      </c>
      <c r="J1015" s="17" t="n">
        <f aca="false">H1015-I1015</f>
        <v>15.1507992061939</v>
      </c>
      <c r="K1015" s="17" t="n">
        <f aca="false">MAX(B1015-B1014,0)</f>
        <v>12.1599999999999</v>
      </c>
      <c r="L1015" s="17" t="n">
        <f aca="false">MAX(B1014-B1015,0)</f>
        <v>0</v>
      </c>
      <c r="M1015" s="17" t="n">
        <f aca="false">(M1014*13+K1015)/14</f>
        <v>78.3753726935527</v>
      </c>
      <c r="N1015" s="17" t="n">
        <f aca="false">(N1014*13+L1015)/14</f>
        <v>41.8057067045144</v>
      </c>
      <c r="O1015" s="17" t="n">
        <f aca="false">IF(N1015=0,100,100-100/(1+M1015/N1015))</f>
        <v>65.2144023719038</v>
      </c>
      <c r="P1015" s="17" t="n">
        <f aca="false">AVERAGE(B996:B1015)+2*STDEV(B996:B1015)</f>
        <v>10960.0072412309</v>
      </c>
      <c r="Q1015" s="17" t="n">
        <f aca="false">AVERAGE(B996:B1015)-2*STDEV(B996:B1015)</f>
        <v>9681.53875876905</v>
      </c>
      <c r="R1015" s="19" t="n">
        <f aca="false">B1015/B995-1</f>
        <v>0.0756138328356468</v>
      </c>
      <c r="S1015" s="17" t="n">
        <f aca="false">STDEV(C996:C1015)*SQRT(252)*100</f>
        <v>21.0060881275424</v>
      </c>
      <c r="T1015" s="19" t="n">
        <f aca="false">B994/B764-1</f>
        <v>0.239344332949665</v>
      </c>
      <c r="U1015" s="19" t="n">
        <f aca="false">B1015/MAX(B764:B1015)-1</f>
        <v>-0.0124257936035539</v>
      </c>
      <c r="V1015" s="17" t="n">
        <f aca="false">(B1015-AVERAGE(B996:B1015))/STDEV(B996:B1015)</f>
        <v>1.19176031392343</v>
      </c>
    </row>
    <row r="1016" customFormat="false" ht="15" hidden="false" customHeight="false" outlineLevel="0" collapsed="false">
      <c r="A1016" s="17" t="s">
        <v>1580</v>
      </c>
      <c r="B1016" s="17" t="n">
        <v>10626.46</v>
      </c>
      <c r="C1016" s="19" t="n">
        <f aca="false">B1016/B1015-1</f>
        <v>-0.00702880295430264</v>
      </c>
      <c r="D1016" s="17" t="n">
        <f aca="false">AVERAGE(B967:B1016)</f>
        <v>9841.5134</v>
      </c>
      <c r="E1016" s="17" t="n">
        <f aca="false">AVERAGE(B817:B1016)</f>
        <v>8799.7806</v>
      </c>
      <c r="F1016" s="17" t="n">
        <f aca="false">B1016*2/13+F1015*11/13</f>
        <v>10540.7681911789</v>
      </c>
      <c r="G1016" s="17" t="n">
        <f aca="false">B1016*2/27+G1015*25/27</f>
        <v>10272.8866050314</v>
      </c>
      <c r="H1016" s="17" t="n">
        <f aca="false">F1016-G1016</f>
        <v>267.881586147514</v>
      </c>
      <c r="I1016" s="17" t="n">
        <f aca="false">H1016*2/10+I1015*8/10</f>
        <v>265.925380959299</v>
      </c>
      <c r="J1016" s="17" t="n">
        <f aca="false">H1016-I1016</f>
        <v>1.95620518821499</v>
      </c>
      <c r="K1016" s="17" t="n">
        <f aca="false">MAX(B1016-B1015,0)</f>
        <v>0</v>
      </c>
      <c r="L1016" s="17" t="n">
        <f aca="false">MAX(B1015-B1016,0)</f>
        <v>75.2200000000012</v>
      </c>
      <c r="M1016" s="17" t="n">
        <f aca="false">(M1015*13+K1016)/14</f>
        <v>72.7771317868704</v>
      </c>
      <c r="N1016" s="17" t="n">
        <f aca="false">(N1015*13+L1016)/14</f>
        <v>44.1924419399063</v>
      </c>
      <c r="O1016" s="17" t="n">
        <f aca="false">IF(N1016=0,100,100-100/(1+M1016/N1016))</f>
        <v>62.2188569797363</v>
      </c>
      <c r="P1016" s="17" t="n">
        <f aca="false">AVERAGE(B997:B1016)+2*STDEV(B997:B1016)</f>
        <v>10985.2966747843</v>
      </c>
      <c r="Q1016" s="17" t="n">
        <f aca="false">AVERAGE(B997:B1016)-2*STDEV(B997:B1016)</f>
        <v>9720.64732521571</v>
      </c>
      <c r="R1016" s="19" t="n">
        <f aca="false">B1016/B996-1</f>
        <v>0.0645110233128441</v>
      </c>
      <c r="S1016" s="17" t="n">
        <f aca="false">STDEV(C997:C1016)*SQRT(252)*100</f>
        <v>21.3515420612274</v>
      </c>
      <c r="T1016" s="19" t="n">
        <f aca="false">B995/B765-1</f>
        <v>0.258755865604437</v>
      </c>
      <c r="U1016" s="19" t="n">
        <f aca="false">B1016/MAX(B765:B1016)-1</f>
        <v>-0.0193672581030664</v>
      </c>
      <c r="V1016" s="17" t="n">
        <f aca="false">(B1016-AVERAGE(B997:B1016))/STDEV(B997:B1016)</f>
        <v>0.865023969192088</v>
      </c>
    </row>
    <row r="1017" customFormat="false" ht="15" hidden="false" customHeight="false" outlineLevel="0" collapsed="false">
      <c r="A1017" s="17" t="s">
        <v>1581</v>
      </c>
      <c r="B1017" s="17" t="n">
        <v>10645.22</v>
      </c>
      <c r="C1017" s="19" t="n">
        <f aca="false">B1017/B1016-1</f>
        <v>0.00176540447147966</v>
      </c>
      <c r="D1017" s="17" t="n">
        <f aca="false">AVERAGE(B968:B1017)</f>
        <v>9874.7206</v>
      </c>
      <c r="E1017" s="17" t="n">
        <f aca="false">AVERAGE(B818:B1017)</f>
        <v>8814.586</v>
      </c>
      <c r="F1017" s="17" t="n">
        <f aca="false">B1017*2/13+F1016*11/13</f>
        <v>10556.8377002283</v>
      </c>
      <c r="G1017" s="17" t="n">
        <f aca="false">B1017*2/27+G1016*25/27</f>
        <v>10300.4668565105</v>
      </c>
      <c r="H1017" s="17" t="n">
        <f aca="false">F1017-G1017</f>
        <v>256.370843717757</v>
      </c>
      <c r="I1017" s="17" t="n">
        <f aca="false">H1017*2/10+I1016*8/10</f>
        <v>264.014473510991</v>
      </c>
      <c r="J1017" s="17" t="n">
        <f aca="false">H1017-I1017</f>
        <v>-7.64362979323335</v>
      </c>
      <c r="K1017" s="17" t="n">
        <f aca="false">MAX(B1017-B1016,0)</f>
        <v>18.7600000000002</v>
      </c>
      <c r="L1017" s="17" t="n">
        <f aca="false">MAX(B1016-B1017,0)</f>
        <v>0</v>
      </c>
      <c r="M1017" s="17" t="n">
        <f aca="false">(M1016*13+K1017)/14</f>
        <v>68.9187652306654</v>
      </c>
      <c r="N1017" s="17" t="n">
        <f aca="false">(N1016*13+L1017)/14</f>
        <v>41.0358389441987</v>
      </c>
      <c r="O1017" s="17" t="n">
        <f aca="false">IF(N1017=0,100,100-100/(1+M1017/N1017))</f>
        <v>62.6792900105045</v>
      </c>
      <c r="P1017" s="17" t="n">
        <f aca="false">AVERAGE(B998:B1017)+2*STDEV(B998:B1017)</f>
        <v>11008.4303530391</v>
      </c>
      <c r="Q1017" s="17" t="n">
        <f aca="false">AVERAGE(B998:B1017)-2*STDEV(B998:B1017)</f>
        <v>9760.83064696092</v>
      </c>
      <c r="R1017" s="19" t="n">
        <f aca="false">B1017/B997-1</f>
        <v>0.0632407948422151</v>
      </c>
      <c r="S1017" s="17" t="n">
        <f aca="false">STDEV(C998:C1017)*SQRT(252)*100</f>
        <v>21.3576609259358</v>
      </c>
      <c r="T1017" s="19" t="n">
        <f aca="false">B996/B766-1</f>
        <v>0.274104328070556</v>
      </c>
      <c r="U1017" s="19" t="n">
        <f aca="false">B1017/MAX(B766:B1017)-1</f>
        <v>-0.0176360446756421</v>
      </c>
      <c r="V1017" s="17" t="n">
        <f aca="false">(B1017-AVERAGE(B998:B1017))/STDEV(B998:B1017)</f>
        <v>0.835490738673432</v>
      </c>
    </row>
    <row r="1018" customFormat="false" ht="15" hidden="false" customHeight="false" outlineLevel="0" collapsed="false">
      <c r="A1018" s="17" t="s">
        <v>1582</v>
      </c>
      <c r="B1018" s="17" t="n">
        <v>10952.08</v>
      </c>
      <c r="C1018" s="19" t="n">
        <f aca="false">B1018/B1017-1</f>
        <v>0.0288260834440246</v>
      </c>
      <c r="D1018" s="17" t="n">
        <f aca="false">AVERAGE(B969:B1018)</f>
        <v>9911.7246</v>
      </c>
      <c r="E1018" s="17" t="n">
        <f aca="false">AVERAGE(B819:B1018)</f>
        <v>8831.59245</v>
      </c>
      <c r="F1018" s="17" t="n">
        <f aca="false">B1018*2/13+F1017*11/13</f>
        <v>10617.6442078855</v>
      </c>
      <c r="G1018" s="17" t="n">
        <f aca="false">B1018*2/27+G1017*25/27</f>
        <v>10348.734496769</v>
      </c>
      <c r="H1018" s="17" t="n">
        <f aca="false">F1018-G1018</f>
        <v>268.909711116463</v>
      </c>
      <c r="I1018" s="17" t="n">
        <f aca="false">H1018*2/10+I1017*8/10</f>
        <v>264.993521032085</v>
      </c>
      <c r="J1018" s="17" t="n">
        <f aca="false">H1018-I1018</f>
        <v>3.91619008437766</v>
      </c>
      <c r="K1018" s="17" t="n">
        <f aca="false">MAX(B1018-B1017,0)</f>
        <v>306.860000000001</v>
      </c>
      <c r="L1018" s="17" t="n">
        <f aca="false">MAX(B1017-B1018,0)</f>
        <v>0</v>
      </c>
      <c r="M1018" s="17" t="n">
        <f aca="false">(M1017*13+K1018)/14</f>
        <v>85.9145677141893</v>
      </c>
      <c r="N1018" s="17" t="n">
        <f aca="false">(N1017*13+L1018)/14</f>
        <v>38.1047075910416</v>
      </c>
      <c r="O1018" s="17" t="n">
        <f aca="false">IF(N1018=0,100,100-100/(1+M1018/N1018))</f>
        <v>69.2751731557373</v>
      </c>
      <c r="P1018" s="17" t="n">
        <f aca="false">AVERAGE(B999:B1018)+2*STDEV(B999:B1018)</f>
        <v>11078.1649282943</v>
      </c>
      <c r="Q1018" s="17" t="n">
        <f aca="false">AVERAGE(B999:B1018)-2*STDEV(B999:B1018)</f>
        <v>9785.44007170568</v>
      </c>
      <c r="R1018" s="19" t="n">
        <f aca="false">B1018/B998-1</f>
        <v>0.0942625571506219</v>
      </c>
      <c r="S1018" s="17" t="n">
        <f aca="false">STDEV(C999:C1018)*SQRT(252)*100</f>
        <v>23.1576426794181</v>
      </c>
      <c r="T1018" s="19" t="n">
        <f aca="false">B997/B767-1</f>
        <v>0.266527263343251</v>
      </c>
      <c r="U1018" s="19" t="n">
        <f aca="false">B1018/MAX(B767:B1018)-1</f>
        <v>0</v>
      </c>
      <c r="V1018" s="17" t="n">
        <f aca="false">(B1018-AVERAGE(B999:B1018))/STDEV(B999:B1018)</f>
        <v>1.60986306513192</v>
      </c>
    </row>
    <row r="1019" customFormat="false" ht="15" hidden="false" customHeight="false" outlineLevel="0" collapsed="false">
      <c r="A1019" s="17" t="s">
        <v>1583</v>
      </c>
      <c r="B1019" s="17" t="n">
        <v>10833.07</v>
      </c>
      <c r="C1019" s="19" t="n">
        <f aca="false">B1019/B1018-1</f>
        <v>-0.0108664290253541</v>
      </c>
      <c r="D1019" s="17" t="n">
        <f aca="false">AVERAGE(B970:B1019)</f>
        <v>9943.979</v>
      </c>
      <c r="E1019" s="17" t="n">
        <f aca="false">AVERAGE(B820:B1019)</f>
        <v>8847.56585</v>
      </c>
      <c r="F1019" s="17" t="n">
        <f aca="false">B1019*2/13+F1018*11/13</f>
        <v>10650.7866374416</v>
      </c>
      <c r="G1019" s="17" t="n">
        <f aca="false">B1019*2/27+G1018*25/27</f>
        <v>10384.611200712</v>
      </c>
      <c r="H1019" s="17" t="n">
        <f aca="false">F1019-G1019</f>
        <v>266.175436729509</v>
      </c>
      <c r="I1019" s="17" t="n">
        <f aca="false">H1019*2/10+I1018*8/10</f>
        <v>265.22990417157</v>
      </c>
      <c r="J1019" s="17" t="n">
        <f aca="false">H1019-I1019</f>
        <v>0.945532557938918</v>
      </c>
      <c r="K1019" s="17" t="n">
        <f aca="false">MAX(B1019-B1018,0)</f>
        <v>0</v>
      </c>
      <c r="L1019" s="17" t="n">
        <f aca="false">MAX(B1018-B1019,0)</f>
        <v>119.01</v>
      </c>
      <c r="M1019" s="17" t="n">
        <f aca="false">(M1018*13+K1019)/14</f>
        <v>79.7778128774615</v>
      </c>
      <c r="N1019" s="17" t="n">
        <f aca="false">(N1018*13+L1019)/14</f>
        <v>43.8836570488244</v>
      </c>
      <c r="O1019" s="17" t="n">
        <f aca="false">IF(N1019=0,100,100-100/(1+M1019/N1019))</f>
        <v>64.5130717959416</v>
      </c>
      <c r="P1019" s="17" t="n">
        <f aca="false">AVERAGE(B1000:B1019)+2*STDEV(B1000:B1019)</f>
        <v>11120.6598022209</v>
      </c>
      <c r="Q1019" s="17" t="n">
        <f aca="false">AVERAGE(B1000:B1019)-2*STDEV(B1000:B1019)</f>
        <v>9813.2191977791</v>
      </c>
      <c r="R1019" s="19" t="n">
        <f aca="false">B1019/B999-1</f>
        <v>0.069369902066369</v>
      </c>
      <c r="S1019" s="17" t="n">
        <f aca="false">STDEV(C1000:C1019)*SQRT(252)*100</f>
        <v>23.6009376514775</v>
      </c>
      <c r="T1019" s="19" t="n">
        <f aca="false">B998/B768-1</f>
        <v>0.258226727813983</v>
      </c>
      <c r="U1019" s="19" t="n">
        <f aca="false">B1019/MAX(B768:B1019)-1</f>
        <v>-0.0108664290253541</v>
      </c>
      <c r="V1019" s="17" t="n">
        <f aca="false">(B1019-AVERAGE(B1000:B1019))/STDEV(B1000:B1019)</f>
        <v>1.12014419242032</v>
      </c>
    </row>
    <row r="1020" customFormat="false" ht="15" hidden="false" customHeight="false" outlineLevel="0" collapsed="false">
      <c r="A1020" s="17" t="s">
        <v>1584</v>
      </c>
      <c r="B1020" s="17" t="n">
        <v>10870.75</v>
      </c>
      <c r="C1020" s="19" t="n">
        <f aca="false">B1020/B1019-1</f>
        <v>0.00347823839410255</v>
      </c>
      <c r="D1020" s="17" t="n">
        <f aca="false">AVERAGE(B971:B1020)</f>
        <v>9975.4156</v>
      </c>
      <c r="E1020" s="17" t="n">
        <f aca="false">AVERAGE(B821:B1020)</f>
        <v>8863.1491</v>
      </c>
      <c r="F1020" s="17" t="n">
        <f aca="false">B1020*2/13+F1019*11/13</f>
        <v>10684.6271547582</v>
      </c>
      <c r="G1020" s="17" t="n">
        <f aca="false">B1020*2/27+G1019*25/27</f>
        <v>10420.6214821408</v>
      </c>
      <c r="H1020" s="17" t="n">
        <f aca="false">F1020-G1020</f>
        <v>264.005672617455</v>
      </c>
      <c r="I1020" s="17" t="n">
        <f aca="false">H1020*2/10+I1019*8/10</f>
        <v>264.985057860747</v>
      </c>
      <c r="J1020" s="17" t="n">
        <f aca="false">H1020-I1020</f>
        <v>-0.979385243291745</v>
      </c>
      <c r="K1020" s="17" t="n">
        <f aca="false">MAX(B1020-B1019,0)</f>
        <v>37.6800000000003</v>
      </c>
      <c r="L1020" s="17" t="n">
        <f aca="false">MAX(B1019-B1020,0)</f>
        <v>0</v>
      </c>
      <c r="M1020" s="17" t="n">
        <f aca="false">(M1019*13+K1020)/14</f>
        <v>76.7708262433571</v>
      </c>
      <c r="N1020" s="17" t="n">
        <f aca="false">(N1019*13+L1020)/14</f>
        <v>40.7491101167655</v>
      </c>
      <c r="O1020" s="17" t="n">
        <f aca="false">IF(N1020=0,100,100-100/(1+M1020/N1020))</f>
        <v>65.3257894967746</v>
      </c>
      <c r="P1020" s="17" t="n">
        <f aca="false">AVERAGE(B1001:B1020)+2*STDEV(B1001:B1020)</f>
        <v>11165.6909557748</v>
      </c>
      <c r="Q1020" s="17" t="n">
        <f aca="false">AVERAGE(B1001:B1020)-2*STDEV(B1001:B1020)</f>
        <v>9834.28104422518</v>
      </c>
      <c r="R1020" s="19" t="n">
        <f aca="false">B1020/B1000-1</f>
        <v>0.0647347357739903</v>
      </c>
      <c r="S1020" s="17" t="n">
        <f aca="false">STDEV(C1001:C1020)*SQRT(252)*100</f>
        <v>23.5442195194202</v>
      </c>
      <c r="T1020" s="19" t="n">
        <f aca="false">B999/B769-1</f>
        <v>0.264614055608749</v>
      </c>
      <c r="U1020" s="19" t="n">
        <f aca="false">B1020/MAX(B769:B1020)-1</f>
        <v>-0.00742598666189431</v>
      </c>
      <c r="V1020" s="17" t="n">
        <f aca="false">(B1020-AVERAGE(B1001:B1020))/STDEV(B1001:B1020)</f>
        <v>1.11389887301789</v>
      </c>
    </row>
    <row r="1021" customFormat="false" ht="15" hidden="false" customHeight="false" outlineLevel="0" collapsed="false">
      <c r="A1021" s="17" t="s">
        <v>1585</v>
      </c>
      <c r="B1021" s="17" t="n">
        <v>10580.59</v>
      </c>
      <c r="C1021" s="19" t="n">
        <f aca="false">B1021/B1020-1</f>
        <v>-0.0266918105926454</v>
      </c>
      <c r="D1021" s="17" t="n">
        <f aca="false">AVERAGE(B972:B1021)</f>
        <v>10004.7784</v>
      </c>
      <c r="E1021" s="17" t="n">
        <f aca="false">AVERAGE(B822:B1021)</f>
        <v>8877.4264</v>
      </c>
      <c r="F1021" s="17" t="n">
        <f aca="false">B1021*2/13+F1020*11/13</f>
        <v>10668.6214386416</v>
      </c>
      <c r="G1021" s="17" t="n">
        <f aca="false">B1021*2/27+G1020*25/27</f>
        <v>10432.4710019822</v>
      </c>
      <c r="H1021" s="17" t="n">
        <f aca="false">F1021-G1021</f>
        <v>236.150436659382</v>
      </c>
      <c r="I1021" s="17" t="n">
        <f aca="false">H1021*2/10+I1020*8/10</f>
        <v>259.218133620474</v>
      </c>
      <c r="J1021" s="17" t="n">
        <f aca="false">H1021-I1021</f>
        <v>-23.0676969610922</v>
      </c>
      <c r="K1021" s="17" t="n">
        <f aca="false">MAX(B1021-B1020,0)</f>
        <v>0</v>
      </c>
      <c r="L1021" s="17" t="n">
        <f aca="false">MAX(B1020-B1021,0)</f>
        <v>290.16</v>
      </c>
      <c r="M1021" s="17" t="n">
        <f aca="false">(M1020*13+K1021)/14</f>
        <v>71.287195797403</v>
      </c>
      <c r="N1021" s="17" t="n">
        <f aca="false">(N1020*13+L1021)/14</f>
        <v>58.5641736798537</v>
      </c>
      <c r="O1021" s="17" t="n">
        <f aca="false">IF(N1021=0,100,100-100/(1+M1021/N1021))</f>
        <v>54.8990712107113</v>
      </c>
      <c r="P1021" s="17" t="n">
        <f aca="false">AVERAGE(B1002:B1021)+2*STDEV(B1002:B1021)</f>
        <v>11152.5420926328</v>
      </c>
      <c r="Q1021" s="17" t="n">
        <f aca="false">AVERAGE(B1002:B1021)-2*STDEV(B1002:B1021)</f>
        <v>9905.21890736721</v>
      </c>
      <c r="R1021" s="19" t="n">
        <f aca="false">B1021/B1001-1</f>
        <v>0.0577734011816808</v>
      </c>
      <c r="S1021" s="17" t="n">
        <f aca="false">STDEV(C1002:C1021)*SQRT(252)*100</f>
        <v>24.4843655520197</v>
      </c>
      <c r="T1021" s="19" t="n">
        <f aca="false">B1000/B770-1</f>
        <v>0.287514171102427</v>
      </c>
      <c r="U1021" s="19" t="n">
        <f aca="false">B1021/MAX(B770:B1021)-1</f>
        <v>-0.033919584225097</v>
      </c>
      <c r="V1021" s="17" t="n">
        <f aca="false">(B1021-AVERAGE(B1002:B1021))/STDEV(B1002:B1021)</f>
        <v>0.165825507329093</v>
      </c>
    </row>
    <row r="1022" customFormat="false" ht="15" hidden="false" customHeight="false" outlineLevel="0" collapsed="false">
      <c r="A1022" s="17" t="s">
        <v>1586</v>
      </c>
      <c r="B1022" s="17" t="n">
        <v>10483.13</v>
      </c>
      <c r="C1022" s="19" t="n">
        <f aca="false">B1022/B1021-1</f>
        <v>-0.00921120655842456</v>
      </c>
      <c r="D1022" s="17" t="n">
        <f aca="false">AVERAGE(B973:B1022)</f>
        <v>10034.4394</v>
      </c>
      <c r="E1022" s="17" t="n">
        <f aca="false">AVERAGE(B823:B1022)</f>
        <v>8891.8207</v>
      </c>
      <c r="F1022" s="17" t="n">
        <f aca="false">B1022*2/13+F1021*11/13</f>
        <v>10640.0842942352</v>
      </c>
      <c r="G1022" s="17" t="n">
        <f aca="false">B1022*2/27+G1021*25/27</f>
        <v>10436.2235203539</v>
      </c>
      <c r="H1022" s="17" t="n">
        <f aca="false">F1022-G1022</f>
        <v>203.860773881295</v>
      </c>
      <c r="I1022" s="17" t="n">
        <f aca="false">H1022*2/10+I1021*8/10</f>
        <v>248.146661672638</v>
      </c>
      <c r="J1022" s="17" t="n">
        <f aca="false">H1022-I1022</f>
        <v>-44.285887791343</v>
      </c>
      <c r="K1022" s="17" t="n">
        <f aca="false">MAX(B1022-B1021,0)</f>
        <v>0</v>
      </c>
      <c r="L1022" s="17" t="n">
        <f aca="false">MAX(B1021-B1022,0)</f>
        <v>97.460000000001</v>
      </c>
      <c r="M1022" s="17" t="n">
        <f aca="false">(M1021*13+K1022)/14</f>
        <v>66.1952532404457</v>
      </c>
      <c r="N1022" s="17" t="n">
        <f aca="false">(N1021*13+L1022)/14</f>
        <v>61.3424469884356</v>
      </c>
      <c r="O1022" s="17" t="n">
        <f aca="false">IF(N1022=0,100,100-100/(1+M1022/N1022))</f>
        <v>51.9024987291213</v>
      </c>
      <c r="P1022" s="17" t="n">
        <f aca="false">AVERAGE(B1003:B1022)+2*STDEV(B1003:B1022)</f>
        <v>11139.1052805732</v>
      </c>
      <c r="Q1022" s="17" t="n">
        <f aca="false">AVERAGE(B1003:B1022)-2*STDEV(B1003:B1022)</f>
        <v>9956.78571942679</v>
      </c>
      <c r="R1022" s="19" t="n">
        <f aca="false">B1022/B1002-1</f>
        <v>0.0377456361867106</v>
      </c>
      <c r="S1022" s="17" t="n">
        <f aca="false">STDEV(C1003:C1022)*SQRT(252)*100</f>
        <v>24.7007083408145</v>
      </c>
      <c r="T1022" s="19" t="n">
        <f aca="false">B1001/B771-1</f>
        <v>0.247693948446729</v>
      </c>
      <c r="U1022" s="19" t="n">
        <f aca="false">B1022/MAX(B771:B1022)-1</f>
        <v>-0.0428183504868482</v>
      </c>
      <c r="V1022" s="17" t="n">
        <f aca="false">(B1022-AVERAGE(B1003:B1022))/STDEV(B1003:B1022)</f>
        <v>-0.219282509162423</v>
      </c>
    </row>
    <row r="1023" customFormat="false" ht="15" hidden="false" customHeight="false" outlineLevel="0" collapsed="false">
      <c r="A1023" s="17" t="s">
        <v>1587</v>
      </c>
      <c r="B1023" s="17" t="n">
        <v>10674.38</v>
      </c>
      <c r="C1023" s="19" t="n">
        <f aca="false">B1023/B1022-1</f>
        <v>0.0182435970936161</v>
      </c>
      <c r="D1023" s="17" t="n">
        <f aca="false">AVERAGE(B974:B1023)</f>
        <v>10066.0386</v>
      </c>
      <c r="E1023" s="17" t="n">
        <f aca="false">AVERAGE(B824:B1023)</f>
        <v>8906.73995</v>
      </c>
      <c r="F1023" s="17" t="n">
        <f aca="false">B1023*2/13+F1022*11/13</f>
        <v>10645.3605566605</v>
      </c>
      <c r="G1023" s="17" t="n">
        <f aca="false">B1023*2/27+G1022*25/27</f>
        <v>10453.8647410684</v>
      </c>
      <c r="H1023" s="17" t="n">
        <f aca="false">F1023-G1023</f>
        <v>191.495815592125</v>
      </c>
      <c r="I1023" s="17" t="n">
        <f aca="false">H1023*2/10+I1022*8/10</f>
        <v>236.816492456536</v>
      </c>
      <c r="J1023" s="17" t="n">
        <f aca="false">H1023-I1023</f>
        <v>-45.3206768644106</v>
      </c>
      <c r="K1023" s="17" t="n">
        <f aca="false">MAX(B1023-B1022,0)</f>
        <v>191.25</v>
      </c>
      <c r="L1023" s="17" t="n">
        <f aca="false">MAX(B1022-B1023,0)</f>
        <v>0</v>
      </c>
      <c r="M1023" s="17" t="n">
        <f aca="false">(M1022*13+K1023)/14</f>
        <v>75.1277351518424</v>
      </c>
      <c r="N1023" s="17" t="n">
        <f aca="false">(N1022*13+L1023)/14</f>
        <v>56.9608436321188</v>
      </c>
      <c r="O1023" s="17" t="n">
        <f aca="false">IF(N1023=0,100,100-100/(1+M1023/N1023))</f>
        <v>56.8767836276885</v>
      </c>
      <c r="P1023" s="17" t="n">
        <f aca="false">AVERAGE(B1004:B1023)+2*STDEV(B1004:B1023)</f>
        <v>11082.074843323</v>
      </c>
      <c r="Q1023" s="17" t="n">
        <f aca="false">AVERAGE(B1004:B1023)-2*STDEV(B1004:B1023)</f>
        <v>10096.318156677</v>
      </c>
      <c r="R1023" s="19" t="n">
        <f aca="false">B1023/B1003-1</f>
        <v>0.0837638181567126</v>
      </c>
      <c r="S1023" s="17" t="n">
        <f aca="false">STDEV(C1004:C1023)*SQRT(252)*100</f>
        <v>23.1611762175937</v>
      </c>
      <c r="T1023" s="19" t="n">
        <f aca="false">B1002/B772-1</f>
        <v>0.264454730707416</v>
      </c>
      <c r="U1023" s="19" t="n">
        <f aca="false">B1023/MAX(B772:B1023)-1</f>
        <v>-0.0253559141277274</v>
      </c>
      <c r="V1023" s="17" t="n">
        <f aca="false">(B1023-AVERAGE(B1004:B1023))/STDEV(B1004:B1023)</f>
        <v>0.345657305312652</v>
      </c>
    </row>
    <row r="1024" customFormat="false" ht="15" hidden="false" customHeight="false" outlineLevel="0" collapsed="false">
      <c r="A1024" s="17" t="s">
        <v>1588</v>
      </c>
      <c r="B1024" s="17" t="n">
        <v>10532.5</v>
      </c>
      <c r="C1024" s="19" t="n">
        <f aca="false">B1024/B1023-1</f>
        <v>-0.0132916384839212</v>
      </c>
      <c r="D1024" s="17" t="n">
        <f aca="false">AVERAGE(B975:B1024)</f>
        <v>10093.6358</v>
      </c>
      <c r="E1024" s="17" t="n">
        <f aca="false">AVERAGE(B825:B1024)</f>
        <v>8920.70065</v>
      </c>
      <c r="F1024" s="17" t="n">
        <f aca="false">B1024*2/13+F1023*11/13</f>
        <v>10627.9973940974</v>
      </c>
      <c r="G1024" s="17" t="n">
        <f aca="false">B1024*2/27+G1023*25/27</f>
        <v>10459.6895750634</v>
      </c>
      <c r="H1024" s="17" t="n">
        <f aca="false">F1024-G1024</f>
        <v>168.307819034031</v>
      </c>
      <c r="I1024" s="17" t="n">
        <f aca="false">H1024*2/10+I1023*8/10</f>
        <v>223.114757772035</v>
      </c>
      <c r="J1024" s="17" t="n">
        <f aca="false">H1024-I1024</f>
        <v>-54.8069387380035</v>
      </c>
      <c r="K1024" s="17" t="n">
        <f aca="false">MAX(B1024-B1023,0)</f>
        <v>0</v>
      </c>
      <c r="L1024" s="17" t="n">
        <f aca="false">MAX(B1023-B1024,0)</f>
        <v>141.879999999999</v>
      </c>
      <c r="M1024" s="17" t="n">
        <f aca="false">(M1023*13+K1024)/14</f>
        <v>69.7614683552823</v>
      </c>
      <c r="N1024" s="17" t="n">
        <f aca="false">(N1023*13+L1024)/14</f>
        <v>63.026497658396</v>
      </c>
      <c r="O1024" s="17" t="n">
        <f aca="false">IF(N1024=0,100,100-100/(1+M1024/N1024))</f>
        <v>52.5359868439406</v>
      </c>
      <c r="P1024" s="17" t="n">
        <f aca="false">AVERAGE(B1005:B1024)+2*STDEV(B1005:B1024)</f>
        <v>11014.1620817742</v>
      </c>
      <c r="Q1024" s="17" t="n">
        <f aca="false">AVERAGE(B1005:B1024)-2*STDEV(B1005:B1024)</f>
        <v>10221.3649182258</v>
      </c>
      <c r="R1024" s="19" t="n">
        <f aca="false">B1024/B1004-1</f>
        <v>0.0573567737090861</v>
      </c>
      <c r="S1024" s="17" t="n">
        <f aca="false">STDEV(C1005:C1024)*SQRT(252)*100</f>
        <v>23.7857191856408</v>
      </c>
      <c r="T1024" s="19" t="n">
        <f aca="false">B1003/B773-1</f>
        <v>0.23852840689748</v>
      </c>
      <c r="U1024" s="19" t="n">
        <f aca="false">B1024/MAX(B773:B1024)-1</f>
        <v>-0.0383105309676336</v>
      </c>
      <c r="V1024" s="17" t="n">
        <f aca="false">(B1024-AVERAGE(B1005:B1024))/STDEV(B1005:B1024)</f>
        <v>-0.43019074194649</v>
      </c>
    </row>
    <row r="1025" customFormat="false" ht="15" hidden="false" customHeight="false" outlineLevel="0" collapsed="false">
      <c r="A1025" s="17" t="s">
        <v>1589</v>
      </c>
      <c r="B1025" s="17" t="n">
        <v>10662.98</v>
      </c>
      <c r="C1025" s="19" t="n">
        <f aca="false">B1025/B1024-1</f>
        <v>0.0123883218609067</v>
      </c>
      <c r="D1025" s="17" t="n">
        <f aca="false">AVERAGE(B976:B1025)</f>
        <v>10120.2568</v>
      </c>
      <c r="E1025" s="17" t="n">
        <f aca="false">AVERAGE(B826:B1025)</f>
        <v>8934.79615</v>
      </c>
      <c r="F1025" s="17" t="n">
        <f aca="false">B1025*2/13+F1024*11/13</f>
        <v>10633.379333467</v>
      </c>
      <c r="G1025" s="17" t="n">
        <f aca="false">B1025*2/27+G1024*25/27</f>
        <v>10474.7481250587</v>
      </c>
      <c r="H1025" s="17" t="n">
        <f aca="false">F1025-G1025</f>
        <v>158.631208408357</v>
      </c>
      <c r="I1025" s="17" t="n">
        <f aca="false">H1025*2/10+I1024*8/10</f>
        <v>210.218047899299</v>
      </c>
      <c r="J1025" s="17" t="n">
        <f aca="false">H1025-I1025</f>
        <v>-51.5868394909425</v>
      </c>
      <c r="K1025" s="17" t="n">
        <f aca="false">MAX(B1025-B1024,0)</f>
        <v>130.48</v>
      </c>
      <c r="L1025" s="17" t="n">
        <f aca="false">MAX(B1024-B1025,0)</f>
        <v>0</v>
      </c>
      <c r="M1025" s="17" t="n">
        <f aca="false">(M1024*13+K1025)/14</f>
        <v>74.0985063299049</v>
      </c>
      <c r="N1025" s="17" t="n">
        <f aca="false">(N1024*13+L1025)/14</f>
        <v>58.5246049685105</v>
      </c>
      <c r="O1025" s="17" t="n">
        <f aca="false">IF(N1025=0,100,100-100/(1+M1025/N1025))</f>
        <v>55.8714884641605</v>
      </c>
      <c r="P1025" s="17" t="n">
        <f aca="false">AVERAGE(B1006:B1025)+2*STDEV(B1006:B1025)</f>
        <v>10974.9454102941</v>
      </c>
      <c r="Q1025" s="17" t="n">
        <f aca="false">AVERAGE(B1006:B1025)-2*STDEV(B1006:B1025)</f>
        <v>10311.1945897059</v>
      </c>
      <c r="R1025" s="19" t="n">
        <f aca="false">B1025/B1005-1</f>
        <v>0.0498313945760742</v>
      </c>
      <c r="S1025" s="17" t="n">
        <f aca="false">STDEV(C1006:C1025)*SQRT(252)*100</f>
        <v>23.2413291413323</v>
      </c>
      <c r="T1025" s="19" t="n">
        <f aca="false">B1004/B774-1</f>
        <v>0.269134820953065</v>
      </c>
      <c r="U1025" s="19" t="n">
        <f aca="false">B1025/MAX(B774:B1025)-1</f>
        <v>-0.0263968122950161</v>
      </c>
      <c r="V1025" s="17" t="n">
        <f aca="false">(B1025-AVERAGE(B1006:B1025))/STDEV(B1006:B1025)</f>
        <v>0.119984785750499</v>
      </c>
    </row>
    <row r="1026" customFormat="false" ht="15" hidden="false" customHeight="false" outlineLevel="0" collapsed="false">
      <c r="A1026" s="17" t="s">
        <v>1590</v>
      </c>
      <c r="B1026" s="17" t="n">
        <v>10715.51</v>
      </c>
      <c r="C1026" s="19" t="n">
        <f aca="false">B1026/B1025-1</f>
        <v>0.00492639018360719</v>
      </c>
      <c r="D1026" s="17" t="n">
        <f aca="false">AVERAGE(B977:B1026)</f>
        <v>10148.5962</v>
      </c>
      <c r="E1026" s="17" t="n">
        <f aca="false">AVERAGE(B827:B1026)</f>
        <v>8949.16205</v>
      </c>
      <c r="F1026" s="17" t="n">
        <f aca="false">B1026*2/13+F1025*11/13</f>
        <v>10646.0148206259</v>
      </c>
      <c r="G1026" s="17" t="n">
        <f aca="false">B1026*2/27+G1025*25/27</f>
        <v>10492.5823380173</v>
      </c>
      <c r="H1026" s="17" t="n">
        <f aca="false">F1026-G1026</f>
        <v>153.432482608659</v>
      </c>
      <c r="I1026" s="17" t="n">
        <f aca="false">H1026*2/10+I1025*8/10</f>
        <v>198.860934841171</v>
      </c>
      <c r="J1026" s="17" t="n">
        <f aca="false">H1026-I1026</f>
        <v>-45.4284522325116</v>
      </c>
      <c r="K1026" s="17" t="n">
        <f aca="false">MAX(B1026-B1025,0)</f>
        <v>52.5300000000007</v>
      </c>
      <c r="L1026" s="17" t="n">
        <f aca="false">MAX(B1025-B1026,0)</f>
        <v>0</v>
      </c>
      <c r="M1026" s="17" t="n">
        <f aca="false">(M1025*13+K1026)/14</f>
        <v>72.5578987349118</v>
      </c>
      <c r="N1026" s="17" t="n">
        <f aca="false">(N1025*13+L1026)/14</f>
        <v>54.3442760421884</v>
      </c>
      <c r="O1026" s="17" t="n">
        <f aca="false">IF(N1026=0,100,100-100/(1+M1026/N1026))</f>
        <v>57.1762452947379</v>
      </c>
      <c r="P1026" s="17" t="n">
        <f aca="false">AVERAGE(B1007:B1026)+2*STDEV(B1007:B1026)</f>
        <v>10950.1483573965</v>
      </c>
      <c r="Q1026" s="17" t="n">
        <f aca="false">AVERAGE(B1007:B1026)-2*STDEV(B1007:B1026)</f>
        <v>10379.6176426035</v>
      </c>
      <c r="R1026" s="19" t="n">
        <f aca="false">B1026/B1006-1</f>
        <v>0.042440839555415</v>
      </c>
      <c r="S1026" s="17" t="n">
        <f aca="false">STDEV(C1007:C1026)*SQRT(252)*100</f>
        <v>22.9907202778033</v>
      </c>
      <c r="T1026" s="19" t="n">
        <f aca="false">B1005/B775-1</f>
        <v>0.30196829954558</v>
      </c>
      <c r="U1026" s="19" t="n">
        <f aca="false">B1026/MAX(B775:B1026)-1</f>
        <v>-0.0216004631083776</v>
      </c>
      <c r="V1026" s="17" t="n">
        <f aca="false">(B1026-AVERAGE(B1007:B1026))/STDEV(B1007:B1026)</f>
        <v>0.354946709702577</v>
      </c>
    </row>
    <row r="1027" customFormat="false" ht="15" hidden="false" customHeight="false" outlineLevel="0" collapsed="false">
      <c r="A1027" s="17" t="s">
        <v>1591</v>
      </c>
      <c r="B1027" s="17" t="n">
        <v>10905.88</v>
      </c>
      <c r="C1027" s="19" t="n">
        <f aca="false">B1027/B1026-1</f>
        <v>0.017765836623735</v>
      </c>
      <c r="D1027" s="17" t="n">
        <f aca="false">AVERAGE(B978:B1027)</f>
        <v>10177.0134</v>
      </c>
      <c r="E1027" s="17" t="n">
        <f aca="false">AVERAGE(B828:B1027)</f>
        <v>8963.9772</v>
      </c>
      <c r="F1027" s="17" t="n">
        <f aca="false">B1027*2/13+F1026*11/13</f>
        <v>10685.9940789912</v>
      </c>
      <c r="G1027" s="17" t="n">
        <f aca="false">B1027*2/27+G1026*25/27</f>
        <v>10523.1969796456</v>
      </c>
      <c r="H1027" s="17" t="n">
        <f aca="false">F1027-G1027</f>
        <v>162.797099345549</v>
      </c>
      <c r="I1027" s="17" t="n">
        <f aca="false">H1027*2/10+I1026*8/10</f>
        <v>191.648167742047</v>
      </c>
      <c r="J1027" s="17" t="n">
        <f aca="false">H1027-I1027</f>
        <v>-28.8510683964975</v>
      </c>
      <c r="K1027" s="17" t="n">
        <f aca="false">MAX(B1027-B1026,0)</f>
        <v>190.369999999999</v>
      </c>
      <c r="L1027" s="17" t="n">
        <f aca="false">MAX(B1026-B1027,0)</f>
        <v>0</v>
      </c>
      <c r="M1027" s="17" t="n">
        <f aca="false">(M1026*13+K1027)/14</f>
        <v>80.9730488252751</v>
      </c>
      <c r="N1027" s="17" t="n">
        <f aca="false">(N1026*13+L1027)/14</f>
        <v>50.4625420391749</v>
      </c>
      <c r="O1027" s="17" t="n">
        <f aca="false">IF(N1027=0,100,100-100/(1+M1027/N1027))</f>
        <v>61.606638120403</v>
      </c>
      <c r="P1027" s="17" t="n">
        <f aca="false">AVERAGE(B1008:B1027)+2*STDEV(B1008:B1027)</f>
        <v>10954.4104365794</v>
      </c>
      <c r="Q1027" s="17" t="n">
        <f aca="false">AVERAGE(B1008:B1027)-2*STDEV(B1008:B1027)</f>
        <v>10431.7545634206</v>
      </c>
      <c r="R1027" s="19" t="n">
        <f aca="false">B1027/B1007-1</f>
        <v>0.0545345193190026</v>
      </c>
      <c r="S1027" s="17" t="n">
        <f aca="false">STDEV(C1008:C1027)*SQRT(252)*100</f>
        <v>23.6189928037152</v>
      </c>
      <c r="T1027" s="19" t="n">
        <f aca="false">B1006/B776-1</f>
        <v>0.336216982113145</v>
      </c>
      <c r="U1027" s="19" t="n">
        <f aca="false">B1027/MAX(B776:B1027)-1</f>
        <v>-0.00421837678322301</v>
      </c>
      <c r="V1027" s="17" t="n">
        <f aca="false">(B1027-AVERAGE(B1008:B1027))/STDEV(B1008:B1027)</f>
        <v>1.62858592759256</v>
      </c>
    </row>
    <row r="1028" customFormat="false" ht="15" hidden="false" customHeight="false" outlineLevel="0" collapsed="false">
      <c r="A1028" s="17" t="s">
        <v>1592</v>
      </c>
      <c r="B1028" s="17" t="n">
        <v>11055.08</v>
      </c>
      <c r="C1028" s="19" t="n">
        <f aca="false">B1028/B1027-1</f>
        <v>0.013680693350743</v>
      </c>
      <c r="D1028" s="17" t="n">
        <f aca="false">AVERAGE(B979:B1028)</f>
        <v>10210.5552</v>
      </c>
      <c r="E1028" s="17" t="n">
        <f aca="false">AVERAGE(B829:B1028)</f>
        <v>8979.65155</v>
      </c>
      <c r="F1028" s="17" t="n">
        <f aca="false">B1028*2/13+F1027*11/13</f>
        <v>10742.7765283772</v>
      </c>
      <c r="G1028" s="17" t="n">
        <f aca="false">B1028*2/27+G1027*25/27</f>
        <v>10562.5957218941</v>
      </c>
      <c r="H1028" s="17" t="n">
        <f aca="false">F1028-G1028</f>
        <v>180.180806483049</v>
      </c>
      <c r="I1028" s="17" t="n">
        <f aca="false">H1028*2/10+I1027*8/10</f>
        <v>189.354695490247</v>
      </c>
      <c r="J1028" s="17" t="n">
        <f aca="false">H1028-I1028</f>
        <v>-9.17388900719794</v>
      </c>
      <c r="K1028" s="17" t="n">
        <f aca="false">MAX(B1028-B1027,0)</f>
        <v>149.200000000001</v>
      </c>
      <c r="L1028" s="17" t="n">
        <f aca="false">MAX(B1027-B1028,0)</f>
        <v>0</v>
      </c>
      <c r="M1028" s="17" t="n">
        <f aca="false">(M1027*13+K1028)/14</f>
        <v>85.8464024806127</v>
      </c>
      <c r="N1028" s="17" t="n">
        <f aca="false">(N1027*13+L1028)/14</f>
        <v>46.8580747506624</v>
      </c>
      <c r="O1028" s="17" t="n">
        <f aca="false">IF(N1028=0,100,100-100/(1+M1028/N1028))</f>
        <v>64.6899066796375</v>
      </c>
      <c r="P1028" s="17" t="n">
        <f aca="false">AVERAGE(B1009:B1028)+2*STDEV(B1009:B1028)</f>
        <v>11019.0646200967</v>
      </c>
      <c r="Q1028" s="17" t="n">
        <f aca="false">AVERAGE(B1009:B1028)-2*STDEV(B1009:B1028)</f>
        <v>10412.2023799033</v>
      </c>
      <c r="R1028" s="19" t="n">
        <f aca="false">B1028/B1008-1</f>
        <v>0.0425327657519856</v>
      </c>
      <c r="S1028" s="17" t="n">
        <f aca="false">STDEV(C1009:C1028)*SQRT(252)*100</f>
        <v>22.4743828995195</v>
      </c>
      <c r="T1028" s="19" t="n">
        <f aca="false">B1007/B777-1</f>
        <v>0.394595782725546</v>
      </c>
      <c r="U1028" s="19" t="n">
        <f aca="false">B1028/MAX(B777:B1028)-1</f>
        <v>0</v>
      </c>
      <c r="V1028" s="17" t="n">
        <f aca="false">(B1028-AVERAGE(B1009:B1028))/STDEV(B1009:B1028)</f>
        <v>2.23738751576823</v>
      </c>
    </row>
    <row r="1029" customFormat="false" ht="15" hidden="false" customHeight="false" outlineLevel="0" collapsed="false">
      <c r="A1029" s="17" t="s">
        <v>1593</v>
      </c>
      <c r="B1029" s="17" t="n">
        <v>11096.54</v>
      </c>
      <c r="C1029" s="19" t="n">
        <f aca="false">B1029/B1028-1</f>
        <v>0.00375031207372545</v>
      </c>
      <c r="D1029" s="17" t="n">
        <f aca="false">AVERAGE(B980:B1029)</f>
        <v>10244.2062</v>
      </c>
      <c r="E1029" s="17" t="n">
        <f aca="false">AVERAGE(B830:B1029)</f>
        <v>8995.42355</v>
      </c>
      <c r="F1029" s="17" t="n">
        <f aca="false">B1029*2/13+F1028*11/13</f>
        <v>10797.2016778576</v>
      </c>
      <c r="G1029" s="17" t="n">
        <f aca="false">B1029*2/27+G1028*25/27</f>
        <v>10602.1471499019</v>
      </c>
      <c r="H1029" s="17" t="n">
        <f aca="false">F1029-G1029</f>
        <v>195.054527955643</v>
      </c>
      <c r="I1029" s="17" t="n">
        <f aca="false">H1029*2/10+I1028*8/10</f>
        <v>190.494661983326</v>
      </c>
      <c r="J1029" s="17" t="n">
        <f aca="false">H1029-I1029</f>
        <v>4.55986597231637</v>
      </c>
      <c r="K1029" s="17" t="n">
        <f aca="false">MAX(B1029-B1028,0)</f>
        <v>41.4600000000009</v>
      </c>
      <c r="L1029" s="17" t="n">
        <f aca="false">MAX(B1028-B1029,0)</f>
        <v>0</v>
      </c>
      <c r="M1029" s="17" t="n">
        <f aca="false">(M1028*13+K1029)/14</f>
        <v>82.675945160569</v>
      </c>
      <c r="N1029" s="17" t="n">
        <f aca="false">(N1028*13+L1029)/14</f>
        <v>43.5110694113294</v>
      </c>
      <c r="O1029" s="17" t="n">
        <f aca="false">IF(N1029=0,100,100-100/(1+M1029/N1029))</f>
        <v>65.5185840167906</v>
      </c>
      <c r="P1029" s="17" t="n">
        <f aca="false">AVERAGE(B1010:B1029)+2*STDEV(B1010:B1029)</f>
        <v>11078.0785066296</v>
      </c>
      <c r="Q1029" s="17" t="n">
        <f aca="false">AVERAGE(B1010:B1029)-2*STDEV(B1010:B1029)</f>
        <v>10410.4414933704</v>
      </c>
      <c r="R1029" s="19" t="n">
        <f aca="false">B1029/B1009-1</f>
        <v>0.0544022668165463</v>
      </c>
      <c r="S1029" s="17" t="n">
        <f aca="false">STDEV(C1010:C1029)*SQRT(252)*100</f>
        <v>22.1816129474261</v>
      </c>
      <c r="T1029" s="19" t="n">
        <f aca="false">B1008/B778-1</f>
        <v>0.409866885068046</v>
      </c>
      <c r="U1029" s="19" t="n">
        <f aca="false">B1029/MAX(B778:B1029)-1</f>
        <v>0</v>
      </c>
      <c r="V1029" s="17" t="n">
        <f aca="false">(B1029-AVERAGE(B1010:B1029))/STDEV(B1010:B1029)</f>
        <v>2.11060796812489</v>
      </c>
    </row>
    <row r="1030" customFormat="false" ht="15" hidden="false" customHeight="false" outlineLevel="0" collapsed="false">
      <c r="A1030" s="17" t="s">
        <v>1594</v>
      </c>
      <c r="B1030" s="17" t="n">
        <v>11125.44</v>
      </c>
      <c r="C1030" s="19" t="n">
        <f aca="false">B1030/B1029-1</f>
        <v>0.00260441543039547</v>
      </c>
      <c r="D1030" s="17" t="n">
        <f aca="false">AVERAGE(B981:B1030)</f>
        <v>10278.9154</v>
      </c>
      <c r="E1030" s="17" t="n">
        <f aca="false">AVERAGE(B831:B1030)</f>
        <v>9011.7083</v>
      </c>
      <c r="F1030" s="17" t="n">
        <f aca="false">B1030*2/13+F1029*11/13</f>
        <v>10847.6998812641</v>
      </c>
      <c r="G1030" s="17" t="n">
        <f aca="false">B1030*2/27+G1029*25/27</f>
        <v>10640.9095832425</v>
      </c>
      <c r="H1030" s="17" t="n">
        <f aca="false">F1030-G1030</f>
        <v>206.790298021571</v>
      </c>
      <c r="I1030" s="17" t="n">
        <f aca="false">H1030*2/10+I1029*8/10</f>
        <v>193.753789190975</v>
      </c>
      <c r="J1030" s="17" t="n">
        <f aca="false">H1030-I1030</f>
        <v>13.036508830596</v>
      </c>
      <c r="K1030" s="17" t="n">
        <f aca="false">MAX(B1030-B1029,0)</f>
        <v>28.8999999999996</v>
      </c>
      <c r="L1030" s="17" t="n">
        <f aca="false">MAX(B1029-B1030,0)</f>
        <v>0</v>
      </c>
      <c r="M1030" s="17" t="n">
        <f aca="false">(M1029*13+K1030)/14</f>
        <v>78.8348062205283</v>
      </c>
      <c r="N1030" s="17" t="n">
        <f aca="false">(N1029*13+L1030)/14</f>
        <v>40.4031358819487</v>
      </c>
      <c r="O1030" s="17" t="n">
        <f aca="false">IF(N1030=0,100,100-100/(1+M1030/N1030))</f>
        <v>66.115537412391</v>
      </c>
      <c r="P1030" s="17" t="n">
        <f aca="false">AVERAGE(B1011:B1030)+2*STDEV(B1011:B1030)</f>
        <v>11139.4096719243</v>
      </c>
      <c r="Q1030" s="17" t="n">
        <f aca="false">AVERAGE(B1011:B1030)-2*STDEV(B1011:B1030)</f>
        <v>10394.9843280757</v>
      </c>
      <c r="R1030" s="19" t="n">
        <f aca="false">B1030/B1010-1</f>
        <v>0.0430067406039356</v>
      </c>
      <c r="S1030" s="17" t="n">
        <f aca="false">STDEV(C1011:C1030)*SQRT(252)*100</f>
        <v>21.8110546069693</v>
      </c>
      <c r="T1030" s="19" t="n">
        <f aca="false">B1009/B779-1</f>
        <v>0.393557912578292</v>
      </c>
      <c r="U1030" s="19" t="n">
        <f aca="false">B1030/MAX(B779:B1030)-1</f>
        <v>0</v>
      </c>
      <c r="V1030" s="17" t="n">
        <f aca="false">(B1030-AVERAGE(B1011:B1030))/STDEV(B1011:B1030)</f>
        <v>1.92493715030113</v>
      </c>
    </row>
    <row r="1031" customFormat="false" ht="15" hidden="false" customHeight="false" outlineLevel="0" collapsed="false">
      <c r="A1031" s="17" t="s">
        <v>1595</v>
      </c>
      <c r="B1031" s="17" t="n">
        <v>11267.08</v>
      </c>
      <c r="C1031" s="19" t="n">
        <f aca="false">B1031/B1030-1</f>
        <v>0.0127311818678633</v>
      </c>
      <c r="D1031" s="17" t="n">
        <f aca="false">AVERAGE(B982:B1031)</f>
        <v>10315.416</v>
      </c>
      <c r="E1031" s="17" t="n">
        <f aca="false">AVERAGE(B832:B1031)</f>
        <v>9028.34205</v>
      </c>
      <c r="F1031" s="17" t="n">
        <f aca="false">B1031*2/13+F1030*11/13</f>
        <v>10912.2198995312</v>
      </c>
      <c r="G1031" s="17" t="n">
        <f aca="false">B1031*2/27+G1030*25/27</f>
        <v>10687.2925770764</v>
      </c>
      <c r="H1031" s="17" t="n">
        <f aca="false">F1031-G1031</f>
        <v>224.927322454747</v>
      </c>
      <c r="I1031" s="17" t="n">
        <f aca="false">H1031*2/10+I1030*8/10</f>
        <v>199.98849584373</v>
      </c>
      <c r="J1031" s="17" t="n">
        <f aca="false">H1031-I1031</f>
        <v>24.9388266110172</v>
      </c>
      <c r="K1031" s="17" t="n">
        <f aca="false">MAX(B1031-B1030,0)</f>
        <v>141.639999999999</v>
      </c>
      <c r="L1031" s="17" t="n">
        <f aca="false">MAX(B1030-B1031,0)</f>
        <v>0</v>
      </c>
      <c r="M1031" s="17" t="n">
        <f aca="false">(M1030*13+K1031)/14</f>
        <v>83.3208914904905</v>
      </c>
      <c r="N1031" s="17" t="n">
        <f aca="false">(N1030*13+L1031)/14</f>
        <v>37.5171976046667</v>
      </c>
      <c r="O1031" s="17" t="n">
        <f aca="false">IF(N1031=0,100,100-100/(1+M1031/N1031))</f>
        <v>68.9525067091034</v>
      </c>
      <c r="P1031" s="17" t="n">
        <f aca="false">AVERAGE(B1012:B1031)+2*STDEV(B1012:B1031)</f>
        <v>11226.8158183366</v>
      </c>
      <c r="Q1031" s="17" t="n">
        <f aca="false">AVERAGE(B1012:B1031)-2*STDEV(B1012:B1031)</f>
        <v>10358.8271816634</v>
      </c>
      <c r="R1031" s="19" t="n">
        <f aca="false">B1031/B1011-1</f>
        <v>0.0476531415888473</v>
      </c>
      <c r="S1031" s="17" t="n">
        <f aca="false">STDEV(C1012:C1031)*SQRT(252)*100</f>
        <v>22.0332251770386</v>
      </c>
      <c r="T1031" s="19" t="n">
        <f aca="false">B1010/B780-1</f>
        <v>0.380832976259672</v>
      </c>
      <c r="U1031" s="19" t="n">
        <f aca="false">B1031/MAX(B780:B1031)-1</f>
        <v>0</v>
      </c>
      <c r="V1031" s="17" t="n">
        <f aca="false">(B1031-AVERAGE(B1012:B1031))/STDEV(B1012:B1031)</f>
        <v>2.18555165338459</v>
      </c>
    </row>
    <row r="1032" customFormat="false" ht="15" hidden="false" customHeight="false" outlineLevel="0" collapsed="false">
      <c r="A1032" s="17" t="s">
        <v>1596</v>
      </c>
      <c r="B1032" s="17" t="n">
        <v>11139.39</v>
      </c>
      <c r="C1032" s="19" t="n">
        <f aca="false">B1032/B1031-1</f>
        <v>-0.0113330161852051</v>
      </c>
      <c r="D1032" s="17" t="n">
        <f aca="false">AVERAGE(B983:B1032)</f>
        <v>10349.8696</v>
      </c>
      <c r="E1032" s="17" t="n">
        <f aca="false">AVERAGE(B833:B1032)</f>
        <v>9044.6659</v>
      </c>
      <c r="F1032" s="17" t="n">
        <f aca="false">B1032*2/13+F1031*11/13</f>
        <v>10947.1691457571</v>
      </c>
      <c r="G1032" s="17" t="n">
        <f aca="false">B1032*2/27+G1031*25/27</f>
        <v>10720.7812750708</v>
      </c>
      <c r="H1032" s="17" t="n">
        <f aca="false">F1032-G1032</f>
        <v>226.387870686383</v>
      </c>
      <c r="I1032" s="17" t="n">
        <f aca="false">H1032*2/10+I1031*8/10</f>
        <v>205.26837081226</v>
      </c>
      <c r="J1032" s="17" t="n">
        <f aca="false">H1032-I1032</f>
        <v>21.119499874123</v>
      </c>
      <c r="K1032" s="17" t="n">
        <f aca="false">MAX(B1032-B1031,0)</f>
        <v>0</v>
      </c>
      <c r="L1032" s="17" t="n">
        <f aca="false">MAX(B1031-B1032,0)</f>
        <v>127.690000000001</v>
      </c>
      <c r="M1032" s="17" t="n">
        <f aca="false">(M1031*13+K1032)/14</f>
        <v>77.3693992411698</v>
      </c>
      <c r="N1032" s="17" t="n">
        <f aca="false">(N1031*13+L1032)/14</f>
        <v>43.9581120614762</v>
      </c>
      <c r="O1032" s="17" t="n">
        <f aca="false">IF(N1032=0,100,100-100/(1+M1032/N1032))</f>
        <v>63.7690482648864</v>
      </c>
      <c r="P1032" s="17" t="n">
        <f aca="false">AVERAGE(B1013:B1032)+2*STDEV(B1013:B1032)</f>
        <v>11268.7043653898</v>
      </c>
      <c r="Q1032" s="17" t="n">
        <f aca="false">AVERAGE(B1013:B1032)-2*STDEV(B1013:B1032)</f>
        <v>10347.2446346102</v>
      </c>
      <c r="R1032" s="19" t="n">
        <f aca="false">B1032/B1012-1</f>
        <v>0.0279670331191464</v>
      </c>
      <c r="S1032" s="17" t="n">
        <f aca="false">STDEV(C1013:C1032)*SQRT(252)*100</f>
        <v>22.4638068609417</v>
      </c>
      <c r="T1032" s="19" t="n">
        <f aca="false">B1011/B781-1</f>
        <v>0.406514548923854</v>
      </c>
      <c r="U1032" s="19" t="n">
        <f aca="false">B1032/MAX(B781:B1032)-1</f>
        <v>-0.0113330161852051</v>
      </c>
      <c r="V1032" s="17" t="n">
        <f aca="false">(B1032-AVERAGE(B1013:B1032))/STDEV(B1013:B1032)</f>
        <v>1.4386542956993</v>
      </c>
    </row>
    <row r="1033" customFormat="false" ht="15" hidden="false" customHeight="false" outlineLevel="0" collapsed="false">
      <c r="A1033" s="17" t="s">
        <v>1597</v>
      </c>
      <c r="B1033" s="17" t="n">
        <v>11085.17</v>
      </c>
      <c r="C1033" s="19" t="n">
        <f aca="false">B1033/B1032-1</f>
        <v>-0.00486741194984641</v>
      </c>
      <c r="D1033" s="17" t="n">
        <f aca="false">AVERAGE(B984:B1033)</f>
        <v>10380.4624</v>
      </c>
      <c r="E1033" s="17" t="n">
        <f aca="false">AVERAGE(B834:B1033)</f>
        <v>9060.6444</v>
      </c>
      <c r="F1033" s="17" t="n">
        <f aca="false">B1033*2/13+F1032*11/13</f>
        <v>10968.4000464099</v>
      </c>
      <c r="G1033" s="17" t="n">
        <f aca="false">B1033*2/27+G1032*25/27</f>
        <v>10747.7730324729</v>
      </c>
      <c r="H1033" s="17" t="n">
        <f aca="false">F1033-G1033</f>
        <v>220.627013936964</v>
      </c>
      <c r="I1033" s="17" t="n">
        <f aca="false">H1033*2/10+I1032*8/10</f>
        <v>208.340099437201</v>
      </c>
      <c r="J1033" s="17" t="n">
        <f aca="false">H1033-I1033</f>
        <v>12.2869144997632</v>
      </c>
      <c r="K1033" s="17" t="n">
        <f aca="false">MAX(B1033-B1032,0)</f>
        <v>0</v>
      </c>
      <c r="L1033" s="17" t="n">
        <f aca="false">MAX(B1032-B1033,0)</f>
        <v>54.2199999999993</v>
      </c>
      <c r="M1033" s="17" t="n">
        <f aca="false">(M1032*13+K1033)/14</f>
        <v>71.8430135810862</v>
      </c>
      <c r="N1033" s="17" t="n">
        <f aca="false">(N1032*13+L1033)/14</f>
        <v>44.691104057085</v>
      </c>
      <c r="O1033" s="17" t="n">
        <f aca="false">IF(N1033=0,100,100-100/(1+M1033/N1033))</f>
        <v>61.6497683572401</v>
      </c>
      <c r="P1033" s="17" t="n">
        <f aca="false">AVERAGE(B1014:B1033)+2*STDEV(B1014:B1033)</f>
        <v>11298.0404597481</v>
      </c>
      <c r="Q1033" s="17" t="n">
        <f aca="false">AVERAGE(B1014:B1033)-2*STDEV(B1014:B1033)</f>
        <v>10366.2045402519</v>
      </c>
      <c r="R1033" s="19" t="n">
        <f aca="false">B1033/B1013-1</f>
        <v>0.0455527668288027</v>
      </c>
      <c r="S1033" s="17" t="n">
        <f aca="false">STDEV(C1014:C1033)*SQRT(252)*100</f>
        <v>20.9152397773366</v>
      </c>
      <c r="T1033" s="19" t="n">
        <f aca="false">B1012/B782-1</f>
        <v>0.433058526676611</v>
      </c>
      <c r="U1033" s="19" t="n">
        <f aca="false">B1033/MAX(B782:B1033)-1</f>
        <v>-0.0161452656766438</v>
      </c>
      <c r="V1033" s="17" t="n">
        <f aca="false">(B1033-AVERAGE(B1014:B1033))/STDEV(B1014:B1033)</f>
        <v>1.08623200589578</v>
      </c>
    </row>
    <row r="1034" customFormat="false" ht="15" hidden="false" customHeight="false" outlineLevel="0" collapsed="false">
      <c r="A1034" s="17" t="s">
        <v>1598</v>
      </c>
      <c r="B1034" s="17" t="n">
        <v>10876.08</v>
      </c>
      <c r="C1034" s="19" t="n">
        <f aca="false">B1034/B1033-1</f>
        <v>-0.0188621374322632</v>
      </c>
      <c r="D1034" s="17" t="n">
        <f aca="false">AVERAGE(B985:B1034)</f>
        <v>10406.0062</v>
      </c>
      <c r="E1034" s="17" t="n">
        <f aca="false">AVERAGE(B835:B1034)</f>
        <v>9075.1912</v>
      </c>
      <c r="F1034" s="17" t="n">
        <f aca="false">B1034*2/13+F1033*11/13</f>
        <v>10954.1969623468</v>
      </c>
      <c r="G1034" s="17" t="n">
        <f aca="false">B1034*2/27+G1033*25/27</f>
        <v>10757.2772522897</v>
      </c>
      <c r="H1034" s="17" t="n">
        <f aca="false">F1034-G1034</f>
        <v>196.919710057085</v>
      </c>
      <c r="I1034" s="17" t="n">
        <f aca="false">H1034*2/10+I1033*8/10</f>
        <v>206.056021561178</v>
      </c>
      <c r="J1034" s="17" t="n">
        <f aca="false">H1034-I1034</f>
        <v>-9.13631150409259</v>
      </c>
      <c r="K1034" s="17" t="n">
        <f aca="false">MAX(B1034-B1033,0)</f>
        <v>0</v>
      </c>
      <c r="L1034" s="17" t="n">
        <f aca="false">MAX(B1033-B1034,0)</f>
        <v>209.09</v>
      </c>
      <c r="M1034" s="17" t="n">
        <f aca="false">(M1033*13+K1034)/14</f>
        <v>66.7113697538658</v>
      </c>
      <c r="N1034" s="17" t="n">
        <f aca="false">(N1033*13+L1034)/14</f>
        <v>56.4338823387218</v>
      </c>
      <c r="O1034" s="17" t="n">
        <f aca="false">IF(N1034=0,100,100-100/(1+M1034/N1034))</f>
        <v>54.1729125729577</v>
      </c>
      <c r="P1034" s="17" t="n">
        <f aca="false">AVERAGE(B1015:B1034)+2*STDEV(B1015:B1034)</f>
        <v>11302.7950788117</v>
      </c>
      <c r="Q1034" s="17" t="n">
        <f aca="false">AVERAGE(B1015:B1034)-2*STDEV(B1015:B1034)</f>
        <v>10380.1059211883</v>
      </c>
      <c r="R1034" s="19" t="n">
        <f aca="false">B1034/B1014-1</f>
        <v>0.0174526077878145</v>
      </c>
      <c r="S1034" s="17" t="n">
        <f aca="false">STDEV(C1015:C1034)*SQRT(252)*100</f>
        <v>22.0769214152757</v>
      </c>
      <c r="T1034" s="19" t="n">
        <f aca="false">B1013/B783-1</f>
        <v>0.371894955455057</v>
      </c>
      <c r="U1034" s="19" t="n">
        <f aca="false">B1034/MAX(B783:B1034)-1</f>
        <v>-0.0347028688888337</v>
      </c>
      <c r="V1034" s="17" t="n">
        <f aca="false">(B1034-AVERAGE(B1015:B1034))/STDEV(B1015:B1034)</f>
        <v>0.150124230739614</v>
      </c>
    </row>
    <row r="1035" customFormat="false" ht="15" hidden="false" customHeight="false" outlineLevel="0" collapsed="false">
      <c r="A1035" s="17" t="s">
        <v>1599</v>
      </c>
      <c r="B1035" s="17" t="n">
        <v>11157.72</v>
      </c>
      <c r="C1035" s="19" t="n">
        <f aca="false">B1035/B1034-1</f>
        <v>0.0258953593574154</v>
      </c>
      <c r="D1035" s="17" t="n">
        <f aca="false">AVERAGE(B986:B1035)</f>
        <v>10436.0144</v>
      </c>
      <c r="E1035" s="17" t="n">
        <f aca="false">AVERAGE(B836:B1035)</f>
        <v>9090.8337</v>
      </c>
      <c r="F1035" s="17" t="n">
        <f aca="false">B1035*2/13+F1034*11/13</f>
        <v>10985.5081989089</v>
      </c>
      <c r="G1035" s="17" t="n">
        <f aca="false">B1035*2/27+G1034*25/27</f>
        <v>10786.9396780461</v>
      </c>
      <c r="H1035" s="17" t="n">
        <f aca="false">F1035-G1035</f>
        <v>198.568520862797</v>
      </c>
      <c r="I1035" s="17" t="n">
        <f aca="false">H1035*2/10+I1034*8/10</f>
        <v>204.558521421502</v>
      </c>
      <c r="J1035" s="17" t="n">
        <f aca="false">H1035-I1035</f>
        <v>-5.99000055870522</v>
      </c>
      <c r="K1035" s="17" t="n">
        <f aca="false">MAX(B1035-B1034,0)</f>
        <v>281.639999999999</v>
      </c>
      <c r="L1035" s="17" t="n">
        <f aca="false">MAX(B1034-B1035,0)</f>
        <v>0</v>
      </c>
      <c r="M1035" s="17" t="n">
        <f aca="false">(M1034*13+K1035)/14</f>
        <v>82.0634147714468</v>
      </c>
      <c r="N1035" s="17" t="n">
        <f aca="false">(N1034*13+L1035)/14</f>
        <v>52.4028907430988</v>
      </c>
      <c r="O1035" s="17" t="n">
        <f aca="false">IF(N1035=0,100,100-100/(1+M1035/N1035))</f>
        <v>61.0289800537204</v>
      </c>
      <c r="P1035" s="17" t="n">
        <f aca="false">AVERAGE(B1016:B1035)+2*STDEV(B1016:B1035)</f>
        <v>11341.321705346</v>
      </c>
      <c r="Q1035" s="17" t="n">
        <f aca="false">AVERAGE(B1016:B1035)-2*STDEV(B1016:B1035)</f>
        <v>10387.183294654</v>
      </c>
      <c r="R1035" s="19" t="n">
        <f aca="false">B1035/B1015-1</f>
        <v>0.0426138699718175</v>
      </c>
      <c r="S1035" s="17" t="n">
        <f aca="false">STDEV(C1016:C1035)*SQRT(252)*100</f>
        <v>23.7866759123379</v>
      </c>
      <c r="T1035" s="19" t="n">
        <f aca="false">B1014/B784-1</f>
        <v>0.427147459389891</v>
      </c>
      <c r="U1035" s="19" t="n">
        <f aca="false">B1035/MAX(B784:B1035)-1</f>
        <v>-0.0097061527920278</v>
      </c>
      <c r="V1035" s="17" t="n">
        <f aca="false">(B1035-AVERAGE(B1016:B1035))/STDEV(B1016:B1035)</f>
        <v>1.23029320153731</v>
      </c>
    </row>
    <row r="1036" customFormat="false" ht="15" hidden="false" customHeight="false" outlineLevel="0" collapsed="false">
      <c r="A1036" s="17" t="s">
        <v>1600</v>
      </c>
      <c r="B1036" s="17" t="n">
        <v>11178.37</v>
      </c>
      <c r="C1036" s="19" t="n">
        <f aca="false">B1036/B1035-1</f>
        <v>0.00185073653040235</v>
      </c>
      <c r="D1036" s="17" t="n">
        <f aca="false">AVERAGE(B987:B1036)</f>
        <v>10465.488</v>
      </c>
      <c r="E1036" s="17" t="n">
        <f aca="false">AVERAGE(B837:B1036)</f>
        <v>9106.1722</v>
      </c>
      <c r="F1036" s="17" t="n">
        <f aca="false">B1036*2/13+F1035*11/13</f>
        <v>11015.1792452306</v>
      </c>
      <c r="G1036" s="17" t="n">
        <f aca="false">B1036*2/27+G1035*25/27</f>
        <v>10815.9345167093</v>
      </c>
      <c r="H1036" s="17" t="n">
        <f aca="false">F1036-G1036</f>
        <v>199.244728521255</v>
      </c>
      <c r="I1036" s="17" t="n">
        <f aca="false">H1036*2/10+I1035*8/10</f>
        <v>203.495762841452</v>
      </c>
      <c r="J1036" s="17" t="n">
        <f aca="false">H1036-I1036</f>
        <v>-4.25103432019759</v>
      </c>
      <c r="K1036" s="17" t="n">
        <f aca="false">MAX(B1036-B1035,0)</f>
        <v>20.6500000000015</v>
      </c>
      <c r="L1036" s="17" t="n">
        <f aca="false">MAX(B1035-B1036,0)</f>
        <v>0</v>
      </c>
      <c r="M1036" s="17" t="n">
        <f aca="false">(M1035*13+K1036)/14</f>
        <v>77.6767422877721</v>
      </c>
      <c r="N1036" s="17" t="n">
        <f aca="false">(N1035*13+L1036)/14</f>
        <v>48.6598271185918</v>
      </c>
      <c r="O1036" s="17" t="n">
        <f aca="false">IF(N1036=0,100,100-100/(1+M1036/N1036))</f>
        <v>61.4839730513209</v>
      </c>
      <c r="P1036" s="17" t="n">
        <f aca="false">AVERAGE(B1017:B1036)+2*STDEV(B1017:B1036)</f>
        <v>11374.8148562498</v>
      </c>
      <c r="Q1036" s="17" t="n">
        <f aca="false">AVERAGE(B1017:B1036)-2*STDEV(B1017:B1036)</f>
        <v>10408.8811437502</v>
      </c>
      <c r="R1036" s="19" t="n">
        <f aca="false">B1036/B1016-1</f>
        <v>0.0519373337875455</v>
      </c>
      <c r="S1036" s="17" t="n">
        <f aca="false">STDEV(C1017:C1036)*SQRT(252)*100</f>
        <v>23.5375082742224</v>
      </c>
      <c r="T1036" s="19" t="n">
        <f aca="false">B1015/B785-1</f>
        <v>0.429771179001963</v>
      </c>
      <c r="U1036" s="19" t="n">
        <f aca="false">B1036/MAX(B785:B1036)-1</f>
        <v>-0.00787337979316727</v>
      </c>
      <c r="V1036" s="17" t="n">
        <f aca="false">(B1036-AVERAGE(B1017:B1036))/STDEV(B1017:B1036)</f>
        <v>1.18650791992162</v>
      </c>
    </row>
    <row r="1037" customFormat="false" ht="15" hidden="false" customHeight="false" outlineLevel="0" collapsed="false">
      <c r="A1037" s="17" t="s">
        <v>1601</v>
      </c>
      <c r="B1037" s="17" t="n">
        <v>11164.45</v>
      </c>
      <c r="C1037" s="19" t="n">
        <f aca="false">B1037/B1036-1</f>
        <v>-0.00124526205520126</v>
      </c>
      <c r="D1037" s="17" t="n">
        <f aca="false">AVERAGE(B988:B1037)</f>
        <v>10496.1838</v>
      </c>
      <c r="E1037" s="17" t="n">
        <f aca="false">AVERAGE(B838:B1037)</f>
        <v>9121.7569</v>
      </c>
      <c r="F1037" s="17" t="n">
        <f aca="false">B1037*2/13+F1036*11/13</f>
        <v>11038.1439767336</v>
      </c>
      <c r="G1037" s="17" t="n">
        <f aca="false">B1037*2/27+G1036*25/27</f>
        <v>10841.7504784346</v>
      </c>
      <c r="H1037" s="17" t="n">
        <f aca="false">F1037-G1037</f>
        <v>196.393498299007</v>
      </c>
      <c r="I1037" s="17" t="n">
        <f aca="false">H1037*2/10+I1036*8/10</f>
        <v>202.075309932963</v>
      </c>
      <c r="J1037" s="17" t="n">
        <f aca="false">H1037-I1037</f>
        <v>-5.68181163395644</v>
      </c>
      <c r="K1037" s="17" t="n">
        <f aca="false">MAX(B1037-B1036,0)</f>
        <v>0</v>
      </c>
      <c r="L1037" s="17" t="n">
        <f aca="false">MAX(B1036-B1037,0)</f>
        <v>13.9200000000001</v>
      </c>
      <c r="M1037" s="17" t="n">
        <f aca="false">(M1036*13+K1037)/14</f>
        <v>72.1284035529312</v>
      </c>
      <c r="N1037" s="17" t="n">
        <f aca="false">(N1036*13+L1037)/14</f>
        <v>46.1784108958352</v>
      </c>
      <c r="O1037" s="17" t="n">
        <f aca="false">IF(N1037=0,100,100-100/(1+M1037/N1037))</f>
        <v>60.9672434246524</v>
      </c>
      <c r="P1037" s="17" t="n">
        <f aca="false">AVERAGE(B1018:B1037)+2*STDEV(B1018:B1037)</f>
        <v>11400.7777708321</v>
      </c>
      <c r="Q1037" s="17" t="n">
        <f aca="false">AVERAGE(B1018:B1037)-2*STDEV(B1018:B1037)</f>
        <v>10434.8412291679</v>
      </c>
      <c r="R1037" s="19" t="n">
        <f aca="false">B1037/B1017-1</f>
        <v>0.0487758825087694</v>
      </c>
      <c r="S1037" s="17" t="n">
        <f aca="false">STDEV(C1018:C1037)*SQRT(252)*100</f>
        <v>23.5765595563552</v>
      </c>
      <c r="T1037" s="19" t="n">
        <f aca="false">B1016/B786-1</f>
        <v>0.397462687941127</v>
      </c>
      <c r="U1037" s="19" t="n">
        <f aca="false">B1037/MAX(B786:B1037)-1</f>
        <v>-0.00910883742726587</v>
      </c>
      <c r="V1037" s="17" t="n">
        <f aca="false">(B1037-AVERAGE(B1018:B1037))/STDEV(B1018:B1037)</f>
        <v>1.02135280885048</v>
      </c>
    </row>
    <row r="1038" customFormat="false" ht="15" hidden="false" customHeight="false" outlineLevel="0" collapsed="false">
      <c r="A1038" s="17" t="s">
        <v>1602</v>
      </c>
      <c r="B1038" s="17" t="n">
        <v>11288.57</v>
      </c>
      <c r="C1038" s="19" t="n">
        <f aca="false">B1038/B1037-1</f>
        <v>0.0111174307735713</v>
      </c>
      <c r="D1038" s="17" t="n">
        <f aca="false">AVERAGE(B989:B1038)</f>
        <v>10525.4674</v>
      </c>
      <c r="E1038" s="17" t="n">
        <f aca="false">AVERAGE(B839:B1038)</f>
        <v>9137.7842</v>
      </c>
      <c r="F1038" s="17" t="n">
        <f aca="false">B1038*2/13+F1037*11/13</f>
        <v>11076.6710572361</v>
      </c>
      <c r="G1038" s="17" t="n">
        <f aca="false">B1038*2/27+G1037*25/27</f>
        <v>10874.8482207727</v>
      </c>
      <c r="H1038" s="17" t="n">
        <f aca="false">F1038-G1038</f>
        <v>201.822836463354</v>
      </c>
      <c r="I1038" s="17" t="n">
        <f aca="false">H1038*2/10+I1037*8/10</f>
        <v>202.024815239041</v>
      </c>
      <c r="J1038" s="17" t="n">
        <f aca="false">H1038-I1038</f>
        <v>-0.201978775687223</v>
      </c>
      <c r="K1038" s="17" t="n">
        <f aca="false">MAX(B1038-B1037,0)</f>
        <v>124.119999999999</v>
      </c>
      <c r="L1038" s="17" t="n">
        <f aca="false">MAX(B1037-B1038,0)</f>
        <v>0</v>
      </c>
      <c r="M1038" s="17" t="n">
        <f aca="false">(M1037*13+K1038)/14</f>
        <v>75.8420890134361</v>
      </c>
      <c r="N1038" s="17" t="n">
        <f aca="false">(N1037*13+L1038)/14</f>
        <v>42.8799529747041</v>
      </c>
      <c r="O1038" s="17" t="n">
        <f aca="false">IF(N1038=0,100,100-100/(1+M1038/N1038))</f>
        <v>63.8820624572919</v>
      </c>
      <c r="P1038" s="17" t="n">
        <f aca="false">AVERAGE(B1019:B1038)+2*STDEV(B1019:B1038)</f>
        <v>11445.2795709105</v>
      </c>
      <c r="Q1038" s="17" t="n">
        <f aca="false">AVERAGE(B1019:B1038)-2*STDEV(B1019:B1038)</f>
        <v>10423.9884290895</v>
      </c>
      <c r="R1038" s="19" t="n">
        <f aca="false">B1038/B1018-1</f>
        <v>0.0307238442378068</v>
      </c>
      <c r="S1038" s="17" t="n">
        <f aca="false">STDEV(C1019:C1038)*SQRT(252)*100</f>
        <v>21.71746462952</v>
      </c>
      <c r="T1038" s="19" t="n">
        <f aca="false">B1017/B787-1</f>
        <v>0.379035977262246</v>
      </c>
      <c r="U1038" s="19" t="n">
        <f aca="false">B1038/MAX(B787:B1038)-1</f>
        <v>0</v>
      </c>
      <c r="V1038" s="17" t="n">
        <f aca="false">(B1038-AVERAGE(B1019:B1038))/STDEV(B1019:B1038)</f>
        <v>1.38622958921942</v>
      </c>
    </row>
    <row r="1039" customFormat="false" ht="15" hidden="false" customHeight="false" outlineLevel="0" collapsed="false">
      <c r="A1039" s="17" t="s">
        <v>1603</v>
      </c>
      <c r="B1039" s="17" t="n">
        <v>11399.03</v>
      </c>
      <c r="C1039" s="19" t="n">
        <f aca="false">B1039/B1038-1</f>
        <v>0.00978511893003287</v>
      </c>
      <c r="D1039" s="17" t="n">
        <f aca="false">AVERAGE(B990:B1039)</f>
        <v>10555.4176</v>
      </c>
      <c r="E1039" s="17" t="n">
        <f aca="false">AVERAGE(B840:B1039)</f>
        <v>9154.3602</v>
      </c>
      <c r="F1039" s="17" t="n">
        <f aca="false">B1039*2/13+F1038*11/13</f>
        <v>11126.2647407382</v>
      </c>
      <c r="G1039" s="17" t="n">
        <f aca="false">B1039*2/27+G1038*25/27</f>
        <v>10913.6765007155</v>
      </c>
      <c r="H1039" s="17" t="n">
        <f aca="false">F1039-G1039</f>
        <v>212.588240022735</v>
      </c>
      <c r="I1039" s="17" t="n">
        <f aca="false">H1039*2/10+I1038*8/10</f>
        <v>204.13750019578</v>
      </c>
      <c r="J1039" s="17" t="n">
        <f aca="false">H1039-I1039</f>
        <v>8.45073982695462</v>
      </c>
      <c r="K1039" s="17" t="n">
        <f aca="false">MAX(B1039-B1038,0)</f>
        <v>110.460000000001</v>
      </c>
      <c r="L1039" s="17" t="n">
        <f aca="false">MAX(B1038-B1039,0)</f>
        <v>0</v>
      </c>
      <c r="M1039" s="17" t="n">
        <f aca="false">(M1038*13+K1039)/14</f>
        <v>78.3147969410479</v>
      </c>
      <c r="N1039" s="17" t="n">
        <f aca="false">(N1038*13+L1039)/14</f>
        <v>39.8170991907967</v>
      </c>
      <c r="O1039" s="17" t="n">
        <f aca="false">IF(N1039=0,100,100-100/(1+M1039/N1039))</f>
        <v>66.2943705344764</v>
      </c>
      <c r="P1039" s="17" t="n">
        <f aca="false">AVERAGE(B1020:B1039)+2*STDEV(B1020:B1039)</f>
        <v>11511.2188310656</v>
      </c>
      <c r="Q1039" s="17" t="n">
        <f aca="false">AVERAGE(B1020:B1039)-2*STDEV(B1020:B1039)</f>
        <v>10414.6451689344</v>
      </c>
      <c r="R1039" s="19" t="n">
        <f aca="false">B1039/B1019-1</f>
        <v>0.0522437314630111</v>
      </c>
      <c r="S1039" s="17" t="n">
        <f aca="false">STDEV(C1020:C1039)*SQRT(252)*100</f>
        <v>21.3793325306816</v>
      </c>
      <c r="T1039" s="19" t="n">
        <f aca="false">B1018/B788-1</f>
        <v>0.428941596744459</v>
      </c>
      <c r="U1039" s="19" t="n">
        <f aca="false">B1039/MAX(B788:B1039)-1</f>
        <v>0</v>
      </c>
      <c r="V1039" s="17" t="n">
        <f aca="false">(B1039-AVERAGE(B1020:B1039))/STDEV(B1020:B1039)</f>
        <v>1.59076591043563</v>
      </c>
    </row>
    <row r="1040" customFormat="false" ht="15" hidden="false" customHeight="false" outlineLevel="0" collapsed="false">
      <c r="A1040" s="17" t="s">
        <v>1604</v>
      </c>
      <c r="B1040" s="17" t="n">
        <v>11318.64</v>
      </c>
      <c r="C1040" s="19" t="n">
        <f aca="false">B1040/B1039-1</f>
        <v>-0.0070523544547213</v>
      </c>
      <c r="D1040" s="17" t="n">
        <f aca="false">AVERAGE(B991:B1040)</f>
        <v>10582.447</v>
      </c>
      <c r="E1040" s="17" t="n">
        <f aca="false">AVERAGE(B841:B1040)</f>
        <v>9170.14755</v>
      </c>
      <c r="F1040" s="17" t="n">
        <f aca="false">B1040*2/13+F1039*11/13</f>
        <v>11155.8609344708</v>
      </c>
      <c r="G1040" s="17" t="n">
        <f aca="false">B1040*2/27+G1039*25/27</f>
        <v>10943.6737969588</v>
      </c>
      <c r="H1040" s="17" t="n">
        <f aca="false">F1040-G1040</f>
        <v>212.187137512015</v>
      </c>
      <c r="I1040" s="17" t="n">
        <f aca="false">H1040*2/10+I1039*8/10</f>
        <v>205.747427659027</v>
      </c>
      <c r="J1040" s="17" t="n">
        <f aca="false">H1040-I1040</f>
        <v>6.43970985298824</v>
      </c>
      <c r="K1040" s="17" t="n">
        <f aca="false">MAX(B1040-B1039,0)</f>
        <v>0</v>
      </c>
      <c r="L1040" s="17" t="n">
        <f aca="false">MAX(B1039-B1040,0)</f>
        <v>80.3900000000012</v>
      </c>
      <c r="M1040" s="17" t="n">
        <f aca="false">(M1039*13+K1040)/14</f>
        <v>72.7208828738302</v>
      </c>
      <c r="N1040" s="17" t="n">
        <f aca="false">(N1039*13+L1040)/14</f>
        <v>42.7151635343113</v>
      </c>
      <c r="O1040" s="17" t="n">
        <f aca="false">IF(N1040=0,100,100-100/(1+M1040/N1040))</f>
        <v>62.9966852959556</v>
      </c>
      <c r="P1040" s="17" t="n">
        <f aca="false">AVERAGE(B1021:B1040)+2*STDEV(B1021:B1040)</f>
        <v>11553.9699496339</v>
      </c>
      <c r="Q1040" s="17" t="n">
        <f aca="false">AVERAGE(B1021:B1040)-2*STDEV(B1021:B1040)</f>
        <v>10416.6830503661</v>
      </c>
      <c r="R1040" s="19" t="n">
        <f aca="false">B1040/B1020-1</f>
        <v>0.0412013890485936</v>
      </c>
      <c r="S1040" s="17" t="n">
        <f aca="false">STDEV(C1021:C1040)*SQRT(252)*100</f>
        <v>21.6493662284258</v>
      </c>
      <c r="T1040" s="19" t="n">
        <f aca="false">B1019/B789-1</f>
        <v>0.40084854691836</v>
      </c>
      <c r="U1040" s="19" t="n">
        <f aca="false">B1040/MAX(B789:B1040)-1</f>
        <v>-0.0070523544547213</v>
      </c>
      <c r="V1040" s="17" t="n">
        <f aca="false">(B1040-AVERAGE(B1021:B1040))/STDEV(B1021:B1040)</f>
        <v>1.17231105085119</v>
      </c>
    </row>
    <row r="1041" customFormat="false" ht="15" hidden="false" customHeight="false" outlineLevel="0" collapsed="false">
      <c r="A1041" s="17" t="s">
        <v>1605</v>
      </c>
      <c r="B1041" s="17" t="n">
        <v>11477.05</v>
      </c>
      <c r="C1041" s="19" t="n">
        <f aca="false">B1041/B1040-1</f>
        <v>0.0139954976923022</v>
      </c>
      <c r="D1041" s="17" t="n">
        <f aca="false">AVERAGE(B992:B1041)</f>
        <v>10610.1028</v>
      </c>
      <c r="E1041" s="17" t="n">
        <f aca="false">AVERAGE(B842:B1041)</f>
        <v>9186.4795</v>
      </c>
      <c r="F1041" s="17" t="n">
        <f aca="false">B1041*2/13+F1040*11/13</f>
        <v>11205.2746368599</v>
      </c>
      <c r="G1041" s="17" t="n">
        <f aca="false">B1041*2/27+G1040*25/27</f>
        <v>10983.1831453322</v>
      </c>
      <c r="H1041" s="17" t="n">
        <f aca="false">F1041-G1041</f>
        <v>222.091491527699</v>
      </c>
      <c r="I1041" s="17" t="n">
        <f aca="false">H1041*2/10+I1040*8/10</f>
        <v>209.016240432762</v>
      </c>
      <c r="J1041" s="17" t="n">
        <f aca="false">H1041-I1041</f>
        <v>13.0752510949374</v>
      </c>
      <c r="K1041" s="17" t="n">
        <f aca="false">MAX(B1041-B1040,0)</f>
        <v>158.41</v>
      </c>
      <c r="L1041" s="17" t="n">
        <f aca="false">MAX(B1040-B1041,0)</f>
        <v>0</v>
      </c>
      <c r="M1041" s="17" t="n">
        <f aca="false">(M1040*13+K1041)/14</f>
        <v>78.841534097128</v>
      </c>
      <c r="N1041" s="17" t="n">
        <f aca="false">(N1040*13+L1041)/14</f>
        <v>39.6640804247176</v>
      </c>
      <c r="O1041" s="17" t="n">
        <f aca="false">IF(N1041=0,100,100-100/(1+M1041/N1041))</f>
        <v>66.5297879895759</v>
      </c>
      <c r="P1041" s="17" t="n">
        <f aca="false">AVERAGE(B1022:B1041)+2*STDEV(B1022:B1041)</f>
        <v>11605.7473786938</v>
      </c>
      <c r="Q1041" s="17" t="n">
        <f aca="false">AVERAGE(B1022:B1041)-2*STDEV(B1022:B1041)</f>
        <v>10454.5516213062</v>
      </c>
      <c r="R1041" s="19" t="n">
        <f aca="false">B1041/B1021-1</f>
        <v>0.0847268441551936</v>
      </c>
      <c r="S1041" s="17" t="n">
        <f aca="false">STDEV(C1022:C1041)*SQRT(252)*100</f>
        <v>19.1425582375365</v>
      </c>
      <c r="T1041" s="19" t="n">
        <f aca="false">B1020/B790-1</f>
        <v>0.410424745991855</v>
      </c>
      <c r="U1041" s="19" t="n">
        <f aca="false">B1041/MAX(B790:B1041)-1</f>
        <v>0</v>
      </c>
      <c r="V1041" s="17" t="n">
        <f aca="false">(B1041-AVERAGE(B1022:B1041))/STDEV(B1022:B1041)</f>
        <v>1.55282191454256</v>
      </c>
    </row>
    <row r="1042" customFormat="false" ht="15" hidden="false" customHeight="false" outlineLevel="0" collapsed="false">
      <c r="A1042" s="17" t="s">
        <v>1606</v>
      </c>
      <c r="B1042" s="17" t="n">
        <v>11555.16</v>
      </c>
      <c r="C1042" s="19" t="n">
        <f aca="false">B1042/B1041-1</f>
        <v>0.00680575583446963</v>
      </c>
      <c r="D1042" s="17" t="n">
        <f aca="false">AVERAGE(B993:B1042)</f>
        <v>10649.4364</v>
      </c>
      <c r="E1042" s="17" t="n">
        <f aca="false">AVERAGE(B843:B1042)</f>
        <v>9203.2044</v>
      </c>
      <c r="F1042" s="17" t="n">
        <f aca="false">B1042*2/13+F1041*11/13</f>
        <v>11259.1031542661</v>
      </c>
      <c r="G1042" s="17" t="n">
        <f aca="false">B1042*2/27+G1041*25/27</f>
        <v>11025.5518012335</v>
      </c>
      <c r="H1042" s="17" t="n">
        <f aca="false">F1042-G1042</f>
        <v>233.55135303255</v>
      </c>
      <c r="I1042" s="17" t="n">
        <f aca="false">H1042*2/10+I1041*8/10</f>
        <v>213.923262952719</v>
      </c>
      <c r="J1042" s="17" t="n">
        <f aca="false">H1042-I1042</f>
        <v>19.6280900798306</v>
      </c>
      <c r="K1042" s="17" t="n">
        <f aca="false">MAX(B1042-B1041,0)</f>
        <v>78.1100000000006</v>
      </c>
      <c r="L1042" s="17" t="n">
        <f aca="false">MAX(B1041-B1042,0)</f>
        <v>0</v>
      </c>
      <c r="M1042" s="17" t="n">
        <f aca="false">(M1041*13+K1042)/14</f>
        <v>78.7892816616189</v>
      </c>
      <c r="N1042" s="17" t="n">
        <f aca="false">(N1041*13+L1042)/14</f>
        <v>36.8309318229521</v>
      </c>
      <c r="O1042" s="17" t="n">
        <f aca="false">IF(N1042=0,100,100-100/(1+M1042/N1042))</f>
        <v>68.1449024241189</v>
      </c>
      <c r="P1042" s="17" t="n">
        <f aca="false">AVERAGE(B1023:B1042)+2*STDEV(B1023:B1042)</f>
        <v>11644.3295800553</v>
      </c>
      <c r="Q1042" s="17" t="n">
        <f aca="false">AVERAGE(B1023:B1042)-2*STDEV(B1023:B1042)</f>
        <v>10523.1724199447</v>
      </c>
      <c r="R1042" s="19" t="n">
        <f aca="false">B1042/B1022-1</f>
        <v>0.102262396822323</v>
      </c>
      <c r="S1042" s="17" t="n">
        <f aca="false">STDEV(C1023:C1042)*SQRT(252)*100</f>
        <v>18.4938176901311</v>
      </c>
      <c r="T1042" s="19" t="n">
        <f aca="false">B1021/B791-1</f>
        <v>0.417361577175589</v>
      </c>
      <c r="U1042" s="19" t="n">
        <f aca="false">B1042/MAX(B791:B1042)-1</f>
        <v>0</v>
      </c>
      <c r="V1042" s="17" t="n">
        <f aca="false">(B1042-AVERAGE(B1023:B1042))/STDEV(B1023:B1042)</f>
        <v>1.68186590345096</v>
      </c>
    </row>
    <row r="1043" customFormat="false" ht="15" hidden="false" customHeight="false" outlineLevel="0" collapsed="false">
      <c r="A1043" s="17" t="s">
        <v>1607</v>
      </c>
      <c r="B1043" s="17" t="n">
        <v>11626.17</v>
      </c>
      <c r="C1043" s="19" t="n">
        <f aca="false">B1043/B1042-1</f>
        <v>0.00614530651241529</v>
      </c>
      <c r="D1043" s="17" t="n">
        <f aca="false">AVERAGE(B994:B1043)</f>
        <v>10688.6842</v>
      </c>
      <c r="E1043" s="17" t="n">
        <f aca="false">AVERAGE(B844:B1043)</f>
        <v>9220.3551</v>
      </c>
      <c r="F1043" s="17" t="n">
        <f aca="false">B1043*2/13+F1042*11/13</f>
        <v>11315.5749766867</v>
      </c>
      <c r="G1043" s="17" t="n">
        <f aca="false">B1043*2/27+G1042*25/27</f>
        <v>11070.0420381792</v>
      </c>
      <c r="H1043" s="17" t="n">
        <f aca="false">F1043-G1043</f>
        <v>245.532938507491</v>
      </c>
      <c r="I1043" s="17" t="n">
        <f aca="false">H1043*2/10+I1042*8/10</f>
        <v>220.245198063674</v>
      </c>
      <c r="J1043" s="17" t="n">
        <f aca="false">H1043-I1043</f>
        <v>25.2877404438175</v>
      </c>
      <c r="K1043" s="17" t="n">
        <f aca="false">MAX(B1043-B1042,0)</f>
        <v>71.0100000000002</v>
      </c>
      <c r="L1043" s="17" t="n">
        <f aca="false">MAX(B1042-B1043,0)</f>
        <v>0</v>
      </c>
      <c r="M1043" s="17" t="n">
        <f aca="false">(M1042*13+K1043)/14</f>
        <v>78.233618685789</v>
      </c>
      <c r="N1043" s="17" t="n">
        <f aca="false">(N1042*13+L1043)/14</f>
        <v>34.2001509784555</v>
      </c>
      <c r="O1043" s="17" t="n">
        <f aca="false">IF(N1043=0,100,100-100/(1+M1043/N1043))</f>
        <v>69.5819582669995</v>
      </c>
      <c r="P1043" s="17" t="n">
        <f aca="false">AVERAGE(B1024:B1043)+2*STDEV(B1024:B1043)</f>
        <v>11706.9899148159</v>
      </c>
      <c r="Q1043" s="17" t="n">
        <f aca="false">AVERAGE(B1024:B1043)-2*STDEV(B1024:B1043)</f>
        <v>10555.6910851841</v>
      </c>
      <c r="R1043" s="19" t="n">
        <f aca="false">B1043/B1023-1</f>
        <v>0.0891658344559592</v>
      </c>
      <c r="S1043" s="17" t="n">
        <f aca="false">STDEV(C1024:C1043)*SQRT(252)*100</f>
        <v>17.8264881851124</v>
      </c>
      <c r="T1043" s="19" t="n">
        <f aca="false">B1022/B792-1</f>
        <v>0.383907897272878</v>
      </c>
      <c r="U1043" s="19" t="n">
        <f aca="false">B1043/MAX(B792:B1043)-1</f>
        <v>0</v>
      </c>
      <c r="V1043" s="17" t="n">
        <f aca="false">(B1043-AVERAGE(B1024:B1043))/STDEV(B1024:B1043)</f>
        <v>1.71920438817174</v>
      </c>
    </row>
    <row r="1044" customFormat="false" ht="15" hidden="false" customHeight="false" outlineLevel="0" collapsed="false">
      <c r="A1044" s="17" t="s">
        <v>1608</v>
      </c>
      <c r="B1044" s="17" t="n">
        <v>11721.81</v>
      </c>
      <c r="C1044" s="19" t="n">
        <f aca="false">B1044/B1043-1</f>
        <v>0.00822626884003919</v>
      </c>
      <c r="D1044" s="17" t="n">
        <f aca="false">AVERAGE(B995:B1044)</f>
        <v>10727.5826</v>
      </c>
      <c r="E1044" s="17" t="n">
        <f aca="false">AVERAGE(B845:B1044)</f>
        <v>9237.8659</v>
      </c>
      <c r="F1044" s="17" t="n">
        <f aca="false">B1044*2/13+F1043*11/13</f>
        <v>11378.072672581</v>
      </c>
      <c r="G1044" s="17" t="n">
        <f aca="false">B1044*2/27+G1043*25/27</f>
        <v>11118.3211464622</v>
      </c>
      <c r="H1044" s="17" t="n">
        <f aca="false">F1044-G1044</f>
        <v>259.751526118826</v>
      </c>
      <c r="I1044" s="17" t="n">
        <f aca="false">H1044*2/10+I1043*8/10</f>
        <v>228.146463674704</v>
      </c>
      <c r="J1044" s="17" t="n">
        <f aca="false">H1044-I1044</f>
        <v>31.6050624441216</v>
      </c>
      <c r="K1044" s="17" t="n">
        <f aca="false">MAX(B1044-B1043,0)</f>
        <v>95.6399999999994</v>
      </c>
      <c r="L1044" s="17" t="n">
        <f aca="false">MAX(B1043-B1044,0)</f>
        <v>0</v>
      </c>
      <c r="M1044" s="17" t="n">
        <f aca="false">(M1043*13+K1044)/14</f>
        <v>79.476931636804</v>
      </c>
      <c r="N1044" s="17" t="n">
        <f aca="false">(N1043*13+L1044)/14</f>
        <v>31.757283051423</v>
      </c>
      <c r="O1044" s="17" t="n">
        <f aca="false">IF(N1044=0,100,100-100/(1+M1044/N1044))</f>
        <v>71.4500766329551</v>
      </c>
      <c r="P1044" s="17" t="n">
        <f aca="false">AVERAGE(B1025:B1044)+2*STDEV(B1025:B1044)</f>
        <v>11751.5084830523</v>
      </c>
      <c r="Q1044" s="17" t="n">
        <f aca="false">AVERAGE(B1025:B1044)-2*STDEV(B1025:B1044)</f>
        <v>10630.1035169477</v>
      </c>
      <c r="R1044" s="19" t="n">
        <f aca="false">B1044/B1024-1</f>
        <v>0.112918110610017</v>
      </c>
      <c r="S1044" s="17" t="n">
        <f aca="false">STDEV(C1025:C1044)*SQRT(252)*100</f>
        <v>16.5978062691445</v>
      </c>
      <c r="T1044" s="19" t="n">
        <f aca="false">B1023/B793-1</f>
        <v>0.410829721795975</v>
      </c>
      <c r="U1044" s="19" t="n">
        <f aca="false">B1044/MAX(B793:B1044)-1</f>
        <v>0</v>
      </c>
      <c r="V1044" s="17" t="n">
        <f aca="false">(B1044-AVERAGE(B1025:B1044))/STDEV(B1025:B1044)</f>
        <v>1.8940668752146</v>
      </c>
    </row>
    <row r="1045" customFormat="false" ht="15" hidden="false" customHeight="false" outlineLevel="0" collapsed="false">
      <c r="A1045" s="17" t="s">
        <v>1609</v>
      </c>
      <c r="B1045" s="17" t="n">
        <v>11971.94</v>
      </c>
      <c r="C1045" s="19" t="n">
        <f aca="false">B1045/B1044-1</f>
        <v>0.0213388546649367</v>
      </c>
      <c r="D1045" s="17" t="n">
        <f aca="false">AVERAGE(B996:B1045)</f>
        <v>10768.034</v>
      </c>
      <c r="E1045" s="17" t="n">
        <f aca="false">AVERAGE(B846:B1045)</f>
        <v>9256.44615</v>
      </c>
      <c r="F1045" s="17" t="n">
        <f aca="false">B1045*2/13+F1044*11/13</f>
        <v>11469.4368767993</v>
      </c>
      <c r="G1045" s="17" t="n">
        <f aca="false">B1045*2/27+G1044*25/27</f>
        <v>11181.5521726502</v>
      </c>
      <c r="H1045" s="17" t="n">
        <f aca="false">F1045-G1045</f>
        <v>287.884704149143</v>
      </c>
      <c r="I1045" s="17" t="n">
        <f aca="false">H1045*2/10+I1044*8/10</f>
        <v>240.094111769592</v>
      </c>
      <c r="J1045" s="17" t="n">
        <f aca="false">H1045-I1045</f>
        <v>47.790592379551</v>
      </c>
      <c r="K1045" s="17" t="n">
        <f aca="false">MAX(B1045-B1044,0)</f>
        <v>250.130000000001</v>
      </c>
      <c r="L1045" s="17" t="n">
        <f aca="false">MAX(B1044-B1045,0)</f>
        <v>0</v>
      </c>
      <c r="M1045" s="17" t="n">
        <f aca="false">(M1044*13+K1045)/14</f>
        <v>91.6664365198895</v>
      </c>
      <c r="N1045" s="17" t="n">
        <f aca="false">(N1044*13+L1045)/14</f>
        <v>29.488905690607</v>
      </c>
      <c r="O1045" s="17" t="n">
        <f aca="false">IF(N1045=0,100,100-100/(1+M1045/N1045))</f>
        <v>75.6602514155977</v>
      </c>
      <c r="P1045" s="17" t="n">
        <f aca="false">AVERAGE(B1026:B1045)+2*STDEV(B1026:B1045)</f>
        <v>11861.3622164165</v>
      </c>
      <c r="Q1045" s="17" t="n">
        <f aca="false">AVERAGE(B1026:B1045)-2*STDEV(B1026:B1045)</f>
        <v>10651.1457835835</v>
      </c>
      <c r="R1045" s="19" t="n">
        <f aca="false">B1045/B1025-1</f>
        <v>0.122757428036065</v>
      </c>
      <c r="S1045" s="17" t="n">
        <f aca="false">STDEV(C1026:C1045)*SQRT(252)*100</f>
        <v>17.382079075382</v>
      </c>
      <c r="T1045" s="19" t="n">
        <f aca="false">B1024/B794-1</f>
        <v>0.388065209082882</v>
      </c>
      <c r="U1045" s="19" t="n">
        <f aca="false">B1045/MAX(B794:B1045)-1</f>
        <v>0</v>
      </c>
      <c r="V1045" s="17" t="n">
        <f aca="false">(B1045-AVERAGE(B1026:B1045))/STDEV(B1026:B1045)</f>
        <v>2.36548101838171</v>
      </c>
    </row>
    <row r="1046" customFormat="false" ht="15" hidden="false" customHeight="false" outlineLevel="0" collapsed="false">
      <c r="A1046" s="17" t="s">
        <v>1610</v>
      </c>
      <c r="B1046" s="17" t="n">
        <v>11926.16</v>
      </c>
      <c r="C1046" s="19" t="n">
        <f aca="false">B1046/B1045-1</f>
        <v>-0.00382394165022548</v>
      </c>
      <c r="D1046" s="17" t="n">
        <f aca="false">AVERAGE(B997:B1046)</f>
        <v>10806.9076</v>
      </c>
      <c r="E1046" s="17" t="n">
        <f aca="false">AVERAGE(B847:B1046)</f>
        <v>9274.8674</v>
      </c>
      <c r="F1046" s="17" t="n">
        <f aca="false">B1046*2/13+F1045*11/13</f>
        <v>11539.7019726764</v>
      </c>
      <c r="G1046" s="17" t="n">
        <f aca="false">B1046*2/27+G1045*25/27</f>
        <v>11236.7083080094</v>
      </c>
      <c r="H1046" s="17" t="n">
        <f aca="false">F1046-G1046</f>
        <v>302.993664666923</v>
      </c>
      <c r="I1046" s="17" t="n">
        <f aca="false">H1046*2/10+I1045*8/10</f>
        <v>252.674022349058</v>
      </c>
      <c r="J1046" s="17" t="n">
        <f aca="false">H1046-I1046</f>
        <v>50.319642317865</v>
      </c>
      <c r="K1046" s="17" t="n">
        <f aca="false">MAX(B1046-B1045,0)</f>
        <v>0</v>
      </c>
      <c r="L1046" s="17" t="n">
        <f aca="false">MAX(B1045-B1046,0)</f>
        <v>45.7800000000007</v>
      </c>
      <c r="M1046" s="17" t="n">
        <f aca="false">(M1045*13+K1046)/14</f>
        <v>85.118833911326</v>
      </c>
      <c r="N1046" s="17" t="n">
        <f aca="false">(N1045*13+L1046)/14</f>
        <v>30.6525552841352</v>
      </c>
      <c r="O1046" s="17" t="n">
        <f aca="false">IF(N1046=0,100,100-100/(1+M1046/N1046))</f>
        <v>73.5232033603887</v>
      </c>
      <c r="P1046" s="17" t="n">
        <f aca="false">AVERAGE(B1027:B1046)+2*STDEV(B1027:B1046)</f>
        <v>11936.1795957682</v>
      </c>
      <c r="Q1046" s="17" t="n">
        <f aca="false">AVERAGE(B1027:B1046)-2*STDEV(B1027:B1046)</f>
        <v>10697.3934042318</v>
      </c>
      <c r="R1046" s="19" t="n">
        <f aca="false">B1046/B1026-1</f>
        <v>0.112981090027446</v>
      </c>
      <c r="S1046" s="17" t="n">
        <f aca="false">STDEV(C1027:C1046)*SQRT(252)*100</f>
        <v>17.7188646374077</v>
      </c>
      <c r="T1046" s="19" t="n">
        <f aca="false">B1025/B795-1</f>
        <v>0.384387281218232</v>
      </c>
      <c r="U1046" s="19" t="n">
        <f aca="false">B1046/MAX(B795:B1046)-1</f>
        <v>-0.00382394165022548</v>
      </c>
      <c r="V1046" s="17" t="n">
        <f aca="false">(B1046-AVERAGE(B1027:B1046))/STDEV(B1027:B1046)</f>
        <v>1.96764705374789</v>
      </c>
    </row>
    <row r="1047" customFormat="false" ht="15" hidden="false" customHeight="false" outlineLevel="0" collapsed="false">
      <c r="A1047" s="17" t="s">
        <v>1611</v>
      </c>
      <c r="B1047" s="17" t="n">
        <v>11995.85</v>
      </c>
      <c r="C1047" s="19" t="n">
        <f aca="false">B1047/B1046-1</f>
        <v>0.00584345673712239</v>
      </c>
      <c r="D1047" s="17" t="n">
        <f aca="false">AVERAGE(B998:B1047)</f>
        <v>10846.5836</v>
      </c>
      <c r="E1047" s="17" t="n">
        <f aca="false">AVERAGE(B848:B1047)</f>
        <v>9293.5277</v>
      </c>
      <c r="F1047" s="17" t="n">
        <f aca="false">B1047*2/13+F1046*11/13</f>
        <v>11609.8785922646</v>
      </c>
      <c r="G1047" s="17" t="n">
        <f aca="false">B1047*2/27+G1046*25/27</f>
        <v>11292.9410259347</v>
      </c>
      <c r="H1047" s="17" t="n">
        <f aca="false">F1047-G1047</f>
        <v>316.937566329947</v>
      </c>
      <c r="I1047" s="17" t="n">
        <f aca="false">H1047*2/10+I1046*8/10</f>
        <v>265.526731145236</v>
      </c>
      <c r="J1047" s="17" t="n">
        <f aca="false">H1047-I1047</f>
        <v>51.4108351847112</v>
      </c>
      <c r="K1047" s="17" t="n">
        <f aca="false">MAX(B1047-B1046,0)</f>
        <v>69.6900000000005</v>
      </c>
      <c r="L1047" s="17" t="n">
        <f aca="false">MAX(B1046-B1047,0)</f>
        <v>0</v>
      </c>
      <c r="M1047" s="17" t="n">
        <f aca="false">(M1046*13+K1047)/14</f>
        <v>84.0167743462313</v>
      </c>
      <c r="N1047" s="17" t="n">
        <f aca="false">(N1046*13+L1047)/14</f>
        <v>28.4630870495541</v>
      </c>
      <c r="O1047" s="17" t="n">
        <f aca="false">IF(N1047=0,100,100-100/(1+M1047/N1047))</f>
        <v>74.6949483255493</v>
      </c>
      <c r="P1047" s="17" t="n">
        <f aca="false">AVERAGE(B1028:B1047)+2*STDEV(B1028:B1047)</f>
        <v>12029.0657087632</v>
      </c>
      <c r="Q1047" s="17" t="n">
        <f aca="false">AVERAGE(B1028:B1047)-2*STDEV(B1028:B1047)</f>
        <v>10713.5042912368</v>
      </c>
      <c r="R1047" s="19" t="n">
        <f aca="false">B1047/B1027-1</f>
        <v>0.0999433333211077</v>
      </c>
      <c r="S1047" s="17" t="n">
        <f aca="false">STDEV(C1028:C1047)*SQRT(252)*100</f>
        <v>17.1125927382606</v>
      </c>
      <c r="T1047" s="19" t="n">
        <f aca="false">B1026/B796-1</f>
        <v>0.393253153036016</v>
      </c>
      <c r="U1047" s="19" t="n">
        <f aca="false">B1047/MAX(B796:B1047)-1</f>
        <v>0</v>
      </c>
      <c r="V1047" s="17" t="n">
        <f aca="false">(B1047-AVERAGE(B1028:B1047))/STDEV(B1028:B1047)</f>
        <v>1.89900674093748</v>
      </c>
    </row>
    <row r="1048" customFormat="false" ht="15" hidden="false" customHeight="false" outlineLevel="0" collapsed="false">
      <c r="A1048" s="17" t="s">
        <v>1612</v>
      </c>
      <c r="B1048" s="17" t="n">
        <v>12110.7</v>
      </c>
      <c r="C1048" s="19" t="n">
        <f aca="false">B1048/B1047-1</f>
        <v>0.0095741443916022</v>
      </c>
      <c r="D1048" s="17" t="n">
        <f aca="false">AVERAGE(B999:B1048)</f>
        <v>10888.6248</v>
      </c>
      <c r="E1048" s="17" t="n">
        <f aca="false">AVERAGE(B849:B1048)</f>
        <v>9312.78215</v>
      </c>
      <c r="F1048" s="17" t="n">
        <f aca="false">B1048*2/13+F1047*11/13</f>
        <v>11686.9280396085</v>
      </c>
      <c r="G1048" s="17" t="n">
        <f aca="false">B1048*2/27+G1047*25/27</f>
        <v>11353.5157647543</v>
      </c>
      <c r="H1048" s="17" t="n">
        <f aca="false">F1048-G1048</f>
        <v>333.412274854198</v>
      </c>
      <c r="I1048" s="17" t="n">
        <f aca="false">H1048*2/10+I1047*8/10</f>
        <v>279.103839887028</v>
      </c>
      <c r="J1048" s="17" t="n">
        <f aca="false">H1048-I1048</f>
        <v>54.3084349671695</v>
      </c>
      <c r="K1048" s="17" t="n">
        <f aca="false">MAX(B1048-B1047,0)</f>
        <v>114.85</v>
      </c>
      <c r="L1048" s="17" t="n">
        <f aca="false">MAX(B1047-B1048,0)</f>
        <v>0</v>
      </c>
      <c r="M1048" s="17" t="n">
        <f aca="false">(M1047*13+K1048)/14</f>
        <v>86.2191476072148</v>
      </c>
      <c r="N1048" s="17" t="n">
        <f aca="false">(N1047*13+L1048)/14</f>
        <v>26.4300094031574</v>
      </c>
      <c r="O1048" s="17" t="n">
        <f aca="false">IF(N1048=0,100,100-100/(1+M1048/N1048))</f>
        <v>76.5377654794844</v>
      </c>
      <c r="P1048" s="17" t="n">
        <f aca="false">AVERAGE(B1029:B1048)+2*STDEV(B1029:B1048)</f>
        <v>12141.6996405716</v>
      </c>
      <c r="Q1048" s="17" t="n">
        <f aca="false">AVERAGE(B1029:B1048)-2*STDEV(B1029:B1048)</f>
        <v>10706.4323594284</v>
      </c>
      <c r="R1048" s="19" t="n">
        <f aca="false">B1048/B1028-1</f>
        <v>0.0954873234748188</v>
      </c>
      <c r="S1048" s="17" t="n">
        <f aca="false">STDEV(C1029:C1048)*SQRT(252)*100</f>
        <v>16.8915277804621</v>
      </c>
      <c r="T1048" s="19" t="n">
        <f aca="false">B1027/B797-1</f>
        <v>0.433190836203645</v>
      </c>
      <c r="U1048" s="19" t="n">
        <f aca="false">B1048/MAX(B797:B1048)-1</f>
        <v>0</v>
      </c>
      <c r="V1048" s="17" t="n">
        <f aca="false">(B1048-AVERAGE(B1029:B1048))/STDEV(B1029:B1048)</f>
        <v>1.91360594370443</v>
      </c>
    </row>
    <row r="1049" customFormat="false" ht="15" hidden="false" customHeight="false" outlineLevel="0" collapsed="false">
      <c r="A1049" s="17" t="s">
        <v>1613</v>
      </c>
      <c r="B1049" s="17" t="n">
        <v>12292.86</v>
      </c>
      <c r="C1049" s="19" t="n">
        <f aca="false">B1049/B1048-1</f>
        <v>0.0150412445193093</v>
      </c>
      <c r="D1049" s="17" t="n">
        <f aca="false">AVERAGE(B1000:B1049)</f>
        <v>10931.8754</v>
      </c>
      <c r="E1049" s="17" t="n">
        <f aca="false">AVERAGE(B850:B1049)</f>
        <v>9332.9573</v>
      </c>
      <c r="F1049" s="17" t="n">
        <f aca="false">B1049*2/13+F1048*11/13</f>
        <v>11780.1483412072</v>
      </c>
      <c r="G1049" s="17" t="n">
        <f aca="false">B1049*2/27+G1048*25/27</f>
        <v>11423.096819217</v>
      </c>
      <c r="H1049" s="17" t="n">
        <f aca="false">F1049-G1049</f>
        <v>357.051521990245</v>
      </c>
      <c r="I1049" s="17" t="n">
        <f aca="false">H1049*2/10+I1048*8/10</f>
        <v>294.693376307671</v>
      </c>
      <c r="J1049" s="17" t="n">
        <f aca="false">H1049-I1049</f>
        <v>62.3581456825731</v>
      </c>
      <c r="K1049" s="17" t="n">
        <f aca="false">MAX(B1049-B1048,0)</f>
        <v>182.16</v>
      </c>
      <c r="L1049" s="17" t="n">
        <f aca="false">MAX(B1048-B1049,0)</f>
        <v>0</v>
      </c>
      <c r="M1049" s="17" t="n">
        <f aca="false">(M1048*13+K1049)/14</f>
        <v>93.0720656352709</v>
      </c>
      <c r="N1049" s="17" t="n">
        <f aca="false">(N1048*13+L1049)/14</f>
        <v>24.5421515886461</v>
      </c>
      <c r="O1049" s="17" t="n">
        <f aca="false">IF(N1049=0,100,100-100/(1+M1049/N1049))</f>
        <v>79.1333461481769</v>
      </c>
      <c r="P1049" s="17" t="n">
        <f aca="false">AVERAGE(B1030:B1049)+2*STDEV(B1030:B1049)</f>
        <v>12281.5379549237</v>
      </c>
      <c r="Q1049" s="17" t="n">
        <f aca="false">AVERAGE(B1030:B1049)-2*STDEV(B1030:B1049)</f>
        <v>10686.2260450763</v>
      </c>
      <c r="R1049" s="19" t="n">
        <f aca="false">B1049/B1029-1</f>
        <v>0.107810182273033</v>
      </c>
      <c r="S1049" s="17" t="n">
        <f aca="false">STDEV(C1030:C1049)*SQRT(252)*100</f>
        <v>17.2849682613983</v>
      </c>
      <c r="T1049" s="19" t="n">
        <f aca="false">B1028/B798-1</f>
        <v>0.432144314538329</v>
      </c>
      <c r="U1049" s="19" t="n">
        <f aca="false">B1049/MAX(B798:B1049)-1</f>
        <v>0</v>
      </c>
      <c r="V1049" s="17" t="n">
        <f aca="false">(B1049-AVERAGE(B1030:B1049))/STDEV(B1030:B1049)</f>
        <v>2.02838829198578</v>
      </c>
    </row>
    <row r="1050" customFormat="false" ht="15" hidden="false" customHeight="false" outlineLevel="0" collapsed="false">
      <c r="A1050" s="17" t="s">
        <v>1614</v>
      </c>
      <c r="B1050" s="17" t="n">
        <v>12420.54</v>
      </c>
      <c r="C1050" s="19" t="n">
        <f aca="false">B1050/B1049-1</f>
        <v>0.0103865170513615</v>
      </c>
      <c r="D1050" s="17" t="n">
        <f aca="false">AVERAGE(B1001:B1050)</f>
        <v>10976.0898</v>
      </c>
      <c r="E1050" s="17" t="n">
        <f aca="false">AVERAGE(B851:B1050)</f>
        <v>9353.4824</v>
      </c>
      <c r="F1050" s="17" t="n">
        <f aca="false">B1050*2/13+F1049*11/13</f>
        <v>11878.6701348676</v>
      </c>
      <c r="G1050" s="17" t="n">
        <f aca="false">B1050*2/27+G1049*25/27</f>
        <v>11496.981499275</v>
      </c>
      <c r="H1050" s="17" t="n">
        <f aca="false">F1050-G1050</f>
        <v>381.688635592671</v>
      </c>
      <c r="I1050" s="17" t="n">
        <f aca="false">H1050*2/10+I1049*8/10</f>
        <v>312.092428164671</v>
      </c>
      <c r="J1050" s="17" t="n">
        <f aca="false">H1050-I1050</f>
        <v>69.5962074279995</v>
      </c>
      <c r="K1050" s="17" t="n">
        <f aca="false">MAX(B1050-B1049,0)</f>
        <v>127.68</v>
      </c>
      <c r="L1050" s="17" t="n">
        <f aca="false">MAX(B1049-B1050,0)</f>
        <v>0</v>
      </c>
      <c r="M1050" s="17" t="n">
        <f aca="false">(M1049*13+K1050)/14</f>
        <v>95.5440609470373</v>
      </c>
      <c r="N1050" s="17" t="n">
        <f aca="false">(N1049*13+L1050)/14</f>
        <v>22.7891407608857</v>
      </c>
      <c r="O1050" s="17" t="n">
        <f aca="false">IF(N1050=0,100,100-100/(1+M1050/N1050))</f>
        <v>80.7415497662818</v>
      </c>
      <c r="P1050" s="17" t="n">
        <f aca="false">AVERAGE(B1031:B1050)+2*STDEV(B1031:B1050)</f>
        <v>12429.6883692677</v>
      </c>
      <c r="Q1050" s="17" t="n">
        <f aca="false">AVERAGE(B1031:B1050)-2*STDEV(B1031:B1050)</f>
        <v>10667.5856307323</v>
      </c>
      <c r="R1050" s="19" t="n">
        <f aca="false">B1050/B1030-1</f>
        <v>0.1164088791095</v>
      </c>
      <c r="S1050" s="17" t="n">
        <f aca="false">STDEV(C1031:C1050)*SQRT(252)*100</f>
        <v>17.3512657139325</v>
      </c>
      <c r="T1050" s="19" t="n">
        <f aca="false">B1029/B799-1</f>
        <v>0.4113174622959</v>
      </c>
      <c r="U1050" s="19" t="n">
        <f aca="false">B1050/MAX(B799:B1050)-1</f>
        <v>0</v>
      </c>
      <c r="V1050" s="17" t="n">
        <f aca="false">(B1050-AVERAGE(B1031:B1050))/STDEV(B1031:B1050)</f>
        <v>1.97923306270947</v>
      </c>
    </row>
    <row r="1051" customFormat="false" ht="15" hidden="false" customHeight="false" outlineLevel="0" collapsed="false">
      <c r="A1051" s="17" t="s">
        <v>1615</v>
      </c>
      <c r="B1051" s="17" t="n">
        <v>11771.37</v>
      </c>
      <c r="C1051" s="19" t="n">
        <f aca="false">B1051/B1050-1</f>
        <v>-0.0522658435140502</v>
      </c>
      <c r="D1051" s="17" t="n">
        <f aca="false">AVERAGE(B1002:B1051)</f>
        <v>11011.4632</v>
      </c>
      <c r="E1051" s="17" t="n">
        <f aca="false">AVERAGE(B852:B1051)</f>
        <v>9370.69685</v>
      </c>
      <c r="F1051" s="17" t="n">
        <f aca="false">B1051*2/13+F1050*11/13</f>
        <v>11862.1624218111</v>
      </c>
      <c r="G1051" s="17" t="n">
        <f aca="false">B1051*2/27+G1050*25/27</f>
        <v>11517.3065734028</v>
      </c>
      <c r="H1051" s="17" t="n">
        <f aca="false">F1051-G1051</f>
        <v>344.85584840833</v>
      </c>
      <c r="I1051" s="17" t="n">
        <f aca="false">H1051*2/10+I1050*8/10</f>
        <v>318.645112213403</v>
      </c>
      <c r="J1051" s="17" t="n">
        <f aca="false">H1051-I1051</f>
        <v>26.2107361949267</v>
      </c>
      <c r="K1051" s="17" t="n">
        <f aca="false">MAX(B1051-B1050,0)</f>
        <v>0</v>
      </c>
      <c r="L1051" s="17" t="n">
        <f aca="false">MAX(B1050-B1051,0)</f>
        <v>649.17</v>
      </c>
      <c r="M1051" s="17" t="n">
        <f aca="false">(M1050*13+K1051)/14</f>
        <v>88.719485165106</v>
      </c>
      <c r="N1051" s="17" t="n">
        <f aca="false">(N1050*13+L1051)/14</f>
        <v>67.5306307065367</v>
      </c>
      <c r="O1051" s="17" t="n">
        <f aca="false">IF(N1051=0,100,100-100/(1+M1051/N1051))</f>
        <v>56.7804283985222</v>
      </c>
      <c r="P1051" s="17" t="n">
        <f aca="false">AVERAGE(B1032:B1051)+2*STDEV(B1032:B1051)</f>
        <v>12449.8249341628</v>
      </c>
      <c r="Q1051" s="17" t="n">
        <f aca="false">AVERAGE(B1032:B1051)-2*STDEV(B1032:B1051)</f>
        <v>10697.8780658372</v>
      </c>
      <c r="R1051" s="19" t="n">
        <f aca="false">B1051/B1031-1</f>
        <v>0.0447578254525574</v>
      </c>
      <c r="S1051" s="17" t="n">
        <f aca="false">STDEV(C1032:C1051)*SQRT(252)*100</f>
        <v>26.6464102325404</v>
      </c>
      <c r="T1051" s="19" t="n">
        <f aca="false">B1030/B800-1</f>
        <v>0.416795075224068</v>
      </c>
      <c r="U1051" s="19" t="n">
        <f aca="false">B1051/MAX(B800:B1051)-1</f>
        <v>-0.0522658435140502</v>
      </c>
      <c r="V1051" s="17" t="n">
        <f aca="false">(B1051-AVERAGE(B1032:B1051))/STDEV(B1032:B1051)</f>
        <v>0.450969155677143</v>
      </c>
    </row>
    <row r="1052" customFormat="false" ht="15" hidden="false" customHeight="false" outlineLevel="0" collapsed="false">
      <c r="A1052" s="17" t="s">
        <v>1616</v>
      </c>
      <c r="B1052" s="17" t="n">
        <v>11622.13</v>
      </c>
      <c r="C1052" s="19" t="n">
        <f aca="false">B1052/B1051-1</f>
        <v>-0.0126782184231743</v>
      </c>
      <c r="D1052" s="17" t="n">
        <f aca="false">AVERAGE(B1003:B1052)</f>
        <v>11041.8692</v>
      </c>
      <c r="E1052" s="17" t="n">
        <f aca="false">AVERAGE(B853:B1052)</f>
        <v>9387.1138</v>
      </c>
      <c r="F1052" s="17" t="n">
        <f aca="false">B1052*2/13+F1051*11/13</f>
        <v>11825.2343569171</v>
      </c>
      <c r="G1052" s="17" t="n">
        <f aca="false">B1052*2/27+G1051*25/27</f>
        <v>11525.0712716692</v>
      </c>
      <c r="H1052" s="17" t="n">
        <f aca="false">F1052-G1052</f>
        <v>300.163085247856</v>
      </c>
      <c r="I1052" s="17" t="n">
        <f aca="false">H1052*2/10+I1051*8/10</f>
        <v>314.948706820294</v>
      </c>
      <c r="J1052" s="17" t="n">
        <f aca="false">H1052-I1052</f>
        <v>-14.7856215724379</v>
      </c>
      <c r="K1052" s="17" t="n">
        <f aca="false">MAX(B1052-B1051,0)</f>
        <v>0</v>
      </c>
      <c r="L1052" s="17" t="n">
        <f aca="false">MAX(B1051-B1052,0)</f>
        <v>149.240000000002</v>
      </c>
      <c r="M1052" s="17" t="n">
        <f aca="false">(M1051*13+K1052)/14</f>
        <v>82.3823790818842</v>
      </c>
      <c r="N1052" s="17" t="n">
        <f aca="false">(N1051*13+L1052)/14</f>
        <v>73.3670142274985</v>
      </c>
      <c r="O1052" s="17" t="n">
        <f aca="false">IF(N1052=0,100,100-100/(1+M1052/N1052))</f>
        <v>52.8941893970904</v>
      </c>
      <c r="P1052" s="17" t="n">
        <f aca="false">AVERAGE(B1033:B1052)+2*STDEV(B1033:B1052)</f>
        <v>12449.8270126988</v>
      </c>
      <c r="Q1052" s="17" t="n">
        <f aca="false">AVERAGE(B1033:B1052)-2*STDEV(B1033:B1052)</f>
        <v>10746.1499873012</v>
      </c>
      <c r="R1052" s="19" t="n">
        <f aca="false">B1052/B1032-1</f>
        <v>0.043336304770728</v>
      </c>
      <c r="S1052" s="17" t="n">
        <f aca="false">STDEV(C1033:C1052)*SQRT(252)*100</f>
        <v>26.7419857815305</v>
      </c>
      <c r="T1052" s="19" t="n">
        <f aca="false">B1031/B801-1</f>
        <v>0.438522036668199</v>
      </c>
      <c r="U1052" s="19" t="n">
        <f aca="false">B1052/MAX(B801:B1052)-1</f>
        <v>-0.0642814241570818</v>
      </c>
      <c r="V1052" s="17" t="n">
        <f aca="false">(B1052-AVERAGE(B1033:B1052))/STDEV(B1033:B1052)</f>
        <v>0.0566809310452881</v>
      </c>
    </row>
    <row r="1053" customFormat="false" ht="15" hidden="false" customHeight="false" outlineLevel="0" collapsed="false">
      <c r="A1053" s="17" t="s">
        <v>1617</v>
      </c>
      <c r="B1053" s="17" t="n">
        <v>11068.26</v>
      </c>
      <c r="C1053" s="19" t="n">
        <f aca="false">B1053/B1052-1</f>
        <v>-0.0476564967006907</v>
      </c>
      <c r="D1053" s="17" t="n">
        <f aca="false">AVERAGE(B1004:B1053)</f>
        <v>11066.2472</v>
      </c>
      <c r="E1053" s="17" t="n">
        <f aca="false">AVERAGE(B854:B1053)</f>
        <v>9401.03635</v>
      </c>
      <c r="F1053" s="17" t="n">
        <f aca="false">B1053*2/13+F1052*11/13</f>
        <v>11708.7767635452</v>
      </c>
      <c r="G1053" s="17" t="n">
        <f aca="false">B1053*2/27+G1052*25/27</f>
        <v>11491.2333996937</v>
      </c>
      <c r="H1053" s="17" t="n">
        <f aca="false">F1053-G1053</f>
        <v>217.543363851497</v>
      </c>
      <c r="I1053" s="17" t="n">
        <f aca="false">H1053*2/10+I1052*8/10</f>
        <v>295.467638226534</v>
      </c>
      <c r="J1053" s="17" t="n">
        <f aca="false">H1053-I1053</f>
        <v>-77.9242743750373</v>
      </c>
      <c r="K1053" s="17" t="n">
        <f aca="false">MAX(B1053-B1052,0)</f>
        <v>0</v>
      </c>
      <c r="L1053" s="17" t="n">
        <f aca="false">MAX(B1052-B1053,0)</f>
        <v>553.869999999999</v>
      </c>
      <c r="M1053" s="17" t="n">
        <f aca="false">(M1052*13+K1053)/14</f>
        <v>76.4979234331782</v>
      </c>
      <c r="N1053" s="17" t="n">
        <f aca="false">(N1052*13+L1053)/14</f>
        <v>107.688656068391</v>
      </c>
      <c r="O1053" s="17" t="n">
        <f aca="false">IF(N1053=0,100,100-100/(1+M1053/N1053))</f>
        <v>41.5328432941154</v>
      </c>
      <c r="P1053" s="17" t="n">
        <f aca="false">AVERAGE(B1034:B1053)+2*STDEV(B1034:B1053)</f>
        <v>12451.1554759375</v>
      </c>
      <c r="Q1053" s="17" t="n">
        <f aca="false">AVERAGE(B1034:B1053)-2*STDEV(B1034:B1053)</f>
        <v>10743.1305240625</v>
      </c>
      <c r="R1053" s="19" t="n">
        <f aca="false">B1053/B1033-1</f>
        <v>-0.00152546149495225</v>
      </c>
      <c r="S1053" s="17" t="n">
        <f aca="false">STDEV(C1034:C1053)*SQRT(252)*100</f>
        <v>32.0426691985439</v>
      </c>
      <c r="T1053" s="19" t="n">
        <f aca="false">B1032/B802-1</f>
        <v>0.425433219787223</v>
      </c>
      <c r="U1053" s="19" t="n">
        <f aca="false">B1053/MAX(B802:B1053)-1</f>
        <v>-0.108874493379515</v>
      </c>
      <c r="V1053" s="17" t="n">
        <f aca="false">(B1053-AVERAGE(B1034:B1053))/STDEV(B1034:B1053)</f>
        <v>-1.23858377928129</v>
      </c>
    </row>
    <row r="1054" customFormat="false" ht="15" hidden="false" customHeight="false" outlineLevel="0" collapsed="false">
      <c r="A1054" s="17" t="s">
        <v>1618</v>
      </c>
      <c r="B1054" s="17" t="n">
        <v>11395.85</v>
      </c>
      <c r="C1054" s="19" t="n">
        <f aca="false">B1054/B1053-1</f>
        <v>0.0295972447340414</v>
      </c>
      <c r="D1054" s="17" t="n">
        <f aca="false">AVERAGE(B1005:B1054)</f>
        <v>11094.941</v>
      </c>
      <c r="E1054" s="17" t="n">
        <f aca="false">AVERAGE(B855:B1054)</f>
        <v>9416.6875</v>
      </c>
      <c r="F1054" s="17" t="n">
        <f aca="false">B1054*2/13+F1053*11/13</f>
        <v>11660.6341845383</v>
      </c>
      <c r="G1054" s="17" t="n">
        <f aca="false">B1054*2/27+G1053*25/27</f>
        <v>11484.1679626794</v>
      </c>
      <c r="H1054" s="17" t="n">
        <f aca="false">F1054-G1054</f>
        <v>176.466221858893</v>
      </c>
      <c r="I1054" s="17" t="n">
        <f aca="false">H1054*2/10+I1053*8/10</f>
        <v>271.667354953006</v>
      </c>
      <c r="J1054" s="17" t="n">
        <f aca="false">H1054-I1054</f>
        <v>-95.2011330941131</v>
      </c>
      <c r="K1054" s="17" t="n">
        <f aca="false">MAX(B1054-B1053,0)</f>
        <v>327.59</v>
      </c>
      <c r="L1054" s="17" t="n">
        <f aca="false">MAX(B1053-B1054,0)</f>
        <v>0</v>
      </c>
      <c r="M1054" s="17" t="n">
        <f aca="false">(M1053*13+K1054)/14</f>
        <v>94.4330717593797</v>
      </c>
      <c r="N1054" s="17" t="n">
        <f aca="false">(N1053*13+L1054)/14</f>
        <v>99.9966092063634</v>
      </c>
      <c r="O1054" s="17" t="n">
        <f aca="false">IF(N1054=0,100,100-100/(1+M1054/N1054))</f>
        <v>48.5692674546012</v>
      </c>
      <c r="P1054" s="17" t="n">
        <f aca="false">AVERAGE(B1035:B1054)+2*STDEV(B1035:B1054)</f>
        <v>12414.0578319551</v>
      </c>
      <c r="Q1054" s="17" t="n">
        <f aca="false">AVERAGE(B1035:B1054)-2*STDEV(B1035:B1054)</f>
        <v>10832.2051680449</v>
      </c>
      <c r="R1054" s="19" t="n">
        <f aca="false">B1054/B1034-1</f>
        <v>0.0477901964678451</v>
      </c>
      <c r="S1054" s="17" t="n">
        <f aca="false">STDEV(C1035:C1054)*SQRT(252)*100</f>
        <v>32.8420534629777</v>
      </c>
      <c r="T1054" s="19" t="n">
        <f aca="false">B1033/B803-1</f>
        <v>0.405395571265204</v>
      </c>
      <c r="U1054" s="19" t="n">
        <f aca="false">B1054/MAX(B803:B1054)-1</f>
        <v>-0.0824996336713219</v>
      </c>
      <c r="V1054" s="17" t="n">
        <f aca="false">(B1054-AVERAGE(B1035:B1054))/STDEV(B1035:B1054)</f>
        <v>-0.574722299201166</v>
      </c>
    </row>
    <row r="1055" customFormat="false" ht="15" hidden="false" customHeight="false" outlineLevel="0" collapsed="false">
      <c r="A1055" s="17" t="s">
        <v>1619</v>
      </c>
      <c r="B1055" s="17" t="n">
        <v>11154.12</v>
      </c>
      <c r="C1055" s="19" t="n">
        <f aca="false">B1055/B1054-1</f>
        <v>-0.0212121079164783</v>
      </c>
      <c r="D1055" s="17" t="n">
        <f aca="false">AVERAGE(B1006:B1055)</f>
        <v>11114.8864</v>
      </c>
      <c r="E1055" s="17" t="n">
        <f aca="false">AVERAGE(B856:B1055)</f>
        <v>9431.09785</v>
      </c>
      <c r="F1055" s="17" t="n">
        <f aca="false">B1055*2/13+F1054*11/13</f>
        <v>11582.7089253785</v>
      </c>
      <c r="G1055" s="17" t="n">
        <f aca="false">B1055*2/27+G1054*25/27</f>
        <v>11459.7199654439</v>
      </c>
      <c r="H1055" s="17" t="n">
        <f aca="false">F1055-G1055</f>
        <v>122.98895993467</v>
      </c>
      <c r="I1055" s="17" t="n">
        <f aca="false">H1055*2/10+I1054*8/10</f>
        <v>241.931675949339</v>
      </c>
      <c r="J1055" s="17" t="n">
        <f aca="false">H1055-I1055</f>
        <v>-118.942716014669</v>
      </c>
      <c r="K1055" s="17" t="n">
        <f aca="false">MAX(B1055-B1054,0)</f>
        <v>0</v>
      </c>
      <c r="L1055" s="17" t="n">
        <f aca="false">MAX(B1054-B1055,0)</f>
        <v>241.73</v>
      </c>
      <c r="M1055" s="17" t="n">
        <f aca="false">(M1054*13+K1055)/14</f>
        <v>87.6878523479955</v>
      </c>
      <c r="N1055" s="17" t="n">
        <f aca="false">(N1054*13+L1055)/14</f>
        <v>110.12042283448</v>
      </c>
      <c r="O1055" s="17" t="n">
        <f aca="false">IF(N1055=0,100,100-100/(1+M1055/N1055))</f>
        <v>44.3297188993254</v>
      </c>
      <c r="P1055" s="17" t="n">
        <f aca="false">AVERAGE(B1036:B1055)+2*STDEV(B1036:B1055)</f>
        <v>12414.3253183897</v>
      </c>
      <c r="Q1055" s="17" t="n">
        <f aca="false">AVERAGE(B1036:B1055)-2*STDEV(B1036:B1055)</f>
        <v>10831.5776816103</v>
      </c>
      <c r="R1055" s="19" t="n">
        <f aca="false">B1055/B1035-1</f>
        <v>-0.000322646562200712</v>
      </c>
      <c r="S1055" s="17" t="n">
        <f aca="false">STDEV(C1036:C1055)*SQRT(252)*100</f>
        <v>32.655988814782</v>
      </c>
      <c r="T1055" s="19" t="n">
        <f aca="false">B1034/B804-1</f>
        <v>0.373703794456219</v>
      </c>
      <c r="U1055" s="19" t="n">
        <f aca="false">B1055/MAX(B804:B1055)-1</f>
        <v>-0.101961750455294</v>
      </c>
      <c r="V1055" s="17" t="n">
        <f aca="false">(B1055-AVERAGE(B1036:B1055))/STDEV(B1036:B1055)</f>
        <v>-1.18485471494118</v>
      </c>
    </row>
    <row r="1056" customFormat="false" ht="15" hidden="false" customHeight="false" outlineLevel="0" collapsed="false">
      <c r="A1056" s="17" t="s">
        <v>1620</v>
      </c>
      <c r="B1056" s="17" t="n">
        <v>11087.4</v>
      </c>
      <c r="C1056" s="19" t="n">
        <f aca="false">B1056/B1055-1</f>
        <v>-0.00598164624371989</v>
      </c>
      <c r="D1056" s="17" t="n">
        <f aca="false">AVERAGE(B1007:B1056)</f>
        <v>11131.0494</v>
      </c>
      <c r="E1056" s="17" t="n">
        <f aca="false">AVERAGE(B857:B1056)</f>
        <v>9444.6752</v>
      </c>
      <c r="F1056" s="17" t="n">
        <f aca="false">B1056*2/13+F1055*11/13</f>
        <v>11506.5075522434</v>
      </c>
      <c r="G1056" s="17" t="n">
        <f aca="false">B1056*2/27+G1055*25/27</f>
        <v>11432.1407087443</v>
      </c>
      <c r="H1056" s="17" t="n">
        <f aca="false">F1056-G1056</f>
        <v>74.3668434990577</v>
      </c>
      <c r="I1056" s="17" t="n">
        <f aca="false">H1056*2/10+I1055*8/10</f>
        <v>208.418709459282</v>
      </c>
      <c r="J1056" s="17" t="n">
        <f aca="false">H1056-I1056</f>
        <v>-134.051865960225</v>
      </c>
      <c r="K1056" s="17" t="n">
        <f aca="false">MAX(B1056-B1055,0)</f>
        <v>0</v>
      </c>
      <c r="L1056" s="17" t="n">
        <f aca="false">MAX(B1055-B1056,0)</f>
        <v>66.7200000000012</v>
      </c>
      <c r="M1056" s="17" t="n">
        <f aca="false">(M1055*13+K1056)/14</f>
        <v>81.4244343231386</v>
      </c>
      <c r="N1056" s="17" t="n">
        <f aca="false">(N1055*13+L1056)/14</f>
        <v>107.020392632018</v>
      </c>
      <c r="O1056" s="17" t="n">
        <f aca="false">IF(N1056=0,100,100-100/(1+M1056/N1056))</f>
        <v>43.2086333378178</v>
      </c>
      <c r="P1056" s="17" t="n">
        <f aca="false">AVERAGE(B1037:B1056)+2*STDEV(B1037:B1056)</f>
        <v>12421.4948403297</v>
      </c>
      <c r="Q1056" s="17" t="n">
        <f aca="false">AVERAGE(B1037:B1056)-2*STDEV(B1037:B1056)</f>
        <v>10815.3111596703</v>
      </c>
      <c r="R1056" s="19" t="n">
        <f aca="false">B1056/B1036-1</f>
        <v>-0.00813803801448698</v>
      </c>
      <c r="S1056" s="17" t="n">
        <f aca="false">STDEV(C1037:C1056)*SQRT(252)*100</f>
        <v>32.7214003984844</v>
      </c>
      <c r="T1056" s="19" t="n">
        <f aca="false">B1035/B805-1</f>
        <v>0.413631151850702</v>
      </c>
      <c r="U1056" s="19" t="n">
        <f aca="false">B1056/MAX(B805:B1056)-1</f>
        <v>-0.1073334975774</v>
      </c>
      <c r="V1056" s="17" t="n">
        <f aca="false">(B1056-AVERAGE(B1037:B1056))/STDEV(B1037:B1056)</f>
        <v>-1.32239670068613</v>
      </c>
    </row>
    <row r="1057" customFormat="false" ht="15" hidden="false" customHeight="false" outlineLevel="0" collapsed="false">
      <c r="A1057" s="17" t="s">
        <v>1621</v>
      </c>
      <c r="B1057" s="17" t="n">
        <v>11277.76</v>
      </c>
      <c r="C1057" s="19" t="n">
        <f aca="false">B1057/B1056-1</f>
        <v>0.0171690387286469</v>
      </c>
      <c r="D1057" s="17" t="n">
        <f aca="false">AVERAGE(B1008:B1057)</f>
        <v>11149.7668</v>
      </c>
      <c r="E1057" s="17" t="n">
        <f aca="false">AVERAGE(B858:B1057)</f>
        <v>9459.13525</v>
      </c>
      <c r="F1057" s="17" t="n">
        <f aca="false">B1057*2/13+F1056*11/13</f>
        <v>11471.315621129</v>
      </c>
      <c r="G1057" s="17" t="n">
        <f aca="false">B1057*2/27+G1056*25/27</f>
        <v>11420.7051006892</v>
      </c>
      <c r="H1057" s="17" t="n">
        <f aca="false">F1057-G1057</f>
        <v>50.6105204398282</v>
      </c>
      <c r="I1057" s="17" t="n">
        <f aca="false">H1057*2/10+I1056*8/10</f>
        <v>176.857071655392</v>
      </c>
      <c r="J1057" s="17" t="n">
        <f aca="false">H1057-I1057</f>
        <v>-126.246551215563</v>
      </c>
      <c r="K1057" s="17" t="n">
        <f aca="false">MAX(B1057-B1056,0)</f>
        <v>190.360000000001</v>
      </c>
      <c r="L1057" s="17" t="n">
        <f aca="false">MAX(B1056-B1057,0)</f>
        <v>0</v>
      </c>
      <c r="M1057" s="17" t="n">
        <f aca="false">(M1056*13+K1057)/14</f>
        <v>89.2055461572002</v>
      </c>
      <c r="N1057" s="17" t="n">
        <f aca="false">(N1056*13+L1057)/14</f>
        <v>99.3760788725877</v>
      </c>
      <c r="O1057" s="17" t="n">
        <f aca="false">IF(N1057=0,100,100-100/(1+M1057/N1057))</f>
        <v>47.3034136507783</v>
      </c>
      <c r="P1057" s="17" t="n">
        <f aca="false">AVERAGE(B1038:B1057)+2*STDEV(B1038:B1057)</f>
        <v>12415.1857331057</v>
      </c>
      <c r="Q1057" s="17" t="n">
        <f aca="false">AVERAGE(B1038:B1057)-2*STDEV(B1038:B1057)</f>
        <v>10832.9512668943</v>
      </c>
      <c r="R1057" s="19" t="n">
        <f aca="false">B1057/B1037-1</f>
        <v>0.0101491788668497</v>
      </c>
      <c r="S1057" s="17" t="n">
        <f aca="false">STDEV(C1038:C1057)*SQRT(252)*100</f>
        <v>33.291494897784</v>
      </c>
      <c r="T1057" s="19" t="n">
        <f aca="false">B1036/B806-1</f>
        <v>0.423559136621751</v>
      </c>
      <c r="U1057" s="19" t="n">
        <f aca="false">B1057/MAX(B806:B1057)-1</f>
        <v>-0.0920072718255407</v>
      </c>
      <c r="V1057" s="17" t="n">
        <f aca="false">(B1057-AVERAGE(B1038:B1057))/STDEV(B1038:B1057)</f>
        <v>-0.875492241877944</v>
      </c>
    </row>
    <row r="1058" customFormat="false" ht="15" hidden="false" customHeight="false" outlineLevel="0" collapsed="false">
      <c r="A1058" s="17" t="s">
        <v>1622</v>
      </c>
      <c r="B1058" s="17" t="n">
        <v>11438.87</v>
      </c>
      <c r="C1058" s="19" t="n">
        <f aca="false">B1058/B1057-1</f>
        <v>0.0142856382827796</v>
      </c>
      <c r="D1058" s="17" t="n">
        <f aca="false">AVERAGE(B1009:B1058)</f>
        <v>11166.463</v>
      </c>
      <c r="E1058" s="17" t="n">
        <f aca="false">AVERAGE(B859:B1058)</f>
        <v>9474.10605</v>
      </c>
      <c r="F1058" s="17" t="n">
        <f aca="false">B1058*2/13+F1057*11/13</f>
        <v>11466.3239871092</v>
      </c>
      <c r="G1058" s="17" t="n">
        <f aca="false">B1058*2/27+G1057*25/27</f>
        <v>11422.0506487863</v>
      </c>
      <c r="H1058" s="17" t="n">
        <f aca="false">F1058-G1058</f>
        <v>44.2733383228842</v>
      </c>
      <c r="I1058" s="17" t="n">
        <f aca="false">H1058*2/10+I1057*8/10</f>
        <v>150.34032498889</v>
      </c>
      <c r="J1058" s="17" t="n">
        <f aca="false">H1058-I1058</f>
        <v>-106.066986666006</v>
      </c>
      <c r="K1058" s="17" t="n">
        <f aca="false">MAX(B1058-B1057,0)</f>
        <v>161.110000000001</v>
      </c>
      <c r="L1058" s="17" t="n">
        <f aca="false">MAX(B1057-B1058,0)</f>
        <v>0</v>
      </c>
      <c r="M1058" s="17" t="n">
        <f aca="false">(M1057*13+K1058)/14</f>
        <v>94.3415785745431</v>
      </c>
      <c r="N1058" s="17" t="n">
        <f aca="false">(N1057*13+L1058)/14</f>
        <v>92.2777875245457</v>
      </c>
      <c r="O1058" s="17" t="n">
        <f aca="false">IF(N1058=0,100,100-100/(1+M1058/N1058))</f>
        <v>50.5529412871603</v>
      </c>
      <c r="P1058" s="17" t="n">
        <f aca="false">AVERAGE(B1039:B1058)+2*STDEV(B1039:B1058)</f>
        <v>12412.0658744401</v>
      </c>
      <c r="Q1058" s="17" t="n">
        <f aca="false">AVERAGE(B1039:B1058)-2*STDEV(B1039:B1058)</f>
        <v>10851.10112556</v>
      </c>
      <c r="R1058" s="19" t="n">
        <f aca="false">B1058/B1038-1</f>
        <v>0.013314352482201</v>
      </c>
      <c r="S1058" s="17" t="n">
        <f aca="false">STDEV(C1039:C1058)*SQRT(252)*100</f>
        <v>33.4414164405796</v>
      </c>
      <c r="T1058" s="19" t="n">
        <f aca="false">B1037/B807-1</f>
        <v>0.415229712034419</v>
      </c>
      <c r="U1058" s="19" t="n">
        <f aca="false">B1058/MAX(B807:B1058)-1</f>
        <v>-0.079036016147446</v>
      </c>
      <c r="V1058" s="17" t="n">
        <f aca="false">(B1058-AVERAGE(B1039:B1058))/STDEV(B1039:B1058)</f>
        <v>-0.493831779707416</v>
      </c>
    </row>
    <row r="1059" customFormat="false" ht="15" hidden="false" customHeight="false" outlineLevel="0" collapsed="false">
      <c r="A1059" s="17" t="s">
        <v>1623</v>
      </c>
      <c r="B1059" s="17" t="n">
        <v>11247.6</v>
      </c>
      <c r="C1059" s="19" t="n">
        <f aca="false">B1059/B1058-1</f>
        <v>-0.0167210572372971</v>
      </c>
      <c r="D1059" s="17" t="n">
        <f aca="false">AVERAGE(B1010:B1059)</f>
        <v>11180.9348</v>
      </c>
      <c r="E1059" s="17" t="n">
        <f aca="false">AVERAGE(B860:B1059)</f>
        <v>9488.32565</v>
      </c>
      <c r="F1059" s="17" t="n">
        <f aca="false">B1059*2/13+F1058*11/13</f>
        <v>11432.6741429385</v>
      </c>
      <c r="G1059" s="17" t="n">
        <f aca="false">B1059*2/27+G1058*25/27</f>
        <v>11409.1283785058</v>
      </c>
      <c r="H1059" s="17" t="n">
        <f aca="false">F1059-G1059</f>
        <v>23.5457644327089</v>
      </c>
      <c r="I1059" s="17" t="n">
        <f aca="false">H1059*2/10+I1058*8/10</f>
        <v>124.981412877654</v>
      </c>
      <c r="J1059" s="17" t="n">
        <f aca="false">H1059-I1059</f>
        <v>-101.435648444945</v>
      </c>
      <c r="K1059" s="17" t="n">
        <f aca="false">MAX(B1059-B1058,0)</f>
        <v>0</v>
      </c>
      <c r="L1059" s="17" t="n">
        <f aca="false">MAX(B1058-B1059,0)</f>
        <v>191.27</v>
      </c>
      <c r="M1059" s="17" t="n">
        <f aca="false">(M1058*13+K1059)/14</f>
        <v>87.6028943906472</v>
      </c>
      <c r="N1059" s="17" t="n">
        <f aca="false">(N1058*13+L1059)/14</f>
        <v>99.3486598442211</v>
      </c>
      <c r="O1059" s="17" t="n">
        <f aca="false">IF(N1059=0,100,100-100/(1+M1059/N1059))</f>
        <v>46.8586071665343</v>
      </c>
      <c r="P1059" s="17" t="n">
        <f aca="false">AVERAGE(B1040:B1059)+2*STDEV(B1040:B1059)</f>
        <v>12416.8338948488</v>
      </c>
      <c r="Q1059" s="17" t="n">
        <f aca="false">AVERAGE(B1040:B1059)-2*STDEV(B1040:B1059)</f>
        <v>10831.1901051512</v>
      </c>
      <c r="R1059" s="19" t="n">
        <f aca="false">B1059/B1039-1</f>
        <v>-0.0132844636780498</v>
      </c>
      <c r="S1059" s="17" t="n">
        <f aca="false">STDEV(C1040:C1059)*SQRT(252)*100</f>
        <v>33.8262219669341</v>
      </c>
      <c r="T1059" s="19" t="n">
        <f aca="false">B1038/B808-1</f>
        <v>0.431005151764073</v>
      </c>
      <c r="U1059" s="19" t="n">
        <f aca="false">B1059/MAX(B808:B1059)-1</f>
        <v>-0.0944355076349338</v>
      </c>
      <c r="V1059" s="17" t="n">
        <f aca="false">(B1059-AVERAGE(B1040:B1059))/STDEV(B1040:B1059)</f>
        <v>-0.949549961840554</v>
      </c>
    </row>
    <row r="1060" customFormat="false" ht="15" hidden="false" customHeight="false" outlineLevel="0" collapsed="false">
      <c r="A1060" s="17" t="s">
        <v>1624</v>
      </c>
      <c r="B1060" s="17" t="n">
        <v>11080.95</v>
      </c>
      <c r="C1060" s="19" t="n">
        <f aca="false">B1060/B1059-1</f>
        <v>-0.0148164941854262</v>
      </c>
      <c r="D1060" s="17" t="n">
        <f aca="false">AVERAGE(B1011:B1060)</f>
        <v>11189.2198</v>
      </c>
      <c r="E1060" s="17" t="n">
        <f aca="false">AVERAGE(B861:B1060)</f>
        <v>9502.1841</v>
      </c>
      <c r="F1060" s="17" t="n">
        <f aca="false">B1060*2/13+F1059*11/13</f>
        <v>11378.5627363326</v>
      </c>
      <c r="G1060" s="17" t="n">
        <f aca="false">B1060*2/27+G1059*25/27</f>
        <v>11384.8188689869</v>
      </c>
      <c r="H1060" s="17" t="n">
        <f aca="false">F1060-G1060</f>
        <v>-6.2561326542691</v>
      </c>
      <c r="I1060" s="17" t="n">
        <f aca="false">H1060*2/10+I1059*8/10</f>
        <v>98.7339037712693</v>
      </c>
      <c r="J1060" s="17" t="n">
        <f aca="false">H1060-I1060</f>
        <v>-104.990036425538</v>
      </c>
      <c r="K1060" s="17" t="n">
        <f aca="false">MAX(B1060-B1059,0)</f>
        <v>0</v>
      </c>
      <c r="L1060" s="17" t="n">
        <f aca="false">MAX(B1059-B1060,0)</f>
        <v>166.65</v>
      </c>
      <c r="M1060" s="17" t="n">
        <f aca="false">(M1059*13+K1060)/14</f>
        <v>81.3455447913152</v>
      </c>
      <c r="N1060" s="17" t="n">
        <f aca="false">(N1059*13+L1060)/14</f>
        <v>104.155898426777</v>
      </c>
      <c r="O1060" s="17" t="n">
        <f aca="false">IF(N1060=0,100,100-100/(1+M1060/N1060))</f>
        <v>43.8517045367017</v>
      </c>
      <c r="P1060" s="17" t="n">
        <f aca="false">AVERAGE(B1041:B1060)+2*STDEV(B1041:B1060)</f>
        <v>12430.9238690269</v>
      </c>
      <c r="Q1060" s="17" t="n">
        <f aca="false">AVERAGE(B1041:B1060)-2*STDEV(B1041:B1060)</f>
        <v>10793.3311309731</v>
      </c>
      <c r="R1060" s="19" t="n">
        <f aca="false">B1060/B1040-1</f>
        <v>-0.0209998727762345</v>
      </c>
      <c r="S1060" s="17" t="n">
        <f aca="false">STDEV(C1041:C1060)*SQRT(252)*100</f>
        <v>34.138078503373</v>
      </c>
      <c r="T1060" s="19" t="n">
        <f aca="false">B1039/B809-1</f>
        <v>0.442588324923847</v>
      </c>
      <c r="U1060" s="19" t="n">
        <f aca="false">B1060/MAX(B809:B1060)-1</f>
        <v>-0.107852798670589</v>
      </c>
      <c r="V1060" s="17" t="n">
        <f aca="false">(B1060-AVERAGE(B1041:B1060))/STDEV(B1041:B1060)</f>
        <v>-1.29745934421107</v>
      </c>
    </row>
    <row r="1061" customFormat="false" ht="15" hidden="false" customHeight="false" outlineLevel="0" collapsed="false">
      <c r="A1061" s="17" t="s">
        <v>1625</v>
      </c>
      <c r="B1061" s="17" t="n">
        <v>10936.98</v>
      </c>
      <c r="C1061" s="19" t="n">
        <f aca="false">B1061/B1060-1</f>
        <v>-0.012992568326723</v>
      </c>
      <c r="D1061" s="17" t="n">
        <f aca="false">AVERAGE(B1012:B1061)</f>
        <v>11192.8676</v>
      </c>
      <c r="E1061" s="17" t="n">
        <f aca="false">AVERAGE(B862:B1061)</f>
        <v>9515.5953</v>
      </c>
      <c r="F1061" s="17" t="n">
        <f aca="false">B1061*2/13+F1060*11/13</f>
        <v>11310.626930743</v>
      </c>
      <c r="G1061" s="17" t="n">
        <f aca="false">B1061*2/27+G1060*25/27</f>
        <v>11351.6456194323</v>
      </c>
      <c r="H1061" s="17" t="n">
        <f aca="false">F1061-G1061</f>
        <v>-41.0186886893189</v>
      </c>
      <c r="I1061" s="17" t="n">
        <f aca="false">H1061*2/10+I1060*8/10</f>
        <v>70.7833852791517</v>
      </c>
      <c r="J1061" s="17" t="n">
        <f aca="false">H1061-I1061</f>
        <v>-111.802073968471</v>
      </c>
      <c r="K1061" s="17" t="n">
        <f aca="false">MAX(B1061-B1060,0)</f>
        <v>0</v>
      </c>
      <c r="L1061" s="17" t="n">
        <f aca="false">MAX(B1060-B1061,0)</f>
        <v>143.970000000001</v>
      </c>
      <c r="M1061" s="17" t="n">
        <f aca="false">(M1060*13+K1061)/14</f>
        <v>75.5351487347927</v>
      </c>
      <c r="N1061" s="17" t="n">
        <f aca="false">(N1060*13+L1061)/14</f>
        <v>106.999762824864</v>
      </c>
      <c r="O1061" s="17" t="n">
        <f aca="false">IF(N1061=0,100,100-100/(1+M1061/N1061))</f>
        <v>41.3812065261313</v>
      </c>
      <c r="P1061" s="17" t="n">
        <f aca="false">AVERAGE(B1042:B1061)+2*STDEV(B1042:B1061)</f>
        <v>12456.6048971159</v>
      </c>
      <c r="Q1061" s="17" t="n">
        <f aca="false">AVERAGE(B1042:B1061)-2*STDEV(B1042:B1061)</f>
        <v>10713.6431028841</v>
      </c>
      <c r="R1061" s="19" t="n">
        <f aca="false">B1061/B1041-1</f>
        <v>-0.0470565171363722</v>
      </c>
      <c r="S1061" s="17" t="n">
        <f aca="false">STDEV(C1042:C1061)*SQRT(252)*100</f>
        <v>33.9262998289386</v>
      </c>
      <c r="T1061" s="19" t="n">
        <f aca="false">B1040/B810-1</f>
        <v>0.446739651437007</v>
      </c>
      <c r="U1061" s="19" t="n">
        <f aca="false">B1061/MAX(B810:B1061)-1</f>
        <v>-0.119444082141356</v>
      </c>
      <c r="V1061" s="17" t="n">
        <f aca="false">(B1061-AVERAGE(B1042:B1061))/STDEV(B1042:B1061)</f>
        <v>-1.48745429106937</v>
      </c>
    </row>
    <row r="1062" customFormat="false" ht="15" hidden="false" customHeight="false" outlineLevel="0" collapsed="false">
      <c r="A1062" s="17" t="s">
        <v>1626</v>
      </c>
      <c r="B1062" s="17" t="n">
        <v>10980.22</v>
      </c>
      <c r="C1062" s="19" t="n">
        <f aca="false">B1062/B1061-1</f>
        <v>0.00395355939208075</v>
      </c>
      <c r="D1062" s="17" t="n">
        <f aca="false">AVERAGE(B1013:B1062)</f>
        <v>11195.7454</v>
      </c>
      <c r="E1062" s="17" t="n">
        <f aca="false">AVERAGE(B863:B1062)</f>
        <v>9529.01375</v>
      </c>
      <c r="F1062" s="17" t="n">
        <f aca="false">B1062*2/13+F1061*11/13</f>
        <v>11259.795095244</v>
      </c>
      <c r="G1062" s="17" t="n">
        <f aca="false">B1062*2/27+G1061*25/27</f>
        <v>11324.1326105854</v>
      </c>
      <c r="H1062" s="17" t="n">
        <f aca="false">F1062-G1062</f>
        <v>-64.3375153413981</v>
      </c>
      <c r="I1062" s="17" t="n">
        <f aca="false">H1062*2/10+I1061*8/10</f>
        <v>43.7592051550417</v>
      </c>
      <c r="J1062" s="17" t="n">
        <f aca="false">H1062-I1062</f>
        <v>-108.09672049644</v>
      </c>
      <c r="K1062" s="17" t="n">
        <f aca="false">MAX(B1062-B1061,0)</f>
        <v>43.2399999999998</v>
      </c>
      <c r="L1062" s="17" t="n">
        <f aca="false">MAX(B1061-B1062,0)</f>
        <v>0</v>
      </c>
      <c r="M1062" s="17" t="n">
        <f aca="false">(M1061*13+K1062)/14</f>
        <v>73.2283523965932</v>
      </c>
      <c r="N1062" s="17" t="n">
        <f aca="false">(N1061*13+L1062)/14</f>
        <v>99.3569226230881</v>
      </c>
      <c r="O1062" s="17" t="n">
        <f aca="false">IF(N1062=0,100,100-100/(1+M1062/N1062))</f>
        <v>42.4302434771694</v>
      </c>
      <c r="P1062" s="17" t="n">
        <f aca="false">AVERAGE(B1043:B1062)+2*STDEV(B1043:B1062)</f>
        <v>12468.9797831855</v>
      </c>
      <c r="Q1062" s="17" t="n">
        <f aca="false">AVERAGE(B1043:B1062)-2*STDEV(B1043:B1062)</f>
        <v>10643.7742168145</v>
      </c>
      <c r="R1062" s="19" t="n">
        <f aca="false">B1062/B1042-1</f>
        <v>-0.0497561262673992</v>
      </c>
      <c r="S1062" s="17" t="n">
        <f aca="false">STDEV(C1043:C1062)*SQRT(252)*100</f>
        <v>33.841029284723</v>
      </c>
      <c r="T1062" s="19" t="n">
        <f aca="false">B1041/B811-1</f>
        <v>0.467914373526752</v>
      </c>
      <c r="U1062" s="19" t="n">
        <f aca="false">B1062/MAX(B811:B1062)-1</f>
        <v>-0.115962752022054</v>
      </c>
      <c r="V1062" s="17" t="n">
        <f aca="false">(B1062-AVERAGE(B1043:B1062))/STDEV(B1043:B1062)</f>
        <v>-1.26266763725812</v>
      </c>
    </row>
    <row r="1063" customFormat="false" ht="15" hidden="false" customHeight="false" outlineLevel="0" collapsed="false">
      <c r="A1063" s="17" t="s">
        <v>1627</v>
      </c>
      <c r="B1063" s="17" t="n">
        <v>11186.37</v>
      </c>
      <c r="C1063" s="19" t="n">
        <f aca="false">B1063/B1062-1</f>
        <v>0.0187746693599948</v>
      </c>
      <c r="D1063" s="17" t="n">
        <f aca="false">AVERAGE(B1014:B1063)</f>
        <v>11207.4286</v>
      </c>
      <c r="E1063" s="17" t="n">
        <f aca="false">AVERAGE(B864:B1063)</f>
        <v>9543.4036</v>
      </c>
      <c r="F1063" s="17" t="n">
        <f aca="false">B1063*2/13+F1062*11/13</f>
        <v>11248.498926745</v>
      </c>
      <c r="G1063" s="17" t="n">
        <f aca="false">B1063*2/27+G1062*25/27</f>
        <v>11313.9279727643</v>
      </c>
      <c r="H1063" s="17" t="n">
        <f aca="false">F1063-G1063</f>
        <v>-65.4290460193388</v>
      </c>
      <c r="I1063" s="17" t="n">
        <f aca="false">H1063*2/10+I1062*8/10</f>
        <v>21.9215549201656</v>
      </c>
      <c r="J1063" s="17" t="n">
        <f aca="false">H1063-I1063</f>
        <v>-87.3506009395044</v>
      </c>
      <c r="K1063" s="17" t="n">
        <f aca="false">MAX(B1063-B1062,0)</f>
        <v>206.150000000001</v>
      </c>
      <c r="L1063" s="17" t="n">
        <f aca="false">MAX(B1062-B1063,0)</f>
        <v>0</v>
      </c>
      <c r="M1063" s="17" t="n">
        <f aca="false">(M1062*13+K1063)/14</f>
        <v>82.7227557968366</v>
      </c>
      <c r="N1063" s="17" t="n">
        <f aca="false">(N1062*13+L1063)/14</f>
        <v>92.2599995785818</v>
      </c>
      <c r="O1063" s="17" t="n">
        <f aca="false">IF(N1063=0,100,100-100/(1+M1063/N1063))</f>
        <v>47.2748046625271</v>
      </c>
      <c r="P1063" s="17" t="n">
        <f aca="false">AVERAGE(B1044:B1063)+2*STDEV(B1044:B1063)</f>
        <v>12460.9961158651</v>
      </c>
      <c r="Q1063" s="17" t="n">
        <f aca="false">AVERAGE(B1044:B1063)-2*STDEV(B1044:B1063)</f>
        <v>10607.7778841349</v>
      </c>
      <c r="R1063" s="19" t="n">
        <f aca="false">B1063/B1043-1</f>
        <v>-0.0378284508139826</v>
      </c>
      <c r="S1063" s="17" t="n">
        <f aca="false">STDEV(C1044:C1063)*SQRT(252)*100</f>
        <v>34.550012558233</v>
      </c>
      <c r="T1063" s="19" t="n">
        <f aca="false">B1042/B812-1</f>
        <v>0.498715959969079</v>
      </c>
      <c r="U1063" s="19" t="n">
        <f aca="false">B1063/MAX(B812:B1063)-1</f>
        <v>-0.0993652449893483</v>
      </c>
      <c r="V1063" s="17" t="n">
        <f aca="false">(B1063-AVERAGE(B1044:B1063))/STDEV(B1044:B1063)</f>
        <v>-0.751162478420258</v>
      </c>
    </row>
    <row r="1064" customFormat="false" ht="15" hidden="false" customHeight="false" outlineLevel="0" collapsed="false">
      <c r="A1064" s="17" t="s">
        <v>1628</v>
      </c>
      <c r="B1064" s="17" t="n">
        <v>10833.33</v>
      </c>
      <c r="C1064" s="19" t="n">
        <f aca="false">B1064/B1063-1</f>
        <v>-0.0315598357644169</v>
      </c>
      <c r="D1064" s="17" t="n">
        <f aca="false">AVERAGE(B1015:B1064)</f>
        <v>11210.3048</v>
      </c>
      <c r="E1064" s="17" t="n">
        <f aca="false">AVERAGE(B865:B1064)</f>
        <v>9555.5834</v>
      </c>
      <c r="F1064" s="17" t="n">
        <f aca="false">B1064*2/13+F1063*11/13</f>
        <v>11184.6267841688</v>
      </c>
      <c r="G1064" s="17" t="n">
        <f aca="false">B1064*2/27+G1063*25/27</f>
        <v>11278.3281229299</v>
      </c>
      <c r="H1064" s="17" t="n">
        <f aca="false">F1064-G1064</f>
        <v>-93.7013387610932</v>
      </c>
      <c r="I1064" s="17" t="n">
        <f aca="false">H1064*2/10+I1063*8/10</f>
        <v>-1.20302381608615</v>
      </c>
      <c r="J1064" s="17" t="n">
        <f aca="false">H1064-I1064</f>
        <v>-92.4983149450071</v>
      </c>
      <c r="K1064" s="17" t="n">
        <f aca="false">MAX(B1064-B1063,0)</f>
        <v>0</v>
      </c>
      <c r="L1064" s="17" t="n">
        <f aca="false">MAX(B1063-B1064,0)</f>
        <v>353.040000000001</v>
      </c>
      <c r="M1064" s="17" t="n">
        <f aca="false">(M1063*13+K1064)/14</f>
        <v>76.813987525634</v>
      </c>
      <c r="N1064" s="17" t="n">
        <f aca="false">(N1063*13+L1064)/14</f>
        <v>110.887142465826</v>
      </c>
      <c r="O1064" s="17" t="n">
        <f aca="false">IF(N1064=0,100,100-100/(1+M1064/N1064))</f>
        <v>40.9235615838481</v>
      </c>
      <c r="P1064" s="17" t="n">
        <f aca="false">AVERAGE(B1045:B1064)+2*STDEV(B1045:B1064)</f>
        <v>12462.7782153653</v>
      </c>
      <c r="Q1064" s="17" t="n">
        <f aca="false">AVERAGE(B1045:B1064)-2*STDEV(B1045:B1064)</f>
        <v>10517.1477846347</v>
      </c>
      <c r="R1064" s="19" t="n">
        <f aca="false">B1064/B1044-1</f>
        <v>-0.0757971678435326</v>
      </c>
      <c r="S1064" s="17" t="n">
        <f aca="false">STDEV(C1045:C1064)*SQRT(252)*100</f>
        <v>35.894507015053</v>
      </c>
      <c r="T1064" s="19" t="n">
        <f aca="false">B1043/B813-1</f>
        <v>0.489858448857826</v>
      </c>
      <c r="U1064" s="19" t="n">
        <f aca="false">B1064/MAX(B813:B1064)-1</f>
        <v>-0.12778912994121</v>
      </c>
      <c r="V1064" s="17" t="n">
        <f aca="false">(B1064-AVERAGE(B1045:B1064))/STDEV(B1045:B1064)</f>
        <v>-1.34996449403477</v>
      </c>
    </row>
    <row r="1065" customFormat="false" ht="15" hidden="false" customHeight="false" outlineLevel="0" collapsed="false">
      <c r="A1065" s="17" t="s">
        <v>1629</v>
      </c>
      <c r="B1065" s="17" t="n">
        <v>10896.47</v>
      </c>
      <c r="C1065" s="19" t="n">
        <f aca="false">B1065/B1064-1</f>
        <v>0.00582830948563373</v>
      </c>
      <c r="D1065" s="17" t="n">
        <f aca="false">AVERAGE(B1016:B1065)</f>
        <v>11214.2006</v>
      </c>
      <c r="E1065" s="17" t="n">
        <f aca="false">AVERAGE(B866:B1065)</f>
        <v>9568.25205</v>
      </c>
      <c r="F1065" s="17" t="n">
        <f aca="false">B1065*2/13+F1064*11/13</f>
        <v>11140.2949712198</v>
      </c>
      <c r="G1065" s="17" t="n">
        <f aca="false">B1065*2/27+G1064*25/27</f>
        <v>11250.0423360462</v>
      </c>
      <c r="H1065" s="17" t="n">
        <f aca="false">F1065-G1065</f>
        <v>-109.747364826448</v>
      </c>
      <c r="I1065" s="17" t="n">
        <f aca="false">H1065*2/10+I1064*8/10</f>
        <v>-22.9118920181585</v>
      </c>
      <c r="J1065" s="17" t="n">
        <f aca="false">H1065-I1065</f>
        <v>-86.8354728082892</v>
      </c>
      <c r="K1065" s="17" t="n">
        <f aca="false">MAX(B1065-B1064,0)</f>
        <v>63.1399999999994</v>
      </c>
      <c r="L1065" s="17" t="n">
        <f aca="false">MAX(B1064-B1065,0)</f>
        <v>0</v>
      </c>
      <c r="M1065" s="17" t="n">
        <f aca="false">(M1064*13+K1065)/14</f>
        <v>75.8372741309458</v>
      </c>
      <c r="N1065" s="17" t="n">
        <f aca="false">(N1064*13+L1065)/14</f>
        <v>102.966632289696</v>
      </c>
      <c r="O1065" s="17" t="n">
        <f aca="false">IF(N1065=0,100,100-100/(1+M1065/N1065))</f>
        <v>42.4136561941418</v>
      </c>
      <c r="P1065" s="17" t="n">
        <f aca="false">AVERAGE(B1046:B1065)+2*STDEV(B1046:B1065)</f>
        <v>12415.7012131451</v>
      </c>
      <c r="Q1065" s="17" t="n">
        <f aca="false">AVERAGE(B1046:B1065)-2*STDEV(B1046:B1065)</f>
        <v>10456.6777868549</v>
      </c>
      <c r="R1065" s="19" t="n">
        <f aca="false">B1065/B1045-1</f>
        <v>-0.0898325584658795</v>
      </c>
      <c r="S1065" s="17" t="n">
        <f aca="false">STDEV(C1046:C1065)*SQRT(252)*100</f>
        <v>34.8677754703656</v>
      </c>
      <c r="T1065" s="19" t="n">
        <f aca="false">B1044/B814-1</f>
        <v>0.508212182465495</v>
      </c>
      <c r="U1065" s="19" t="n">
        <f aca="false">B1065/MAX(B814:B1065)-1</f>
        <v>-0.122705615053774</v>
      </c>
      <c r="V1065" s="17" t="n">
        <f aca="false">(B1065-AVERAGE(B1046:B1065))/STDEV(B1046:B1065)</f>
        <v>-1.10201744962708</v>
      </c>
    </row>
    <row r="1066" customFormat="false" ht="15" hidden="false" customHeight="false" outlineLevel="0" collapsed="false">
      <c r="A1066" s="17" t="s">
        <v>1630</v>
      </c>
      <c r="B1066" s="17" t="n">
        <v>11151.13</v>
      </c>
      <c r="C1066" s="19" t="n">
        <f aca="false">B1066/B1065-1</f>
        <v>0.0233708714840677</v>
      </c>
      <c r="D1066" s="17" t="n">
        <f aca="false">AVERAGE(B1017:B1066)</f>
        <v>11224.694</v>
      </c>
      <c r="E1066" s="17" t="n">
        <f aca="false">AVERAGE(B867:B1066)</f>
        <v>9582.23625</v>
      </c>
      <c r="F1066" s="17" t="n">
        <f aca="false">B1066*2/13+F1065*11/13</f>
        <v>11141.9618987244</v>
      </c>
      <c r="G1066" s="17" t="n">
        <f aca="false">B1066*2/27+G1065*25/27</f>
        <v>11242.7154963391</v>
      </c>
      <c r="H1066" s="17" t="n">
        <f aca="false">F1066-G1066</f>
        <v>-100.753597614668</v>
      </c>
      <c r="I1066" s="17" t="n">
        <f aca="false">H1066*2/10+I1065*8/10</f>
        <v>-38.4802331374604</v>
      </c>
      <c r="J1066" s="17" t="n">
        <f aca="false">H1066-I1066</f>
        <v>-62.2733644772078</v>
      </c>
      <c r="K1066" s="17" t="n">
        <f aca="false">MAX(B1066-B1065,0)</f>
        <v>254.66</v>
      </c>
      <c r="L1066" s="17" t="n">
        <f aca="false">MAX(B1065-B1066,0)</f>
        <v>0</v>
      </c>
      <c r="M1066" s="17" t="n">
        <f aca="false">(M1065*13+K1066)/14</f>
        <v>88.6103259787354</v>
      </c>
      <c r="N1066" s="17" t="n">
        <f aca="false">(N1065*13+L1066)/14</f>
        <v>95.6118728404316</v>
      </c>
      <c r="O1066" s="17" t="n">
        <f aca="false">IF(N1066=0,100,100-100/(1+M1066/N1066))</f>
        <v>48.0997005500491</v>
      </c>
      <c r="P1066" s="17" t="n">
        <f aca="false">AVERAGE(B1047:B1066)+2*STDEV(B1047:B1066)</f>
        <v>12356.4407094545</v>
      </c>
      <c r="Q1066" s="17" t="n">
        <f aca="false">AVERAGE(B1047:B1066)-2*STDEV(B1047:B1066)</f>
        <v>10438.4352905455</v>
      </c>
      <c r="R1066" s="19" t="n">
        <f aca="false">B1066/B1046-1</f>
        <v>-0.0649857120816759</v>
      </c>
      <c r="S1066" s="17" t="n">
        <f aca="false">STDEV(C1047:C1066)*SQRT(252)*100</f>
        <v>36.2429863555625</v>
      </c>
      <c r="T1066" s="19" t="n">
        <f aca="false">B1045/B815-1</f>
        <v>0.558525719969069</v>
      </c>
      <c r="U1066" s="19" t="n">
        <f aca="false">B1066/MAX(B815:B1066)-1</f>
        <v>-0.102202480729501</v>
      </c>
      <c r="V1066" s="17" t="n">
        <f aca="false">(B1066-AVERAGE(B1047:B1066))/STDEV(B1047:B1066)</f>
        <v>-0.51367529532864</v>
      </c>
    </row>
    <row r="1067" customFormat="false" ht="15" hidden="false" customHeight="false" outlineLevel="0" collapsed="false">
      <c r="A1067" s="17" t="s">
        <v>1631</v>
      </c>
      <c r="B1067" s="17" t="n">
        <v>11364.45</v>
      </c>
      <c r="C1067" s="19" t="n">
        <f aca="false">B1067/B1066-1</f>
        <v>0.0191298998397473</v>
      </c>
      <c r="D1067" s="17" t="n">
        <f aca="false">AVERAGE(B1018:B1067)</f>
        <v>11239.0786</v>
      </c>
      <c r="E1067" s="17" t="n">
        <f aca="false">AVERAGE(B868:B1067)</f>
        <v>9597.04545</v>
      </c>
      <c r="F1067" s="17" t="n">
        <f aca="false">B1067*2/13+F1066*11/13</f>
        <v>11176.1908373822</v>
      </c>
      <c r="G1067" s="17" t="n">
        <f aca="false">B1067*2/27+G1066*25/27</f>
        <v>11251.7328669806</v>
      </c>
      <c r="H1067" s="17" t="n">
        <f aca="false">F1067-G1067</f>
        <v>-75.542029598435</v>
      </c>
      <c r="I1067" s="17" t="n">
        <f aca="false">H1067*2/10+I1066*8/10</f>
        <v>-45.8925924296553</v>
      </c>
      <c r="J1067" s="17" t="n">
        <f aca="false">H1067-I1067</f>
        <v>-29.6494371687796</v>
      </c>
      <c r="K1067" s="17" t="n">
        <f aca="false">MAX(B1067-B1066,0)</f>
        <v>213.320000000002</v>
      </c>
      <c r="L1067" s="17" t="n">
        <f aca="false">MAX(B1066-B1067,0)</f>
        <v>0</v>
      </c>
      <c r="M1067" s="17" t="n">
        <f aca="false">(M1066*13+K1067)/14</f>
        <v>97.5181598373973</v>
      </c>
      <c r="N1067" s="17" t="n">
        <f aca="false">(N1066*13+L1067)/14</f>
        <v>88.7824533518294</v>
      </c>
      <c r="O1067" s="17" t="n">
        <f aca="false">IF(N1067=0,100,100-100/(1+M1067/N1067))</f>
        <v>52.3445189835996</v>
      </c>
      <c r="P1067" s="17" t="n">
        <f aca="false">AVERAGE(B1048:B1067)+2*STDEV(B1048:B1067)</f>
        <v>12282.5631422216</v>
      </c>
      <c r="Q1067" s="17" t="n">
        <f aca="false">AVERAGE(B1048:B1067)-2*STDEV(B1048:B1067)</f>
        <v>10449.1728577784</v>
      </c>
      <c r="R1067" s="19" t="n">
        <f aca="false">B1067/B1047-1</f>
        <v>-0.0526348695590558</v>
      </c>
      <c r="S1067" s="17" t="n">
        <f aca="false">STDEV(C1048:C1067)*SQRT(252)*100</f>
        <v>36.9773935992625</v>
      </c>
      <c r="T1067" s="19" t="n">
        <f aca="false">B1046/B816-1</f>
        <v>0.538968571963172</v>
      </c>
      <c r="U1067" s="19" t="n">
        <f aca="false">B1067/MAX(B816:B1067)-1</f>
        <v>-0.0850277041094831</v>
      </c>
      <c r="V1067" s="17" t="n">
        <f aca="false">(B1067-AVERAGE(B1048:B1067))/STDEV(B1048:B1067)</f>
        <v>-0.00309372207768702</v>
      </c>
    </row>
    <row r="1068" customFormat="false" ht="15" hidden="false" customHeight="false" outlineLevel="0" collapsed="false">
      <c r="A1068" s="17" t="s">
        <v>1632</v>
      </c>
      <c r="B1068" s="17" t="n">
        <v>11322.95</v>
      </c>
      <c r="C1068" s="19" t="n">
        <f aca="false">B1068/B1067-1</f>
        <v>-0.00365173853552081</v>
      </c>
      <c r="D1068" s="17" t="n">
        <f aca="false">AVERAGE(B1019:B1068)</f>
        <v>11246.496</v>
      </c>
      <c r="E1068" s="17" t="n">
        <f aca="false">AVERAGE(B869:B1068)</f>
        <v>9611.32575</v>
      </c>
      <c r="F1068" s="17" t="n">
        <f aca="false">B1068*2/13+F1067*11/13</f>
        <v>11198.7691700926</v>
      </c>
      <c r="G1068" s="17" t="n">
        <f aca="false">B1068*2/27+G1067*25/27</f>
        <v>11257.0082101673</v>
      </c>
      <c r="H1068" s="17" t="n">
        <f aca="false">F1068-G1068</f>
        <v>-58.2390400746244</v>
      </c>
      <c r="I1068" s="17" t="n">
        <f aca="false">H1068*2/10+I1067*8/10</f>
        <v>-48.3618819586491</v>
      </c>
      <c r="J1068" s="17" t="n">
        <f aca="false">H1068-I1068</f>
        <v>-9.87715811597528</v>
      </c>
      <c r="K1068" s="17" t="n">
        <f aca="false">MAX(B1068-B1067,0)</f>
        <v>0</v>
      </c>
      <c r="L1068" s="17" t="n">
        <f aca="false">MAX(B1067-B1068,0)</f>
        <v>41.5</v>
      </c>
      <c r="M1068" s="17" t="n">
        <f aca="false">(M1067*13+K1068)/14</f>
        <v>90.5525769918689</v>
      </c>
      <c r="N1068" s="17" t="n">
        <f aca="false">(N1067*13+L1068)/14</f>
        <v>85.4051352552701</v>
      </c>
      <c r="O1068" s="17" t="n">
        <f aca="false">IF(N1068=0,100,100-100/(1+M1068/N1068))</f>
        <v>51.4626928455881</v>
      </c>
      <c r="P1068" s="17" t="n">
        <f aca="false">AVERAGE(B1049:B1068)+2*STDEV(B1049:B1068)</f>
        <v>12173.4698637927</v>
      </c>
      <c r="Q1068" s="17" t="n">
        <f aca="false">AVERAGE(B1049:B1068)-2*STDEV(B1049:B1068)</f>
        <v>10479.4911362073</v>
      </c>
      <c r="R1068" s="19" t="n">
        <f aca="false">B1068/B1048-1</f>
        <v>-0.0650457859578719</v>
      </c>
      <c r="S1068" s="17" t="n">
        <f aca="false">STDEV(C1049:C1068)*SQRT(252)*100</f>
        <v>36.7045375269013</v>
      </c>
      <c r="T1068" s="19" t="n">
        <f aca="false">B1047/B817-1</f>
        <v>0.561118095193476</v>
      </c>
      <c r="U1068" s="19" t="n">
        <f aca="false">B1068/MAX(B817:B1068)-1</f>
        <v>-0.0883689437013205</v>
      </c>
      <c r="V1068" s="17" t="n">
        <f aca="false">(B1068-AVERAGE(B1049:B1068))/STDEV(B1049:B1068)</f>
        <v>-0.00833658638685104</v>
      </c>
    </row>
    <row r="1069" customFormat="false" ht="15" hidden="false" customHeight="false" outlineLevel="0" collapsed="false">
      <c r="A1069" s="17" t="s">
        <v>1633</v>
      </c>
      <c r="B1069" s="17" t="n">
        <v>11418.06</v>
      </c>
      <c r="C1069" s="19" t="n">
        <f aca="false">B1069/B1068-1</f>
        <v>0.00839975448094354</v>
      </c>
      <c r="D1069" s="17" t="n">
        <f aca="false">AVERAGE(B1020:B1069)</f>
        <v>11258.1958</v>
      </c>
      <c r="E1069" s="17" t="n">
        <f aca="false">AVERAGE(B870:B1069)</f>
        <v>9625.9775</v>
      </c>
      <c r="F1069" s="17" t="n">
        <f aca="false">B1069*2/13+F1068*11/13</f>
        <v>11232.5062208476</v>
      </c>
      <c r="G1069" s="17" t="n">
        <f aca="false">B1069*2/27+G1068*25/27</f>
        <v>11268.9379723771</v>
      </c>
      <c r="H1069" s="17" t="n">
        <f aca="false">F1069-G1069</f>
        <v>-36.431751529477</v>
      </c>
      <c r="I1069" s="17" t="n">
        <f aca="false">H1069*2/10+I1068*8/10</f>
        <v>-45.9758558728147</v>
      </c>
      <c r="J1069" s="17" t="n">
        <f aca="false">H1069-I1069</f>
        <v>9.54410434333774</v>
      </c>
      <c r="K1069" s="17" t="n">
        <f aca="false">MAX(B1069-B1068,0)</f>
        <v>95.1099999999988</v>
      </c>
      <c r="L1069" s="17" t="n">
        <f aca="false">MAX(B1068-B1069,0)</f>
        <v>0</v>
      </c>
      <c r="M1069" s="17" t="n">
        <f aca="false">(M1068*13+K1069)/14</f>
        <v>90.8781072067353</v>
      </c>
      <c r="N1069" s="17" t="n">
        <f aca="false">(N1068*13+L1069)/14</f>
        <v>79.3047684513223</v>
      </c>
      <c r="O1069" s="17" t="n">
        <f aca="false">IF(N1069=0,100,100-100/(1+M1069/N1069))</f>
        <v>53.4002653647324</v>
      </c>
      <c r="P1069" s="17" t="n">
        <f aca="false">AVERAGE(B1050:B1069)+2*STDEV(B1050:B1069)</f>
        <v>12000.0220465859</v>
      </c>
      <c r="Q1069" s="17" t="n">
        <f aca="false">AVERAGE(B1050:B1069)-2*STDEV(B1050:B1069)</f>
        <v>10565.4589534141</v>
      </c>
      <c r="R1069" s="19" t="n">
        <f aca="false">B1069/B1049-1</f>
        <v>-0.0711632606244601</v>
      </c>
      <c r="S1069" s="17" t="n">
        <f aca="false">STDEV(C1050:C1069)*SQRT(252)*100</f>
        <v>36.343097575594</v>
      </c>
      <c r="T1069" s="19" t="n">
        <f aca="false">B1048/B818-1</f>
        <v>0.603898400034963</v>
      </c>
      <c r="U1069" s="19" t="n">
        <f aca="false">B1069/MAX(B818:B1069)-1</f>
        <v>-0.0807114666512085</v>
      </c>
      <c r="V1069" s="17" t="n">
        <f aca="false">(B1069-AVERAGE(B1050:B1069))/STDEV(B1050:B1069)</f>
        <v>0.377312090751795</v>
      </c>
    </row>
    <row r="1070" customFormat="false" ht="15" hidden="false" customHeight="false" outlineLevel="0" collapsed="false">
      <c r="A1070" s="17" t="s">
        <v>1634</v>
      </c>
      <c r="B1070" s="17" t="n">
        <v>11583.2</v>
      </c>
      <c r="C1070" s="19" t="n">
        <f aca="false">B1070/B1069-1</f>
        <v>0.0144630523924381</v>
      </c>
      <c r="D1070" s="17" t="n">
        <f aca="false">AVERAGE(B1021:B1070)</f>
        <v>11272.4448</v>
      </c>
      <c r="E1070" s="17" t="n">
        <f aca="false">AVERAGE(B871:B1070)</f>
        <v>9641.04185</v>
      </c>
      <c r="F1070" s="17" t="n">
        <f aca="false">B1070*2/13+F1069*11/13</f>
        <v>11286.459109948</v>
      </c>
      <c r="G1070" s="17" t="n">
        <f aca="false">B1070*2/27+G1069*25/27</f>
        <v>11292.2166410899</v>
      </c>
      <c r="H1070" s="17" t="n">
        <f aca="false">F1070-G1070</f>
        <v>-5.75753114191866</v>
      </c>
      <c r="I1070" s="17" t="n">
        <f aca="false">H1070*2/10+I1069*8/10</f>
        <v>-37.9321909266355</v>
      </c>
      <c r="J1070" s="17" t="n">
        <f aca="false">H1070-I1070</f>
        <v>32.1746597847168</v>
      </c>
      <c r="K1070" s="17" t="n">
        <f aca="false">MAX(B1070-B1069,0)</f>
        <v>165.140000000001</v>
      </c>
      <c r="L1070" s="17" t="n">
        <f aca="false">MAX(B1069-B1070,0)</f>
        <v>0</v>
      </c>
      <c r="M1070" s="17" t="n">
        <f aca="false">(M1069*13+K1070)/14</f>
        <v>96.18252812054</v>
      </c>
      <c r="N1070" s="17" t="n">
        <f aca="false">(N1069*13+L1070)/14</f>
        <v>73.6401421333707</v>
      </c>
      <c r="O1070" s="17" t="n">
        <f aca="false">IF(N1070=0,100,100-100/(1+M1070/N1070))</f>
        <v>56.6370367258579</v>
      </c>
      <c r="P1070" s="17" t="n">
        <f aca="false">AVERAGE(B1051:B1070)+2*STDEV(B1051:B1070)</f>
        <v>11744.4339131958</v>
      </c>
      <c r="Q1070" s="17" t="n">
        <f aca="false">AVERAGE(B1051:B1070)-2*STDEV(B1051:B1070)</f>
        <v>10737.3130868042</v>
      </c>
      <c r="R1070" s="19" t="n">
        <f aca="false">B1070/B1050-1</f>
        <v>-0.0674157484296174</v>
      </c>
      <c r="S1070" s="17" t="n">
        <f aca="false">STDEV(C1051:C1070)*SQRT(252)*100</f>
        <v>36.5767326565688</v>
      </c>
      <c r="T1070" s="19" t="n">
        <f aca="false">B1049/B819-1</f>
        <v>0.609352232603991</v>
      </c>
      <c r="U1070" s="19" t="n">
        <f aca="false">B1070/MAX(B819:B1070)-1</f>
        <v>-0.0674157484296174</v>
      </c>
      <c r="V1070" s="17" t="n">
        <f aca="false">(B1070-AVERAGE(B1051:B1070))/STDEV(B1051:B1070)</f>
        <v>1.35962435103855</v>
      </c>
    </row>
    <row r="1071" customFormat="false" ht="15" hidden="false" customHeight="false" outlineLevel="0" collapsed="false">
      <c r="A1071" s="17" t="s">
        <v>1635</v>
      </c>
      <c r="B1071" s="17" t="n">
        <v>11255.69</v>
      </c>
      <c r="C1071" s="19" t="n">
        <f aca="false">B1071/B1070-1</f>
        <v>-0.0282745700669936</v>
      </c>
      <c r="D1071" s="17" t="n">
        <f aca="false">AVERAGE(B1022:B1071)</f>
        <v>11285.9468</v>
      </c>
      <c r="E1071" s="17" t="n">
        <f aca="false">AVERAGE(B872:B1071)</f>
        <v>9654.4418</v>
      </c>
      <c r="F1071" s="17" t="n">
        <f aca="false">B1071*2/13+F1070*11/13</f>
        <v>11281.7254007252</v>
      </c>
      <c r="G1071" s="17" t="n">
        <f aca="false">B1071*2/27+G1070*25/27</f>
        <v>11289.5109639721</v>
      </c>
      <c r="H1071" s="17" t="n">
        <f aca="false">F1071-G1071</f>
        <v>-7.78556324691272</v>
      </c>
      <c r="I1071" s="17" t="n">
        <f aca="false">H1071*2/10+I1070*8/10</f>
        <v>-31.9028653906909</v>
      </c>
      <c r="J1071" s="17" t="n">
        <f aca="false">H1071-I1071</f>
        <v>24.1173021437782</v>
      </c>
      <c r="K1071" s="17" t="n">
        <f aca="false">MAX(B1071-B1070,0)</f>
        <v>0</v>
      </c>
      <c r="L1071" s="17" t="n">
        <f aca="false">MAX(B1070-B1071,0)</f>
        <v>327.51</v>
      </c>
      <c r="M1071" s="17" t="n">
        <f aca="false">(M1070*13+K1071)/14</f>
        <v>89.3123475405015</v>
      </c>
      <c r="N1071" s="17" t="n">
        <f aca="false">(N1070*13+L1071)/14</f>
        <v>91.7737034095585</v>
      </c>
      <c r="O1071" s="17" t="n">
        <f aca="false">IF(N1071=0,100,100-100/(1+M1071/N1071))</f>
        <v>49.3203905391543</v>
      </c>
      <c r="P1071" s="17" t="n">
        <f aca="false">AVERAGE(B1052:B1071)+2*STDEV(B1052:B1071)</f>
        <v>11652.7793385832</v>
      </c>
      <c r="Q1071" s="17" t="n">
        <f aca="false">AVERAGE(B1052:B1071)-2*STDEV(B1052:B1071)</f>
        <v>10777.3996614168</v>
      </c>
      <c r="R1071" s="19" t="n">
        <f aca="false">B1071/B1051-1</f>
        <v>-0.0438079849669155</v>
      </c>
      <c r="S1071" s="17" t="n">
        <f aca="false">STDEV(C1052:C1071)*SQRT(252)*100</f>
        <v>33.140684709824</v>
      </c>
      <c r="T1071" s="19" t="n">
        <f aca="false">B1050/B820-1</f>
        <v>0.601802917166402</v>
      </c>
      <c r="U1071" s="19" t="n">
        <f aca="false">B1071/MAX(B820:B1071)-1</f>
        <v>-0.0937841671940189</v>
      </c>
      <c r="V1071" s="17" t="n">
        <f aca="false">(B1071-AVERAGE(B1052:B1071))/STDEV(B1052:B1071)</f>
        <v>0.185521784702283</v>
      </c>
    </row>
    <row r="1072" customFormat="false" ht="15" hidden="false" customHeight="false" outlineLevel="0" collapsed="false">
      <c r="A1072" s="17" t="s">
        <v>1636</v>
      </c>
      <c r="B1072" s="17" t="n">
        <v>11509.06</v>
      </c>
      <c r="C1072" s="19" t="n">
        <f aca="false">B1072/B1071-1</f>
        <v>0.0225103925214714</v>
      </c>
      <c r="D1072" s="17" t="n">
        <f aca="false">AVERAGE(B1023:B1072)</f>
        <v>11306.4654</v>
      </c>
      <c r="E1072" s="17" t="n">
        <f aca="false">AVERAGE(B873:B1072)</f>
        <v>9669.084</v>
      </c>
      <c r="F1072" s="17" t="n">
        <f aca="false">B1072*2/13+F1071*11/13</f>
        <v>11316.6999544598</v>
      </c>
      <c r="G1072" s="17" t="n">
        <f aca="false">B1072*2/27+G1071*25/27</f>
        <v>11305.7738555297</v>
      </c>
      <c r="H1072" s="17" t="n">
        <f aca="false">F1072-G1072</f>
        <v>10.9260989300492</v>
      </c>
      <c r="I1072" s="17" t="n">
        <f aca="false">H1072*2/10+I1071*8/10</f>
        <v>-23.3370725265429</v>
      </c>
      <c r="J1072" s="17" t="n">
        <f aca="false">H1072-I1072</f>
        <v>34.2631714565921</v>
      </c>
      <c r="K1072" s="17" t="n">
        <f aca="false">MAX(B1072-B1071,0)</f>
        <v>253.369999999999</v>
      </c>
      <c r="L1072" s="17" t="n">
        <f aca="false">MAX(B1071-B1072,0)</f>
        <v>0</v>
      </c>
      <c r="M1072" s="17" t="n">
        <f aca="false">(M1071*13+K1072)/14</f>
        <v>101.030751287608</v>
      </c>
      <c r="N1072" s="17" t="n">
        <f aca="false">(N1071*13+L1072)/14</f>
        <v>85.2184388803043</v>
      </c>
      <c r="O1072" s="17" t="n">
        <f aca="false">IF(N1072=0,100,100-100/(1+M1072/N1072))</f>
        <v>54.2449345398626</v>
      </c>
      <c r="P1072" s="17" t="n">
        <f aca="false">AVERAGE(B1053:B1072)+2*STDEV(B1053:B1072)</f>
        <v>11627.4680612937</v>
      </c>
      <c r="Q1072" s="17" t="n">
        <f aca="false">AVERAGE(B1053:B1072)-2*STDEV(B1053:B1072)</f>
        <v>10791.4039387063</v>
      </c>
      <c r="R1072" s="19" t="n">
        <f aca="false">B1072/B1052-1</f>
        <v>-0.00972885348899033</v>
      </c>
      <c r="S1072" s="17" t="n">
        <f aca="false">STDEV(C1053:C1072)*SQRT(252)*100</f>
        <v>33.9840730659258</v>
      </c>
      <c r="T1072" s="19" t="n">
        <f aca="false">B1051/B821-1</f>
        <v>0.52377629891018</v>
      </c>
      <c r="U1072" s="19" t="n">
        <f aca="false">B1072/MAX(B821:B1072)-1</f>
        <v>-0.0733848930883844</v>
      </c>
      <c r="V1072" s="17" t="n">
        <f aca="false">(B1072-AVERAGE(B1053:B1072))/STDEV(B1053:B1072)</f>
        <v>1.43349770384946</v>
      </c>
    </row>
    <row r="1073" customFormat="false" ht="15" hidden="false" customHeight="false" outlineLevel="0" collapsed="false">
      <c r="A1073" s="17" t="s">
        <v>1637</v>
      </c>
      <c r="B1073" s="17" t="n">
        <v>11291.27</v>
      </c>
      <c r="C1073" s="19" t="n">
        <f aca="false">B1073/B1072-1</f>
        <v>-0.0189233525587667</v>
      </c>
      <c r="D1073" s="17" t="n">
        <f aca="false">AVERAGE(B1024:B1073)</f>
        <v>11318.8032</v>
      </c>
      <c r="E1073" s="17" t="n">
        <f aca="false">AVERAGE(B874:B1073)</f>
        <v>9682.3339</v>
      </c>
      <c r="F1073" s="17" t="n">
        <f aca="false">B1073*2/13+F1072*11/13</f>
        <v>11312.7876537737</v>
      </c>
      <c r="G1073" s="17" t="n">
        <f aca="false">B1073*2/27+G1072*25/27</f>
        <v>11304.6994958609</v>
      </c>
      <c r="H1073" s="17" t="n">
        <f aca="false">F1073-G1073</f>
        <v>8.08815791279449</v>
      </c>
      <c r="I1073" s="17" t="n">
        <f aca="false">H1073*2/10+I1072*8/10</f>
        <v>-17.0520264386754</v>
      </c>
      <c r="J1073" s="17" t="n">
        <f aca="false">H1073-I1073</f>
        <v>25.1401843514699</v>
      </c>
      <c r="K1073" s="17" t="n">
        <f aca="false">MAX(B1073-B1072,0)</f>
        <v>0</v>
      </c>
      <c r="L1073" s="17" t="n">
        <f aca="false">MAX(B1072-B1073,0)</f>
        <v>217.789999999999</v>
      </c>
      <c r="M1073" s="17" t="n">
        <f aca="false">(M1072*13+K1073)/14</f>
        <v>93.8142690527793</v>
      </c>
      <c r="N1073" s="17" t="n">
        <f aca="false">(N1072*13+L1073)/14</f>
        <v>94.6878361031397</v>
      </c>
      <c r="O1073" s="17" t="n">
        <f aca="false">IF(N1073=0,100,100-100/(1+M1073/N1073))</f>
        <v>49.7682871897802</v>
      </c>
      <c r="P1073" s="17" t="n">
        <f aca="false">AVERAGE(B1054:B1073)+2*STDEV(B1054:B1073)</f>
        <v>11634.6411081084</v>
      </c>
      <c r="Q1073" s="17" t="n">
        <f aca="false">AVERAGE(B1054:B1073)-2*STDEV(B1054:B1073)</f>
        <v>10806.5318918916</v>
      </c>
      <c r="R1073" s="19" t="n">
        <f aca="false">B1073/B1053-1</f>
        <v>0.0201486051104691</v>
      </c>
      <c r="S1073" s="17" t="n">
        <f aca="false">STDEV(C1054:C1073)*SQRT(252)*100</f>
        <v>29.9627007329739</v>
      </c>
      <c r="T1073" s="19" t="n">
        <f aca="false">B1052/B822-1</f>
        <v>0.528368929561943</v>
      </c>
      <c r="U1073" s="19" t="n">
        <f aca="false">B1073/MAX(B822:B1073)-1</f>
        <v>-0.0909195574427522</v>
      </c>
      <c r="V1073" s="17" t="n">
        <f aca="false">(B1073-AVERAGE(B1054:B1073))/STDEV(B1054:B1073)</f>
        <v>0.341421148881388</v>
      </c>
    </row>
    <row r="1074" customFormat="false" ht="15" hidden="false" customHeight="false" outlineLevel="0" collapsed="false">
      <c r="A1074" s="17" t="s">
        <v>1638</v>
      </c>
      <c r="B1074" s="17" t="n">
        <v>11503.19</v>
      </c>
      <c r="C1074" s="19" t="n">
        <f aca="false">B1074/B1073-1</f>
        <v>0.0187684821990795</v>
      </c>
      <c r="D1074" s="17" t="n">
        <f aca="false">AVERAGE(B1025:B1074)</f>
        <v>11338.217</v>
      </c>
      <c r="E1074" s="17" t="n">
        <f aca="false">AVERAGE(B875:B1074)</f>
        <v>9696.4574</v>
      </c>
      <c r="F1074" s="17" t="n">
        <f aca="false">B1074*2/13+F1073*11/13</f>
        <v>11342.0803224239</v>
      </c>
      <c r="G1074" s="17" t="n">
        <f aca="false">B1074*2/27+G1073*25/27</f>
        <v>11319.4024961675</v>
      </c>
      <c r="H1074" s="17" t="n">
        <f aca="false">F1074-G1074</f>
        <v>22.6778262563967</v>
      </c>
      <c r="I1074" s="17" t="n">
        <f aca="false">H1074*2/10+I1073*8/10</f>
        <v>-9.10605589966102</v>
      </c>
      <c r="J1074" s="17" t="n">
        <f aca="false">H1074-I1074</f>
        <v>31.7838821560577</v>
      </c>
      <c r="K1074" s="17" t="n">
        <f aca="false">MAX(B1074-B1073,0)</f>
        <v>211.92</v>
      </c>
      <c r="L1074" s="17" t="n">
        <f aca="false">MAX(B1073-B1074,0)</f>
        <v>0</v>
      </c>
      <c r="M1074" s="17" t="n">
        <f aca="false">(M1073*13+K1074)/14</f>
        <v>102.250392691866</v>
      </c>
      <c r="N1074" s="17" t="n">
        <f aca="false">(N1073*13+L1074)/14</f>
        <v>87.9244192386297</v>
      </c>
      <c r="O1074" s="17" t="n">
        <f aca="false">IF(N1074=0,100,100-100/(1+M1074/N1074))</f>
        <v>53.7665275721352</v>
      </c>
      <c r="P1074" s="17" t="n">
        <f aca="false">AVERAGE(B1055:B1074)+2*STDEV(B1055:B1074)</f>
        <v>11652.1773447861</v>
      </c>
      <c r="Q1074" s="17" t="n">
        <f aca="false">AVERAGE(B1055:B1074)-2*STDEV(B1055:B1074)</f>
        <v>10799.7296552139</v>
      </c>
      <c r="R1074" s="19" t="n">
        <f aca="false">B1074/B1054-1</f>
        <v>0.00941921839968063</v>
      </c>
      <c r="S1074" s="17" t="n">
        <f aca="false">STDEV(C1055:C1074)*SQRT(252)*100</f>
        <v>28.8248969823561</v>
      </c>
      <c r="T1074" s="19" t="n">
        <f aca="false">B1053/B823-1</f>
        <v>0.439206400599179</v>
      </c>
      <c r="U1074" s="19" t="n">
        <f aca="false">B1074/MAX(B823:B1074)-1</f>
        <v>-0.0738574973390851</v>
      </c>
      <c r="V1074" s="17" t="n">
        <f aca="false">(B1074-AVERAGE(B1055:B1074))/STDEV(B1055:B1074)</f>
        <v>1.30089624684962</v>
      </c>
    </row>
    <row r="1075" customFormat="false" ht="15" hidden="false" customHeight="false" outlineLevel="0" collapsed="false">
      <c r="A1075" s="17" t="s">
        <v>1639</v>
      </c>
      <c r="B1075" s="17" t="n">
        <v>11550.94</v>
      </c>
      <c r="C1075" s="19" t="n">
        <f aca="false">B1075/B1074-1</f>
        <v>0.00415102245551013</v>
      </c>
      <c r="D1075" s="17" t="n">
        <f aca="false">AVERAGE(B1026:B1075)</f>
        <v>11355.9762</v>
      </c>
      <c r="E1075" s="17" t="n">
        <f aca="false">AVERAGE(B876:B1075)</f>
        <v>9710.73205</v>
      </c>
      <c r="F1075" s="17" t="n">
        <f aca="false">B1075*2/13+F1074*11/13</f>
        <v>11374.2125805125</v>
      </c>
      <c r="G1075" s="17" t="n">
        <f aca="false">B1075*2/27+G1074*25/27</f>
        <v>11336.5534223773</v>
      </c>
      <c r="H1075" s="17" t="n">
        <f aca="false">F1075-G1075</f>
        <v>37.659158135215</v>
      </c>
      <c r="I1075" s="17" t="n">
        <f aca="false">H1075*2/10+I1074*8/10</f>
        <v>0.246986907314179</v>
      </c>
      <c r="J1075" s="17" t="n">
        <f aca="false">H1075-I1075</f>
        <v>37.4121712279008</v>
      </c>
      <c r="K1075" s="17" t="n">
        <f aca="false">MAX(B1075-B1074,0)</f>
        <v>47.75</v>
      </c>
      <c r="L1075" s="17" t="n">
        <f aca="false">MAX(B1074-B1075,0)</f>
        <v>0</v>
      </c>
      <c r="M1075" s="17" t="n">
        <f aca="false">(M1074*13+K1075)/14</f>
        <v>98.3575074995903</v>
      </c>
      <c r="N1075" s="17" t="n">
        <f aca="false">(N1074*13+L1075)/14</f>
        <v>81.6441035787276</v>
      </c>
      <c r="O1075" s="17" t="n">
        <f aca="false">IF(N1075=0,100,100-100/(1+M1075/N1075))</f>
        <v>54.6425706472124</v>
      </c>
      <c r="P1075" s="17" t="n">
        <f aca="false">AVERAGE(B1056:B1075)+2*STDEV(B1056:B1075)</f>
        <v>11694.3007941986</v>
      </c>
      <c r="Q1075" s="17" t="n">
        <f aca="false">AVERAGE(B1056:B1075)-2*STDEV(B1056:B1075)</f>
        <v>10797.2882058014</v>
      </c>
      <c r="R1075" s="19" t="n">
        <f aca="false">B1075/B1055-1</f>
        <v>0.0355760920628432</v>
      </c>
      <c r="S1075" s="17" t="n">
        <f aca="false">STDEV(C1056:C1075)*SQRT(252)*100</f>
        <v>27.6587097918366</v>
      </c>
      <c r="T1075" s="19" t="n">
        <f aca="false">B1054/B824-1</f>
        <v>0.472263563968601</v>
      </c>
      <c r="U1075" s="19" t="n">
        <f aca="false">B1075/MAX(B824:B1075)-1</f>
        <v>-0.0700130590135373</v>
      </c>
      <c r="V1075" s="17" t="n">
        <f aca="false">(B1075-AVERAGE(B1056:B1075))/STDEV(B1056:B1075)</f>
        <v>1.36071891943108</v>
      </c>
    </row>
    <row r="1076" customFormat="false" ht="15" hidden="false" customHeight="false" outlineLevel="0" collapsed="false">
      <c r="A1076" s="17" t="s">
        <v>1640</v>
      </c>
      <c r="B1076" s="17" t="n">
        <v>11725.85</v>
      </c>
      <c r="C1076" s="19" t="n">
        <f aca="false">B1076/B1075-1</f>
        <v>0.0151424905678672</v>
      </c>
      <c r="D1076" s="17" t="n">
        <f aca="false">AVERAGE(B1027:B1076)</f>
        <v>11376.183</v>
      </c>
      <c r="E1076" s="17" t="n">
        <f aca="false">AVERAGE(B877:B1076)</f>
        <v>9725.86375</v>
      </c>
      <c r="F1076" s="17" t="n">
        <f aca="false">B1076*2/13+F1075*11/13</f>
        <v>11428.310645049</v>
      </c>
      <c r="G1076" s="17" t="n">
        <f aca="false">B1076*2/27+G1075*25/27</f>
        <v>11365.3902059049</v>
      </c>
      <c r="H1076" s="17" t="n">
        <f aca="false">F1076-G1076</f>
        <v>62.9204391441454</v>
      </c>
      <c r="I1076" s="17" t="n">
        <f aca="false">H1076*2/10+I1075*8/10</f>
        <v>12.7816773546804</v>
      </c>
      <c r="J1076" s="17" t="n">
        <f aca="false">H1076-I1076</f>
        <v>50.1387617894649</v>
      </c>
      <c r="K1076" s="17" t="n">
        <f aca="false">MAX(B1076-B1075,0)</f>
        <v>174.91</v>
      </c>
      <c r="L1076" s="17" t="n">
        <f aca="false">MAX(B1075-B1076,0)</f>
        <v>0</v>
      </c>
      <c r="M1076" s="17" t="n">
        <f aca="false">(M1075*13+K1076)/14</f>
        <v>103.825542678191</v>
      </c>
      <c r="N1076" s="17" t="n">
        <f aca="false">(N1075*13+L1076)/14</f>
        <v>75.8123818945327</v>
      </c>
      <c r="O1076" s="17" t="n">
        <f aca="false">IF(N1076=0,100,100-100/(1+M1076/N1076))</f>
        <v>57.7971176883414</v>
      </c>
      <c r="P1076" s="17" t="n">
        <f aca="false">AVERAGE(B1057:B1076)+2*STDEV(B1057:B1076)</f>
        <v>11767.7188369504</v>
      </c>
      <c r="Q1076" s="17" t="n">
        <f aca="false">AVERAGE(B1057:B1076)-2*STDEV(B1057:B1076)</f>
        <v>10787.7151630496</v>
      </c>
      <c r="R1076" s="19" t="n">
        <f aca="false">B1076/B1056-1</f>
        <v>0.0575833829391923</v>
      </c>
      <c r="S1076" s="17" t="n">
        <f aca="false">STDEV(C1057:C1076)*SQRT(252)*100</f>
        <v>27.8764651535978</v>
      </c>
      <c r="T1076" s="19" t="n">
        <f aca="false">B1055/B825-1</f>
        <v>0.422015635119354</v>
      </c>
      <c r="U1076" s="19" t="n">
        <f aca="false">B1076/MAX(B825:B1076)-1</f>
        <v>-0.0559307405314101</v>
      </c>
      <c r="V1076" s="17" t="n">
        <f aca="false">(B1076-AVERAGE(B1057:B1076))/STDEV(B1057:B1076)</f>
        <v>1.82910742861313</v>
      </c>
    </row>
    <row r="1077" customFormat="false" ht="15" hidden="false" customHeight="false" outlineLevel="0" collapsed="false">
      <c r="A1077" s="17" t="s">
        <v>1641</v>
      </c>
      <c r="B1077" s="17" t="n">
        <v>12088.11</v>
      </c>
      <c r="C1077" s="19" t="n">
        <f aca="false">B1077/B1076-1</f>
        <v>0.0308941356063739</v>
      </c>
      <c r="D1077" s="17" t="n">
        <f aca="false">AVERAGE(B1028:B1077)</f>
        <v>11399.8276</v>
      </c>
      <c r="E1077" s="17" t="n">
        <f aca="false">AVERAGE(B878:B1077)</f>
        <v>9742.41275</v>
      </c>
      <c r="F1077" s="17" t="n">
        <f aca="false">B1077*2/13+F1076*11/13</f>
        <v>11529.8182381184</v>
      </c>
      <c r="G1077" s="17" t="n">
        <f aca="false">B1077*2/27+G1076*25/27</f>
        <v>11418.9250054675</v>
      </c>
      <c r="H1077" s="17" t="n">
        <f aca="false">F1077-G1077</f>
        <v>110.893232650924</v>
      </c>
      <c r="I1077" s="17" t="n">
        <f aca="false">H1077*2/10+I1076*8/10</f>
        <v>32.4039884139291</v>
      </c>
      <c r="J1077" s="17" t="n">
        <f aca="false">H1077-I1077</f>
        <v>78.4892442369948</v>
      </c>
      <c r="K1077" s="17" t="n">
        <f aca="false">MAX(B1077-B1076,0)</f>
        <v>362.26</v>
      </c>
      <c r="L1077" s="17" t="n">
        <f aca="false">MAX(B1076-B1077,0)</f>
        <v>0</v>
      </c>
      <c r="M1077" s="17" t="n">
        <f aca="false">(M1076*13+K1077)/14</f>
        <v>122.285146772606</v>
      </c>
      <c r="N1077" s="17" t="n">
        <f aca="false">(N1076*13+L1077)/14</f>
        <v>70.397211759209</v>
      </c>
      <c r="O1077" s="17" t="n">
        <f aca="false">IF(N1077=0,100,100-100/(1+M1077/N1077))</f>
        <v>63.4646304437958</v>
      </c>
      <c r="P1077" s="17" t="n">
        <f aca="false">AVERAGE(B1058:B1077)+2*STDEV(B1058:B1077)</f>
        <v>11927.7013951754</v>
      </c>
      <c r="Q1077" s="17" t="n">
        <f aca="false">AVERAGE(B1058:B1077)-2*STDEV(B1058:B1077)</f>
        <v>10708.7676048246</v>
      </c>
      <c r="R1077" s="19" t="n">
        <f aca="false">B1077/B1057-1</f>
        <v>0.071853807848367</v>
      </c>
      <c r="S1077" s="17" t="n">
        <f aca="false">STDEV(C1058:C1077)*SQRT(252)*100</f>
        <v>29.1993106050919</v>
      </c>
      <c r="T1077" s="19" t="n">
        <f aca="false">B1056/B826-1</f>
        <v>0.41378901423429</v>
      </c>
      <c r="U1077" s="19" t="n">
        <f aca="false">B1077/MAX(B826:B1077)-1</f>
        <v>-0.0267645368075784</v>
      </c>
      <c r="V1077" s="17" t="n">
        <f aca="false">(B1077-AVERAGE(B1058:B1077))/STDEV(B1058:B1077)</f>
        <v>2.52638988629051</v>
      </c>
    </row>
    <row r="1078" customFormat="false" ht="15" hidden="false" customHeight="false" outlineLevel="0" collapsed="false">
      <c r="A1078" s="17" t="s">
        <v>1642</v>
      </c>
      <c r="B1078" s="17" t="n">
        <v>12083.17</v>
      </c>
      <c r="C1078" s="19" t="n">
        <f aca="false">B1078/B1077-1</f>
        <v>-0.000408666036295191</v>
      </c>
      <c r="D1078" s="17" t="n">
        <f aca="false">AVERAGE(B1029:B1078)</f>
        <v>11420.3894</v>
      </c>
      <c r="E1078" s="17" t="n">
        <f aca="false">AVERAGE(B879:B1078)</f>
        <v>9758.9737</v>
      </c>
      <c r="F1078" s="17" t="n">
        <f aca="false">B1078*2/13+F1077*11/13</f>
        <v>11614.9492784079</v>
      </c>
      <c r="G1078" s="17" t="n">
        <f aca="false">B1078*2/27+G1077*25/27</f>
        <v>11468.1283383958</v>
      </c>
      <c r="H1078" s="17" t="n">
        <f aca="false">F1078-G1078</f>
        <v>146.820940012063</v>
      </c>
      <c r="I1078" s="17" t="n">
        <f aca="false">H1078*2/10+I1077*8/10</f>
        <v>55.2873787335559</v>
      </c>
      <c r="J1078" s="17" t="n">
        <f aca="false">H1078-I1078</f>
        <v>91.5335612785072</v>
      </c>
      <c r="K1078" s="17" t="n">
        <f aca="false">MAX(B1078-B1077,0)</f>
        <v>0</v>
      </c>
      <c r="L1078" s="17" t="n">
        <f aca="false">MAX(B1077-B1078,0)</f>
        <v>4.94000000000051</v>
      </c>
      <c r="M1078" s="17" t="n">
        <f aca="false">(M1077*13+K1078)/14</f>
        <v>113.550493431706</v>
      </c>
      <c r="N1078" s="17" t="n">
        <f aca="false">(N1077*13+L1078)/14</f>
        <v>65.7216966335512</v>
      </c>
      <c r="O1078" s="17" t="n">
        <f aca="false">IF(N1078=0,100,100-100/(1+M1078/N1078))</f>
        <v>63.3397145370802</v>
      </c>
      <c r="P1078" s="17" t="n">
        <f aca="false">AVERAGE(B1059:B1078)+2*STDEV(B1059:B1078)</f>
        <v>12048.447279863</v>
      </c>
      <c r="Q1078" s="17" t="n">
        <f aca="false">AVERAGE(B1059:B1078)-2*STDEV(B1059:B1078)</f>
        <v>10652.451720137</v>
      </c>
      <c r="R1078" s="19" t="n">
        <f aca="false">B1078/B1058-1</f>
        <v>0.056325493689499</v>
      </c>
      <c r="S1078" s="17" t="n">
        <f aca="false">STDEV(C1059:C1078)*SQRT(252)*100</f>
        <v>28.9533707756355</v>
      </c>
      <c r="T1078" s="19" t="n">
        <f aca="false">B1057/B827-1</f>
        <v>0.419863147358945</v>
      </c>
      <c r="U1078" s="19" t="n">
        <f aca="false">B1078/MAX(B827:B1078)-1</f>
        <v>-0.0271622650867032</v>
      </c>
      <c r="V1078" s="17" t="n">
        <f aca="false">(B1078-AVERAGE(B1059:B1078))/STDEV(B1059:B1078)</f>
        <v>2.09949235123301</v>
      </c>
    </row>
    <row r="1079" customFormat="false" ht="15" hidden="false" customHeight="false" outlineLevel="0" collapsed="false">
      <c r="A1079" s="17" t="s">
        <v>1643</v>
      </c>
      <c r="B1079" s="17" t="n">
        <v>11985.36</v>
      </c>
      <c r="C1079" s="19" t="n">
        <f aca="false">B1079/B1078-1</f>
        <v>-0.00809473010807593</v>
      </c>
      <c r="D1079" s="17" t="n">
        <f aca="false">AVERAGE(B1030:B1079)</f>
        <v>11438.1658</v>
      </c>
      <c r="E1079" s="17" t="n">
        <f aca="false">AVERAGE(B880:B1079)</f>
        <v>9775.35185</v>
      </c>
      <c r="F1079" s="17" t="n">
        <f aca="false">B1079*2/13+F1078*11/13</f>
        <v>11671.9355432682</v>
      </c>
      <c r="G1079" s="17" t="n">
        <f aca="false">B1079*2/27+G1078*25/27</f>
        <v>11506.441794811</v>
      </c>
      <c r="H1079" s="17" t="n">
        <f aca="false">F1079-G1079</f>
        <v>165.493748457264</v>
      </c>
      <c r="I1079" s="17" t="n">
        <f aca="false">H1079*2/10+I1078*8/10</f>
        <v>77.3286526782975</v>
      </c>
      <c r="J1079" s="17" t="n">
        <f aca="false">H1079-I1079</f>
        <v>88.1650957789663</v>
      </c>
      <c r="K1079" s="17" t="n">
        <f aca="false">MAX(B1079-B1078,0)</f>
        <v>0</v>
      </c>
      <c r="L1079" s="17" t="n">
        <f aca="false">MAX(B1078-B1079,0)</f>
        <v>97.8099999999995</v>
      </c>
      <c r="M1079" s="17" t="n">
        <f aca="false">(M1078*13+K1079)/14</f>
        <v>105.439743900869</v>
      </c>
      <c r="N1079" s="17" t="n">
        <f aca="false">(N1078*13+L1079)/14</f>
        <v>68.0137183025832</v>
      </c>
      <c r="O1079" s="17" t="n">
        <f aca="false">IF(N1079=0,100,100-100/(1+M1079/N1079))</f>
        <v>60.7884919455765</v>
      </c>
      <c r="P1079" s="17" t="n">
        <f aca="false">AVERAGE(B1060:B1079)+2*STDEV(B1060:B1079)</f>
        <v>12138.4101520013</v>
      </c>
      <c r="Q1079" s="17" t="n">
        <f aca="false">AVERAGE(B1060:B1079)-2*STDEV(B1060:B1079)</f>
        <v>10636.2648479987</v>
      </c>
      <c r="R1079" s="19" t="n">
        <f aca="false">B1079/B1059-1</f>
        <v>0.065592659767417</v>
      </c>
      <c r="S1079" s="17" t="n">
        <f aca="false">STDEV(C1060:C1079)*SQRT(252)*100</f>
        <v>28.3332238420617</v>
      </c>
      <c r="T1079" s="19" t="n">
        <f aca="false">B1058/B828-1</f>
        <v>0.444263472811958</v>
      </c>
      <c r="U1079" s="19" t="n">
        <f aca="false">B1079/MAX(B828:B1079)-1</f>
        <v>-0.0350371239897782</v>
      </c>
      <c r="V1079" s="17" t="n">
        <f aca="false">(B1079-AVERAGE(B1060:B1079))/STDEV(B1060:B1079)</f>
        <v>1.59244914165506</v>
      </c>
    </row>
    <row r="1080" customFormat="false" ht="15" hidden="false" customHeight="false" outlineLevel="0" collapsed="false">
      <c r="A1080" s="17" t="s">
        <v>1644</v>
      </c>
      <c r="B1080" s="17" t="n">
        <v>11898.57</v>
      </c>
      <c r="C1080" s="19" t="n">
        <f aca="false">B1080/B1079-1</f>
        <v>-0.00724133442800223</v>
      </c>
      <c r="D1080" s="17" t="n">
        <f aca="false">AVERAGE(B1031:B1080)</f>
        <v>11453.6284</v>
      </c>
      <c r="E1080" s="17" t="n">
        <f aca="false">AVERAGE(B881:B1080)</f>
        <v>9791.17935</v>
      </c>
      <c r="F1080" s="17" t="n">
        <f aca="false">B1080*2/13+F1079*11/13</f>
        <v>11706.8023827654</v>
      </c>
      <c r="G1080" s="17" t="n">
        <f aca="false">B1080*2/27+G1079*25/27</f>
        <v>11535.4883285287</v>
      </c>
      <c r="H1080" s="17" t="n">
        <f aca="false">F1080-G1080</f>
        <v>171.314054236753</v>
      </c>
      <c r="I1080" s="17" t="n">
        <f aca="false">H1080*2/10+I1079*8/10</f>
        <v>96.1257329899886</v>
      </c>
      <c r="J1080" s="17" t="n">
        <f aca="false">H1080-I1080</f>
        <v>75.1883212467642</v>
      </c>
      <c r="K1080" s="17" t="n">
        <f aca="false">MAX(B1080-B1079,0)</f>
        <v>0</v>
      </c>
      <c r="L1080" s="17" t="n">
        <f aca="false">MAX(B1079-B1080,0)</f>
        <v>86.7900000000009</v>
      </c>
      <c r="M1080" s="17" t="n">
        <f aca="false">(M1079*13+K1080)/14</f>
        <v>97.9083336222359</v>
      </c>
      <c r="N1080" s="17" t="n">
        <f aca="false">(N1079*13+L1080)/14</f>
        <v>69.3548812809702</v>
      </c>
      <c r="O1080" s="17" t="n">
        <f aca="false">IF(N1080=0,100,100-100/(1+M1080/N1080))</f>
        <v>58.5354847321897</v>
      </c>
      <c r="P1080" s="17" t="n">
        <f aca="false">AVERAGE(B1061:B1080)+2*STDEV(B1061:B1080)</f>
        <v>12197.8504498313</v>
      </c>
      <c r="Q1080" s="17" t="n">
        <f aca="false">AVERAGE(B1061:B1080)-2*STDEV(B1061:B1080)</f>
        <v>10658.5865501687</v>
      </c>
      <c r="R1080" s="19" t="n">
        <f aca="false">B1080/B1060-1</f>
        <v>0.0737860923476776</v>
      </c>
      <c r="S1080" s="17" t="n">
        <f aca="false">STDEV(C1061:C1080)*SQRT(252)*100</f>
        <v>27.812435649633</v>
      </c>
      <c r="T1080" s="19" t="n">
        <f aca="false">B1059/B829-1</f>
        <v>0.416192613074058</v>
      </c>
      <c r="U1080" s="19" t="n">
        <f aca="false">B1080/MAX(B829:B1080)-1</f>
        <v>-0.0420247428855751</v>
      </c>
      <c r="V1080" s="17" t="n">
        <f aca="false">(B1080-AVERAGE(B1061:B1080))/STDEV(B1061:B1080)</f>
        <v>1.22227644032483</v>
      </c>
    </row>
    <row r="1081" customFormat="false" ht="15" hidden="false" customHeight="false" outlineLevel="0" collapsed="false">
      <c r="A1081" s="17" t="s">
        <v>1645</v>
      </c>
      <c r="B1081" s="17" t="n">
        <v>11852.17</v>
      </c>
      <c r="C1081" s="19" t="n">
        <f aca="false">B1081/B1080-1</f>
        <v>-0.00389962827465817</v>
      </c>
      <c r="D1081" s="17" t="n">
        <f aca="false">AVERAGE(B1032:B1081)</f>
        <v>11465.3302</v>
      </c>
      <c r="E1081" s="17" t="n">
        <f aca="false">AVERAGE(B882:B1081)</f>
        <v>9806.0791</v>
      </c>
      <c r="F1081" s="17" t="n">
        <f aca="false">B1081*2/13+F1080*11/13</f>
        <v>11729.1666315707</v>
      </c>
      <c r="G1081" s="17" t="n">
        <f aca="false">B1081*2/27+G1080*25/27</f>
        <v>11558.9462301191</v>
      </c>
      <c r="H1081" s="17" t="n">
        <f aca="false">F1081-G1081</f>
        <v>170.220401451603</v>
      </c>
      <c r="I1081" s="17" t="n">
        <f aca="false">H1081*2/10+I1080*8/10</f>
        <v>110.944666682311</v>
      </c>
      <c r="J1081" s="17" t="n">
        <f aca="false">H1081-I1081</f>
        <v>59.2757347692914</v>
      </c>
      <c r="K1081" s="17" t="n">
        <f aca="false">MAX(B1081-B1080,0)</f>
        <v>0</v>
      </c>
      <c r="L1081" s="17" t="n">
        <f aca="false">MAX(B1080-B1081,0)</f>
        <v>46.3999999999996</v>
      </c>
      <c r="M1081" s="17" t="n">
        <f aca="false">(M1080*13+K1081)/14</f>
        <v>90.9148812206476</v>
      </c>
      <c r="N1081" s="17" t="n">
        <f aca="false">(N1080*13+L1081)/14</f>
        <v>67.715246903758</v>
      </c>
      <c r="O1081" s="17" t="n">
        <f aca="false">IF(N1081=0,100,100-100/(1+M1081/N1081))</f>
        <v>57.3124930904346</v>
      </c>
      <c r="P1081" s="17" t="n">
        <f aca="false">AVERAGE(B1062:B1081)+2*STDEV(B1062:B1081)</f>
        <v>12229.3272507123</v>
      </c>
      <c r="Q1081" s="17" t="n">
        <f aca="false">AVERAGE(B1062:B1081)-2*STDEV(B1062:B1081)</f>
        <v>10718.6287492877</v>
      </c>
      <c r="R1081" s="19" t="n">
        <f aca="false">B1081/B1061-1</f>
        <v>0.083678492600334</v>
      </c>
      <c r="S1081" s="17" t="n">
        <f aca="false">STDEV(C1062:C1081)*SQRT(252)*100</f>
        <v>27.2700877484384</v>
      </c>
      <c r="T1081" s="19" t="n">
        <f aca="false">B1060/B830-1</f>
        <v>0.408268930887629</v>
      </c>
      <c r="U1081" s="19" t="n">
        <f aca="false">B1081/MAX(B830:B1081)-1</f>
        <v>-0.0457604902846415</v>
      </c>
      <c r="V1081" s="17" t="n">
        <f aca="false">(B1081-AVERAGE(B1062:B1081))/STDEV(B1062:B1081)</f>
        <v>1.00136989516672</v>
      </c>
    </row>
    <row r="1082" customFormat="false" ht="15" hidden="false" customHeight="false" outlineLevel="0" collapsed="false">
      <c r="A1082" s="17" t="s">
        <v>1646</v>
      </c>
      <c r="B1082" s="17" t="n">
        <v>11634.35</v>
      </c>
      <c r="C1082" s="19" t="n">
        <f aca="false">B1082/B1081-1</f>
        <v>-0.0183780691637059</v>
      </c>
      <c r="D1082" s="17" t="n">
        <f aca="false">AVERAGE(B1033:B1082)</f>
        <v>11475.2294</v>
      </c>
      <c r="E1082" s="17" t="n">
        <f aca="false">AVERAGE(B883:B1082)</f>
        <v>9820.28135</v>
      </c>
      <c r="F1082" s="17" t="n">
        <f aca="false">B1082*2/13+F1081*11/13</f>
        <v>11714.5794574829</v>
      </c>
      <c r="G1082" s="17" t="n">
        <f aca="false">B1082*2/27+G1081*25/27</f>
        <v>11564.5316945548</v>
      </c>
      <c r="H1082" s="17" t="n">
        <f aca="false">F1082-G1082</f>
        <v>150.047762928178</v>
      </c>
      <c r="I1082" s="17" t="n">
        <f aca="false">H1082*2/10+I1081*8/10</f>
        <v>118.765285931485</v>
      </c>
      <c r="J1082" s="17" t="n">
        <f aca="false">H1082-I1082</f>
        <v>31.282476996693</v>
      </c>
      <c r="K1082" s="17" t="n">
        <f aca="false">MAX(B1082-B1081,0)</f>
        <v>0</v>
      </c>
      <c r="L1082" s="17" t="n">
        <f aca="false">MAX(B1081-B1082,0)</f>
        <v>217.82</v>
      </c>
      <c r="M1082" s="17" t="n">
        <f aca="false">(M1081*13+K1082)/14</f>
        <v>84.4209611334585</v>
      </c>
      <c r="N1082" s="17" t="n">
        <f aca="false">(N1081*13+L1082)/14</f>
        <v>78.437014982061</v>
      </c>
      <c r="O1082" s="17" t="n">
        <f aca="false">IF(N1082=0,100,100-100/(1+M1082/N1082))</f>
        <v>51.8371670501275</v>
      </c>
      <c r="P1082" s="17" t="n">
        <f aca="false">AVERAGE(B1063:B1082)+2*STDEV(B1063:B1082)</f>
        <v>12227.8899591694</v>
      </c>
      <c r="Q1082" s="17" t="n">
        <f aca="false">AVERAGE(B1063:B1082)-2*STDEV(B1063:B1082)</f>
        <v>10785.4790408306</v>
      </c>
      <c r="R1082" s="19" t="n">
        <f aca="false">B1082/B1062-1</f>
        <v>0.0595734875986091</v>
      </c>
      <c r="S1082" s="17" t="n">
        <f aca="false">STDEV(C1063:C1082)*SQRT(252)*100</f>
        <v>28.4210542551219</v>
      </c>
      <c r="T1082" s="19" t="n">
        <f aca="false">B1061/B831-1</f>
        <v>0.377396153560368</v>
      </c>
      <c r="U1082" s="19" t="n">
        <f aca="false">B1082/MAX(B831:B1082)-1</f>
        <v>-0.0632975699929311</v>
      </c>
      <c r="V1082" s="17" t="n">
        <f aca="false">(B1082-AVERAGE(B1063:B1082))/STDEV(B1063:B1082)</f>
        <v>0.354033648461357</v>
      </c>
    </row>
    <row r="1083" customFormat="false" ht="15" hidden="false" customHeight="false" outlineLevel="0" collapsed="false">
      <c r="A1083" s="17" t="s">
        <v>1647</v>
      </c>
      <c r="B1083" s="17" t="n">
        <v>11677.84</v>
      </c>
      <c r="C1083" s="19" t="n">
        <f aca="false">B1083/B1082-1</f>
        <v>0.00373806873611326</v>
      </c>
      <c r="D1083" s="17" t="n">
        <f aca="false">AVERAGE(B1034:B1083)</f>
        <v>11487.0828</v>
      </c>
      <c r="E1083" s="17" t="n">
        <f aca="false">AVERAGE(B884:B1083)</f>
        <v>9834.42795</v>
      </c>
      <c r="F1083" s="17" t="n">
        <f aca="false">B1083*2/13+F1082*11/13</f>
        <v>11708.9272332548</v>
      </c>
      <c r="G1083" s="17" t="n">
        <f aca="false">B1083*2/27+G1082*25/27</f>
        <v>11572.9249023655</v>
      </c>
      <c r="H1083" s="17" t="n">
        <f aca="false">F1083-G1083</f>
        <v>136.002330889278</v>
      </c>
      <c r="I1083" s="17" t="n">
        <f aca="false">H1083*2/10+I1082*8/10</f>
        <v>122.212694923043</v>
      </c>
      <c r="J1083" s="17" t="n">
        <f aca="false">H1083-I1083</f>
        <v>13.7896359662345</v>
      </c>
      <c r="K1083" s="17" t="n">
        <f aca="false">MAX(B1083-B1082,0)</f>
        <v>43.4899999999998</v>
      </c>
      <c r="L1083" s="17" t="n">
        <f aca="false">MAX(B1082-B1083,0)</f>
        <v>0</v>
      </c>
      <c r="M1083" s="17" t="n">
        <f aca="false">(M1082*13+K1083)/14</f>
        <v>81.4973210524971</v>
      </c>
      <c r="N1083" s="17" t="n">
        <f aca="false">(N1082*13+L1083)/14</f>
        <v>72.8343710547709</v>
      </c>
      <c r="O1083" s="17" t="n">
        <f aca="false">IF(N1083=0,100,100-100/(1+M1083/N1083))</f>
        <v>52.8066011197833</v>
      </c>
      <c r="P1083" s="17" t="n">
        <f aca="false">AVERAGE(B1064:B1083)+2*STDEV(B1064:B1083)</f>
        <v>12239.8916639982</v>
      </c>
      <c r="Q1083" s="17" t="n">
        <f aca="false">AVERAGE(B1064:B1083)-2*STDEV(B1064:B1083)</f>
        <v>10822.6243360018</v>
      </c>
      <c r="R1083" s="19" t="n">
        <f aca="false">B1083/B1063-1</f>
        <v>0.0439347169814694</v>
      </c>
      <c r="S1083" s="17" t="n">
        <f aca="false">STDEV(C1064:C1083)*SQRT(252)*100</f>
        <v>27.8123133731098</v>
      </c>
      <c r="T1083" s="19" t="n">
        <f aca="false">B1062/B832-1</f>
        <v>0.394380935207032</v>
      </c>
      <c r="U1083" s="19" t="n">
        <f aca="false">B1083/MAX(B832:B1083)-1</f>
        <v>-0.0597961119242804</v>
      </c>
      <c r="V1083" s="17" t="n">
        <f aca="false">(B1083-AVERAGE(B1064:B1083))/STDEV(B1064:B1083)</f>
        <v>0.41370317964562</v>
      </c>
    </row>
    <row r="1084" customFormat="false" ht="15" hidden="false" customHeight="false" outlineLevel="0" collapsed="false">
      <c r="A1084" s="17" t="s">
        <v>1648</v>
      </c>
      <c r="B1084" s="17" t="n">
        <v>11665.37</v>
      </c>
      <c r="C1084" s="19" t="n">
        <f aca="false">B1084/B1083-1</f>
        <v>-0.00106783446253755</v>
      </c>
      <c r="D1084" s="17" t="n">
        <f aca="false">AVERAGE(B1035:B1084)</f>
        <v>11502.8686</v>
      </c>
      <c r="E1084" s="17" t="n">
        <f aca="false">AVERAGE(B885:B1084)</f>
        <v>9848.52255</v>
      </c>
      <c r="F1084" s="17" t="n">
        <f aca="false">B1084*2/13+F1083*11/13</f>
        <v>11702.2261204464</v>
      </c>
      <c r="G1084" s="17" t="n">
        <f aca="false">B1084*2/27+G1083*25/27</f>
        <v>11579.7726873755</v>
      </c>
      <c r="H1084" s="17" t="n">
        <f aca="false">F1084-G1084</f>
        <v>122.453433070885</v>
      </c>
      <c r="I1084" s="17" t="n">
        <f aca="false">H1084*2/10+I1083*8/10</f>
        <v>122.260842552612</v>
      </c>
      <c r="J1084" s="17" t="n">
        <f aca="false">H1084-I1084</f>
        <v>0.192590518273192</v>
      </c>
      <c r="K1084" s="17" t="n">
        <f aca="false">MAX(B1084-B1083,0)</f>
        <v>0</v>
      </c>
      <c r="L1084" s="17" t="n">
        <f aca="false">MAX(B1083-B1084,0)</f>
        <v>12.4699999999993</v>
      </c>
      <c r="M1084" s="17" t="n">
        <f aca="false">(M1083*13+K1084)/14</f>
        <v>75.6760838344616</v>
      </c>
      <c r="N1084" s="17" t="n">
        <f aca="false">(N1083*13+L1084)/14</f>
        <v>68.5226302651444</v>
      </c>
      <c r="O1084" s="17" t="n">
        <f aca="false">IF(N1084=0,100,100-100/(1+M1084/N1084))</f>
        <v>52.4804151735972</v>
      </c>
      <c r="P1084" s="17" t="n">
        <f aca="false">AVERAGE(B1065:B1084)+2*STDEV(B1065:B1084)</f>
        <v>12202.2349511849</v>
      </c>
      <c r="Q1084" s="17" t="n">
        <f aca="false">AVERAGE(B1065:B1084)-2*STDEV(B1065:B1084)</f>
        <v>10943.4850488151</v>
      </c>
      <c r="R1084" s="19" t="n">
        <f aca="false">B1084/B1064-1</f>
        <v>0.0768037159396049</v>
      </c>
      <c r="S1084" s="17" t="n">
        <f aca="false">STDEV(C1065:C1084)*SQRT(252)*100</f>
        <v>24.8358025865173</v>
      </c>
      <c r="T1084" s="19" t="n">
        <f aca="false">B1063/B833-1</f>
        <v>0.417886119092918</v>
      </c>
      <c r="U1084" s="19" t="n">
        <f aca="false">B1084/MAX(B833:B1084)-1</f>
        <v>-0.0608000940377793</v>
      </c>
      <c r="V1084" s="17" t="n">
        <f aca="false">(B1084-AVERAGE(B1065:B1084))/STDEV(B1065:B1084)</f>
        <v>0.293974203535876</v>
      </c>
    </row>
    <row r="1085" customFormat="false" ht="15" hidden="false" customHeight="false" outlineLevel="0" collapsed="false">
      <c r="A1085" s="17" t="s">
        <v>1649</v>
      </c>
      <c r="B1085" s="17" t="n">
        <v>11662.91</v>
      </c>
      <c r="C1085" s="19" t="n">
        <f aca="false">B1085/B1084-1</f>
        <v>-0.000210880580727491</v>
      </c>
      <c r="D1085" s="17" t="n">
        <f aca="false">AVERAGE(B1036:B1085)</f>
        <v>11512.9724</v>
      </c>
      <c r="E1085" s="17" t="n">
        <f aca="false">AVERAGE(B886:B1085)</f>
        <v>9862.27525</v>
      </c>
      <c r="F1085" s="17" t="n">
        <f aca="false">B1085*2/13+F1084*11/13</f>
        <v>11696.1774865315</v>
      </c>
      <c r="G1085" s="17" t="n">
        <f aca="false">B1085*2/27+G1084*25/27</f>
        <v>11585.9310068291</v>
      </c>
      <c r="H1085" s="17" t="n">
        <f aca="false">F1085-G1085</f>
        <v>110.246479702395</v>
      </c>
      <c r="I1085" s="17" t="n">
        <f aca="false">H1085*2/10+I1084*8/10</f>
        <v>119.857969982568</v>
      </c>
      <c r="J1085" s="17" t="n">
        <f aca="false">H1085-I1085</f>
        <v>-9.61149028017333</v>
      </c>
      <c r="K1085" s="17" t="n">
        <f aca="false">MAX(B1085-B1084,0)</f>
        <v>0</v>
      </c>
      <c r="L1085" s="17" t="n">
        <f aca="false">MAX(B1084-B1085,0)</f>
        <v>2.46000000000095</v>
      </c>
      <c r="M1085" s="17" t="n">
        <f aca="false">(M1084*13+K1085)/14</f>
        <v>70.2706492748572</v>
      </c>
      <c r="N1085" s="17" t="n">
        <f aca="false">(N1084*13+L1085)/14</f>
        <v>63.8038709604913</v>
      </c>
      <c r="O1085" s="17" t="n">
        <f aca="false">IF(N1085=0,100,100-100/(1+M1085/N1085))</f>
        <v>52.4116358212636</v>
      </c>
      <c r="P1085" s="17" t="n">
        <f aca="false">AVERAGE(B1066:B1085)+2*STDEV(B1066:B1085)</f>
        <v>12154.6155276874</v>
      </c>
      <c r="Q1085" s="17" t="n">
        <f aca="false">AVERAGE(B1066:B1085)-2*STDEV(B1066:B1085)</f>
        <v>11067.7484723126</v>
      </c>
      <c r="R1085" s="19" t="n">
        <f aca="false">B1085/B1065-1</f>
        <v>0.0703383756390832</v>
      </c>
      <c r="S1085" s="17" t="n">
        <f aca="false">STDEV(C1066:C1085)*SQRT(252)*100</f>
        <v>24.8636241977823</v>
      </c>
      <c r="T1085" s="19" t="n">
        <f aca="false">B1064/B834-1</f>
        <v>0.359823114154884</v>
      </c>
      <c r="U1085" s="19" t="n">
        <f aca="false">B1085/MAX(B834:B1085)-1</f>
        <v>-0.0609981530593678</v>
      </c>
      <c r="V1085" s="17" t="n">
        <f aca="false">(B1085-AVERAGE(B1066:B1085))/STDEV(B1066:B1085)</f>
        <v>0.190374709562483</v>
      </c>
    </row>
    <row r="1086" customFormat="false" ht="15" hidden="false" customHeight="false" outlineLevel="0" collapsed="false">
      <c r="A1086" s="17" t="s">
        <v>1650</v>
      </c>
      <c r="B1086" s="17" t="n">
        <v>11692.57</v>
      </c>
      <c r="C1086" s="19" t="n">
        <f aca="false">B1086/B1085-1</f>
        <v>0.00254310459396501</v>
      </c>
      <c r="D1086" s="17" t="n">
        <f aca="false">AVERAGE(B1037:B1086)</f>
        <v>11523.2564</v>
      </c>
      <c r="E1086" s="17" t="n">
        <f aca="false">AVERAGE(B887:B1086)</f>
        <v>9875.78995</v>
      </c>
      <c r="F1086" s="17" t="n">
        <f aca="false">B1086*2/13+F1085*11/13</f>
        <v>11695.6224886036</v>
      </c>
      <c r="G1086" s="17" t="n">
        <f aca="false">B1086*2/27+G1085*25/27</f>
        <v>11593.8301915085</v>
      </c>
      <c r="H1086" s="17" t="n">
        <f aca="false">F1086-G1086</f>
        <v>101.792297095142</v>
      </c>
      <c r="I1086" s="17" t="n">
        <f aca="false">H1086*2/10+I1085*8/10</f>
        <v>116.244835405083</v>
      </c>
      <c r="J1086" s="17" t="n">
        <f aca="false">H1086-I1086</f>
        <v>-14.4525383099408</v>
      </c>
      <c r="K1086" s="17" t="n">
        <f aca="false">MAX(B1086-B1085,0)</f>
        <v>29.6599999999999</v>
      </c>
      <c r="L1086" s="17" t="n">
        <f aca="false">MAX(B1085-B1086,0)</f>
        <v>0</v>
      </c>
      <c r="M1086" s="17" t="n">
        <f aca="false">(M1085*13+K1086)/14</f>
        <v>67.3698886123674</v>
      </c>
      <c r="N1086" s="17" t="n">
        <f aca="false">(N1085*13+L1086)/14</f>
        <v>59.2464516061705</v>
      </c>
      <c r="O1086" s="17" t="n">
        <f aca="false">IF(N1086=0,100,100-100/(1+M1086/N1086))</f>
        <v>53.2078944124337</v>
      </c>
      <c r="P1086" s="17" t="n">
        <f aca="false">AVERAGE(B1067:B1086)+2*STDEV(B1067:B1086)</f>
        <v>12137.3243558628</v>
      </c>
      <c r="Q1086" s="17" t="n">
        <f aca="false">AVERAGE(B1067:B1086)-2*STDEV(B1067:B1086)</f>
        <v>11139.1836441372</v>
      </c>
      <c r="R1086" s="19" t="n">
        <f aca="false">B1086/B1066-1</f>
        <v>0.0485547204633074</v>
      </c>
      <c r="S1086" s="17" t="n">
        <f aca="false">STDEV(C1067:C1086)*SQRT(252)*100</f>
        <v>23.7316247293024</v>
      </c>
      <c r="T1086" s="19" t="n">
        <f aca="false">B1065/B835-1</f>
        <v>0.357101935181749</v>
      </c>
      <c r="U1086" s="19" t="n">
        <f aca="false">B1086/MAX(B835:B1086)-1</f>
        <v>-0.0586101731486716</v>
      </c>
      <c r="V1086" s="17" t="n">
        <f aca="false">(B1086-AVERAGE(B1067:B1086))/STDEV(B1067:B1086)</f>
        <v>0.217668708878103</v>
      </c>
    </row>
    <row r="1087" customFormat="false" ht="15" hidden="false" customHeight="false" outlineLevel="0" collapsed="false">
      <c r="A1087" s="17" t="s">
        <v>1651</v>
      </c>
      <c r="B1087" s="17" t="n">
        <v>11504.52</v>
      </c>
      <c r="C1087" s="19" t="n">
        <f aca="false">B1087/B1086-1</f>
        <v>-0.0160828628778787</v>
      </c>
      <c r="D1087" s="17" t="n">
        <f aca="false">AVERAGE(B1038:B1087)</f>
        <v>11530.0578</v>
      </c>
      <c r="E1087" s="17" t="n">
        <f aca="false">AVERAGE(B888:B1087)</f>
        <v>9888.47935</v>
      </c>
      <c r="F1087" s="17" t="n">
        <f aca="false">B1087*2/13+F1086*11/13</f>
        <v>11666.2221057415</v>
      </c>
      <c r="G1087" s="17" t="n">
        <f aca="false">B1087*2/27+G1086*25/27</f>
        <v>11587.2146217671</v>
      </c>
      <c r="H1087" s="17" t="n">
        <f aca="false">F1087-G1087</f>
        <v>79.0074839744175</v>
      </c>
      <c r="I1087" s="17" t="n">
        <f aca="false">H1087*2/10+I1086*8/10</f>
        <v>108.79736511895</v>
      </c>
      <c r="J1087" s="17" t="n">
        <f aca="false">H1087-I1087</f>
        <v>-29.7898811445324</v>
      </c>
      <c r="K1087" s="17" t="n">
        <f aca="false">MAX(B1087-B1086,0)</f>
        <v>0</v>
      </c>
      <c r="L1087" s="17" t="n">
        <f aca="false">MAX(B1086-B1087,0)</f>
        <v>188.049999999999</v>
      </c>
      <c r="M1087" s="17" t="n">
        <f aca="false">(M1086*13+K1087)/14</f>
        <v>62.557753711484</v>
      </c>
      <c r="N1087" s="17" t="n">
        <f aca="false">(N1086*13+L1087)/14</f>
        <v>68.4467050628725</v>
      </c>
      <c r="O1087" s="17" t="n">
        <f aca="false">IF(N1087=0,100,100-100/(1+M1087/N1087))</f>
        <v>47.7523851453286</v>
      </c>
      <c r="P1087" s="17" t="n">
        <f aca="false">AVERAGE(B1068:B1087)+2*STDEV(B1068:B1087)</f>
        <v>12131.9268392903</v>
      </c>
      <c r="Q1087" s="17" t="n">
        <f aca="false">AVERAGE(B1068:B1087)-2*STDEV(B1068:B1087)</f>
        <v>11158.5881607097</v>
      </c>
      <c r="R1087" s="19" t="n">
        <f aca="false">B1087/B1067-1</f>
        <v>0.0123252775101304</v>
      </c>
      <c r="S1087" s="17" t="n">
        <f aca="false">STDEV(C1068:C1087)*SQRT(252)*100</f>
        <v>23.7465063002248</v>
      </c>
      <c r="T1087" s="19" t="n">
        <f aca="false">B1066/B836-1</f>
        <v>0.374871619730552</v>
      </c>
      <c r="U1087" s="19" t="n">
        <f aca="false">B1087/MAX(B836:B1087)-1</f>
        <v>-0.0737504166485515</v>
      </c>
      <c r="V1087" s="17" t="n">
        <f aca="false">(B1087-AVERAGE(B1068:B1087))/STDEV(B1068:B1087)</f>
        <v>-0.578370111440479</v>
      </c>
    </row>
    <row r="1088" customFormat="false" ht="15" hidden="false" customHeight="false" outlineLevel="0" collapsed="false">
      <c r="A1088" s="17" t="s">
        <v>1652</v>
      </c>
      <c r="B1088" s="17" t="n">
        <v>11598.95</v>
      </c>
      <c r="C1088" s="19" t="n">
        <f aca="false">B1088/B1087-1</f>
        <v>0.00820807821621417</v>
      </c>
      <c r="D1088" s="17" t="n">
        <f aca="false">AVERAGE(B1039:B1088)</f>
        <v>11536.2654</v>
      </c>
      <c r="E1088" s="17" t="n">
        <f aca="false">AVERAGE(B889:B1088)</f>
        <v>9901.12085</v>
      </c>
      <c r="F1088" s="17" t="n">
        <f aca="false">B1088*2/13+F1087*11/13</f>
        <v>11655.8725510121</v>
      </c>
      <c r="G1088" s="17" t="n">
        <f aca="false">B1088*2/27+G1087*25/27</f>
        <v>11588.0839090436</v>
      </c>
      <c r="H1088" s="17" t="n">
        <f aca="false">F1088-G1088</f>
        <v>67.7886419684437</v>
      </c>
      <c r="I1088" s="17" t="n">
        <f aca="false">H1088*2/10+I1087*8/10</f>
        <v>100.595620488849</v>
      </c>
      <c r="J1088" s="17" t="n">
        <f aca="false">H1088-I1088</f>
        <v>-32.806978520405</v>
      </c>
      <c r="K1088" s="17" t="n">
        <f aca="false">MAX(B1088-B1087,0)</f>
        <v>94.4300000000003</v>
      </c>
      <c r="L1088" s="17" t="n">
        <f aca="false">MAX(B1087-B1088,0)</f>
        <v>0</v>
      </c>
      <c r="M1088" s="17" t="n">
        <f aca="false">(M1087*13+K1088)/14</f>
        <v>64.8343427320923</v>
      </c>
      <c r="N1088" s="17" t="n">
        <f aca="false">(N1087*13+L1088)/14</f>
        <v>63.5576547012388</v>
      </c>
      <c r="O1088" s="17" t="n">
        <f aca="false">IF(N1088=0,100,100-100/(1+M1088/N1088))</f>
        <v>50.4971836471025</v>
      </c>
      <c r="P1088" s="17" t="n">
        <f aca="false">AVERAGE(B1069:B1088)+2*STDEV(B1069:B1088)</f>
        <v>12122.3357334567</v>
      </c>
      <c r="Q1088" s="17" t="n">
        <f aca="false">AVERAGE(B1069:B1088)-2*STDEV(B1069:B1088)</f>
        <v>11195.7792665433</v>
      </c>
      <c r="R1088" s="19" t="n">
        <f aca="false">B1088/B1068-1</f>
        <v>0.0243752732282665</v>
      </c>
      <c r="S1088" s="17" t="n">
        <f aca="false">STDEV(C1069:C1088)*SQRT(252)*100</f>
        <v>23.8300104494831</v>
      </c>
      <c r="T1088" s="19" t="n">
        <f aca="false">B1067/B837-1</f>
        <v>0.412169727033579</v>
      </c>
      <c r="U1088" s="19" t="n">
        <f aca="false">B1088/MAX(B837:B1088)-1</f>
        <v>-0.066147687620667</v>
      </c>
      <c r="V1088" s="17" t="n">
        <f aca="false">(B1088-AVERAGE(B1069:B1088))/STDEV(B1069:B1088)</f>
        <v>-0.259487692963755</v>
      </c>
    </row>
    <row r="1089" customFormat="false" ht="15" hidden="false" customHeight="false" outlineLevel="0" collapsed="false">
      <c r="A1089" s="17" t="s">
        <v>1653</v>
      </c>
      <c r="B1089" s="17" t="n">
        <v>11142.76</v>
      </c>
      <c r="C1089" s="19" t="n">
        <f aca="false">B1089/B1088-1</f>
        <v>-0.0393302842067601</v>
      </c>
      <c r="D1089" s="17" t="n">
        <f aca="false">AVERAGE(B1040:B1089)</f>
        <v>11531.14</v>
      </c>
      <c r="E1089" s="17" t="n">
        <f aca="false">AVERAGE(B890:B1089)</f>
        <v>9911.66755</v>
      </c>
      <c r="F1089" s="17" t="n">
        <f aca="false">B1089*2/13+F1088*11/13</f>
        <v>11576.9321585487</v>
      </c>
      <c r="G1089" s="17" t="n">
        <f aca="false">B1089*2/27+G1088*25/27</f>
        <v>11555.0969528182</v>
      </c>
      <c r="H1089" s="17" t="n">
        <f aca="false">F1089-G1089</f>
        <v>21.8352057305019</v>
      </c>
      <c r="I1089" s="17" t="n">
        <f aca="false">H1089*2/10+I1088*8/10</f>
        <v>84.8435375371793</v>
      </c>
      <c r="J1089" s="17" t="n">
        <f aca="false">H1089-I1089</f>
        <v>-63.0083318066774</v>
      </c>
      <c r="K1089" s="17" t="n">
        <f aca="false">MAX(B1089-B1088,0)</f>
        <v>0</v>
      </c>
      <c r="L1089" s="17" t="n">
        <f aca="false">MAX(B1088-B1089,0)</f>
        <v>456.190000000001</v>
      </c>
      <c r="M1089" s="17" t="n">
        <f aca="false">(M1088*13+K1089)/14</f>
        <v>60.2033182512286</v>
      </c>
      <c r="N1089" s="17" t="n">
        <f aca="false">(N1088*13+L1089)/14</f>
        <v>91.6028222225789</v>
      </c>
      <c r="O1089" s="17" t="n">
        <f aca="false">IF(N1089=0,100,100-100/(1+M1089/N1089))</f>
        <v>39.658025731585</v>
      </c>
      <c r="P1089" s="17" t="n">
        <f aca="false">AVERAGE(B1070:B1089)+2*STDEV(B1070:B1089)</f>
        <v>12152.9539571429</v>
      </c>
      <c r="Q1089" s="17" t="n">
        <f aca="false">AVERAGE(B1070:B1089)-2*STDEV(B1070:B1089)</f>
        <v>11137.6310428571</v>
      </c>
      <c r="R1089" s="19" t="n">
        <f aca="false">B1089/B1069-1</f>
        <v>-0.0241109260242107</v>
      </c>
      <c r="S1089" s="17" t="n">
        <f aca="false">STDEV(C1070:C1089)*SQRT(252)*100</f>
        <v>27.6618293545584</v>
      </c>
      <c r="T1089" s="19" t="n">
        <f aca="false">B1068/B838-1</f>
        <v>0.400816022545778</v>
      </c>
      <c r="U1089" s="19" t="n">
        <f aca="false">B1089/MAX(B838:B1089)-1</f>
        <v>-0.102876364473686</v>
      </c>
      <c r="V1089" s="17" t="n">
        <f aca="false">(B1089-AVERAGE(B1070:B1089))/STDEV(B1070:B1089)</f>
        <v>-1.97979378946066</v>
      </c>
    </row>
    <row r="1090" customFormat="false" ht="15" hidden="false" customHeight="false" outlineLevel="0" collapsed="false">
      <c r="A1090" s="17" t="s">
        <v>1654</v>
      </c>
      <c r="B1090" s="17" t="n">
        <v>11350.74</v>
      </c>
      <c r="C1090" s="19" t="n">
        <f aca="false">B1090/B1089-1</f>
        <v>0.0186650345156856</v>
      </c>
      <c r="D1090" s="17" t="n">
        <f aca="false">AVERAGE(B1041:B1090)</f>
        <v>11531.782</v>
      </c>
      <c r="E1090" s="17" t="n">
        <f aca="false">AVERAGE(B891:B1090)</f>
        <v>9923.2429</v>
      </c>
      <c r="F1090" s="17" t="n">
        <f aca="false">B1090*2/13+F1089*11/13</f>
        <v>11542.1333649258</v>
      </c>
      <c r="G1090" s="17" t="n">
        <f aca="false">B1090*2/27+G1089*25/27</f>
        <v>11539.9594007576</v>
      </c>
      <c r="H1090" s="17" t="n">
        <f aca="false">F1090-G1090</f>
        <v>2.17396416823431</v>
      </c>
      <c r="I1090" s="17" t="n">
        <f aca="false">H1090*2/10+I1089*8/10</f>
        <v>68.3096228633903</v>
      </c>
      <c r="J1090" s="17" t="n">
        <f aca="false">H1090-I1090</f>
        <v>-66.135658695156</v>
      </c>
      <c r="K1090" s="17" t="n">
        <f aca="false">MAX(B1090-B1089,0)</f>
        <v>207.98</v>
      </c>
      <c r="L1090" s="17" t="n">
        <f aca="false">MAX(B1089-B1090,0)</f>
        <v>0</v>
      </c>
      <c r="M1090" s="17" t="n">
        <f aca="false">(M1089*13+K1090)/14</f>
        <v>70.758795518998</v>
      </c>
      <c r="N1090" s="17" t="n">
        <f aca="false">(N1089*13+L1090)/14</f>
        <v>85.0597634923947</v>
      </c>
      <c r="O1090" s="17" t="n">
        <f aca="false">IF(N1090=0,100,100-100/(1+M1090/N1090))</f>
        <v>45.4110190518605</v>
      </c>
      <c r="P1090" s="17" t="n">
        <f aca="false">AVERAGE(B1071:B1090)+2*STDEV(B1071:B1090)</f>
        <v>12157.6973318633</v>
      </c>
      <c r="Q1090" s="17" t="n">
        <f aca="false">AVERAGE(B1071:B1090)-2*STDEV(B1071:B1090)</f>
        <v>11109.6416681367</v>
      </c>
      <c r="R1090" s="19" t="n">
        <f aca="false">B1090/B1070-1</f>
        <v>-0.0200687202154846</v>
      </c>
      <c r="S1090" s="17" t="n">
        <f aca="false">STDEV(C1071:C1090)*SQRT(252)*100</f>
        <v>28.0128607712682</v>
      </c>
      <c r="T1090" s="19" t="n">
        <f aca="false">B1069/B839-1</f>
        <v>0.412456719154163</v>
      </c>
      <c r="U1090" s="19" t="n">
        <f aca="false">B1090/MAX(B839:B1090)-1</f>
        <v>-0.0861315208517505</v>
      </c>
      <c r="V1090" s="17" t="n">
        <f aca="false">(B1090-AVERAGE(B1071:B1090))/STDEV(B1071:B1090)</f>
        <v>-1.07982623363332</v>
      </c>
    </row>
    <row r="1091" customFormat="false" ht="15" hidden="false" customHeight="false" outlineLevel="0" collapsed="false">
      <c r="A1091" s="17" t="s">
        <v>1655</v>
      </c>
      <c r="B1091" s="17" t="n">
        <v>11052.95</v>
      </c>
      <c r="C1091" s="19" t="n">
        <f aca="false">B1091/B1090-1</f>
        <v>-0.026235293910353</v>
      </c>
      <c r="D1091" s="17" t="n">
        <f aca="false">AVERAGE(B1042:B1091)</f>
        <v>11523.3</v>
      </c>
      <c r="E1091" s="17" t="n">
        <f aca="false">AVERAGE(B892:B1091)</f>
        <v>9932.88265</v>
      </c>
      <c r="F1091" s="17" t="n">
        <f aca="false">B1091*2/13+F1090*11/13</f>
        <v>11466.8743857064</v>
      </c>
      <c r="G1091" s="17" t="n">
        <f aca="false">B1091*2/27+G1090*25/27</f>
        <v>11503.8846303311</v>
      </c>
      <c r="H1091" s="17" t="n">
        <f aca="false">F1091-G1091</f>
        <v>-37.010244624631</v>
      </c>
      <c r="I1091" s="17" t="n">
        <f aca="false">H1091*2/10+I1090*8/10</f>
        <v>47.2456493657861</v>
      </c>
      <c r="J1091" s="17" t="n">
        <f aca="false">H1091-I1091</f>
        <v>-84.2558939904171</v>
      </c>
      <c r="K1091" s="17" t="n">
        <f aca="false">MAX(B1091-B1090,0)</f>
        <v>0</v>
      </c>
      <c r="L1091" s="17" t="n">
        <f aca="false">MAX(B1090-B1091,0)</f>
        <v>297.789999999999</v>
      </c>
      <c r="M1091" s="17" t="n">
        <f aca="false">(M1090*13+K1091)/14</f>
        <v>65.7045958390695</v>
      </c>
      <c r="N1091" s="17" t="n">
        <f aca="false">(N1090*13+L1091)/14</f>
        <v>100.254780385795</v>
      </c>
      <c r="O1091" s="17" t="n">
        <f aca="false">IF(N1091=0,100,100-100/(1+M1091/N1091))</f>
        <v>39.590770544982</v>
      </c>
      <c r="P1091" s="17" t="n">
        <f aca="false">AVERAGE(B1072:B1091)+2*STDEV(B1072:B1091)</f>
        <v>12184.8628766054</v>
      </c>
      <c r="Q1091" s="17" t="n">
        <f aca="false">AVERAGE(B1072:B1091)-2*STDEV(B1072:B1091)</f>
        <v>11062.2021233946</v>
      </c>
      <c r="R1091" s="19" t="n">
        <f aca="false">B1091/B1071-1</f>
        <v>-0.018012223151135</v>
      </c>
      <c r="S1091" s="17" t="n">
        <f aca="false">STDEV(C1072:C1091)*SQRT(252)*100</f>
        <v>27.7563877390668</v>
      </c>
      <c r="T1091" s="19" t="n">
        <f aca="false">B1070/B840-1</f>
        <v>0.419306300444667</v>
      </c>
      <c r="U1091" s="19" t="n">
        <f aca="false">B1091/MAX(B840:B1091)-1</f>
        <v>-0.110107128997612</v>
      </c>
      <c r="V1091" s="17" t="n">
        <f aca="false">(B1091-AVERAGE(B1072:B1091))/STDEV(B1072:B1091)</f>
        <v>-2.03296498383185</v>
      </c>
    </row>
    <row r="1092" customFormat="false" ht="15" hidden="false" customHeight="false" outlineLevel="0" collapsed="false">
      <c r="A1092" s="17" t="s">
        <v>1656</v>
      </c>
      <c r="B1092" s="17" t="n">
        <v>11084.76</v>
      </c>
      <c r="C1092" s="19" t="n">
        <f aca="false">B1092/B1091-1</f>
        <v>0.0028779647062549</v>
      </c>
      <c r="D1092" s="17" t="n">
        <f aca="false">AVERAGE(B1043:B1092)</f>
        <v>11513.892</v>
      </c>
      <c r="E1092" s="17" t="n">
        <f aca="false">AVERAGE(B893:B1092)</f>
        <v>9942.4378</v>
      </c>
      <c r="F1092" s="17" t="n">
        <f aca="false">B1092*2/13+F1091*11/13</f>
        <v>11408.0875571362</v>
      </c>
      <c r="G1092" s="17" t="n">
        <f aca="false">B1092*2/27+G1091*25/27</f>
        <v>11472.8383614177</v>
      </c>
      <c r="H1092" s="17" t="n">
        <f aca="false">F1092-G1092</f>
        <v>-64.7508042814388</v>
      </c>
      <c r="I1092" s="17" t="n">
        <f aca="false">H1092*2/10+I1091*8/10</f>
        <v>24.8463586363411</v>
      </c>
      <c r="J1092" s="17" t="n">
        <f aca="false">H1092-I1092</f>
        <v>-89.5971629177799</v>
      </c>
      <c r="K1092" s="17" t="n">
        <f aca="false">MAX(B1092-B1091,0)</f>
        <v>31.8099999999995</v>
      </c>
      <c r="L1092" s="17" t="n">
        <f aca="false">MAX(B1091-B1092,0)</f>
        <v>0</v>
      </c>
      <c r="M1092" s="17" t="n">
        <f aca="false">(M1091*13+K1092)/14</f>
        <v>63.283553279136</v>
      </c>
      <c r="N1092" s="17" t="n">
        <f aca="false">(N1091*13+L1092)/14</f>
        <v>93.0937246439525</v>
      </c>
      <c r="O1092" s="17" t="n">
        <f aca="false">IF(N1092=0,100,100-100/(1+M1092/N1092))</f>
        <v>40.4685093126259</v>
      </c>
      <c r="P1092" s="17" t="n">
        <f aca="false">AVERAGE(B1073:B1092)+2*STDEV(B1073:B1092)</f>
        <v>12211.8654497697</v>
      </c>
      <c r="Q1092" s="17" t="n">
        <f aca="false">AVERAGE(B1073:B1092)-2*STDEV(B1073:B1092)</f>
        <v>10992.7695502303</v>
      </c>
      <c r="R1092" s="19" t="n">
        <f aca="false">B1092/B1072-1</f>
        <v>-0.0368666076986304</v>
      </c>
      <c r="S1092" s="17" t="n">
        <f aca="false">STDEV(C1073:C1092)*SQRT(252)*100</f>
        <v>26.4155509557903</v>
      </c>
      <c r="T1092" s="19" t="n">
        <f aca="false">B1071/B841-1</f>
        <v>0.370863000051153</v>
      </c>
      <c r="U1092" s="19" t="n">
        <f aca="false">B1092/MAX(B841:B1092)-1</f>
        <v>-0.107546048722519</v>
      </c>
      <c r="V1092" s="17" t="n">
        <f aca="false">(B1092-AVERAGE(B1073:B1092))/STDEV(B1073:B1092)</f>
        <v>-1.69816829076551</v>
      </c>
    </row>
    <row r="1093" customFormat="false" ht="15" hidden="false" customHeight="false" outlineLevel="0" collapsed="false">
      <c r="A1093" s="17" t="s">
        <v>1657</v>
      </c>
      <c r="B1093" s="17" t="n">
        <v>11279.91</v>
      </c>
      <c r="C1093" s="19" t="n">
        <f aca="false">B1093/B1092-1</f>
        <v>0.0176052526171067</v>
      </c>
      <c r="D1093" s="17" t="n">
        <f aca="false">AVERAGE(B1044:B1093)</f>
        <v>11506.9668</v>
      </c>
      <c r="E1093" s="17" t="n">
        <f aca="false">AVERAGE(B894:B1093)</f>
        <v>9953.0042</v>
      </c>
      <c r="F1093" s="17" t="n">
        <f aca="false">B1093*2/13+F1092*11/13</f>
        <v>11388.3679329614</v>
      </c>
      <c r="G1093" s="17" t="n">
        <f aca="false">B1093*2/27+G1092*25/27</f>
        <v>11458.547371683</v>
      </c>
      <c r="H1093" s="17" t="n">
        <f aca="false">F1093-G1093</f>
        <v>-70.1794387215996</v>
      </c>
      <c r="I1093" s="17" t="n">
        <f aca="false">H1093*2/10+I1092*8/10</f>
        <v>5.84119916475294</v>
      </c>
      <c r="J1093" s="17" t="n">
        <f aca="false">H1093-I1093</f>
        <v>-76.0206378863525</v>
      </c>
      <c r="K1093" s="17" t="n">
        <f aca="false">MAX(B1093-B1092,0)</f>
        <v>195.15</v>
      </c>
      <c r="L1093" s="17" t="n">
        <f aca="false">MAX(B1092-B1093,0)</f>
        <v>0</v>
      </c>
      <c r="M1093" s="17" t="n">
        <f aca="false">(M1092*13+K1093)/14</f>
        <v>72.7025851877691</v>
      </c>
      <c r="N1093" s="17" t="n">
        <f aca="false">(N1092*13+L1093)/14</f>
        <v>86.4441728836702</v>
      </c>
      <c r="O1093" s="17" t="n">
        <f aca="false">IF(N1093=0,100,100-100/(1+M1093/N1093))</f>
        <v>45.6827308760721</v>
      </c>
      <c r="P1093" s="17" t="n">
        <f aca="false">AVERAGE(B1074:B1093)+2*STDEV(B1074:B1093)</f>
        <v>12212.5377630615</v>
      </c>
      <c r="Q1093" s="17" t="n">
        <f aca="false">AVERAGE(B1074:B1093)-2*STDEV(B1074:B1093)</f>
        <v>10990.9612369385</v>
      </c>
      <c r="R1093" s="19" t="n">
        <f aca="false">B1093/B1073-1</f>
        <v>-0.00100608700349925</v>
      </c>
      <c r="S1093" s="17" t="n">
        <f aca="false">STDEV(C1074:C1093)*SQRT(252)*100</f>
        <v>26.447071626455</v>
      </c>
      <c r="T1093" s="19" t="n">
        <f aca="false">B1072/B842-1</f>
        <v>0.401803614537075</v>
      </c>
      <c r="U1093" s="19" t="n">
        <f aca="false">B1093/MAX(B842:B1093)-1</f>
        <v>-0.0918341714611443</v>
      </c>
      <c r="V1093" s="17" t="n">
        <f aca="false">(B1093-AVERAGE(B1074:B1093))/STDEV(B1074:B1093)</f>
        <v>-1.05384965449997</v>
      </c>
    </row>
    <row r="1094" customFormat="false" ht="15" hidden="false" customHeight="false" outlineLevel="0" collapsed="false">
      <c r="A1094" s="17" t="s">
        <v>1658</v>
      </c>
      <c r="B1094" s="17" t="n">
        <v>11777.02</v>
      </c>
      <c r="C1094" s="19" t="n">
        <f aca="false">B1094/B1093-1</f>
        <v>0.0440703870864219</v>
      </c>
      <c r="D1094" s="17" t="n">
        <f aca="false">AVERAGE(B1045:B1094)</f>
        <v>11508.071</v>
      </c>
      <c r="E1094" s="17" t="n">
        <f aca="false">AVERAGE(B895:B1094)</f>
        <v>9965.9464</v>
      </c>
      <c r="F1094" s="17" t="n">
        <f aca="false">B1094*2/13+F1093*11/13</f>
        <v>11448.1605586597</v>
      </c>
      <c r="G1094" s="17" t="n">
        <f aca="false">B1094*2/27+G1093*25/27</f>
        <v>11482.1379367435</v>
      </c>
      <c r="H1094" s="17" t="n">
        <f aca="false">F1094-G1094</f>
        <v>-33.9773780838732</v>
      </c>
      <c r="I1094" s="17" t="n">
        <f aca="false">H1094*2/10+I1093*8/10</f>
        <v>-2.12251628497229</v>
      </c>
      <c r="J1094" s="17" t="n">
        <f aca="false">H1094-I1094</f>
        <v>-31.8548617989009</v>
      </c>
      <c r="K1094" s="17" t="n">
        <f aca="false">MAX(B1094-B1093,0)</f>
        <v>497.110000000001</v>
      </c>
      <c r="L1094" s="17" t="n">
        <f aca="false">MAX(B1093-B1094,0)</f>
        <v>0</v>
      </c>
      <c r="M1094" s="17" t="n">
        <f aca="false">(M1093*13+K1094)/14</f>
        <v>103.0174005315</v>
      </c>
      <c r="N1094" s="17" t="n">
        <f aca="false">(N1093*13+L1094)/14</f>
        <v>80.2695891062652</v>
      </c>
      <c r="O1094" s="17" t="n">
        <f aca="false">IF(N1094=0,100,100-100/(1+M1094/N1094))</f>
        <v>56.2055172247064</v>
      </c>
      <c r="P1094" s="17" t="n">
        <f aca="false">AVERAGE(B1075:B1094)+2*STDEV(B1075:B1094)</f>
        <v>12229.1960626791</v>
      </c>
      <c r="Q1094" s="17" t="n">
        <f aca="false">AVERAGE(B1075:B1094)-2*STDEV(B1075:B1094)</f>
        <v>11001.6859373209</v>
      </c>
      <c r="R1094" s="19" t="n">
        <f aca="false">B1094/B1074-1</f>
        <v>0.0238047011307299</v>
      </c>
      <c r="S1094" s="17" t="n">
        <f aca="false">STDEV(C1075:C1094)*SQRT(252)*100</f>
        <v>30.0919773104485</v>
      </c>
      <c r="T1094" s="19" t="n">
        <f aca="false">B1073/B843-1</f>
        <v>0.377651131096397</v>
      </c>
      <c r="U1094" s="19" t="n">
        <f aca="false">B1094/MAX(B843:B1094)-1</f>
        <v>-0.0518109518587759</v>
      </c>
      <c r="V1094" s="17" t="n">
        <f aca="false">(B1094-AVERAGE(B1075:B1094))/STDEV(B1075:B1094)</f>
        <v>0.526526003043283</v>
      </c>
    </row>
    <row r="1095" customFormat="false" ht="15" hidden="false" customHeight="false" outlineLevel="0" collapsed="false">
      <c r="A1095" s="17" t="s">
        <v>1659</v>
      </c>
      <c r="B1095" s="17" t="n">
        <v>12078.07</v>
      </c>
      <c r="C1095" s="19" t="n">
        <f aca="false">B1095/B1094-1</f>
        <v>0.0255624937378045</v>
      </c>
      <c r="D1095" s="17" t="n">
        <f aca="false">AVERAGE(B1046:B1095)</f>
        <v>11510.1936</v>
      </c>
      <c r="E1095" s="17" t="n">
        <f aca="false">AVERAGE(B896:B1095)</f>
        <v>9980.25185</v>
      </c>
      <c r="F1095" s="17" t="n">
        <f aca="false">B1095*2/13+F1094*11/13</f>
        <v>11545.0697034813</v>
      </c>
      <c r="G1095" s="17" t="n">
        <f aca="false">B1095*2/27+G1094*25/27</f>
        <v>11526.2810525403</v>
      </c>
      <c r="H1095" s="17" t="n">
        <f aca="false">F1095-G1095</f>
        <v>18.7886509409436</v>
      </c>
      <c r="I1095" s="17" t="n">
        <f aca="false">H1095*2/10+I1094*8/10</f>
        <v>2.0597171602109</v>
      </c>
      <c r="J1095" s="17" t="n">
        <f aca="false">H1095-I1095</f>
        <v>16.7289337807327</v>
      </c>
      <c r="K1095" s="17" t="n">
        <f aca="false">MAX(B1095-B1094,0)</f>
        <v>301.049999999999</v>
      </c>
      <c r="L1095" s="17" t="n">
        <f aca="false">MAX(B1094-B1095,0)</f>
        <v>0</v>
      </c>
      <c r="M1095" s="17" t="n">
        <f aca="false">(M1094*13+K1095)/14</f>
        <v>117.162586207821</v>
      </c>
      <c r="N1095" s="17" t="n">
        <f aca="false">(N1094*13+L1095)/14</f>
        <v>74.5360470272462</v>
      </c>
      <c r="O1095" s="17" t="n">
        <f aca="false">IF(N1095=0,100,100-100/(1+M1095/N1095))</f>
        <v>61.1181124406622</v>
      </c>
      <c r="P1095" s="17" t="n">
        <f aca="false">AVERAGE(B1076:B1095)+2*STDEV(B1076:B1095)</f>
        <v>12288.2899758589</v>
      </c>
      <c r="Q1095" s="17" t="n">
        <f aca="false">AVERAGE(B1076:B1095)-2*STDEV(B1076:B1095)</f>
        <v>10995.3050241412</v>
      </c>
      <c r="R1095" s="19" t="n">
        <f aca="false">B1095/B1075-1</f>
        <v>0.0456352470015426</v>
      </c>
      <c r="S1095" s="17" t="n">
        <f aca="false">STDEV(C1076:C1095)*SQRT(252)*100</f>
        <v>31.2924300914625</v>
      </c>
      <c r="T1095" s="19" t="n">
        <f aca="false">B1074/B844-1</f>
        <v>0.399474430176467</v>
      </c>
      <c r="U1095" s="19" t="n">
        <f aca="false">B1095/MAX(B844:B1095)-1</f>
        <v>-0.027572875253411</v>
      </c>
      <c r="V1095" s="17" t="n">
        <f aca="false">(B1095-AVERAGE(B1076:B1095))/STDEV(B1076:B1095)</f>
        <v>1.34965994591173</v>
      </c>
    </row>
    <row r="1096" customFormat="false" ht="15" hidden="false" customHeight="false" outlineLevel="0" collapsed="false">
      <c r="A1096" s="17" t="s">
        <v>1660</v>
      </c>
      <c r="B1096" s="17" t="n">
        <v>12091.35</v>
      </c>
      <c r="C1096" s="19" t="n">
        <f aca="false">B1096/B1095-1</f>
        <v>0.00109951341563685</v>
      </c>
      <c r="D1096" s="17" t="n">
        <f aca="false">AVERAGE(B1047:B1096)</f>
        <v>11513.4974</v>
      </c>
      <c r="E1096" s="17" t="n">
        <f aca="false">AVERAGE(B897:B1096)</f>
        <v>9995.00125</v>
      </c>
      <c r="F1096" s="17" t="n">
        <f aca="false">B1096*2/13+F1095*11/13</f>
        <v>11629.1128260226</v>
      </c>
      <c r="G1096" s="17" t="n">
        <f aca="false">B1096*2/27+G1095*25/27</f>
        <v>11568.1380116114</v>
      </c>
      <c r="H1096" s="17" t="n">
        <f aca="false">F1096-G1096</f>
        <v>60.9748144112018</v>
      </c>
      <c r="I1096" s="17" t="n">
        <f aca="false">H1096*2/10+I1095*8/10</f>
        <v>13.8427366104091</v>
      </c>
      <c r="J1096" s="17" t="n">
        <f aca="false">H1096-I1096</f>
        <v>47.1320778007927</v>
      </c>
      <c r="K1096" s="17" t="n">
        <f aca="false">MAX(B1096-B1095,0)</f>
        <v>13.2800000000007</v>
      </c>
      <c r="L1096" s="17" t="n">
        <f aca="false">MAX(B1095-B1096,0)</f>
        <v>0</v>
      </c>
      <c r="M1096" s="17" t="n">
        <f aca="false">(M1095*13+K1096)/14</f>
        <v>109.742401478691</v>
      </c>
      <c r="N1096" s="17" t="n">
        <f aca="false">(N1095*13+L1096)/14</f>
        <v>69.2120436681572</v>
      </c>
      <c r="O1096" s="17" t="n">
        <f aca="false">IF(N1096=0,100,100-100/(1+M1096/N1096))</f>
        <v>61.3242109681252</v>
      </c>
      <c r="P1096" s="17" t="n">
        <f aca="false">AVERAGE(B1077:B1096)+2*STDEV(B1077:B1096)</f>
        <v>12336.5381744511</v>
      </c>
      <c r="Q1096" s="17" t="n">
        <f aca="false">AVERAGE(B1077:B1096)-2*STDEV(B1077:B1096)</f>
        <v>10983.6068255489</v>
      </c>
      <c r="R1096" s="19" t="n">
        <f aca="false">B1096/B1076-1</f>
        <v>0.0311704481977853</v>
      </c>
      <c r="S1096" s="17" t="n">
        <f aca="false">STDEV(C1077:C1096)*SQRT(252)*100</f>
        <v>30.9299815008838</v>
      </c>
      <c r="T1096" s="19" t="n">
        <f aca="false">B1075/B845-1</f>
        <v>0.39911505603878</v>
      </c>
      <c r="U1096" s="19" t="n">
        <f aca="false">B1096/MAX(B845:B1096)-1</f>
        <v>-0.0265036785840229</v>
      </c>
      <c r="V1096" s="17" t="n">
        <f aca="false">(B1096-AVERAGE(B1077:B1096))/STDEV(B1077:B1096)</f>
        <v>1.27509056642076</v>
      </c>
    </row>
    <row r="1097" customFormat="false" ht="15" hidden="false" customHeight="false" outlineLevel="0" collapsed="false">
      <c r="A1097" s="17" t="s">
        <v>1661</v>
      </c>
      <c r="B1097" s="17" t="n">
        <v>11830.39</v>
      </c>
      <c r="C1097" s="19" t="n">
        <f aca="false">B1097/B1096-1</f>
        <v>-0.0215823708684308</v>
      </c>
      <c r="D1097" s="17" t="n">
        <f aca="false">AVERAGE(B1048:B1097)</f>
        <v>11510.1882</v>
      </c>
      <c r="E1097" s="17" t="n">
        <f aca="false">AVERAGE(B898:B1097)</f>
        <v>10009.3923</v>
      </c>
      <c r="F1097" s="17" t="n">
        <f aca="false">B1097*2/13+F1096*11/13</f>
        <v>11660.078545096</v>
      </c>
      <c r="G1097" s="17" t="n">
        <f aca="false">B1097*2/27+G1096*25/27</f>
        <v>11587.5640848254</v>
      </c>
      <c r="H1097" s="17" t="n">
        <f aca="false">F1097-G1097</f>
        <v>72.5144602706769</v>
      </c>
      <c r="I1097" s="17" t="n">
        <f aca="false">H1097*2/10+I1096*8/10</f>
        <v>25.5770813424626</v>
      </c>
      <c r="J1097" s="17" t="n">
        <f aca="false">H1097-I1097</f>
        <v>46.9373789282142</v>
      </c>
      <c r="K1097" s="17" t="n">
        <f aca="false">MAX(B1097-B1096,0)</f>
        <v>0</v>
      </c>
      <c r="L1097" s="17" t="n">
        <f aca="false">MAX(B1096-B1097,0)</f>
        <v>260.960000000001</v>
      </c>
      <c r="M1097" s="17" t="n">
        <f aca="false">(M1096*13+K1097)/14</f>
        <v>101.903658515928</v>
      </c>
      <c r="N1097" s="17" t="n">
        <f aca="false">(N1096*13+L1097)/14</f>
        <v>82.9083262632889</v>
      </c>
      <c r="O1097" s="17" t="n">
        <f aca="false">IF(N1097=0,100,100-100/(1+M1097/N1097))</f>
        <v>55.1390964377476</v>
      </c>
      <c r="P1097" s="17" t="n">
        <f aca="false">AVERAGE(B1078:B1097)+2*STDEV(B1078:B1097)</f>
        <v>12298.6784817506</v>
      </c>
      <c r="Q1097" s="17" t="n">
        <f aca="false">AVERAGE(B1078:B1097)-2*STDEV(B1078:B1097)</f>
        <v>10995.6945182494</v>
      </c>
      <c r="R1097" s="19" t="n">
        <f aca="false">B1097/B1077-1</f>
        <v>-0.0213201236587027</v>
      </c>
      <c r="S1097" s="17" t="n">
        <f aca="false">STDEV(C1078:C1097)*SQRT(252)*100</f>
        <v>29.9578795816091</v>
      </c>
      <c r="T1097" s="19" t="n">
        <f aca="false">B1076/B846-1</f>
        <v>0.422710269828232</v>
      </c>
      <c r="U1097" s="19" t="n">
        <f aca="false">B1097/MAX(B846:B1097)-1</f>
        <v>-0.0475140372318758</v>
      </c>
      <c r="V1097" s="17" t="n">
        <f aca="false">(B1097-AVERAGE(B1078:B1097))/STDEV(B1078:B1097)</f>
        <v>0.562412140538502</v>
      </c>
    </row>
    <row r="1098" customFormat="false" ht="15" hidden="false" customHeight="false" outlineLevel="0" collapsed="false">
      <c r="A1098" s="17" t="s">
        <v>1662</v>
      </c>
      <c r="B1098" s="17" t="n">
        <v>11624.29</v>
      </c>
      <c r="C1098" s="19" t="n">
        <f aca="false">B1098/B1097-1</f>
        <v>-0.0174212346338539</v>
      </c>
      <c r="D1098" s="17" t="n">
        <f aca="false">AVERAGE(B1049:B1098)</f>
        <v>11500.46</v>
      </c>
      <c r="E1098" s="17" t="n">
        <f aca="false">AVERAGE(B899:B1098)</f>
        <v>10022.0591</v>
      </c>
      <c r="F1098" s="17" t="n">
        <f aca="false">B1098*2/13+F1097*11/13</f>
        <v>11654.5726150813</v>
      </c>
      <c r="G1098" s="17" t="n">
        <f aca="false">B1098*2/27+G1097*25/27</f>
        <v>11590.2845229865</v>
      </c>
      <c r="H1098" s="17" t="n">
        <f aca="false">F1098-G1098</f>
        <v>64.2880920948173</v>
      </c>
      <c r="I1098" s="17" t="n">
        <f aca="false">H1098*2/10+I1097*8/10</f>
        <v>33.3192834929336</v>
      </c>
      <c r="J1098" s="17" t="n">
        <f aca="false">H1098-I1098</f>
        <v>30.9688086018838</v>
      </c>
      <c r="K1098" s="17" t="n">
        <f aca="false">MAX(B1098-B1097,0)</f>
        <v>0</v>
      </c>
      <c r="L1098" s="17" t="n">
        <f aca="false">MAX(B1097-B1098,0)</f>
        <v>206.099999999999</v>
      </c>
      <c r="M1098" s="17" t="n">
        <f aca="false">(M1097*13+K1098)/14</f>
        <v>94.6248257647899</v>
      </c>
      <c r="N1098" s="17" t="n">
        <f aca="false">(N1097*13+L1098)/14</f>
        <v>91.7077315301967</v>
      </c>
      <c r="O1098" s="17" t="n">
        <f aca="false">IF(N1098=0,100,100-100/(1+M1098/N1098))</f>
        <v>50.7827655770256</v>
      </c>
      <c r="P1098" s="17" t="n">
        <f aca="false">AVERAGE(B1079:B1098)+2*STDEV(B1079:B1098)</f>
        <v>12242.5615550236</v>
      </c>
      <c r="Q1098" s="17" t="n">
        <f aca="false">AVERAGE(B1079:B1098)-2*STDEV(B1079:B1098)</f>
        <v>11005.9234449764</v>
      </c>
      <c r="R1098" s="19" t="n">
        <f aca="false">B1098/B1078-1</f>
        <v>-0.0379767892034953</v>
      </c>
      <c r="S1098" s="17" t="n">
        <f aca="false">STDEV(C1079:C1098)*SQRT(252)*100</f>
        <v>30.5235736841668</v>
      </c>
      <c r="T1098" s="19" t="n">
        <f aca="false">B1077/B847-1</f>
        <v>0.462780394951953</v>
      </c>
      <c r="U1098" s="19" t="n">
        <f aca="false">B1098/MAX(B847:B1098)-1</f>
        <v>-0.0641075186747114</v>
      </c>
      <c r="V1098" s="17" t="n">
        <f aca="false">(B1098-AVERAGE(B1079:B1098))/STDEV(B1079:B1098)</f>
        <v>0.000153642361866949</v>
      </c>
    </row>
    <row r="1099" customFormat="false" ht="15" hidden="false" customHeight="false" outlineLevel="0" collapsed="false">
      <c r="A1099" s="17" t="s">
        <v>1663</v>
      </c>
      <c r="B1099" s="17" t="n">
        <v>11892.93</v>
      </c>
      <c r="C1099" s="19" t="n">
        <f aca="false">B1099/B1098-1</f>
        <v>0.0231102286677294</v>
      </c>
      <c r="D1099" s="17" t="n">
        <f aca="false">AVERAGE(B1050:B1099)</f>
        <v>11492.4614</v>
      </c>
      <c r="E1099" s="17" t="n">
        <f aca="false">AVERAGE(B900:B1099)</f>
        <v>10036.0157</v>
      </c>
      <c r="F1099" s="17" t="n">
        <f aca="false">B1099*2/13+F1098*11/13</f>
        <v>11691.2429819918</v>
      </c>
      <c r="G1099" s="17" t="n">
        <f aca="false">B1099*2/27+G1098*25/27</f>
        <v>11612.7027064689</v>
      </c>
      <c r="H1099" s="17" t="n">
        <f aca="false">F1099-G1099</f>
        <v>78.5402755229043</v>
      </c>
      <c r="I1099" s="17" t="n">
        <f aca="false">H1099*2/10+I1098*8/10</f>
        <v>42.3634818989277</v>
      </c>
      <c r="J1099" s="17" t="n">
        <f aca="false">H1099-I1099</f>
        <v>36.1767936239766</v>
      </c>
      <c r="K1099" s="17" t="n">
        <f aca="false">MAX(B1099-B1098,0)</f>
        <v>268.639999999999</v>
      </c>
      <c r="L1099" s="17" t="n">
        <f aca="false">MAX(B1098-B1099,0)</f>
        <v>0</v>
      </c>
      <c r="M1099" s="17" t="n">
        <f aca="false">(M1098*13+K1099)/14</f>
        <v>107.054481067305</v>
      </c>
      <c r="N1099" s="17" t="n">
        <f aca="false">(N1098*13+L1099)/14</f>
        <v>85.1571792780398</v>
      </c>
      <c r="O1099" s="17" t="n">
        <f aca="false">IF(N1099=0,100,100-100/(1+M1099/N1099))</f>
        <v>55.6961429264807</v>
      </c>
      <c r="P1099" s="17" t="n">
        <f aca="false">AVERAGE(B1080:B1099)+2*STDEV(B1080:B1099)</f>
        <v>12227.8752083148</v>
      </c>
      <c r="Q1099" s="17" t="n">
        <f aca="false">AVERAGE(B1080:B1099)-2*STDEV(B1080:B1099)</f>
        <v>11011.3667916852</v>
      </c>
      <c r="R1099" s="19" t="n">
        <f aca="false">B1099/B1079-1</f>
        <v>-0.00771190852840464</v>
      </c>
      <c r="S1099" s="17" t="n">
        <f aca="false">STDEV(C1080:C1099)*SQRT(252)*100</f>
        <v>31.6533503298579</v>
      </c>
      <c r="T1099" s="19" t="n">
        <f aca="false">B1078/B848-1</f>
        <v>0.462887160842683</v>
      </c>
      <c r="U1099" s="19" t="n">
        <f aca="false">B1099/MAX(B848:B1099)-1</f>
        <v>-0.0424788294228754</v>
      </c>
      <c r="V1099" s="17" t="n">
        <f aca="false">(B1099-AVERAGE(B1080:B1099))/STDEV(B1080:B1099)</f>
        <v>0.89866702527954</v>
      </c>
    </row>
    <row r="1100" customFormat="false" ht="15" hidden="false" customHeight="false" outlineLevel="0" collapsed="false">
      <c r="A1100" s="17" t="s">
        <v>1664</v>
      </c>
      <c r="B1100" s="17" t="n">
        <v>11827.14</v>
      </c>
      <c r="C1100" s="19" t="n">
        <f aca="false">B1100/B1099-1</f>
        <v>-0.00553185800303213</v>
      </c>
      <c r="D1100" s="17" t="n">
        <f aca="false">AVERAGE(B1051:B1100)</f>
        <v>11480.5934</v>
      </c>
      <c r="E1100" s="17" t="n">
        <f aca="false">AVERAGE(B901:B1100)</f>
        <v>10049.47095</v>
      </c>
      <c r="F1100" s="17" t="n">
        <f aca="false">B1100*2/13+F1099*11/13</f>
        <v>11712.1502155316</v>
      </c>
      <c r="G1100" s="17" t="n">
        <f aca="false">B1100*2/27+G1099*25/27</f>
        <v>11628.5869504342</v>
      </c>
      <c r="H1100" s="17" t="n">
        <f aca="false">F1100-G1100</f>
        <v>83.5632650973566</v>
      </c>
      <c r="I1100" s="17" t="n">
        <f aca="false">H1100*2/10+I1099*8/10</f>
        <v>50.6034385386135</v>
      </c>
      <c r="J1100" s="17" t="n">
        <f aca="false">H1100-I1100</f>
        <v>32.9598265587431</v>
      </c>
      <c r="K1100" s="17" t="n">
        <f aca="false">MAX(B1100-B1099,0)</f>
        <v>0</v>
      </c>
      <c r="L1100" s="17" t="n">
        <f aca="false">MAX(B1099-B1100,0)</f>
        <v>65.7900000000009</v>
      </c>
      <c r="M1100" s="17" t="n">
        <f aca="false">(M1099*13+K1100)/14</f>
        <v>99.4077324196402</v>
      </c>
      <c r="N1100" s="17" t="n">
        <f aca="false">(N1099*13+L1100)/14</f>
        <v>83.7738093296085</v>
      </c>
      <c r="O1100" s="17" t="n">
        <f aca="false">IF(N1100=0,100,100-100/(1+M1100/N1100))</f>
        <v>54.2673303600186</v>
      </c>
      <c r="P1100" s="17" t="n">
        <f aca="false">AVERAGE(B1081:B1100)+2*STDEV(B1081:B1100)</f>
        <v>12218.2156062487</v>
      </c>
      <c r="Q1100" s="17" t="n">
        <f aca="false">AVERAGE(B1081:B1100)-2*STDEV(B1081:B1100)</f>
        <v>11013.8833937513</v>
      </c>
      <c r="R1100" s="19" t="n">
        <f aca="false">B1100/B1080-1</f>
        <v>-0.00600324240644046</v>
      </c>
      <c r="S1100" s="17" t="n">
        <f aca="false">STDEV(C1081:C1100)*SQRT(252)*100</f>
        <v>31.6086877143206</v>
      </c>
      <c r="T1100" s="19" t="n">
        <f aca="false">B1079/B849-1</f>
        <v>0.451393404804894</v>
      </c>
      <c r="U1100" s="19" t="n">
        <f aca="false">B1100/MAX(B849:B1100)-1</f>
        <v>-0.0477757005734052</v>
      </c>
      <c r="V1100" s="17" t="n">
        <f aca="false">(B1100-AVERAGE(B1081:B1100))/STDEV(B1081:B1100)</f>
        <v>0.701103890801896</v>
      </c>
    </row>
    <row r="1101" customFormat="false" ht="15" hidden="false" customHeight="false" outlineLevel="0" collapsed="false">
      <c r="A1101" s="17" t="s">
        <v>1665</v>
      </c>
      <c r="B1101" s="17" t="n">
        <v>11937.84</v>
      </c>
      <c r="C1101" s="19" t="n">
        <f aca="false">B1101/B1100-1</f>
        <v>0.00935982832705129</v>
      </c>
      <c r="D1101" s="17" t="n">
        <f aca="false">AVERAGE(B1052:B1101)</f>
        <v>11483.9228</v>
      </c>
      <c r="E1101" s="17" t="n">
        <f aca="false">AVERAGE(B902:B1101)</f>
        <v>10064.2026</v>
      </c>
      <c r="F1101" s="17" t="n">
        <f aca="false">B1101*2/13+F1100*11/13</f>
        <v>11746.8717208344</v>
      </c>
      <c r="G1101" s="17" t="n">
        <f aca="false">B1101*2/27+G1100*25/27</f>
        <v>11651.4945837354</v>
      </c>
      <c r="H1101" s="17" t="n">
        <f aca="false">F1101-G1101</f>
        <v>95.3771370990216</v>
      </c>
      <c r="I1101" s="17" t="n">
        <f aca="false">H1101*2/10+I1100*8/10</f>
        <v>59.5581782506951</v>
      </c>
      <c r="J1101" s="17" t="n">
        <f aca="false">H1101-I1101</f>
        <v>35.8189588483265</v>
      </c>
      <c r="K1101" s="17" t="n">
        <f aca="false">MAX(B1101-B1100,0)</f>
        <v>110.700000000001</v>
      </c>
      <c r="L1101" s="17" t="n">
        <f aca="false">MAX(B1100-B1101,0)</f>
        <v>0</v>
      </c>
      <c r="M1101" s="17" t="n">
        <f aca="false">(M1100*13+K1101)/14</f>
        <v>100.214322961095</v>
      </c>
      <c r="N1101" s="17" t="n">
        <f aca="false">(N1100*13+L1101)/14</f>
        <v>77.789965806065</v>
      </c>
      <c r="O1101" s="17" t="n">
        <f aca="false">IF(N1101=0,100,100-100/(1+M1101/N1101))</f>
        <v>56.298824963808</v>
      </c>
      <c r="P1101" s="17" t="n">
        <f aca="false">AVERAGE(B1082:B1101)+2*STDEV(B1082:B1101)</f>
        <v>12230.733793374</v>
      </c>
      <c r="Q1101" s="17" t="n">
        <f aca="false">AVERAGE(B1082:B1101)-2*STDEV(B1082:B1101)</f>
        <v>11009.932206626</v>
      </c>
      <c r="R1101" s="19" t="n">
        <f aca="false">B1101/B1081-1</f>
        <v>0.00722821221767833</v>
      </c>
      <c r="S1101" s="17" t="n">
        <f aca="false">STDEV(C1082:C1101)*SQRT(252)*100</f>
        <v>31.7481201616944</v>
      </c>
      <c r="T1101" s="19" t="n">
        <f aca="false">B1080/B850-1</f>
        <v>0.430887064188409</v>
      </c>
      <c r="U1101" s="19" t="n">
        <f aca="false">B1101/MAX(B850:B1101)-1</f>
        <v>-0.0388630446019256</v>
      </c>
      <c r="V1101" s="17" t="n">
        <f aca="false">(B1101-AVERAGE(B1082:B1101))/STDEV(B1082:B1101)</f>
        <v>1.04032302528634</v>
      </c>
    </row>
    <row r="1102" customFormat="false" ht="15" hidden="false" customHeight="false" outlineLevel="0" collapsed="false">
      <c r="A1102" s="17" t="s">
        <v>1666</v>
      </c>
      <c r="B1102" s="17" t="n">
        <v>12013.38</v>
      </c>
      <c r="C1102" s="19" t="n">
        <f aca="false">B1102/B1101-1</f>
        <v>0.00632777788946726</v>
      </c>
      <c r="D1102" s="17" t="n">
        <f aca="false">AVERAGE(B1053:B1102)</f>
        <v>11491.7478</v>
      </c>
      <c r="E1102" s="17" t="n">
        <f aca="false">AVERAGE(B903:B1102)</f>
        <v>10078.63835</v>
      </c>
      <c r="F1102" s="17" t="n">
        <f aca="false">B1102*2/13+F1101*11/13</f>
        <v>11787.8729945522</v>
      </c>
      <c r="G1102" s="17" t="n">
        <f aca="false">B1102*2/27+G1101*25/27</f>
        <v>11678.3009108661</v>
      </c>
      <c r="H1102" s="17" t="n">
        <f aca="false">F1102-G1102</f>
        <v>109.572083686095</v>
      </c>
      <c r="I1102" s="17" t="n">
        <f aca="false">H1102*2/10+I1101*8/10</f>
        <v>69.560959337775</v>
      </c>
      <c r="J1102" s="17" t="n">
        <f aca="false">H1102-I1102</f>
        <v>40.0111243483196</v>
      </c>
      <c r="K1102" s="17" t="n">
        <f aca="false">MAX(B1102-B1101,0)</f>
        <v>75.5399999999991</v>
      </c>
      <c r="L1102" s="17" t="n">
        <f aca="false">MAX(B1101-B1102,0)</f>
        <v>0</v>
      </c>
      <c r="M1102" s="17" t="n">
        <f aca="false">(M1101*13+K1102)/14</f>
        <v>98.4518713210163</v>
      </c>
      <c r="N1102" s="17" t="n">
        <f aca="false">(N1101*13+L1102)/14</f>
        <v>72.2335396770604</v>
      </c>
      <c r="O1102" s="17" t="n">
        <f aca="false">IF(N1102=0,100,100-100/(1+M1102/N1102))</f>
        <v>57.680308320039</v>
      </c>
      <c r="P1102" s="17" t="n">
        <f aca="false">AVERAGE(B1083:B1102)+2*STDEV(B1083:B1102)</f>
        <v>12274.5473368586</v>
      </c>
      <c r="Q1102" s="17" t="n">
        <f aca="false">AVERAGE(B1083:B1102)-2*STDEV(B1083:B1102)</f>
        <v>11004.0216631414</v>
      </c>
      <c r="R1102" s="19" t="n">
        <f aca="false">B1102/B1082-1</f>
        <v>0.0325785282375035</v>
      </c>
      <c r="S1102" s="17" t="n">
        <f aca="false">STDEV(C1083:C1102)*SQRT(252)*100</f>
        <v>30.9968554261149</v>
      </c>
      <c r="T1102" s="19" t="n">
        <f aca="false">B1081/B851-1</f>
        <v>0.423089207154247</v>
      </c>
      <c r="U1102" s="19" t="n">
        <f aca="false">B1102/MAX(B851:B1102)-1</f>
        <v>-0.0327811834268077</v>
      </c>
      <c r="V1102" s="17" t="n">
        <f aca="false">(B1102-AVERAGE(B1083:B1102))/STDEV(B1083:B1102)</f>
        <v>1.17776604672766</v>
      </c>
    </row>
    <row r="1103" customFormat="false" ht="15" hidden="false" customHeight="false" outlineLevel="0" collapsed="false">
      <c r="A1103" s="17" t="s">
        <v>1667</v>
      </c>
      <c r="B1103" s="17" t="n">
        <v>11977.49</v>
      </c>
      <c r="C1103" s="19" t="n">
        <f aca="false">B1103/B1102-1</f>
        <v>-0.00298750226830413</v>
      </c>
      <c r="D1103" s="17" t="n">
        <f aca="false">AVERAGE(B1054:B1103)</f>
        <v>11509.9324</v>
      </c>
      <c r="E1103" s="17" t="n">
        <f aca="false">AVERAGE(B904:B1103)</f>
        <v>10091.8555</v>
      </c>
      <c r="F1103" s="17" t="n">
        <f aca="false">B1103*2/13+F1102*11/13</f>
        <v>11817.0448415442</v>
      </c>
      <c r="G1103" s="17" t="n">
        <f aca="false">B1103*2/27+G1102*25/27</f>
        <v>11700.4630656167</v>
      </c>
      <c r="H1103" s="17" t="n">
        <f aca="false">F1103-G1103</f>
        <v>116.581775927405</v>
      </c>
      <c r="I1103" s="17" t="n">
        <f aca="false">H1103*2/10+I1102*8/10</f>
        <v>78.965122655701</v>
      </c>
      <c r="J1103" s="17" t="n">
        <f aca="false">H1103-I1103</f>
        <v>37.616653271704</v>
      </c>
      <c r="K1103" s="17" t="n">
        <f aca="false">MAX(B1103-B1102,0)</f>
        <v>0</v>
      </c>
      <c r="L1103" s="17" t="n">
        <f aca="false">MAX(B1102-B1103,0)</f>
        <v>35.8899999999994</v>
      </c>
      <c r="M1103" s="17" t="n">
        <f aca="false">(M1102*13+K1103)/14</f>
        <v>91.4195947980866</v>
      </c>
      <c r="N1103" s="17" t="n">
        <f aca="false">(N1102*13+L1103)/14</f>
        <v>69.6375725572703</v>
      </c>
      <c r="O1103" s="17" t="n">
        <f aca="false">IF(N1103=0,100,100-100/(1+M1103/N1103))</f>
        <v>56.7622020796989</v>
      </c>
      <c r="P1103" s="17" t="n">
        <f aca="false">AVERAGE(B1084:B1103)+2*STDEV(B1084:B1103)</f>
        <v>12307.2458533724</v>
      </c>
      <c r="Q1103" s="17" t="n">
        <f aca="false">AVERAGE(B1084:B1103)-2*STDEV(B1084:B1103)</f>
        <v>11001.2881466276</v>
      </c>
      <c r="R1103" s="19" t="n">
        <f aca="false">B1103/B1083-1</f>
        <v>0.025659711042453</v>
      </c>
      <c r="S1103" s="17" t="n">
        <f aca="false">STDEV(C1084:C1103)*SQRT(252)*100</f>
        <v>31.032572146129</v>
      </c>
      <c r="T1103" s="19" t="n">
        <f aca="false">B1082/B852-1</f>
        <v>0.395216783350962</v>
      </c>
      <c r="U1103" s="19" t="n">
        <f aca="false">B1103/MAX(B852:B1103)-1</f>
        <v>-0.0356707518352665</v>
      </c>
      <c r="V1103" s="17" t="n">
        <f aca="false">(B1103-AVERAGE(B1084:B1103))/STDEV(B1084:B1103)</f>
        <v>0.989995306373715</v>
      </c>
    </row>
    <row r="1104" customFormat="false" ht="15" hidden="false" customHeight="false" outlineLevel="0" collapsed="false">
      <c r="A1104" s="17" t="s">
        <v>1668</v>
      </c>
      <c r="B1104" s="17" t="n">
        <v>11894.71</v>
      </c>
      <c r="C1104" s="19" t="n">
        <f aca="false">B1104/B1103-1</f>
        <v>-0.00691129777607835</v>
      </c>
      <c r="D1104" s="17" t="n">
        <f aca="false">AVERAGE(B1055:B1104)</f>
        <v>11519.9096</v>
      </c>
      <c r="E1104" s="17" t="n">
        <f aca="false">AVERAGE(B905:B1104)</f>
        <v>10104.49165</v>
      </c>
      <c r="F1104" s="17" t="n">
        <f aca="false">B1104*2/13+F1103*11/13</f>
        <v>11828.9933274604</v>
      </c>
      <c r="G1104" s="17" t="n">
        <f aca="false">B1104*2/27+G1103*25/27</f>
        <v>11714.8517274229</v>
      </c>
      <c r="H1104" s="17" t="n">
        <f aca="false">F1104-G1104</f>
        <v>114.141600037523</v>
      </c>
      <c r="I1104" s="17" t="n">
        <f aca="false">H1104*2/10+I1103*8/10</f>
        <v>86.0004181320654</v>
      </c>
      <c r="J1104" s="17" t="n">
        <f aca="false">H1104-I1104</f>
        <v>28.1411819054575</v>
      </c>
      <c r="K1104" s="17" t="n">
        <f aca="false">MAX(B1104-B1103,0)</f>
        <v>0</v>
      </c>
      <c r="L1104" s="17" t="n">
        <f aca="false">MAX(B1103-B1104,0)</f>
        <v>82.7800000000007</v>
      </c>
      <c r="M1104" s="17" t="n">
        <f aca="false">(M1103*13+K1104)/14</f>
        <v>84.8896237410804</v>
      </c>
      <c r="N1104" s="17" t="n">
        <f aca="false">(N1103*13+L1104)/14</f>
        <v>70.5763173746082</v>
      </c>
      <c r="O1104" s="17" t="n">
        <f aca="false">IF(N1104=0,100,100-100/(1+M1104/N1104))</f>
        <v>54.6033575790794</v>
      </c>
      <c r="P1104" s="17" t="n">
        <f aca="false">AVERAGE(B1085:B1104)+2*STDEV(B1085:B1104)</f>
        <v>12327.5292119055</v>
      </c>
      <c r="Q1104" s="17" t="n">
        <f aca="false">AVERAGE(B1085:B1104)-2*STDEV(B1085:B1104)</f>
        <v>11003.9387880945</v>
      </c>
      <c r="R1104" s="19" t="n">
        <f aca="false">B1104/B1084-1</f>
        <v>0.0196598993430983</v>
      </c>
      <c r="S1104" s="17" t="n">
        <f aca="false">STDEV(C1085:C1104)*SQRT(252)*100</f>
        <v>31.1644691224925</v>
      </c>
      <c r="T1104" s="19" t="n">
        <f aca="false">B1083/B853-1</f>
        <v>0.409728685679795</v>
      </c>
      <c r="U1104" s="19" t="n">
        <f aca="false">B1104/MAX(B853:B1104)-1</f>
        <v>-0.0423355184235147</v>
      </c>
      <c r="V1104" s="17" t="n">
        <f aca="false">(B1104-AVERAGE(B1085:B1104))/STDEV(B1085:B1104)</f>
        <v>0.691984456462623</v>
      </c>
    </row>
    <row r="1105" customFormat="false" ht="15" hidden="false" customHeight="false" outlineLevel="0" collapsed="false">
      <c r="A1105" s="17" t="s">
        <v>1669</v>
      </c>
      <c r="B1105" s="17" t="n">
        <v>11985.43</v>
      </c>
      <c r="C1105" s="19" t="n">
        <f aca="false">B1105/B1104-1</f>
        <v>0.00762691986605812</v>
      </c>
      <c r="D1105" s="17" t="n">
        <f aca="false">AVERAGE(B1056:B1105)</f>
        <v>11536.5358</v>
      </c>
      <c r="E1105" s="17" t="n">
        <f aca="false">AVERAGE(B906:B1105)</f>
        <v>10117.1892</v>
      </c>
      <c r="F1105" s="17" t="n">
        <f aca="false">B1105*2/13+F1104*11/13</f>
        <v>11853.0605078511</v>
      </c>
      <c r="G1105" s="17" t="n">
        <f aca="false">B1105*2/27+G1104*25/27</f>
        <v>11734.8945624286</v>
      </c>
      <c r="H1105" s="17" t="n">
        <f aca="false">F1105-G1105</f>
        <v>118.165945422514</v>
      </c>
      <c r="I1105" s="17" t="n">
        <f aca="false">H1105*2/10+I1104*8/10</f>
        <v>92.4335235901551</v>
      </c>
      <c r="J1105" s="17" t="n">
        <f aca="false">H1105-I1105</f>
        <v>25.7324218323586</v>
      </c>
      <c r="K1105" s="17" t="n">
        <f aca="false">MAX(B1105-B1104,0)</f>
        <v>90.7200000000012</v>
      </c>
      <c r="L1105" s="17" t="n">
        <f aca="false">MAX(B1104-B1105,0)</f>
        <v>0</v>
      </c>
      <c r="M1105" s="17" t="n">
        <f aca="false">(M1104*13+K1105)/14</f>
        <v>85.3060791881461</v>
      </c>
      <c r="N1105" s="17" t="n">
        <f aca="false">(N1104*13+L1105)/14</f>
        <v>65.5351518478504</v>
      </c>
      <c r="O1105" s="17" t="n">
        <f aca="false">IF(N1105=0,100,100-100/(1+M1105/N1105))</f>
        <v>56.5535554186698</v>
      </c>
      <c r="P1105" s="17" t="n">
        <f aca="false">AVERAGE(B1086:B1105)+2*STDEV(B1086:B1105)</f>
        <v>12358.9074424487</v>
      </c>
      <c r="Q1105" s="17" t="n">
        <f aca="false">AVERAGE(B1086:B1105)-2*STDEV(B1086:B1105)</f>
        <v>11004.8125575513</v>
      </c>
      <c r="R1105" s="19" t="n">
        <f aca="false">B1105/B1085-1</f>
        <v>0.0276534758477944</v>
      </c>
      <c r="S1105" s="17" t="n">
        <f aca="false">STDEV(C1086:C1105)*SQRT(252)*100</f>
        <v>31.242934100038</v>
      </c>
      <c r="T1105" s="19" t="n">
        <f aca="false">B1084/B854-1</f>
        <v>0.411312158071627</v>
      </c>
      <c r="U1105" s="19" t="n">
        <f aca="false">B1105/MAX(B854:B1105)-1</f>
        <v>-0.0350314881639607</v>
      </c>
      <c r="V1105" s="17" t="n">
        <f aca="false">(B1105-AVERAGE(B1086:B1105))/STDEV(B1086:B1105)</f>
        <v>0.896746611735424</v>
      </c>
    </row>
    <row r="1106" customFormat="false" ht="15" hidden="false" customHeight="false" outlineLevel="0" collapsed="false">
      <c r="A1106" s="17" t="s">
        <v>1670</v>
      </c>
      <c r="B1106" s="17" t="n">
        <v>11906.44</v>
      </c>
      <c r="C1106" s="19" t="n">
        <f aca="false">B1106/B1105-1</f>
        <v>-0.00659050196780586</v>
      </c>
      <c r="D1106" s="17" t="n">
        <f aca="false">AVERAGE(B1057:B1106)</f>
        <v>11552.9166</v>
      </c>
      <c r="E1106" s="17" t="n">
        <f aca="false">AVERAGE(B907:B1106)</f>
        <v>10129.7159</v>
      </c>
      <c r="F1106" s="17" t="n">
        <f aca="false">B1106*2/13+F1105*11/13</f>
        <v>11861.2727374125</v>
      </c>
      <c r="G1106" s="17" t="n">
        <f aca="false">B1106*2/27+G1105*25/27</f>
        <v>11747.6016318784</v>
      </c>
      <c r="H1106" s="17" t="n">
        <f aca="false">F1106-G1106</f>
        <v>113.671105534148</v>
      </c>
      <c r="I1106" s="17" t="n">
        <f aca="false">H1106*2/10+I1105*8/10</f>
        <v>96.6810399789536</v>
      </c>
      <c r="J1106" s="17" t="n">
        <f aca="false">H1106-I1106</f>
        <v>16.990065555194</v>
      </c>
      <c r="K1106" s="17" t="n">
        <f aca="false">MAX(B1106-B1105,0)</f>
        <v>0</v>
      </c>
      <c r="L1106" s="17" t="n">
        <f aca="false">MAX(B1105-B1106,0)</f>
        <v>78.9899999999998</v>
      </c>
      <c r="M1106" s="17" t="n">
        <f aca="false">(M1105*13+K1106)/14</f>
        <v>79.2127878175643</v>
      </c>
      <c r="N1106" s="17" t="n">
        <f aca="false">(N1105*13+L1106)/14</f>
        <v>66.4962124301468</v>
      </c>
      <c r="O1106" s="17" t="n">
        <f aca="false">IF(N1106=0,100,100-100/(1+M1106/N1106))</f>
        <v>54.3636890534554</v>
      </c>
      <c r="P1106" s="17" t="n">
        <f aca="false">AVERAGE(B1087:B1106)+2*STDEV(B1087:B1106)</f>
        <v>12377.0283029279</v>
      </c>
      <c r="Q1106" s="17" t="n">
        <f aca="false">AVERAGE(B1087:B1106)-2*STDEV(B1087:B1106)</f>
        <v>11008.0786970721</v>
      </c>
      <c r="R1106" s="19" t="n">
        <f aca="false">B1106/B1086-1</f>
        <v>0.0182911028114436</v>
      </c>
      <c r="S1106" s="17" t="n">
        <f aca="false">STDEV(C1087:C1106)*SQRT(252)*100</f>
        <v>31.3723274987227</v>
      </c>
      <c r="T1106" s="19" t="n">
        <f aca="false">B1085/B855-1</f>
        <v>0.409917735023362</v>
      </c>
      <c r="U1106" s="19" t="n">
        <f aca="false">B1106/MAX(B855:B1106)-1</f>
        <v>-0.0413911150400869</v>
      </c>
      <c r="V1106" s="17" t="n">
        <f aca="false">(B1106-AVERAGE(B1087:B1106))/STDEV(B1087:B1106)</f>
        <v>0.624965299190239</v>
      </c>
    </row>
    <row r="1107" customFormat="false" ht="15" hidden="false" customHeight="false" outlineLevel="0" collapsed="false">
      <c r="A1107" s="17" t="s">
        <v>1671</v>
      </c>
      <c r="B1107" s="17" t="n">
        <v>11905.94</v>
      </c>
      <c r="C1107" s="19" t="n">
        <f aca="false">B1107/B1106-1</f>
        <v>-4.19940805144181E-005</v>
      </c>
      <c r="D1107" s="17" t="n">
        <f aca="false">AVERAGE(B1058:B1107)</f>
        <v>11565.4802</v>
      </c>
      <c r="E1107" s="17" t="n">
        <f aca="false">AVERAGE(B908:B1107)</f>
        <v>10141.6614</v>
      </c>
      <c r="F1107" s="17" t="n">
        <f aca="false">B1107*2/13+F1106*11/13</f>
        <v>11868.1446239644</v>
      </c>
      <c r="G1107" s="17" t="n">
        <f aca="false">B1107*2/27+G1106*25/27</f>
        <v>11759.3303998874</v>
      </c>
      <c r="H1107" s="17" t="n">
        <f aca="false">F1107-G1107</f>
        <v>108.814224077058</v>
      </c>
      <c r="I1107" s="17" t="n">
        <f aca="false">H1107*2/10+I1106*8/10</f>
        <v>99.1076767985744</v>
      </c>
      <c r="J1107" s="17" t="n">
        <f aca="false">H1107-I1107</f>
        <v>9.70654727848324</v>
      </c>
      <c r="K1107" s="17" t="n">
        <f aca="false">MAX(B1107-B1106,0)</f>
        <v>0</v>
      </c>
      <c r="L1107" s="17" t="n">
        <f aca="false">MAX(B1106-B1107,0)</f>
        <v>0.5</v>
      </c>
      <c r="M1107" s="17" t="n">
        <f aca="false">(M1106*13+K1107)/14</f>
        <v>73.5547315448811</v>
      </c>
      <c r="N1107" s="17" t="n">
        <f aca="false">(N1106*13+L1107)/14</f>
        <v>61.7821972565649</v>
      </c>
      <c r="O1107" s="17" t="n">
        <f aca="false">IF(N1107=0,100,100-100/(1+M1107/N1107))</f>
        <v>54.3493429297438</v>
      </c>
      <c r="P1107" s="17" t="n">
        <f aca="false">AVERAGE(B1088:B1107)+2*STDEV(B1088:B1107)</f>
        <v>12397.4252994177</v>
      </c>
      <c r="Q1107" s="17" t="n">
        <f aca="false">AVERAGE(B1088:B1107)-2*STDEV(B1088:B1107)</f>
        <v>11027.8237005823</v>
      </c>
      <c r="R1107" s="19" t="n">
        <f aca="false">B1107/B1087-1</f>
        <v>0.0348923727369763</v>
      </c>
      <c r="S1107" s="17" t="n">
        <f aca="false">STDEV(C1088:C1107)*SQRT(252)*100</f>
        <v>30.717485930362</v>
      </c>
      <c r="T1107" s="19" t="n">
        <f aca="false">B1086/B856-1</f>
        <v>0.396639723456837</v>
      </c>
      <c r="U1107" s="19" t="n">
        <f aca="false">B1107/MAX(B856:B1107)-1</f>
        <v>-0.0414313709387837</v>
      </c>
      <c r="V1107" s="17" t="n">
        <f aca="false">(B1107-AVERAGE(B1088:B1107))/STDEV(B1088:B1107)</f>
        <v>0.564589002128424</v>
      </c>
    </row>
    <row r="1108" customFormat="false" ht="15" hidden="false" customHeight="false" outlineLevel="0" collapsed="false">
      <c r="A1108" s="17" t="s">
        <v>1672</v>
      </c>
      <c r="B1108" s="17" t="n">
        <v>12079.81</v>
      </c>
      <c r="C1108" s="19" t="n">
        <f aca="false">B1108/B1107-1</f>
        <v>0.0146036348242977</v>
      </c>
      <c r="D1108" s="17" t="n">
        <f aca="false">AVERAGE(B1059:B1108)</f>
        <v>11578.299</v>
      </c>
      <c r="E1108" s="17" t="n">
        <f aca="false">AVERAGE(B909:B1108)</f>
        <v>10154.47115</v>
      </c>
      <c r="F1108" s="17" t="n">
        <f aca="false">B1108*2/13+F1107*11/13</f>
        <v>11900.7085279699</v>
      </c>
      <c r="G1108" s="17" t="n">
        <f aca="false">B1108*2/27+G1107*25/27</f>
        <v>11783.0696295253</v>
      </c>
      <c r="H1108" s="17" t="n">
        <f aca="false">F1108-G1108</f>
        <v>117.63889844456</v>
      </c>
      <c r="I1108" s="17" t="n">
        <f aca="false">H1108*2/10+I1107*8/10</f>
        <v>102.813921127772</v>
      </c>
      <c r="J1108" s="17" t="n">
        <f aca="false">H1108-I1108</f>
        <v>14.8249773167887</v>
      </c>
      <c r="K1108" s="17" t="n">
        <f aca="false">MAX(B1108-B1107,0)</f>
        <v>173.869999999999</v>
      </c>
      <c r="L1108" s="17" t="n">
        <f aca="false">MAX(B1107-B1108,0)</f>
        <v>0</v>
      </c>
      <c r="M1108" s="17" t="n">
        <f aca="false">(M1107*13+K1108)/14</f>
        <v>80.7201078631038</v>
      </c>
      <c r="N1108" s="17" t="n">
        <f aca="false">(N1107*13+L1108)/14</f>
        <v>57.3691831668103</v>
      </c>
      <c r="O1108" s="17" t="n">
        <f aca="false">IF(N1108=0,100,100-100/(1+M1108/N1108))</f>
        <v>58.4550092632582</v>
      </c>
      <c r="P1108" s="17" t="n">
        <f aca="false">AVERAGE(B1089:B1108)+2*STDEV(B1089:B1108)</f>
        <v>12438.2243586591</v>
      </c>
      <c r="Q1108" s="17" t="n">
        <f aca="false">AVERAGE(B1089:B1108)-2*STDEV(B1089:B1108)</f>
        <v>11035.1106413409</v>
      </c>
      <c r="R1108" s="19" t="n">
        <f aca="false">B1108/B1088-1</f>
        <v>0.0414572008673197</v>
      </c>
      <c r="S1108" s="17" t="n">
        <f aca="false">STDEV(C1089:C1108)*SQRT(252)*100</f>
        <v>30.9746591578056</v>
      </c>
      <c r="T1108" s="19" t="n">
        <f aca="false">B1087/B857-1</f>
        <v>0.371913066809767</v>
      </c>
      <c r="U1108" s="19" t="n">
        <f aca="false">B1108/MAX(B857:B1108)-1</f>
        <v>-0.027432784725946</v>
      </c>
      <c r="V1108" s="17" t="n">
        <f aca="false">(B1108-AVERAGE(B1089:B1108))/STDEV(B1089:B1108)</f>
        <v>0.978231474084285</v>
      </c>
    </row>
    <row r="1109" customFormat="false" ht="15" hidden="false" customHeight="false" outlineLevel="0" collapsed="false">
      <c r="A1109" s="17" t="s">
        <v>1673</v>
      </c>
      <c r="B1109" s="17" t="n">
        <v>12152.22</v>
      </c>
      <c r="C1109" s="19" t="n">
        <f aca="false">B1109/B1108-1</f>
        <v>0.00599429957921527</v>
      </c>
      <c r="D1109" s="17" t="n">
        <f aca="false">AVERAGE(B1060:B1109)</f>
        <v>11596.3914</v>
      </c>
      <c r="E1109" s="17" t="n">
        <f aca="false">AVERAGE(B910:B1109)</f>
        <v>10167.16625</v>
      </c>
      <c r="F1109" s="17" t="n">
        <f aca="false">B1109*2/13+F1108*11/13</f>
        <v>11939.4026005899</v>
      </c>
      <c r="G1109" s="17" t="n">
        <f aca="false">B1109*2/27+G1108*25/27</f>
        <v>11810.4141014123</v>
      </c>
      <c r="H1109" s="17" t="n">
        <f aca="false">F1109-G1109</f>
        <v>128.988499177565</v>
      </c>
      <c r="I1109" s="17" t="n">
        <f aca="false">H1109*2/10+I1108*8/10</f>
        <v>108.04883673773</v>
      </c>
      <c r="J1109" s="17" t="n">
        <f aca="false">H1109-I1109</f>
        <v>20.939662439835</v>
      </c>
      <c r="K1109" s="17" t="n">
        <f aca="false">MAX(B1109-B1108,0)</f>
        <v>72.4099999999999</v>
      </c>
      <c r="L1109" s="17" t="n">
        <f aca="false">MAX(B1108-B1109,0)</f>
        <v>0</v>
      </c>
      <c r="M1109" s="17" t="n">
        <f aca="false">(M1108*13+K1109)/14</f>
        <v>80.126528730025</v>
      </c>
      <c r="N1109" s="17" t="n">
        <f aca="false">(N1108*13+L1109)/14</f>
        <v>53.271384369181</v>
      </c>
      <c r="O1109" s="17" t="n">
        <f aca="false">IF(N1109=0,100,100-100/(1+M1109/N1109))</f>
        <v>60.0658037809303</v>
      </c>
      <c r="P1109" s="17" t="n">
        <f aca="false">AVERAGE(B1090:B1109)+2*STDEV(B1090:B1109)</f>
        <v>12453.137482812</v>
      </c>
      <c r="Q1109" s="17" t="n">
        <f aca="false">AVERAGE(B1090:B1109)-2*STDEV(B1090:B1109)</f>
        <v>11121.143517188</v>
      </c>
      <c r="R1109" s="19" t="n">
        <f aca="false">B1109/B1089-1</f>
        <v>0.0905933538907775</v>
      </c>
      <c r="S1109" s="17" t="n">
        <f aca="false">STDEV(C1090:C1109)*SQRT(252)*100</f>
        <v>26.8102782710889</v>
      </c>
      <c r="T1109" s="19" t="n">
        <f aca="false">B1088/B858-1</f>
        <v>0.373516674936144</v>
      </c>
      <c r="U1109" s="19" t="n">
        <f aca="false">B1109/MAX(B858:B1109)-1</f>
        <v>-0.0216029254766702</v>
      </c>
      <c r="V1109" s="17" t="n">
        <f aca="false">(B1109-AVERAGE(B1090:B1109))/STDEV(B1090:B1109)</f>
        <v>1.09633980159648</v>
      </c>
    </row>
    <row r="1110" customFormat="false" ht="15" hidden="false" customHeight="false" outlineLevel="0" collapsed="false">
      <c r="A1110" s="17" t="s">
        <v>1674</v>
      </c>
      <c r="B1110" s="17" t="n">
        <v>12258.21</v>
      </c>
      <c r="C1110" s="19" t="n">
        <f aca="false">B1110/B1109-1</f>
        <v>0.00872186316574264</v>
      </c>
      <c r="D1110" s="17" t="n">
        <f aca="false">AVERAGE(B1061:B1110)</f>
        <v>11619.9366</v>
      </c>
      <c r="E1110" s="17" t="n">
        <f aca="false">AVERAGE(B911:B1110)</f>
        <v>10180.4788</v>
      </c>
      <c r="F1110" s="17" t="n">
        <f aca="false">B1110*2/13+F1109*11/13</f>
        <v>11988.4498928069</v>
      </c>
      <c r="G1110" s="17" t="n">
        <f aca="false">B1110*2/27+G1109*25/27</f>
        <v>11843.5841679744</v>
      </c>
      <c r="H1110" s="17" t="n">
        <f aca="false">F1110-G1110</f>
        <v>144.865724832451</v>
      </c>
      <c r="I1110" s="17" t="n">
        <f aca="false">H1110*2/10+I1109*8/10</f>
        <v>115.412214356674</v>
      </c>
      <c r="J1110" s="17" t="n">
        <f aca="false">H1110-I1110</f>
        <v>29.4535104757764</v>
      </c>
      <c r="K1110" s="17" t="n">
        <f aca="false">MAX(B1110-B1109,0)</f>
        <v>105.99</v>
      </c>
      <c r="L1110" s="17" t="n">
        <f aca="false">MAX(B1109-B1110,0)</f>
        <v>0</v>
      </c>
      <c r="M1110" s="17" t="n">
        <f aca="false">(M1109*13+K1110)/14</f>
        <v>81.9739195350232</v>
      </c>
      <c r="N1110" s="17" t="n">
        <f aca="false">(N1109*13+L1110)/14</f>
        <v>49.466285485668</v>
      </c>
      <c r="O1110" s="17" t="n">
        <f aca="false">IF(N1110=0,100,100-100/(1+M1110/N1110))</f>
        <v>62.3659401034249</v>
      </c>
      <c r="P1110" s="17" t="n">
        <f aca="false">AVERAGE(B1091:B1110)+2*STDEV(B1091:B1110)</f>
        <v>12496.9738752576</v>
      </c>
      <c r="Q1110" s="17" t="n">
        <f aca="false">AVERAGE(B1091:B1110)-2*STDEV(B1091:B1110)</f>
        <v>11168.0541247424</v>
      </c>
      <c r="R1110" s="19" t="n">
        <f aca="false">B1110/B1090-1</f>
        <v>0.0799480914900701</v>
      </c>
      <c r="S1110" s="17" t="n">
        <f aca="false">STDEV(C1091:C1110)*SQRT(252)*100</f>
        <v>26.3407393819869</v>
      </c>
      <c r="T1110" s="19" t="n">
        <f aca="false">B1089/B859-1</f>
        <v>0.325938160424957</v>
      </c>
      <c r="U1110" s="19" t="n">
        <f aca="false">B1110/MAX(B859:B1110)-1</f>
        <v>-0.0130694800709149</v>
      </c>
      <c r="V1110" s="17" t="n">
        <f aca="false">(B1110-AVERAGE(B1091:B1110))/STDEV(B1091:B1110)</f>
        <v>1.2813294402012</v>
      </c>
    </row>
    <row r="1111" customFormat="false" ht="15" hidden="false" customHeight="false" outlineLevel="0" collapsed="false">
      <c r="A1111" s="17" t="s">
        <v>1675</v>
      </c>
      <c r="B1111" s="17" t="n">
        <v>12268.32</v>
      </c>
      <c r="C1111" s="19" t="n">
        <f aca="false">B1111/B1110-1</f>
        <v>0.000824753369374598</v>
      </c>
      <c r="D1111" s="17" t="n">
        <f aca="false">AVERAGE(B1062:B1111)</f>
        <v>11646.5634</v>
      </c>
      <c r="E1111" s="17" t="n">
        <f aca="false">AVERAGE(B912:B1111)</f>
        <v>10193.7025</v>
      </c>
      <c r="F1111" s="17" t="n">
        <f aca="false">B1111*2/13+F1110*11/13</f>
        <v>12031.506832375</v>
      </c>
      <c r="G1111" s="17" t="n">
        <f aca="false">B1111*2/27+G1110*25/27</f>
        <v>11875.0460814578</v>
      </c>
      <c r="H1111" s="17" t="n">
        <f aca="false">F1111-G1111</f>
        <v>156.460750917251</v>
      </c>
      <c r="I1111" s="17" t="n">
        <f aca="false">H1111*2/10+I1110*8/10</f>
        <v>123.62192166879</v>
      </c>
      <c r="J1111" s="17" t="n">
        <f aca="false">H1111-I1111</f>
        <v>32.8388292484614</v>
      </c>
      <c r="K1111" s="17" t="n">
        <f aca="false">MAX(B1111-B1110,0)</f>
        <v>10.1100000000006</v>
      </c>
      <c r="L1111" s="17" t="n">
        <f aca="false">MAX(B1110-B1111,0)</f>
        <v>0</v>
      </c>
      <c r="M1111" s="17" t="n">
        <f aca="false">(M1110*13+K1111)/14</f>
        <v>76.8407824253787</v>
      </c>
      <c r="N1111" s="17" t="n">
        <f aca="false">(N1110*13+L1111)/14</f>
        <v>45.9329793795489</v>
      </c>
      <c r="O1111" s="17" t="n">
        <f aca="false">IF(N1111=0,100,100-100/(1+M1111/N1111))</f>
        <v>62.5872998397404</v>
      </c>
      <c r="P1111" s="17" t="n">
        <f aca="false">AVERAGE(B1092:B1111)+2*STDEV(B1092:B1111)</f>
        <v>12474.6617177364</v>
      </c>
      <c r="Q1111" s="17" t="n">
        <f aca="false">AVERAGE(B1092:B1111)-2*STDEV(B1092:B1111)</f>
        <v>11311.9032822636</v>
      </c>
      <c r="R1111" s="19" t="n">
        <f aca="false">B1111/B1091-1</f>
        <v>0.109958879756083</v>
      </c>
      <c r="S1111" s="17" t="n">
        <f aca="false">STDEV(C1092:C1111)*SQRT(252)*100</f>
        <v>23.8577097923921</v>
      </c>
      <c r="T1111" s="19" t="n">
        <f aca="false">B1090/B860-1</f>
        <v>0.366035001913528</v>
      </c>
      <c r="U1111" s="19" t="n">
        <f aca="false">B1111/MAX(B860:B1111)-1</f>
        <v>-0.0122555057992648</v>
      </c>
      <c r="V1111" s="17" t="n">
        <f aca="false">(B1111-AVERAGE(B1092:B1111))/STDEV(B1092:B1111)</f>
        <v>1.29016479625883</v>
      </c>
    </row>
    <row r="1112" customFormat="false" ht="15" hidden="false" customHeight="false" outlineLevel="0" collapsed="false">
      <c r="A1112" s="17" t="s">
        <v>1676</v>
      </c>
      <c r="B1112" s="17" t="n">
        <v>12455.33</v>
      </c>
      <c r="C1112" s="19" t="n">
        <f aca="false">B1112/B1111-1</f>
        <v>0.0152433258995528</v>
      </c>
      <c r="D1112" s="17" t="n">
        <f aca="false">AVERAGE(B1063:B1112)</f>
        <v>11676.0656</v>
      </c>
      <c r="E1112" s="17" t="n">
        <f aca="false">AVERAGE(B913:B1112)</f>
        <v>10207.83015</v>
      </c>
      <c r="F1112" s="17" t="n">
        <f aca="false">B1112*2/13+F1111*11/13</f>
        <v>12096.710396625</v>
      </c>
      <c r="G1112" s="17" t="n">
        <f aca="false">B1112*2/27+G1111*25/27</f>
        <v>11918.0300754239</v>
      </c>
      <c r="H1112" s="17" t="n">
        <f aca="false">F1112-G1112</f>
        <v>178.680321201156</v>
      </c>
      <c r="I1112" s="17" t="n">
        <f aca="false">H1112*2/10+I1111*8/10</f>
        <v>134.633601575263</v>
      </c>
      <c r="J1112" s="17" t="n">
        <f aca="false">H1112-I1112</f>
        <v>44.0467196258934</v>
      </c>
      <c r="K1112" s="17" t="n">
        <f aca="false">MAX(B1112-B1111,0)</f>
        <v>187.01</v>
      </c>
      <c r="L1112" s="17" t="n">
        <f aca="false">MAX(B1111-B1112,0)</f>
        <v>0</v>
      </c>
      <c r="M1112" s="17" t="n">
        <f aca="false">(M1111*13+K1112)/14</f>
        <v>84.7100122521374</v>
      </c>
      <c r="N1112" s="17" t="n">
        <f aca="false">(N1111*13+L1112)/14</f>
        <v>42.6520522810097</v>
      </c>
      <c r="O1112" s="17" t="n">
        <f aca="false">IF(N1112=0,100,100-100/(1+M1112/N1112))</f>
        <v>66.5111802031844</v>
      </c>
      <c r="P1112" s="17" t="n">
        <f aca="false">AVERAGE(B1093:B1112)+2*STDEV(B1093:B1112)</f>
        <v>12458.9129546765</v>
      </c>
      <c r="Q1112" s="17" t="n">
        <f aca="false">AVERAGE(B1093:B1112)-2*STDEV(B1093:B1112)</f>
        <v>11464.7090453235</v>
      </c>
      <c r="R1112" s="19" t="n">
        <f aca="false">B1112/B1092-1</f>
        <v>0.123644535380107</v>
      </c>
      <c r="S1112" s="17" t="n">
        <f aca="false">STDEV(C1093:C1112)*SQRT(252)*100</f>
        <v>24.0913625808976</v>
      </c>
      <c r="T1112" s="19" t="n">
        <f aca="false">B1091/B861-1</f>
        <v>0.338982209009612</v>
      </c>
      <c r="U1112" s="19" t="n">
        <f aca="false">B1112/MAX(B861:B1112)-1</f>
        <v>0</v>
      </c>
      <c r="V1112" s="17" t="n">
        <f aca="false">(B1112-AVERAGE(B1093:B1112))/STDEV(B1093:B1112)</f>
        <v>1.9855846284942</v>
      </c>
    </row>
    <row r="1113" customFormat="false" ht="15" hidden="false" customHeight="false" outlineLevel="0" collapsed="false">
      <c r="A1113" s="17" t="s">
        <v>1677</v>
      </c>
      <c r="B1113" s="17" t="n">
        <v>12456.41</v>
      </c>
      <c r="C1113" s="19" t="n">
        <f aca="false">B1113/B1112-1</f>
        <v>8.67098663783761E-005</v>
      </c>
      <c r="D1113" s="17" t="n">
        <f aca="false">AVERAGE(B1064:B1113)</f>
        <v>11701.4664</v>
      </c>
      <c r="E1113" s="17" t="n">
        <f aca="false">AVERAGE(B914:B1113)</f>
        <v>10221.51855</v>
      </c>
      <c r="F1113" s="17" t="n">
        <f aca="false">B1113*2/13+F1112*11/13</f>
        <v>12152.0487971442</v>
      </c>
      <c r="G1113" s="17" t="n">
        <f aca="false">B1113*2/27+G1112*25/27</f>
        <v>11957.9100698369</v>
      </c>
      <c r="H1113" s="17" t="n">
        <f aca="false">F1113-G1113</f>
        <v>194.138727307336</v>
      </c>
      <c r="I1113" s="17" t="n">
        <f aca="false">H1113*2/10+I1112*8/10</f>
        <v>146.534626721678</v>
      </c>
      <c r="J1113" s="17" t="n">
        <f aca="false">H1113-I1113</f>
        <v>47.6041005856584</v>
      </c>
      <c r="K1113" s="17" t="n">
        <f aca="false">MAX(B1113-B1112,0)</f>
        <v>1.07999999999993</v>
      </c>
      <c r="L1113" s="17" t="n">
        <f aca="false">MAX(B1112-B1113,0)</f>
        <v>0</v>
      </c>
      <c r="M1113" s="17" t="n">
        <f aca="false">(M1112*13+K1113)/14</f>
        <v>78.7364399484133</v>
      </c>
      <c r="N1113" s="17" t="n">
        <f aca="false">(N1112*13+L1113)/14</f>
        <v>39.6054771180804</v>
      </c>
      <c r="O1113" s="17" t="n">
        <f aca="false">IF(N1113=0,100,100-100/(1+M1113/N1113))</f>
        <v>66.5330103653577</v>
      </c>
      <c r="P1113" s="17" t="n">
        <f aca="false">AVERAGE(B1094:B1113)+2*STDEV(B1094:B1113)</f>
        <v>12452.0853964058</v>
      </c>
      <c r="Q1113" s="17" t="n">
        <f aca="false">AVERAGE(B1094:B1113)-2*STDEV(B1094:B1113)</f>
        <v>11589.1866035942</v>
      </c>
      <c r="R1113" s="19" t="n">
        <f aca="false">B1113/B1093-1</f>
        <v>0.104300477574732</v>
      </c>
      <c r="S1113" s="17" t="n">
        <f aca="false">STDEV(C1094:C1113)*SQRT(252)*100</f>
        <v>23.7680507247349</v>
      </c>
      <c r="T1113" s="19" t="n">
        <f aca="false">B1092/B862-1</f>
        <v>0.336071827619499</v>
      </c>
      <c r="U1113" s="19" t="n">
        <f aca="false">B1113/MAX(B862:B1113)-1</f>
        <v>0</v>
      </c>
      <c r="V1113" s="17" t="n">
        <f aca="false">(B1113-AVERAGE(B1094:B1113))/STDEV(B1094:B1113)</f>
        <v>2.0200468635729</v>
      </c>
    </row>
    <row r="1114" customFormat="false" ht="15" hidden="false" customHeight="false" outlineLevel="0" collapsed="false">
      <c r="A1114" s="17" t="s">
        <v>1678</v>
      </c>
      <c r="B1114" s="17" t="n">
        <v>12467.13</v>
      </c>
      <c r="C1114" s="19" t="n">
        <f aca="false">B1114/B1113-1</f>
        <v>0.000860601088114477</v>
      </c>
      <c r="D1114" s="17" t="n">
        <f aca="false">AVERAGE(B1065:B1114)</f>
        <v>11734.1424</v>
      </c>
      <c r="E1114" s="17" t="n">
        <f aca="false">AVERAGE(B915:B1114)</f>
        <v>10235.71505</v>
      </c>
      <c r="F1114" s="17" t="n">
        <f aca="false">B1114*2/13+F1113*11/13</f>
        <v>12200.5228283528</v>
      </c>
      <c r="G1114" s="17" t="n">
        <f aca="false">B1114*2/27+G1113*25/27</f>
        <v>11995.6300646638</v>
      </c>
      <c r="H1114" s="17" t="n">
        <f aca="false">F1114-G1114</f>
        <v>204.892763689017</v>
      </c>
      <c r="I1114" s="17" t="n">
        <f aca="false">H1114*2/10+I1113*8/10</f>
        <v>158.206254115145</v>
      </c>
      <c r="J1114" s="17" t="n">
        <f aca="false">H1114-I1114</f>
        <v>46.6865095738712</v>
      </c>
      <c r="K1114" s="17" t="n">
        <f aca="false">MAX(B1114-B1113,0)</f>
        <v>10.7199999999993</v>
      </c>
      <c r="L1114" s="17" t="n">
        <f aca="false">MAX(B1113-B1114,0)</f>
        <v>0</v>
      </c>
      <c r="M1114" s="17" t="n">
        <f aca="false">(M1113*13+K1114)/14</f>
        <v>73.8781228092409</v>
      </c>
      <c r="N1114" s="17" t="n">
        <f aca="false">(N1113*13+L1114)/14</f>
        <v>36.776514466789</v>
      </c>
      <c r="O1114" s="17" t="n">
        <f aca="false">IF(N1114=0,100,100-100/(1+M1114/N1114))</f>
        <v>66.7645971537105</v>
      </c>
      <c r="P1114" s="17" t="n">
        <f aca="false">AVERAGE(B1095:B1114)+2*STDEV(B1095:B1114)</f>
        <v>12514.0650250717</v>
      </c>
      <c r="Q1114" s="17" t="n">
        <f aca="false">AVERAGE(B1095:B1114)-2*STDEV(B1095:B1114)</f>
        <v>11596.2179749283</v>
      </c>
      <c r="R1114" s="19" t="n">
        <f aca="false">B1114/B1094-1</f>
        <v>0.0585980154572208</v>
      </c>
      <c r="S1114" s="17" t="n">
        <f aca="false">STDEV(C1095:C1114)*SQRT(252)*100</f>
        <v>18.7948536892126</v>
      </c>
      <c r="T1114" s="19" t="n">
        <f aca="false">B1093/B863-1</f>
        <v>0.357651292667662</v>
      </c>
      <c r="U1114" s="19" t="n">
        <f aca="false">B1114/MAX(B863:B1114)-1</f>
        <v>0</v>
      </c>
      <c r="V1114" s="17" t="n">
        <f aca="false">(B1114-AVERAGE(B1095:B1114))/STDEV(B1095:B1114)</f>
        <v>1.7954560073409</v>
      </c>
    </row>
    <row r="1115" customFormat="false" ht="15" hidden="false" customHeight="false" outlineLevel="0" collapsed="false">
      <c r="A1115" s="17" t="s">
        <v>1679</v>
      </c>
      <c r="B1115" s="17" t="n">
        <v>12528.48</v>
      </c>
      <c r="C1115" s="19" t="n">
        <f aca="false">B1115/B1114-1</f>
        <v>0.00492094010409772</v>
      </c>
      <c r="D1115" s="17" t="n">
        <f aca="false">AVERAGE(B1066:B1115)</f>
        <v>11766.7826</v>
      </c>
      <c r="E1115" s="17" t="n">
        <f aca="false">AVERAGE(B916:B1115)</f>
        <v>10251.124</v>
      </c>
      <c r="F1115" s="17" t="n">
        <f aca="false">B1115*2/13+F1114*11/13</f>
        <v>12250.977777837</v>
      </c>
      <c r="G1115" s="17" t="n">
        <f aca="false">B1115*2/27+G1114*25/27</f>
        <v>12035.1004302443</v>
      </c>
      <c r="H1115" s="17" t="n">
        <f aca="false">F1115-G1115</f>
        <v>215.877347592739</v>
      </c>
      <c r="I1115" s="17" t="n">
        <f aca="false">H1115*2/10+I1114*8/10</f>
        <v>169.740472810664</v>
      </c>
      <c r="J1115" s="17" t="n">
        <f aca="false">H1115-I1115</f>
        <v>46.136874782075</v>
      </c>
      <c r="K1115" s="17" t="n">
        <f aca="false">MAX(B1115-B1114,0)</f>
        <v>61.3500000000004</v>
      </c>
      <c r="L1115" s="17" t="n">
        <f aca="false">MAX(B1114-B1115,0)</f>
        <v>0</v>
      </c>
      <c r="M1115" s="17" t="n">
        <f aca="false">(M1114*13+K1115)/14</f>
        <v>72.9832568942951</v>
      </c>
      <c r="N1115" s="17" t="n">
        <f aca="false">(N1114*13+L1115)/14</f>
        <v>34.149620576304</v>
      </c>
      <c r="O1115" s="17" t="n">
        <f aca="false">IF(N1115=0,100,100-100/(1+M1115/N1115))</f>
        <v>68.1240517546298</v>
      </c>
      <c r="P1115" s="17" t="n">
        <f aca="false">AVERAGE(B1096:B1115)+2*STDEV(B1096:B1115)</f>
        <v>12583.1646617495</v>
      </c>
      <c r="Q1115" s="17" t="n">
        <f aca="false">AVERAGE(B1096:B1115)-2*STDEV(B1096:B1115)</f>
        <v>11572.1593382505</v>
      </c>
      <c r="R1115" s="19" t="n">
        <f aca="false">B1115/B1095-1</f>
        <v>0.0372915540313974</v>
      </c>
      <c r="S1115" s="17" t="n">
        <f aca="false">STDEV(C1096:C1115)*SQRT(252)*100</f>
        <v>16.820875380812</v>
      </c>
      <c r="T1115" s="19" t="n">
        <f aca="false">B1094/B864-1</f>
        <v>0.402465295681862</v>
      </c>
      <c r="U1115" s="19" t="n">
        <f aca="false">B1115/MAX(B864:B1115)-1</f>
        <v>0</v>
      </c>
      <c r="V1115" s="17" t="n">
        <f aca="false">(B1115-AVERAGE(B1096:B1115))/STDEV(B1096:B1115)</f>
        <v>1.7836424379638</v>
      </c>
    </row>
    <row r="1116" customFormat="false" ht="15" hidden="false" customHeight="false" outlineLevel="0" collapsed="false">
      <c r="A1116" s="17" t="s">
        <v>1680</v>
      </c>
      <c r="B1116" s="17" t="n">
        <v>12596.47</v>
      </c>
      <c r="C1116" s="19" t="n">
        <f aca="false">B1116/B1115-1</f>
        <v>0.00542683549800138</v>
      </c>
      <c r="D1116" s="17" t="n">
        <f aca="false">AVERAGE(B1067:B1116)</f>
        <v>11795.6894</v>
      </c>
      <c r="E1116" s="17" t="n">
        <f aca="false">AVERAGE(B917:B1116)</f>
        <v>10268.7082</v>
      </c>
      <c r="F1116" s="17" t="n">
        <f aca="false">B1116*2/13+F1115*11/13</f>
        <v>12304.1304274005</v>
      </c>
      <c r="G1116" s="17" t="n">
        <f aca="false">B1116*2/27+G1115*25/27</f>
        <v>12076.6833613373</v>
      </c>
      <c r="H1116" s="17" t="n">
        <f aca="false">F1116-G1116</f>
        <v>227.447066063258</v>
      </c>
      <c r="I1116" s="17" t="n">
        <f aca="false">H1116*2/10+I1115*8/10</f>
        <v>181.281791461183</v>
      </c>
      <c r="J1116" s="17" t="n">
        <f aca="false">H1116-I1116</f>
        <v>46.1652746020749</v>
      </c>
      <c r="K1116" s="17" t="n">
        <f aca="false">MAX(B1116-B1115,0)</f>
        <v>67.9899999999998</v>
      </c>
      <c r="L1116" s="17" t="n">
        <f aca="false">MAX(B1115-B1116,0)</f>
        <v>0</v>
      </c>
      <c r="M1116" s="17" t="n">
        <f aca="false">(M1115*13+K1116)/14</f>
        <v>72.6265956875597</v>
      </c>
      <c r="N1116" s="17" t="n">
        <f aca="false">(N1115*13+L1116)/14</f>
        <v>31.7103619637109</v>
      </c>
      <c r="O1116" s="17" t="n">
        <f aca="false">IF(N1116=0,100,100-100/(1+M1116/N1116))</f>
        <v>69.6077375864287</v>
      </c>
      <c r="P1116" s="17" t="n">
        <f aca="false">AVERAGE(B1097:B1116)+2*STDEV(B1097:B1116)</f>
        <v>12659.2213134654</v>
      </c>
      <c r="Q1116" s="17" t="n">
        <f aca="false">AVERAGE(B1097:B1116)-2*STDEV(B1097:B1116)</f>
        <v>11546.6146865346</v>
      </c>
      <c r="R1116" s="19" t="n">
        <f aca="false">B1116/B1096-1</f>
        <v>0.0417753187195804</v>
      </c>
      <c r="S1116" s="17" t="n">
        <f aca="false">STDEV(C1097:C1116)*SQRT(252)*100</f>
        <v>16.8641294629538</v>
      </c>
      <c r="T1116" s="19" t="n">
        <f aca="false">B1095/B865-1</f>
        <v>0.444271853483428</v>
      </c>
      <c r="U1116" s="19" t="n">
        <f aca="false">B1116/MAX(B865:B1116)-1</f>
        <v>0</v>
      </c>
      <c r="V1116" s="17" t="n">
        <f aca="false">(B1116-AVERAGE(B1097:B1116))/STDEV(B1097:B1116)</f>
        <v>1.77439892250672</v>
      </c>
    </row>
    <row r="1117" customFormat="false" ht="15" hidden="false" customHeight="false" outlineLevel="0" collapsed="false">
      <c r="A1117" s="17" t="s">
        <v>1681</v>
      </c>
      <c r="B1117" s="17" t="n">
        <v>12635.72</v>
      </c>
      <c r="C1117" s="19" t="n">
        <f aca="false">B1117/B1116-1</f>
        <v>0.00311595232632644</v>
      </c>
      <c r="D1117" s="17" t="n">
        <f aca="false">AVERAGE(B1068:B1117)</f>
        <v>11821.1148</v>
      </c>
      <c r="E1117" s="17" t="n">
        <f aca="false">AVERAGE(B918:B1117)</f>
        <v>10287.71245</v>
      </c>
      <c r="F1117" s="17" t="n">
        <f aca="false">B1117*2/13+F1116*11/13</f>
        <v>12355.1442078005</v>
      </c>
      <c r="G1117" s="17" t="n">
        <f aca="false">B1117*2/27+G1116*25/27</f>
        <v>12118.0934827197</v>
      </c>
      <c r="H1117" s="17" t="n">
        <f aca="false">F1117-G1117</f>
        <v>237.050725080753</v>
      </c>
      <c r="I1117" s="17" t="n">
        <f aca="false">H1117*2/10+I1116*8/10</f>
        <v>192.435578185097</v>
      </c>
      <c r="J1117" s="17" t="n">
        <f aca="false">H1117-I1117</f>
        <v>44.6151468956562</v>
      </c>
      <c r="K1117" s="17" t="n">
        <f aca="false">MAX(B1117-B1116,0)</f>
        <v>39.25</v>
      </c>
      <c r="L1117" s="17" t="n">
        <f aca="false">MAX(B1116-B1117,0)</f>
        <v>0</v>
      </c>
      <c r="M1117" s="17" t="n">
        <f aca="false">(M1116*13+K1117)/14</f>
        <v>70.2425531384483</v>
      </c>
      <c r="N1117" s="17" t="n">
        <f aca="false">(N1116*13+L1117)/14</f>
        <v>29.4453361091601</v>
      </c>
      <c r="O1117" s="17" t="n">
        <f aca="false">IF(N1117=0,100,100-100/(1+M1117/N1117))</f>
        <v>70.4624740965046</v>
      </c>
      <c r="P1117" s="17" t="n">
        <f aca="false">AVERAGE(B1098:B1117)+2*STDEV(B1098:B1117)</f>
        <v>12732.059820321</v>
      </c>
      <c r="Q1117" s="17" t="n">
        <f aca="false">AVERAGE(B1098:B1117)-2*STDEV(B1098:B1117)</f>
        <v>11554.309179679</v>
      </c>
      <c r="R1117" s="19" t="n">
        <f aca="false">B1117/B1097-1</f>
        <v>0.0680729882953985</v>
      </c>
      <c r="S1117" s="17" t="n">
        <f aca="false">STDEV(C1098:C1117)*SQRT(252)*100</f>
        <v>14.3558346515926</v>
      </c>
      <c r="T1117" s="19" t="n">
        <f aca="false">B1096/B866-1</f>
        <v>0.447322273945482</v>
      </c>
      <c r="U1117" s="19" t="n">
        <f aca="false">B1117/MAX(B866:B1117)-1</f>
        <v>0</v>
      </c>
      <c r="V1117" s="17" t="n">
        <f aca="false">(B1117-AVERAGE(B1098:B1117))/STDEV(B1098:B1117)</f>
        <v>1.6728006184111</v>
      </c>
    </row>
    <row r="1118" customFormat="false" ht="15" hidden="false" customHeight="false" outlineLevel="0" collapsed="false">
      <c r="A1118" s="17" t="s">
        <v>1682</v>
      </c>
      <c r="B1118" s="17" t="n">
        <v>12364.64</v>
      </c>
      <c r="C1118" s="19" t="n">
        <f aca="false">B1118/B1117-1</f>
        <v>-0.0214534668384548</v>
      </c>
      <c r="D1118" s="17" t="n">
        <f aca="false">AVERAGE(B1069:B1118)</f>
        <v>11841.9486</v>
      </c>
      <c r="E1118" s="17" t="n">
        <f aca="false">AVERAGE(B919:B1118)</f>
        <v>10305.16685</v>
      </c>
      <c r="F1118" s="17" t="n">
        <f aca="false">B1118*2/13+F1117*11/13</f>
        <v>12356.6050989081</v>
      </c>
      <c r="G1118" s="17" t="n">
        <f aca="false">B1118*2/27+G1117*25/27</f>
        <v>12136.3561877034</v>
      </c>
      <c r="H1118" s="17" t="n">
        <f aca="false">F1118-G1118</f>
        <v>220.248911204651</v>
      </c>
      <c r="I1118" s="17" t="n">
        <f aca="false">H1118*2/10+I1117*8/10</f>
        <v>197.998244789008</v>
      </c>
      <c r="J1118" s="17" t="n">
        <f aca="false">H1118-I1118</f>
        <v>22.2506664156436</v>
      </c>
      <c r="K1118" s="17" t="n">
        <f aca="false">MAX(B1118-B1117,0)</f>
        <v>0</v>
      </c>
      <c r="L1118" s="17" t="n">
        <f aca="false">MAX(B1117-B1118,0)</f>
        <v>271.08</v>
      </c>
      <c r="M1118" s="17" t="n">
        <f aca="false">(M1117*13+K1118)/14</f>
        <v>65.2252279142734</v>
      </c>
      <c r="N1118" s="17" t="n">
        <f aca="false">(N1117*13+L1118)/14</f>
        <v>46.7049549585058</v>
      </c>
      <c r="O1118" s="17" t="n">
        <f aca="false">IF(N1118=0,100,100-100/(1+M1118/N1118))</f>
        <v>58.2731361999193</v>
      </c>
      <c r="P1118" s="17" t="n">
        <f aca="false">AVERAGE(B1099:B1118)+2*STDEV(B1099:B1118)</f>
        <v>12723.0138427363</v>
      </c>
      <c r="Q1118" s="17" t="n">
        <f aca="false">AVERAGE(B1099:B1118)-2*STDEV(B1099:B1118)</f>
        <v>11637.3901572637</v>
      </c>
      <c r="R1118" s="19" t="n">
        <f aca="false">B1118/B1098-1</f>
        <v>0.063689911383835</v>
      </c>
      <c r="S1118" s="17" t="n">
        <f aca="false">STDEV(C1099:C1118)*SQRT(252)*100</f>
        <v>15.177010042434</v>
      </c>
      <c r="T1118" s="19" t="n">
        <f aca="false">B1097/B867-1</f>
        <v>0.407942294120517</v>
      </c>
      <c r="U1118" s="19" t="n">
        <f aca="false">B1118/MAX(B867:B1118)-1</f>
        <v>-0.0214534668384548</v>
      </c>
      <c r="V1118" s="17" t="n">
        <f aca="false">(B1118-AVERAGE(B1099:B1118))/STDEV(B1099:B1118)</f>
        <v>0.679565129125651</v>
      </c>
    </row>
    <row r="1119" customFormat="false" ht="15" hidden="false" customHeight="false" outlineLevel="0" collapsed="false">
      <c r="A1119" s="17" t="s">
        <v>1683</v>
      </c>
      <c r="B1119" s="17" t="n">
        <v>12401.74</v>
      </c>
      <c r="C1119" s="19" t="n">
        <f aca="false">B1119/B1118-1</f>
        <v>0.00300049172478944</v>
      </c>
      <c r="D1119" s="17" t="n">
        <f aca="false">AVERAGE(B1070:B1119)</f>
        <v>11861.6222</v>
      </c>
      <c r="E1119" s="17" t="n">
        <f aca="false">AVERAGE(B920:B1119)</f>
        <v>10324.9922</v>
      </c>
      <c r="F1119" s="17" t="n">
        <f aca="false">B1119*2/13+F1118*11/13</f>
        <v>12363.5489298453</v>
      </c>
      <c r="G1119" s="17" t="n">
        <f aca="false">B1119*2/27+G1118*25/27</f>
        <v>12156.0142478735</v>
      </c>
      <c r="H1119" s="17" t="n">
        <f aca="false">F1119-G1119</f>
        <v>207.534681971754</v>
      </c>
      <c r="I1119" s="17" t="n">
        <f aca="false">H1119*2/10+I1118*8/10</f>
        <v>199.905532225557</v>
      </c>
      <c r="J1119" s="17" t="n">
        <f aca="false">H1119-I1119</f>
        <v>7.62914974619713</v>
      </c>
      <c r="K1119" s="17" t="n">
        <f aca="false">MAX(B1119-B1118,0)</f>
        <v>37.1000000000004</v>
      </c>
      <c r="L1119" s="17" t="n">
        <f aca="false">MAX(B1118-B1119,0)</f>
        <v>0</v>
      </c>
      <c r="M1119" s="17" t="n">
        <f aca="false">(M1118*13+K1119)/14</f>
        <v>63.2162830632539</v>
      </c>
      <c r="N1119" s="17" t="n">
        <f aca="false">(N1118*13+L1119)/14</f>
        <v>43.368886747184</v>
      </c>
      <c r="O1119" s="17" t="n">
        <f aca="false">IF(N1119=0,100,100-100/(1+M1119/N1119))</f>
        <v>59.310580614249</v>
      </c>
      <c r="P1119" s="17" t="n">
        <f aca="false">AVERAGE(B1100:B1119)+2*STDEV(B1100:B1119)</f>
        <v>12739.3823955681</v>
      </c>
      <c r="Q1119" s="17" t="n">
        <f aca="false">AVERAGE(B1100:B1119)-2*STDEV(B1100:B1119)</f>
        <v>11671.9026044319</v>
      </c>
      <c r="R1119" s="19" t="n">
        <f aca="false">B1119/B1099-1</f>
        <v>0.0427825607314598</v>
      </c>
      <c r="S1119" s="17" t="n">
        <f aca="false">STDEV(C1100:C1119)*SQRT(252)*100</f>
        <v>13.2190316805414</v>
      </c>
      <c r="T1119" s="19" t="n">
        <f aca="false">B1098/B868-1</f>
        <v>0.372911423202617</v>
      </c>
      <c r="U1119" s="19" t="n">
        <f aca="false">B1119/MAX(B868:B1119)-1</f>
        <v>-0.0185173460633822</v>
      </c>
      <c r="V1119" s="17" t="n">
        <f aca="false">(B1119-AVERAGE(B1100:B1119))/STDEV(B1100:B1119)</f>
        <v>0.734805479703841</v>
      </c>
    </row>
    <row r="1120" customFormat="false" ht="15" hidden="false" customHeight="false" outlineLevel="0" collapsed="false">
      <c r="A1120" s="17" t="s">
        <v>1684</v>
      </c>
      <c r="B1120" s="17" t="n">
        <v>12375.41</v>
      </c>
      <c r="C1120" s="19" t="n">
        <f aca="false">B1120/B1119-1</f>
        <v>-0.00212308917942161</v>
      </c>
      <c r="D1120" s="17" t="n">
        <f aca="false">AVERAGE(B1071:B1120)</f>
        <v>11877.4664</v>
      </c>
      <c r="E1120" s="17" t="n">
        <f aca="false">AVERAGE(B921:B1120)</f>
        <v>10344.5601</v>
      </c>
      <c r="F1120" s="17" t="n">
        <f aca="false">B1120*2/13+F1119*11/13</f>
        <v>12365.3737098691</v>
      </c>
      <c r="G1120" s="17" t="n">
        <f aca="false">B1120*2/27+G1119*25/27</f>
        <v>12172.2657850681</v>
      </c>
      <c r="H1120" s="17" t="n">
        <f aca="false">F1120-G1120</f>
        <v>193.107924801001</v>
      </c>
      <c r="I1120" s="17" t="n">
        <f aca="false">H1120*2/10+I1119*8/10</f>
        <v>198.546010740646</v>
      </c>
      <c r="J1120" s="17" t="n">
        <f aca="false">H1120-I1120</f>
        <v>-5.43808593964491</v>
      </c>
      <c r="K1120" s="17" t="n">
        <f aca="false">MAX(B1120-B1119,0)</f>
        <v>0</v>
      </c>
      <c r="L1120" s="17" t="n">
        <f aca="false">MAX(B1119-B1120,0)</f>
        <v>26.3299999999999</v>
      </c>
      <c r="M1120" s="17" t="n">
        <f aca="false">(M1119*13+K1120)/14</f>
        <v>58.7008342730215</v>
      </c>
      <c r="N1120" s="17" t="n">
        <f aca="false">(N1119*13+L1120)/14</f>
        <v>42.1518234080994</v>
      </c>
      <c r="O1120" s="17" t="n">
        <f aca="false">IF(N1120=0,100,100-100/(1+M1120/N1120))</f>
        <v>58.204548717619</v>
      </c>
      <c r="P1120" s="17" t="n">
        <f aca="false">AVERAGE(B1101:B1120)+2*STDEV(B1101:B1120)</f>
        <v>12740.6195658361</v>
      </c>
      <c r="Q1120" s="17" t="n">
        <f aca="false">AVERAGE(B1101:B1120)-2*STDEV(B1101:B1120)</f>
        <v>11725.4924341639</v>
      </c>
      <c r="R1120" s="19" t="n">
        <f aca="false">B1120/B1100-1</f>
        <v>0.0463569383637972</v>
      </c>
      <c r="S1120" s="17" t="n">
        <f aca="false">STDEV(C1101:C1120)*SQRT(252)*100</f>
        <v>13.0107260230835</v>
      </c>
      <c r="T1120" s="19" t="n">
        <f aca="false">B1099/B869-1</f>
        <v>0.401194197256975</v>
      </c>
      <c r="U1120" s="19" t="n">
        <f aca="false">B1120/MAX(B869:B1120)-1</f>
        <v>-0.020601121265745</v>
      </c>
      <c r="V1120" s="17" t="n">
        <f aca="false">(B1120-AVERAGE(B1101:B1120))/STDEV(B1101:B1120)</f>
        <v>0.560930727033235</v>
      </c>
    </row>
    <row r="1121" customFormat="false" ht="15" hidden="false" customHeight="false" outlineLevel="0" collapsed="false">
      <c r="A1121" s="17" t="s">
        <v>1685</v>
      </c>
      <c r="B1121" s="17" t="n">
        <v>12462.21</v>
      </c>
      <c r="C1121" s="19" t="n">
        <f aca="false">B1121/B1120-1</f>
        <v>0.0070139090341248</v>
      </c>
      <c r="D1121" s="17" t="n">
        <f aca="false">AVERAGE(B1072:B1121)</f>
        <v>11901.5968</v>
      </c>
      <c r="E1121" s="17" t="n">
        <f aca="false">AVERAGE(B922:B1121)</f>
        <v>10362.48125</v>
      </c>
      <c r="F1121" s="17" t="n">
        <f aca="false">B1121*2/13+F1120*11/13</f>
        <v>12380.2716006585</v>
      </c>
      <c r="G1121" s="17" t="n">
        <f aca="false">B1121*2/27+G1120*25/27</f>
        <v>12193.7431343223</v>
      </c>
      <c r="H1121" s="17" t="n">
        <f aca="false">F1121-G1121</f>
        <v>186.528466336154</v>
      </c>
      <c r="I1121" s="17" t="n">
        <f aca="false">H1121*2/10+I1120*8/10</f>
        <v>196.142501859748</v>
      </c>
      <c r="J1121" s="17" t="n">
        <f aca="false">H1121-I1121</f>
        <v>-9.61403552359315</v>
      </c>
      <c r="K1121" s="17" t="n">
        <f aca="false">MAX(B1121-B1120,0)</f>
        <v>86.7999999999993</v>
      </c>
      <c r="L1121" s="17" t="n">
        <f aca="false">MAX(B1120-B1121,0)</f>
        <v>0</v>
      </c>
      <c r="M1121" s="17" t="n">
        <f aca="false">(M1120*13+K1121)/14</f>
        <v>60.7079175392342</v>
      </c>
      <c r="N1121" s="17" t="n">
        <f aca="false">(N1120*13+L1121)/14</f>
        <v>39.1409788789494</v>
      </c>
      <c r="O1121" s="17" t="n">
        <f aca="false">IF(N1121=0,100,100-100/(1+M1121/N1121))</f>
        <v>60.7997881969365</v>
      </c>
      <c r="P1121" s="17" t="n">
        <f aca="false">AVERAGE(B1102:B1121)+2*STDEV(B1102:B1121)</f>
        <v>12756.7014684973</v>
      </c>
      <c r="Q1121" s="17" t="n">
        <f aca="false">AVERAGE(B1102:B1121)-2*STDEV(B1102:B1121)</f>
        <v>11761.8475315027</v>
      </c>
      <c r="R1121" s="19" t="n">
        <f aca="false">B1121/B1101-1</f>
        <v>0.0439250316640196</v>
      </c>
      <c r="S1121" s="17" t="n">
        <f aca="false">STDEV(C1102:C1121)*SQRT(252)*100</f>
        <v>12.8677647368786</v>
      </c>
      <c r="T1121" s="19" t="n">
        <f aca="false">B1100/B870-1</f>
        <v>0.380009871265167</v>
      </c>
      <c r="U1121" s="19" t="n">
        <f aca="false">B1121/MAX(B870:B1121)-1</f>
        <v>-0.013731706622179</v>
      </c>
      <c r="V1121" s="17" t="n">
        <f aca="false">(B1121-AVERAGE(B1102:B1121))/STDEV(B1102:B1121)</f>
        <v>0.815940883193583</v>
      </c>
    </row>
    <row r="1122" customFormat="false" ht="15" hidden="false" customHeight="false" outlineLevel="0" collapsed="false">
      <c r="A1122" s="17" t="s">
        <v>1686</v>
      </c>
      <c r="B1122" s="17" t="n">
        <v>12595.92</v>
      </c>
      <c r="C1122" s="19" t="n">
        <f aca="false">B1122/B1121-1</f>
        <v>0.0107292366281744</v>
      </c>
      <c r="D1122" s="17" t="n">
        <f aca="false">AVERAGE(B1073:B1122)</f>
        <v>11923.334</v>
      </c>
      <c r="E1122" s="17" t="n">
        <f aca="false">AVERAGE(B923:B1122)</f>
        <v>10382.4884</v>
      </c>
      <c r="F1122" s="17" t="n">
        <f aca="false">B1122*2/13+F1121*11/13</f>
        <v>12413.4482774802</v>
      </c>
      <c r="G1122" s="17" t="n">
        <f aca="false">B1122*2/27+G1121*25/27</f>
        <v>12223.5340132614</v>
      </c>
      <c r="H1122" s="17" t="n">
        <f aca="false">F1122-G1122</f>
        <v>189.91426421884</v>
      </c>
      <c r="I1122" s="17" t="n">
        <f aca="false">H1122*2/10+I1121*8/10</f>
        <v>194.896854331566</v>
      </c>
      <c r="J1122" s="17" t="n">
        <f aca="false">H1122-I1122</f>
        <v>-4.98259011272617</v>
      </c>
      <c r="K1122" s="17" t="n">
        <f aca="false">MAX(B1122-B1121,0)</f>
        <v>133.710000000001</v>
      </c>
      <c r="L1122" s="17" t="n">
        <f aca="false">MAX(B1121-B1122,0)</f>
        <v>0</v>
      </c>
      <c r="M1122" s="17" t="n">
        <f aca="false">(M1121*13+K1122)/14</f>
        <v>65.9223520007175</v>
      </c>
      <c r="N1122" s="17" t="n">
        <f aca="false">(N1121*13+L1122)/14</f>
        <v>36.3451946733102</v>
      </c>
      <c r="O1122" s="17" t="n">
        <f aca="false">IF(N1122=0,100,100-100/(1+M1122/N1122))</f>
        <v>64.4606760841164</v>
      </c>
      <c r="P1122" s="17" t="n">
        <f aca="false">AVERAGE(B1103:B1122)+2*STDEV(B1103:B1122)</f>
        <v>12793.3679903223</v>
      </c>
      <c r="Q1122" s="17" t="n">
        <f aca="false">AVERAGE(B1103:B1122)-2*STDEV(B1103:B1122)</f>
        <v>11783.4350096777</v>
      </c>
      <c r="R1122" s="19" t="n">
        <f aca="false">B1122/B1102-1</f>
        <v>0.0484909326101397</v>
      </c>
      <c r="S1122" s="17" t="n">
        <f aca="false">STDEV(C1103:C1122)*SQRT(252)*100</f>
        <v>13.1476063080989</v>
      </c>
      <c r="T1122" s="19" t="n">
        <f aca="false">B1101/B871-1</f>
        <v>0.392054292944016</v>
      </c>
      <c r="U1122" s="19" t="n">
        <f aca="false">B1122/MAX(B871:B1122)-1</f>
        <v>-0.00314980072366267</v>
      </c>
      <c r="V1122" s="17" t="n">
        <f aca="false">(B1122-AVERAGE(B1103:B1122))/STDEV(B1103:B1122)</f>
        <v>1.217975869265</v>
      </c>
    </row>
    <row r="1123" customFormat="false" ht="15" hidden="false" customHeight="false" outlineLevel="0" collapsed="false">
      <c r="A1123" s="17" t="s">
        <v>1687</v>
      </c>
      <c r="B1123" s="17" t="n">
        <v>12668.16</v>
      </c>
      <c r="C1123" s="19" t="n">
        <f aca="false">B1123/B1122-1</f>
        <v>0.0057351904426195</v>
      </c>
      <c r="D1123" s="17" t="n">
        <f aca="false">AVERAGE(B1074:B1123)</f>
        <v>11950.8718</v>
      </c>
      <c r="E1123" s="17" t="n">
        <f aca="false">AVERAGE(B924:B1123)</f>
        <v>10401.0828</v>
      </c>
      <c r="F1123" s="17" t="n">
        <f aca="false">B1123*2/13+F1122*11/13</f>
        <v>12452.6346963294</v>
      </c>
      <c r="G1123" s="17" t="n">
        <f aca="false">B1123*2/27+G1122*25/27</f>
        <v>12256.4692715383</v>
      </c>
      <c r="H1123" s="17" t="n">
        <f aca="false">F1123-G1123</f>
        <v>196.165424791101</v>
      </c>
      <c r="I1123" s="17" t="n">
        <f aca="false">H1123*2/10+I1122*8/10</f>
        <v>195.150568423473</v>
      </c>
      <c r="J1123" s="17" t="n">
        <f aca="false">H1123-I1123</f>
        <v>1.014856367628</v>
      </c>
      <c r="K1123" s="17" t="n">
        <f aca="false">MAX(B1123-B1122,0)</f>
        <v>72.2399999999998</v>
      </c>
      <c r="L1123" s="17" t="n">
        <f aca="false">MAX(B1122-B1123,0)</f>
        <v>0</v>
      </c>
      <c r="M1123" s="17" t="n">
        <f aca="false">(M1122*13+K1123)/14</f>
        <v>66.3736125720948</v>
      </c>
      <c r="N1123" s="17" t="n">
        <f aca="false">(N1122*13+L1123)/14</f>
        <v>33.7491093395023</v>
      </c>
      <c r="O1123" s="17" t="n">
        <f aca="false">IF(N1123=0,100,100-100/(1+M1123/N1123))</f>
        <v>66.2922574465156</v>
      </c>
      <c r="P1123" s="17" t="n">
        <f aca="false">AVERAGE(B1104:B1123)+2*STDEV(B1104:B1123)</f>
        <v>12832.8178137193</v>
      </c>
      <c r="Q1123" s="17" t="n">
        <f aca="false">AVERAGE(B1104:B1123)-2*STDEV(B1104:B1123)</f>
        <v>11813.0521862807</v>
      </c>
      <c r="R1123" s="19" t="n">
        <f aca="false">B1123/B1103-1</f>
        <v>0.0576640013892726</v>
      </c>
      <c r="S1123" s="17" t="n">
        <f aca="false">STDEV(C1104:C1123)*SQRT(252)*100</f>
        <v>13.0373896068592</v>
      </c>
      <c r="T1123" s="19" t="n">
        <f aca="false">B1102/B872-1</f>
        <v>0.400059669347902</v>
      </c>
      <c r="U1123" s="19" t="n">
        <f aca="false">B1123/MAX(B872:B1123)-1</f>
        <v>0</v>
      </c>
      <c r="V1123" s="17" t="n">
        <f aca="false">(B1123-AVERAGE(B1104:B1123))/STDEV(B1104:B1123)</f>
        <v>1.35413467844417</v>
      </c>
    </row>
    <row r="1124" customFormat="false" ht="15" hidden="false" customHeight="false" outlineLevel="0" collapsed="false">
      <c r="A1124" s="17" t="s">
        <v>1688</v>
      </c>
      <c r="B1124" s="17" t="n">
        <v>12752.06</v>
      </c>
      <c r="C1124" s="19" t="n">
        <f aca="false">B1124/B1123-1</f>
        <v>0.00662290340507221</v>
      </c>
      <c r="D1124" s="17" t="n">
        <f aca="false">AVERAGE(B1075:B1124)</f>
        <v>11975.8492</v>
      </c>
      <c r="E1124" s="17" t="n">
        <f aca="false">AVERAGE(B925:B1124)</f>
        <v>10421.4848</v>
      </c>
      <c r="F1124" s="17" t="n">
        <f aca="false">B1124*2/13+F1123*11/13</f>
        <v>12498.7001276634</v>
      </c>
      <c r="G1124" s="17" t="n">
        <f aca="false">B1124*2/27+G1123*25/27</f>
        <v>12293.1796958688</v>
      </c>
      <c r="H1124" s="17" t="n">
        <f aca="false">F1124-G1124</f>
        <v>205.520431794539</v>
      </c>
      <c r="I1124" s="17" t="n">
        <f aca="false">H1124*2/10+I1123*8/10</f>
        <v>197.224541097686</v>
      </c>
      <c r="J1124" s="17" t="n">
        <f aca="false">H1124-I1124</f>
        <v>8.29589069685281</v>
      </c>
      <c r="K1124" s="17" t="n">
        <f aca="false">MAX(B1124-B1123,0)</f>
        <v>83.8999999999996</v>
      </c>
      <c r="L1124" s="17" t="n">
        <f aca="false">MAX(B1123-B1124,0)</f>
        <v>0</v>
      </c>
      <c r="M1124" s="17" t="n">
        <f aca="false">(M1123*13+K1124)/14</f>
        <v>67.6254973883738</v>
      </c>
      <c r="N1124" s="17" t="n">
        <f aca="false">(N1123*13+L1124)/14</f>
        <v>31.338458672395</v>
      </c>
      <c r="O1124" s="17" t="n">
        <f aca="false">IF(N1124=0,100,100-100/(1+M1124/N1124))</f>
        <v>68.333462080728</v>
      </c>
      <c r="P1124" s="17" t="n">
        <f aca="false">AVERAGE(B1105:B1124)+2*STDEV(B1105:B1124)</f>
        <v>12868.2023117614</v>
      </c>
      <c r="Q1124" s="17" t="n">
        <f aca="false">AVERAGE(B1105:B1124)-2*STDEV(B1105:B1124)</f>
        <v>11863.4026882386</v>
      </c>
      <c r="R1124" s="19" t="n">
        <f aca="false">B1124/B1104-1</f>
        <v>0.0720782599996133</v>
      </c>
      <c r="S1124" s="17" t="n">
        <f aca="false">STDEV(C1105:C1124)*SQRT(252)*100</f>
        <v>12.5717129296089</v>
      </c>
      <c r="T1124" s="19" t="n">
        <f aca="false">B1103/B873-1</f>
        <v>0.386076615875639</v>
      </c>
      <c r="U1124" s="19" t="n">
        <f aca="false">B1124/MAX(B873:B1124)-1</f>
        <v>0</v>
      </c>
      <c r="V1124" s="17" t="n">
        <f aca="false">(B1124-AVERAGE(B1105:B1124))/STDEV(B1105:B1124)</f>
        <v>1.53764985956419</v>
      </c>
    </row>
    <row r="1125" customFormat="false" ht="15" hidden="false" customHeight="false" outlineLevel="0" collapsed="false">
      <c r="A1125" s="17" t="s">
        <v>1689</v>
      </c>
      <c r="B1125" s="17" t="n">
        <v>12738.18</v>
      </c>
      <c r="C1125" s="19" t="n">
        <f aca="false">B1125/B1124-1</f>
        <v>-0.00108845159135063</v>
      </c>
      <c r="D1125" s="17" t="n">
        <f aca="false">AVERAGE(B1076:B1125)</f>
        <v>11999.594</v>
      </c>
      <c r="E1125" s="17" t="n">
        <f aca="false">AVERAGE(B926:B1125)</f>
        <v>10442.524</v>
      </c>
      <c r="F1125" s="17" t="n">
        <f aca="false">B1125*2/13+F1124*11/13</f>
        <v>12535.5431849459</v>
      </c>
      <c r="G1125" s="17" t="n">
        <f aca="false">B1125*2/27+G1124*25/27</f>
        <v>12326.14268136</v>
      </c>
      <c r="H1125" s="17" t="n">
        <f aca="false">F1125-G1125</f>
        <v>209.400503585899</v>
      </c>
      <c r="I1125" s="17" t="n">
        <f aca="false">H1125*2/10+I1124*8/10</f>
        <v>199.659733595329</v>
      </c>
      <c r="J1125" s="17" t="n">
        <f aca="false">H1125-I1125</f>
        <v>9.74076999057024</v>
      </c>
      <c r="K1125" s="17" t="n">
        <f aca="false">MAX(B1125-B1124,0)</f>
        <v>0</v>
      </c>
      <c r="L1125" s="17" t="n">
        <f aca="false">MAX(B1124-B1125,0)</f>
        <v>13.8799999999992</v>
      </c>
      <c r="M1125" s="17" t="n">
        <f aca="false">(M1124*13+K1125)/14</f>
        <v>62.7951047177756</v>
      </c>
      <c r="N1125" s="17" t="n">
        <f aca="false">(N1124*13+L1125)/14</f>
        <v>30.091425910081</v>
      </c>
      <c r="O1125" s="17" t="n">
        <f aca="false">IF(N1125=0,100,100-100/(1+M1125/N1125))</f>
        <v>67.6041017931435</v>
      </c>
      <c r="P1125" s="17" t="n">
        <f aca="false">AVERAGE(B1106:B1125)+2*STDEV(B1106:B1125)</f>
        <v>12898.5905028405</v>
      </c>
      <c r="Q1125" s="17" t="n">
        <f aca="false">AVERAGE(B1106:B1125)-2*STDEV(B1106:B1125)</f>
        <v>11908.2894971595</v>
      </c>
      <c r="R1125" s="19" t="n">
        <f aca="false">B1125/B1105-1</f>
        <v>0.0628054229176591</v>
      </c>
      <c r="S1125" s="17" t="n">
        <f aca="false">STDEV(C1106:C1125)*SQRT(252)*100</f>
        <v>12.5743614017488</v>
      </c>
      <c r="T1125" s="19" t="n">
        <f aca="false">B1104/B874-1</f>
        <v>0.370596728232676</v>
      </c>
      <c r="U1125" s="19" t="n">
        <f aca="false">B1125/MAX(B874:B1125)-1</f>
        <v>-0.00108845159135063</v>
      </c>
      <c r="V1125" s="17" t="n">
        <f aca="false">(B1125-AVERAGE(B1106:B1125))/STDEV(B1106:B1125)</f>
        <v>1.35207375567529</v>
      </c>
    </row>
    <row r="1126" customFormat="false" ht="15" hidden="false" customHeight="false" outlineLevel="0" collapsed="false">
      <c r="A1126" s="17" t="s">
        <v>1690</v>
      </c>
      <c r="B1126" s="17" t="n">
        <v>12690.26</v>
      </c>
      <c r="C1126" s="19" t="n">
        <f aca="false">B1126/B1125-1</f>
        <v>-0.00376191889265187</v>
      </c>
      <c r="D1126" s="17" t="n">
        <f aca="false">AVERAGE(B1077:B1126)</f>
        <v>12018.8822</v>
      </c>
      <c r="E1126" s="17" t="n">
        <f aca="false">AVERAGE(B927:B1126)</f>
        <v>10466.23515</v>
      </c>
      <c r="F1126" s="17" t="n">
        <f aca="false">B1126*2/13+F1125*11/13</f>
        <v>12559.3457718773</v>
      </c>
      <c r="G1126" s="17" t="n">
        <f aca="false">B1126*2/27+G1125*25/27</f>
        <v>12353.1143345926</v>
      </c>
      <c r="H1126" s="17" t="n">
        <f aca="false">F1126-G1126</f>
        <v>206.231437284703</v>
      </c>
      <c r="I1126" s="17" t="n">
        <f aca="false">H1126*2/10+I1125*8/10</f>
        <v>200.974074333204</v>
      </c>
      <c r="J1126" s="17" t="n">
        <f aca="false">H1126-I1126</f>
        <v>5.25736295149946</v>
      </c>
      <c r="K1126" s="17" t="n">
        <f aca="false">MAX(B1126-B1125,0)</f>
        <v>0</v>
      </c>
      <c r="L1126" s="17" t="n">
        <f aca="false">MAX(B1125-B1126,0)</f>
        <v>47.9200000000001</v>
      </c>
      <c r="M1126" s="17" t="n">
        <f aca="false">(M1125*13+K1126)/14</f>
        <v>58.3097400950774</v>
      </c>
      <c r="N1126" s="17" t="n">
        <f aca="false">(N1125*13+L1126)/14</f>
        <v>31.3648954879324</v>
      </c>
      <c r="O1126" s="17" t="n">
        <f aca="false">IF(N1126=0,100,100-100/(1+M1126/N1126))</f>
        <v>65.0236710927042</v>
      </c>
      <c r="P1126" s="17" t="n">
        <f aca="false">AVERAGE(B1107:B1126)+2*STDEV(B1107:B1126)</f>
        <v>12894.3213037725</v>
      </c>
      <c r="Q1126" s="17" t="n">
        <f aca="false">AVERAGE(B1107:B1126)-2*STDEV(B1107:B1126)</f>
        <v>11990.9406962275</v>
      </c>
      <c r="R1126" s="19" t="n">
        <f aca="false">B1126/B1106-1</f>
        <v>0.0658316003776107</v>
      </c>
      <c r="S1126" s="17" t="n">
        <f aca="false">STDEV(C1107:C1126)*SQRT(252)*100</f>
        <v>12.3234166407742</v>
      </c>
      <c r="T1126" s="19" t="n">
        <f aca="false">B1105/B875-1</f>
        <v>0.378267734282734</v>
      </c>
      <c r="U1126" s="19" t="n">
        <f aca="false">B1126/MAX(B875:B1126)-1</f>
        <v>-0.00484627581739727</v>
      </c>
      <c r="V1126" s="17" t="n">
        <f aca="false">(B1126-AVERAGE(B1107:B1126))/STDEV(B1107:B1126)</f>
        <v>1.09645479626995</v>
      </c>
    </row>
    <row r="1127" customFormat="false" ht="15" hidden="false" customHeight="false" outlineLevel="0" collapsed="false">
      <c r="A1127" s="17" t="s">
        <v>1691</v>
      </c>
      <c r="B1127" s="17" t="n">
        <v>12717.56</v>
      </c>
      <c r="C1127" s="19" t="n">
        <f aca="false">B1127/B1126-1</f>
        <v>0.00215125616023615</v>
      </c>
      <c r="D1127" s="17" t="n">
        <f aca="false">AVERAGE(B1078:B1127)</f>
        <v>12031.4712</v>
      </c>
      <c r="E1127" s="17" t="n">
        <f aca="false">AVERAGE(B928:B1127)</f>
        <v>10487.9616</v>
      </c>
      <c r="F1127" s="17" t="n">
        <f aca="false">B1127*2/13+F1126*11/13</f>
        <v>12583.6864223577</v>
      </c>
      <c r="G1127" s="17" t="n">
        <f aca="false">B1127*2/27+G1126*25/27</f>
        <v>12380.110309808</v>
      </c>
      <c r="H1127" s="17" t="n">
        <f aca="false">F1127-G1127</f>
        <v>203.576112549754</v>
      </c>
      <c r="I1127" s="17" t="n">
        <f aca="false">H1127*2/10+I1126*8/10</f>
        <v>201.494481976514</v>
      </c>
      <c r="J1127" s="17" t="n">
        <f aca="false">H1127-I1127</f>
        <v>2.08163057324012</v>
      </c>
      <c r="K1127" s="17" t="n">
        <f aca="false">MAX(B1127-B1126,0)</f>
        <v>27.2999999999993</v>
      </c>
      <c r="L1127" s="17" t="n">
        <f aca="false">MAX(B1126-B1127,0)</f>
        <v>0</v>
      </c>
      <c r="M1127" s="17" t="n">
        <f aca="false">(M1126*13+K1127)/14</f>
        <v>56.0947586597147</v>
      </c>
      <c r="N1127" s="17" t="n">
        <f aca="false">(N1126*13+L1127)/14</f>
        <v>29.1245458102229</v>
      </c>
      <c r="O1127" s="17" t="n">
        <f aca="false">IF(N1127=0,100,100-100/(1+M1127/N1127))</f>
        <v>65.8240043246339</v>
      </c>
      <c r="P1127" s="17" t="n">
        <f aca="false">AVERAGE(B1108:B1127)+2*STDEV(B1108:B1127)</f>
        <v>12873.5497739235</v>
      </c>
      <c r="Q1127" s="17" t="n">
        <f aca="false">AVERAGE(B1108:B1127)-2*STDEV(B1108:B1127)</f>
        <v>12092.8742260765</v>
      </c>
      <c r="R1127" s="19" t="n">
        <f aca="false">B1127/B1107-1</f>
        <v>0.068169333962711</v>
      </c>
      <c r="S1127" s="17" t="n">
        <f aca="false">STDEV(C1108:C1127)*SQRT(252)*100</f>
        <v>12.2708592967325</v>
      </c>
      <c r="T1127" s="19" t="n">
        <f aca="false">B1106/B876-1</f>
        <v>0.368633405789522</v>
      </c>
      <c r="U1127" s="19" t="n">
        <f aca="false">B1127/MAX(B876:B1127)-1</f>
        <v>-0.00270544523786742</v>
      </c>
      <c r="V1127" s="17" t="n">
        <f aca="false">(B1127-AVERAGE(B1108:B1127))/STDEV(B1108:B1127)</f>
        <v>1.20074466605893</v>
      </c>
    </row>
    <row r="1128" customFormat="false" ht="15" hidden="false" customHeight="false" outlineLevel="0" collapsed="false">
      <c r="A1128" s="17" t="s">
        <v>1692</v>
      </c>
      <c r="B1128" s="17" t="n">
        <v>12653.14</v>
      </c>
      <c r="C1128" s="19" t="n">
        <f aca="false">B1128/B1127-1</f>
        <v>-0.00506543708069784</v>
      </c>
      <c r="D1128" s="17" t="n">
        <f aca="false">AVERAGE(B1079:B1128)</f>
        <v>12042.8706</v>
      </c>
      <c r="E1128" s="17" t="n">
        <f aca="false">AVERAGE(B929:B1128)</f>
        <v>10511.1967</v>
      </c>
      <c r="F1128" s="17" t="n">
        <f aca="false">B1128*2/13+F1127*11/13</f>
        <v>12594.3715881489</v>
      </c>
      <c r="G1128" s="17" t="n">
        <f aca="false">B1128*2/27+G1127*25/27</f>
        <v>12400.3347313037</v>
      </c>
      <c r="H1128" s="17" t="n">
        <f aca="false">F1128-G1128</f>
        <v>194.036856845167</v>
      </c>
      <c r="I1128" s="17" t="n">
        <f aca="false">H1128*2/10+I1127*8/10</f>
        <v>200.002956950244</v>
      </c>
      <c r="J1128" s="17" t="n">
        <f aca="false">H1128-I1128</f>
        <v>-5.96610010507754</v>
      </c>
      <c r="K1128" s="17" t="n">
        <f aca="false">MAX(B1128-B1127,0)</f>
        <v>0</v>
      </c>
      <c r="L1128" s="17" t="n">
        <f aca="false">MAX(B1127-B1128,0)</f>
        <v>64.4200000000001</v>
      </c>
      <c r="M1128" s="17" t="n">
        <f aca="false">(M1127*13+K1128)/14</f>
        <v>52.0879901840208</v>
      </c>
      <c r="N1128" s="17" t="n">
        <f aca="false">(N1127*13+L1128)/14</f>
        <v>31.6456496809213</v>
      </c>
      <c r="O1128" s="17" t="n">
        <f aca="false">IF(N1128=0,100,100-100/(1+M1128/N1128))</f>
        <v>62.2067669195271</v>
      </c>
      <c r="P1128" s="17" t="n">
        <f aca="false">AVERAGE(B1109:B1128)+2*STDEV(B1109:B1128)</f>
        <v>12859.330573622</v>
      </c>
      <c r="Q1128" s="17" t="n">
        <f aca="false">AVERAGE(B1109:B1128)-2*STDEV(B1109:B1128)</f>
        <v>12164.426426378</v>
      </c>
      <c r="R1128" s="19" t="n">
        <f aca="false">B1128/B1108-1</f>
        <v>0.0474618392176698</v>
      </c>
      <c r="S1128" s="17" t="n">
        <f aca="false">STDEV(C1109:C1128)*SQRT(252)*100</f>
        <v>11.8535420475022</v>
      </c>
      <c r="T1128" s="19" t="n">
        <f aca="false">B1107/B877-1</f>
        <v>0.356290675540053</v>
      </c>
      <c r="U1128" s="19" t="n">
        <f aca="false">B1128/MAX(B877:B1128)-1</f>
        <v>-0.00775717805593768</v>
      </c>
      <c r="V1128" s="17" t="n">
        <f aca="false">(B1128-AVERAGE(B1109:B1128))/STDEV(B1109:B1128)</f>
        <v>0.813127972024653</v>
      </c>
    </row>
    <row r="1129" customFormat="false" ht="15" hidden="false" customHeight="false" outlineLevel="0" collapsed="false">
      <c r="A1129" s="17" t="s">
        <v>1693</v>
      </c>
      <c r="B1129" s="17" t="n">
        <v>12711.01</v>
      </c>
      <c r="C1129" s="19" t="n">
        <f aca="false">B1129/B1128-1</f>
        <v>0.00457356830004252</v>
      </c>
      <c r="D1129" s="17" t="n">
        <f aca="false">AVERAGE(B1080:B1129)</f>
        <v>12057.3836</v>
      </c>
      <c r="E1129" s="17" t="n">
        <f aca="false">AVERAGE(B930:B1129)</f>
        <v>10538.4335</v>
      </c>
      <c r="F1129" s="17" t="n">
        <f aca="false">B1129*2/13+F1128*11/13</f>
        <v>12612.3159592029</v>
      </c>
      <c r="G1129" s="17" t="n">
        <f aca="false">B1129*2/27+G1128*25/27</f>
        <v>12423.3477141701</v>
      </c>
      <c r="H1129" s="17" t="n">
        <f aca="false">F1129-G1129</f>
        <v>188.968245032796</v>
      </c>
      <c r="I1129" s="17" t="n">
        <f aca="false">H1129*2/10+I1128*8/10</f>
        <v>197.796014566755</v>
      </c>
      <c r="J1129" s="17" t="n">
        <f aca="false">H1129-I1129</f>
        <v>-8.8277695339583</v>
      </c>
      <c r="K1129" s="17" t="n">
        <f aca="false">MAX(B1129-B1128,0)</f>
        <v>57.8700000000008</v>
      </c>
      <c r="L1129" s="17" t="n">
        <f aca="false">MAX(B1128-B1129,0)</f>
        <v>0</v>
      </c>
      <c r="M1129" s="17" t="n">
        <f aca="false">(M1128*13+K1129)/14</f>
        <v>52.5009908851622</v>
      </c>
      <c r="N1129" s="17" t="n">
        <f aca="false">(N1128*13+L1129)/14</f>
        <v>29.3852461322841</v>
      </c>
      <c r="O1129" s="17" t="n">
        <f aca="false">IF(N1129=0,100,100-100/(1+M1129/N1129))</f>
        <v>64.1145481797834</v>
      </c>
      <c r="P1129" s="17" t="n">
        <f aca="false">AVERAGE(B1110:B1129)+2*STDEV(B1110:B1129)</f>
        <v>12853.7475213965</v>
      </c>
      <c r="Q1129" s="17" t="n">
        <f aca="false">AVERAGE(B1110:B1129)-2*STDEV(B1110:B1129)</f>
        <v>12225.8884786035</v>
      </c>
      <c r="R1129" s="19" t="n">
        <f aca="false">B1129/B1109-1</f>
        <v>0.0459825447531399</v>
      </c>
      <c r="S1129" s="17" t="n">
        <f aca="false">STDEV(C1110:C1129)*SQRT(252)*100</f>
        <v>11.8062075892503</v>
      </c>
      <c r="T1129" s="19" t="n">
        <f aca="false">B1108/B878-1</f>
        <v>0.377247468355874</v>
      </c>
      <c r="U1129" s="19" t="n">
        <f aca="false">B1129/MAX(B878:B1129)-1</f>
        <v>-0.00321908773954949</v>
      </c>
      <c r="V1129" s="17" t="n">
        <f aca="false">(B1129-AVERAGE(B1110:B1129))/STDEV(B1110:B1129)</f>
        <v>1.09063970306764</v>
      </c>
    </row>
    <row r="1130" customFormat="false" ht="15" hidden="false" customHeight="false" outlineLevel="0" collapsed="false">
      <c r="A1130" s="17" t="s">
        <v>1694</v>
      </c>
      <c r="B1130" s="17" t="n">
        <v>12838.86</v>
      </c>
      <c r="C1130" s="19" t="n">
        <f aca="false">B1130/B1129-1</f>
        <v>0.0100582093791131</v>
      </c>
      <c r="D1130" s="17" t="n">
        <f aca="false">AVERAGE(B1081:B1130)</f>
        <v>12076.1894</v>
      </c>
      <c r="E1130" s="17" t="n">
        <f aca="false">AVERAGE(B931:B1130)</f>
        <v>10562.6515</v>
      </c>
      <c r="F1130" s="17" t="n">
        <f aca="false">B1130*2/13+F1129*11/13</f>
        <v>12647.1688885563</v>
      </c>
      <c r="G1130" s="17" t="n">
        <f aca="false">B1130*2/27+G1129*25/27</f>
        <v>12454.1264020093</v>
      </c>
      <c r="H1130" s="17" t="n">
        <f aca="false">F1130-G1130</f>
        <v>193.042486546947</v>
      </c>
      <c r="I1130" s="17" t="n">
        <f aca="false">H1130*2/10+I1129*8/10</f>
        <v>196.845308962793</v>
      </c>
      <c r="J1130" s="17" t="n">
        <f aca="false">H1130-I1130</f>
        <v>-3.80282241584638</v>
      </c>
      <c r="K1130" s="17" t="n">
        <f aca="false">MAX(B1130-B1129,0)</f>
        <v>127.85</v>
      </c>
      <c r="L1130" s="17" t="n">
        <f aca="false">MAX(B1129-B1130,0)</f>
        <v>0</v>
      </c>
      <c r="M1130" s="17" t="n">
        <f aca="false">(M1129*13+K1130)/14</f>
        <v>57.8830629647935</v>
      </c>
      <c r="N1130" s="17" t="n">
        <f aca="false">(N1129*13+L1130)/14</f>
        <v>27.2862999799781</v>
      </c>
      <c r="O1130" s="17" t="n">
        <f aca="false">IF(N1130=0,100,100-100/(1+M1130/N1130))</f>
        <v>67.9623058849554</v>
      </c>
      <c r="P1130" s="17" t="n">
        <f aca="false">AVERAGE(B1111:B1130)+2*STDEV(B1111:B1130)</f>
        <v>12880.5136504466</v>
      </c>
      <c r="Q1130" s="17" t="n">
        <f aca="false">AVERAGE(B1111:B1130)-2*STDEV(B1111:B1130)</f>
        <v>12257.1873495534</v>
      </c>
      <c r="R1130" s="19" t="n">
        <f aca="false">B1130/B1110-1</f>
        <v>0.0473682536030955</v>
      </c>
      <c r="S1130" s="17" t="n">
        <f aca="false">STDEV(C1111:C1130)*SQRT(252)*100</f>
        <v>11.912020557965</v>
      </c>
      <c r="T1130" s="19" t="n">
        <f aca="false">B1109/B879-1</f>
        <v>0.3952464657343</v>
      </c>
      <c r="U1130" s="19" t="n">
        <f aca="false">B1130/MAX(B879:B1130)-1</f>
        <v>0</v>
      </c>
      <c r="V1130" s="17" t="n">
        <f aca="false">(B1130-AVERAGE(B1111:B1130))/STDEV(B1111:B1130)</f>
        <v>1.73270083173494</v>
      </c>
    </row>
    <row r="1131" customFormat="false" ht="15" hidden="false" customHeight="false" outlineLevel="0" collapsed="false">
      <c r="A1131" s="17" t="s">
        <v>1695</v>
      </c>
      <c r="B1131" s="17" t="n">
        <v>12843.49</v>
      </c>
      <c r="C1131" s="19" t="n">
        <f aca="false">B1131/B1130-1</f>
        <v>0.000360623918322922</v>
      </c>
      <c r="D1131" s="17" t="n">
        <f aca="false">AVERAGE(B1082:B1131)</f>
        <v>12096.0158</v>
      </c>
      <c r="E1131" s="17" t="n">
        <f aca="false">AVERAGE(B932:B1131)</f>
        <v>10591.76705</v>
      </c>
      <c r="F1131" s="17" t="n">
        <f aca="false">B1131*2/13+F1130*11/13</f>
        <v>12677.3721364707</v>
      </c>
      <c r="G1131" s="17" t="n">
        <f aca="false">B1131*2/27+G1130*25/27</f>
        <v>12482.9681500086</v>
      </c>
      <c r="H1131" s="17" t="n">
        <f aca="false">F1131-G1131</f>
        <v>194.403986462057</v>
      </c>
      <c r="I1131" s="17" t="n">
        <f aca="false">H1131*2/10+I1130*8/10</f>
        <v>196.357044462646</v>
      </c>
      <c r="J1131" s="17" t="n">
        <f aca="false">H1131-I1131</f>
        <v>-1.95305800058873</v>
      </c>
      <c r="K1131" s="17" t="n">
        <f aca="false">MAX(B1131-B1130,0)</f>
        <v>4.6299999999992</v>
      </c>
      <c r="L1131" s="17" t="n">
        <f aca="false">MAX(B1130-B1131,0)</f>
        <v>0</v>
      </c>
      <c r="M1131" s="17" t="n">
        <f aca="false">(M1130*13+K1131)/14</f>
        <v>54.0792727530225</v>
      </c>
      <c r="N1131" s="17" t="n">
        <f aca="false">(N1130*13+L1131)/14</f>
        <v>25.3372785528368</v>
      </c>
      <c r="O1131" s="17" t="n">
        <f aca="false">IF(N1131=0,100,100-100/(1+M1131/N1131))</f>
        <v>68.0957204308022</v>
      </c>
      <c r="P1131" s="17" t="n">
        <f aca="false">AVERAGE(B1112:B1131)+2*STDEV(B1112:B1131)</f>
        <v>12898.4685979523</v>
      </c>
      <c r="Q1131" s="17" t="n">
        <f aca="false">AVERAGE(B1112:B1131)-2*STDEV(B1112:B1131)</f>
        <v>12296.7494020477</v>
      </c>
      <c r="R1131" s="19" t="n">
        <f aca="false">B1131/B1111-1</f>
        <v>0.0468825397446431</v>
      </c>
      <c r="S1131" s="17" t="n">
        <f aca="false">STDEV(C1112:C1131)*SQRT(252)*100</f>
        <v>11.9210053370881</v>
      </c>
      <c r="T1131" s="19" t="n">
        <f aca="false">B1110/B880-1</f>
        <v>0.403654155984093</v>
      </c>
      <c r="U1131" s="19" t="n">
        <f aca="false">B1131/MAX(B880:B1131)-1</f>
        <v>0</v>
      </c>
      <c r="V1131" s="17" t="n">
        <f aca="false">(B1131-AVERAGE(B1112:B1131))/STDEV(B1112:B1131)</f>
        <v>1.63452322394587</v>
      </c>
    </row>
    <row r="1132" customFormat="false" ht="15" hidden="false" customHeight="false" outlineLevel="0" collapsed="false">
      <c r="A1132" s="17" t="s">
        <v>1696</v>
      </c>
      <c r="B1132" s="17" t="n">
        <v>12845.36</v>
      </c>
      <c r="C1132" s="19" t="n">
        <f aca="false">B1132/B1131-1</f>
        <v>0.000145599054462764</v>
      </c>
      <c r="D1132" s="17" t="n">
        <f aca="false">AVERAGE(B1083:B1132)</f>
        <v>12120.236</v>
      </c>
      <c r="E1132" s="17" t="n">
        <f aca="false">AVERAGE(B933:B1132)</f>
        <v>10618.6241</v>
      </c>
      <c r="F1132" s="17" t="n">
        <f aca="false">B1132*2/13+F1131*11/13</f>
        <v>12703.2164231675</v>
      </c>
      <c r="G1132" s="17" t="n">
        <f aca="false">B1132*2/27+G1131*25/27</f>
        <v>12509.8119907487</v>
      </c>
      <c r="H1132" s="17" t="n">
        <f aca="false">F1132-G1132</f>
        <v>193.404432418773</v>
      </c>
      <c r="I1132" s="17" t="n">
        <f aca="false">H1132*2/10+I1131*8/10</f>
        <v>195.766522053871</v>
      </c>
      <c r="J1132" s="17" t="n">
        <f aca="false">H1132-I1132</f>
        <v>-2.3620896350987</v>
      </c>
      <c r="K1132" s="17" t="n">
        <f aca="false">MAX(B1132-B1131,0)</f>
        <v>1.8700000000008</v>
      </c>
      <c r="L1132" s="17" t="n">
        <f aca="false">MAX(B1131-B1132,0)</f>
        <v>0</v>
      </c>
      <c r="M1132" s="17" t="n">
        <f aca="false">(M1131*13+K1132)/14</f>
        <v>50.3500389849495</v>
      </c>
      <c r="N1132" s="17" t="n">
        <f aca="false">(N1131*13+L1132)/14</f>
        <v>23.5274729419199</v>
      </c>
      <c r="O1132" s="17" t="n">
        <f aca="false">IF(N1132=0,100,100-100/(1+M1132/N1132))</f>
        <v>68.1534037513209</v>
      </c>
      <c r="P1132" s="17" t="n">
        <f aca="false">AVERAGE(B1113:B1132)+2*STDEV(B1113:B1132)</f>
        <v>12929.4815472785</v>
      </c>
      <c r="Q1132" s="17" t="n">
        <f aca="false">AVERAGE(B1113:B1132)-2*STDEV(B1113:B1132)</f>
        <v>12304.7394527215</v>
      </c>
      <c r="R1132" s="19" t="n">
        <f aca="false">B1132/B1112-1</f>
        <v>0.031314304799632</v>
      </c>
      <c r="S1132" s="17" t="n">
        <f aca="false">STDEV(C1113:C1132)*SQRT(252)*100</f>
        <v>10.9122046207894</v>
      </c>
      <c r="T1132" s="19" t="n">
        <f aca="false">B1111/B881-1</f>
        <v>0.382779056425562</v>
      </c>
      <c r="U1132" s="19" t="n">
        <f aca="false">B1132/MAX(B881:B1132)-1</f>
        <v>0</v>
      </c>
      <c r="V1132" s="17" t="n">
        <f aca="false">(B1132-AVERAGE(B1113:B1132))/STDEV(B1113:B1132)</f>
        <v>1.46139984475878</v>
      </c>
    </row>
    <row r="1133" customFormat="false" ht="15" hidden="false" customHeight="false" outlineLevel="0" collapsed="false">
      <c r="A1133" s="17" t="s">
        <v>1697</v>
      </c>
      <c r="B1133" s="17" t="n">
        <v>12888.28</v>
      </c>
      <c r="C1133" s="19" t="n">
        <f aca="false">B1133/B1132-1</f>
        <v>0.00334128432367797</v>
      </c>
      <c r="D1133" s="17" t="n">
        <f aca="false">AVERAGE(B1084:B1133)</f>
        <v>12144.4448</v>
      </c>
      <c r="E1133" s="17" t="n">
        <f aca="false">AVERAGE(B934:B1133)</f>
        <v>10647.1896</v>
      </c>
      <c r="F1133" s="17" t="n">
        <f aca="false">B1133*2/13+F1132*11/13</f>
        <v>12731.6877426802</v>
      </c>
      <c r="G1133" s="17" t="n">
        <f aca="false">B1133*2/27+G1132*25/27</f>
        <v>12537.8466581007</v>
      </c>
      <c r="H1133" s="17" t="n">
        <f aca="false">F1133-G1133</f>
        <v>193.841084579517</v>
      </c>
      <c r="I1133" s="17" t="n">
        <f aca="false">H1133*2/10+I1132*8/10</f>
        <v>195.381434559</v>
      </c>
      <c r="J1133" s="17" t="n">
        <f aca="false">H1133-I1133</f>
        <v>-1.54034997948344</v>
      </c>
      <c r="K1133" s="17" t="n">
        <f aca="false">MAX(B1133-B1132,0)</f>
        <v>42.9200000000001</v>
      </c>
      <c r="L1133" s="17" t="n">
        <f aca="false">MAX(B1132-B1133,0)</f>
        <v>0</v>
      </c>
      <c r="M1133" s="17" t="n">
        <f aca="false">(M1132*13+K1133)/14</f>
        <v>49.8193219145959</v>
      </c>
      <c r="N1133" s="17" t="n">
        <f aca="false">(N1132*13+L1133)/14</f>
        <v>21.8469391603542</v>
      </c>
      <c r="O1133" s="17" t="n">
        <f aca="false">IF(N1133=0,100,100-100/(1+M1133/N1133))</f>
        <v>69.5157263227306</v>
      </c>
      <c r="P1133" s="17" t="n">
        <f aca="false">AVERAGE(B1114:B1133)+2*STDEV(B1114:B1133)</f>
        <v>12963.7520451224</v>
      </c>
      <c r="Q1133" s="17" t="n">
        <f aca="false">AVERAGE(B1114:B1133)-2*STDEV(B1114:B1133)</f>
        <v>12313.6559548776</v>
      </c>
      <c r="R1133" s="19" t="n">
        <f aca="false">B1133/B1113-1</f>
        <v>0.0346705029779848</v>
      </c>
      <c r="S1133" s="17" t="n">
        <f aca="false">STDEV(C1114:C1133)*SQRT(252)*100</f>
        <v>10.9148605653978</v>
      </c>
      <c r="T1133" s="19" t="n">
        <f aca="false">B1112/B882-1</f>
        <v>0.416360204232479</v>
      </c>
      <c r="U1133" s="19" t="n">
        <f aca="false">B1133/MAX(B882:B1133)-1</f>
        <v>0</v>
      </c>
      <c r="V1133" s="17" t="n">
        <f aca="false">(B1133-AVERAGE(B1114:B1133))/STDEV(B1114:B1133)</f>
        <v>1.53562529444544</v>
      </c>
    </row>
    <row r="1134" customFormat="false" ht="15" hidden="false" customHeight="false" outlineLevel="0" collapsed="false">
      <c r="A1134" s="17" t="s">
        <v>1698</v>
      </c>
      <c r="B1134" s="17" t="n">
        <v>12694.66</v>
      </c>
      <c r="C1134" s="19" t="n">
        <f aca="false">B1134/B1133-1</f>
        <v>-0.0150229510842409</v>
      </c>
      <c r="D1134" s="17" t="n">
        <f aca="false">AVERAGE(B1085:B1134)</f>
        <v>12165.0306</v>
      </c>
      <c r="E1134" s="17" t="n">
        <f aca="false">AVERAGE(B935:B1134)</f>
        <v>10674.2203</v>
      </c>
      <c r="F1134" s="17" t="n">
        <f aca="false">B1134*2/13+F1133*11/13</f>
        <v>12725.9911668832</v>
      </c>
      <c r="G1134" s="17" t="n">
        <f aca="false">B1134*2/27+G1133*25/27</f>
        <v>12549.4624612043</v>
      </c>
      <c r="H1134" s="17" t="n">
        <f aca="false">F1134-G1134</f>
        <v>176.528705678909</v>
      </c>
      <c r="I1134" s="17" t="n">
        <f aca="false">H1134*2/10+I1133*8/10</f>
        <v>191.610888782982</v>
      </c>
      <c r="J1134" s="17" t="n">
        <f aca="false">H1134-I1134</f>
        <v>-15.0821831040729</v>
      </c>
      <c r="K1134" s="17" t="n">
        <f aca="false">MAX(B1134-B1133,0)</f>
        <v>0</v>
      </c>
      <c r="L1134" s="17" t="n">
        <f aca="false">MAX(B1133-B1134,0)</f>
        <v>193.620000000001</v>
      </c>
      <c r="M1134" s="17" t="n">
        <f aca="false">(M1133*13+K1134)/14</f>
        <v>46.2607989206962</v>
      </c>
      <c r="N1134" s="17" t="n">
        <f aca="false">(N1133*13+L1134)/14</f>
        <v>34.1164435060432</v>
      </c>
      <c r="O1134" s="17" t="n">
        <f aca="false">IF(N1134=0,100,100-100/(1+M1134/N1134))</f>
        <v>57.5545981971963</v>
      </c>
      <c r="P1134" s="17" t="n">
        <f aca="false">AVERAGE(B1115:B1134)+2*STDEV(B1115:B1134)</f>
        <v>12965.6324947797</v>
      </c>
      <c r="Q1134" s="17" t="n">
        <f aca="false">AVERAGE(B1115:B1134)-2*STDEV(B1115:B1134)</f>
        <v>12334.5285052203</v>
      </c>
      <c r="R1134" s="19" t="n">
        <f aca="false">B1134/B1114-1</f>
        <v>0.0182503912287753</v>
      </c>
      <c r="S1134" s="17" t="n">
        <f aca="false">STDEV(C1115:C1134)*SQRT(252)*100</f>
        <v>12.4329358996928</v>
      </c>
      <c r="T1134" s="19" t="n">
        <f aca="false">B1113/B883-1</f>
        <v>0.407739373364133</v>
      </c>
      <c r="U1134" s="19" t="n">
        <f aca="false">B1134/MAX(B883:B1134)-1</f>
        <v>-0.0150229510842409</v>
      </c>
      <c r="V1134" s="17" t="n">
        <f aca="false">(B1134-AVERAGE(B1115:B1134))/STDEV(B1115:B1134)</f>
        <v>0.282549315089051</v>
      </c>
    </row>
    <row r="1135" customFormat="false" ht="15" hidden="false" customHeight="false" outlineLevel="0" collapsed="false">
      <c r="A1135" s="17" t="s">
        <v>1699</v>
      </c>
      <c r="B1135" s="17" t="n">
        <v>12802.38</v>
      </c>
      <c r="C1135" s="19" t="n">
        <f aca="false">B1135/B1134-1</f>
        <v>0.0084854576648763</v>
      </c>
      <c r="D1135" s="17" t="n">
        <f aca="false">AVERAGE(B1086:B1135)</f>
        <v>12187.82</v>
      </c>
      <c r="E1135" s="17" t="n">
        <f aca="false">AVERAGE(B936:B1135)</f>
        <v>10703.26075</v>
      </c>
      <c r="F1135" s="17" t="n">
        <f aca="false">B1135*2/13+F1134*11/13</f>
        <v>12737.7432950551</v>
      </c>
      <c r="G1135" s="17" t="n">
        <f aca="false">B1135*2/27+G1134*25/27</f>
        <v>12568.1970937077</v>
      </c>
      <c r="H1135" s="17" t="n">
        <f aca="false">F1135-G1135</f>
        <v>169.546201347335</v>
      </c>
      <c r="I1135" s="17" t="n">
        <f aca="false">H1135*2/10+I1134*8/10</f>
        <v>187.197951295853</v>
      </c>
      <c r="J1135" s="17" t="n">
        <f aca="false">H1135-I1135</f>
        <v>-17.6517499485176</v>
      </c>
      <c r="K1135" s="17" t="n">
        <f aca="false">MAX(B1135-B1134,0)</f>
        <v>107.719999999999</v>
      </c>
      <c r="L1135" s="17" t="n">
        <f aca="false">MAX(B1134-B1135,0)</f>
        <v>0</v>
      </c>
      <c r="M1135" s="17" t="n">
        <f aca="false">(M1134*13+K1135)/14</f>
        <v>50.6507418549322</v>
      </c>
      <c r="N1135" s="17" t="n">
        <f aca="false">(N1134*13+L1135)/14</f>
        <v>31.679554684183</v>
      </c>
      <c r="O1135" s="17" t="n">
        <f aca="false">IF(N1135=0,100,100-100/(1+M1135/N1135))</f>
        <v>61.5213888253979</v>
      </c>
      <c r="P1135" s="17" t="n">
        <f aca="false">AVERAGE(B1116:B1135)+2*STDEV(B1116:B1135)</f>
        <v>12980.8773223636</v>
      </c>
      <c r="Q1135" s="17" t="n">
        <f aca="false">AVERAGE(B1116:B1135)-2*STDEV(B1116:B1135)</f>
        <v>12346.6736776364</v>
      </c>
      <c r="R1135" s="19" t="n">
        <f aca="false">B1135/B1115-1</f>
        <v>0.0218621891881536</v>
      </c>
      <c r="S1135" s="17" t="n">
        <f aca="false">STDEV(C1116:C1135)*SQRT(252)*100</f>
        <v>12.6470780729807</v>
      </c>
      <c r="T1135" s="19" t="n">
        <f aca="false">B1114/B884-1</f>
        <v>0.409280558868246</v>
      </c>
      <c r="U1135" s="19" t="n">
        <f aca="false">B1135/MAX(B884:B1135)-1</f>
        <v>-0.00666497003479138</v>
      </c>
      <c r="V1135" s="17" t="n">
        <f aca="false">(B1135-AVERAGE(B1116:B1135))/STDEV(B1116:B1135)</f>
        <v>0.874195543670328</v>
      </c>
    </row>
    <row r="1136" customFormat="false" ht="15" hidden="false" customHeight="false" outlineLevel="0" collapsed="false">
      <c r="A1136" s="17" t="s">
        <v>1700</v>
      </c>
      <c r="B1136" s="17" t="n">
        <v>12623.35</v>
      </c>
      <c r="C1136" s="19" t="n">
        <f aca="false">B1136/B1135-1</f>
        <v>-0.0139841185779518</v>
      </c>
      <c r="D1136" s="17" t="n">
        <f aca="false">AVERAGE(B1087:B1136)</f>
        <v>12206.4356</v>
      </c>
      <c r="E1136" s="17" t="n">
        <f aca="false">AVERAGE(B937:B1136)</f>
        <v>10731.3429</v>
      </c>
      <c r="F1136" s="17" t="n">
        <f aca="false">B1136*2/13+F1135*11/13</f>
        <v>12720.144326585</v>
      </c>
      <c r="G1136" s="17" t="n">
        <f aca="false">B1136*2/27+G1135*25/27</f>
        <v>12572.2824941738</v>
      </c>
      <c r="H1136" s="17" t="n">
        <f aca="false">F1136-G1136</f>
        <v>147.861832411232</v>
      </c>
      <c r="I1136" s="17" t="n">
        <f aca="false">H1136*2/10+I1135*8/10</f>
        <v>179.330727518929</v>
      </c>
      <c r="J1136" s="17" t="n">
        <f aca="false">H1136-I1136</f>
        <v>-31.4688951076965</v>
      </c>
      <c r="K1136" s="17" t="n">
        <f aca="false">MAX(B1136-B1135,0)</f>
        <v>0</v>
      </c>
      <c r="L1136" s="17" t="n">
        <f aca="false">MAX(B1135-B1136,0)</f>
        <v>179.029999999999</v>
      </c>
      <c r="M1136" s="17" t="n">
        <f aca="false">(M1135*13+K1136)/14</f>
        <v>47.032831722437</v>
      </c>
      <c r="N1136" s="17" t="n">
        <f aca="false">(N1135*13+L1136)/14</f>
        <v>42.2045864924555</v>
      </c>
      <c r="O1136" s="17" t="n">
        <f aca="false">IF(N1136=0,100,100-100/(1+M1136/N1136))</f>
        <v>52.7052806583638</v>
      </c>
      <c r="P1136" s="17" t="n">
        <f aca="false">AVERAGE(B1117:B1136)+2*STDEV(B1117:B1136)</f>
        <v>12981.2465568333</v>
      </c>
      <c r="Q1136" s="17" t="n">
        <f aca="false">AVERAGE(B1117:B1136)-2*STDEV(B1117:B1136)</f>
        <v>12348.9924431667</v>
      </c>
      <c r="R1136" s="19" t="n">
        <f aca="false">B1136/B1116-1</f>
        <v>0.00213393117278105</v>
      </c>
      <c r="S1136" s="17" t="n">
        <f aca="false">STDEV(C1117:C1136)*SQRT(252)*100</f>
        <v>13.6091041371532</v>
      </c>
      <c r="T1136" s="19" t="n">
        <f aca="false">B1115/B885-1</f>
        <v>0.405740560591627</v>
      </c>
      <c r="U1136" s="19" t="n">
        <f aca="false">B1136/MAX(B885:B1136)-1</f>
        <v>-0.0205558848814582</v>
      </c>
      <c r="V1136" s="17" t="n">
        <f aca="false">(B1136-AVERAGE(B1117:B1136))/STDEV(B1117:B1136)</f>
        <v>-0.264257671699515</v>
      </c>
    </row>
    <row r="1137" customFormat="false" ht="15" hidden="false" customHeight="false" outlineLevel="0" collapsed="false">
      <c r="A1137" s="17" t="s">
        <v>1701</v>
      </c>
      <c r="B1137" s="17" t="n">
        <v>12939.57</v>
      </c>
      <c r="C1137" s="19" t="n">
        <f aca="false">B1137/B1136-1</f>
        <v>0.0250504026268779</v>
      </c>
      <c r="D1137" s="17" t="n">
        <f aca="false">AVERAGE(B1088:B1137)</f>
        <v>12235.1366</v>
      </c>
      <c r="E1137" s="17" t="n">
        <f aca="false">AVERAGE(B938:B1137)</f>
        <v>10758.2716</v>
      </c>
      <c r="F1137" s="17" t="n">
        <f aca="false">B1137*2/13+F1136*11/13</f>
        <v>12753.902122495</v>
      </c>
      <c r="G1137" s="17" t="n">
        <f aca="false">B1137*2/27+G1136*25/27</f>
        <v>12599.4889760869</v>
      </c>
      <c r="H1137" s="17" t="n">
        <f aca="false">F1137-G1137</f>
        <v>154.413146408175</v>
      </c>
      <c r="I1137" s="17" t="n">
        <f aca="false">H1137*2/10+I1136*8/10</f>
        <v>174.347211296778</v>
      </c>
      <c r="J1137" s="17" t="n">
        <f aca="false">H1137-I1137</f>
        <v>-19.9340648886032</v>
      </c>
      <c r="K1137" s="17" t="n">
        <f aca="false">MAX(B1137-B1136,0)</f>
        <v>316.219999999999</v>
      </c>
      <c r="L1137" s="17" t="n">
        <f aca="false">MAX(B1136-B1137,0)</f>
        <v>0</v>
      </c>
      <c r="M1137" s="17" t="n">
        <f aca="false">(M1136*13+K1137)/14</f>
        <v>66.2604865994058</v>
      </c>
      <c r="N1137" s="17" t="n">
        <f aca="false">(N1136*13+L1137)/14</f>
        <v>39.1899731715659</v>
      </c>
      <c r="O1137" s="17" t="n">
        <f aca="false">IF(N1137=0,100,100-100/(1+M1137/N1137))</f>
        <v>62.8356545275547</v>
      </c>
      <c r="P1137" s="17" t="n">
        <f aca="false">AVERAGE(B1118:B1137)+2*STDEV(B1118:B1137)</f>
        <v>13018.897294088</v>
      </c>
      <c r="Q1137" s="17" t="n">
        <f aca="false">AVERAGE(B1118:B1137)-2*STDEV(B1118:B1137)</f>
        <v>12341.726705912</v>
      </c>
      <c r="R1137" s="19" t="n">
        <f aca="false">B1137/B1117-1</f>
        <v>0.0240469082885662</v>
      </c>
      <c r="S1137" s="17" t="n">
        <f aca="false">STDEV(C1118:C1137)*SQRT(252)*100</f>
        <v>16.2214108867528</v>
      </c>
      <c r="T1137" s="19" t="n">
        <f aca="false">B1116/B886-1</f>
        <v>0.401222297246939</v>
      </c>
      <c r="U1137" s="19" t="n">
        <f aca="false">B1137/MAX(B886:B1137)-1</f>
        <v>0</v>
      </c>
      <c r="V1137" s="17" t="n">
        <f aca="false">(B1137-AVERAGE(B1118:B1137))/STDEV(B1118:B1137)</f>
        <v>1.53141914032832</v>
      </c>
    </row>
    <row r="1138" customFormat="false" ht="15" hidden="false" customHeight="false" outlineLevel="0" collapsed="false">
      <c r="A1138" s="17" t="s">
        <v>1702</v>
      </c>
      <c r="B1138" s="17" t="n">
        <v>13105.2</v>
      </c>
      <c r="C1138" s="19" t="n">
        <f aca="false">B1138/B1137-1</f>
        <v>0.0128002707972523</v>
      </c>
      <c r="D1138" s="17" t="n">
        <f aca="false">AVERAGE(B1089:B1138)</f>
        <v>12265.2616</v>
      </c>
      <c r="E1138" s="17" t="n">
        <f aca="false">AVERAGE(B939:B1138)</f>
        <v>10786.4495</v>
      </c>
      <c r="F1138" s="17" t="n">
        <f aca="false">B1138*2/13+F1137*11/13</f>
        <v>12807.9479498035</v>
      </c>
      <c r="G1138" s="17" t="n">
        <f aca="false">B1138*2/27+G1137*25/27</f>
        <v>12636.9490519323</v>
      </c>
      <c r="H1138" s="17" t="n">
        <f aca="false">F1138-G1138</f>
        <v>170.998897871214</v>
      </c>
      <c r="I1138" s="17" t="n">
        <f aca="false">H1138*2/10+I1137*8/10</f>
        <v>173.677548611665</v>
      </c>
      <c r="J1138" s="17" t="n">
        <f aca="false">H1138-I1138</f>
        <v>-2.67865074045147</v>
      </c>
      <c r="K1138" s="17" t="n">
        <f aca="false">MAX(B1138-B1137,0)</f>
        <v>165.630000000001</v>
      </c>
      <c r="L1138" s="17" t="n">
        <f aca="false">MAX(B1137-B1138,0)</f>
        <v>0</v>
      </c>
      <c r="M1138" s="17" t="n">
        <f aca="false">(M1137*13+K1138)/14</f>
        <v>73.3583089851626</v>
      </c>
      <c r="N1138" s="17" t="n">
        <f aca="false">(N1137*13+L1138)/14</f>
        <v>36.3906893735969</v>
      </c>
      <c r="O1138" s="17" t="n">
        <f aca="false">IF(N1138=0,100,100-100/(1+M1138/N1138))</f>
        <v>66.8418938506946</v>
      </c>
      <c r="P1138" s="17" t="n">
        <f aca="false">AVERAGE(B1119:B1138)+2*STDEV(B1119:B1138)</f>
        <v>13072.156350362</v>
      </c>
      <c r="Q1138" s="17" t="n">
        <f aca="false">AVERAGE(B1119:B1138)-2*STDEV(B1119:B1138)</f>
        <v>12362.523649638</v>
      </c>
      <c r="R1138" s="19" t="n">
        <f aca="false">B1138/B1118-1</f>
        <v>0.0598933733614566</v>
      </c>
      <c r="S1138" s="17" t="n">
        <f aca="false">STDEV(C1119:C1138)*SQRT(252)*100</f>
        <v>14.3104126395395</v>
      </c>
      <c r="T1138" s="19" t="n">
        <f aca="false">B1117/B887-1</f>
        <v>0.409192294995673</v>
      </c>
      <c r="U1138" s="19" t="n">
        <f aca="false">B1138/MAX(B887:B1138)-1</f>
        <v>0</v>
      </c>
      <c r="V1138" s="17" t="n">
        <f aca="false">(B1138-AVERAGE(B1119:B1138))/STDEV(B1119:B1138)</f>
        <v>2.18625776182121</v>
      </c>
    </row>
    <row r="1139" customFormat="false" ht="15" hidden="false" customHeight="false" outlineLevel="0" collapsed="false">
      <c r="A1139" s="17" t="s">
        <v>1703</v>
      </c>
      <c r="B1139" s="17" t="n">
        <v>12902.49</v>
      </c>
      <c r="C1139" s="19" t="n">
        <f aca="false">B1139/B1138-1</f>
        <v>-0.0154679058694259</v>
      </c>
      <c r="D1139" s="17" t="n">
        <f aca="false">AVERAGE(B1090:B1139)</f>
        <v>12300.4562</v>
      </c>
      <c r="E1139" s="17" t="n">
        <f aca="false">AVERAGE(B940:B1139)</f>
        <v>10811.4763</v>
      </c>
      <c r="F1139" s="17" t="n">
        <f aca="false">B1139*2/13+F1138*11/13</f>
        <v>12822.492880603</v>
      </c>
      <c r="G1139" s="17" t="n">
        <f aca="false">B1139*2/27+G1138*25/27</f>
        <v>12656.6187517892</v>
      </c>
      <c r="H1139" s="17" t="n">
        <f aca="false">F1139-G1139</f>
        <v>165.874128813808</v>
      </c>
      <c r="I1139" s="17" t="n">
        <f aca="false">H1139*2/10+I1138*8/10</f>
        <v>172.116864652094</v>
      </c>
      <c r="J1139" s="17" t="n">
        <f aca="false">H1139-I1139</f>
        <v>-6.24273583828557</v>
      </c>
      <c r="K1139" s="17" t="n">
        <f aca="false">MAX(B1139-B1138,0)</f>
        <v>0</v>
      </c>
      <c r="L1139" s="17" t="n">
        <f aca="false">MAX(B1138-B1139,0)</f>
        <v>202.710000000001</v>
      </c>
      <c r="M1139" s="17" t="n">
        <f aca="false">(M1138*13+K1139)/14</f>
        <v>68.1184297719367</v>
      </c>
      <c r="N1139" s="17" t="n">
        <f aca="false">(N1138*13+L1139)/14</f>
        <v>48.2706401326257</v>
      </c>
      <c r="O1139" s="17" t="n">
        <f aca="false">IF(N1139=0,100,100-100/(1+M1139/N1139))</f>
        <v>58.5264834814755</v>
      </c>
      <c r="P1139" s="17" t="n">
        <f aca="false">AVERAGE(B1120:B1139)+2*STDEV(B1120:B1139)</f>
        <v>13073.2898548059</v>
      </c>
      <c r="Q1139" s="17" t="n">
        <f aca="false">AVERAGE(B1120:B1139)-2*STDEV(B1120:B1139)</f>
        <v>12411.4651451941</v>
      </c>
      <c r="R1139" s="19" t="n">
        <f aca="false">B1139/B1119-1</f>
        <v>0.04037739865535</v>
      </c>
      <c r="S1139" s="17" t="n">
        <f aca="false">STDEV(C1120:C1139)*SQRT(252)*100</f>
        <v>15.7328428152639</v>
      </c>
      <c r="T1139" s="19" t="n">
        <f aca="false">B1118/B888-1</f>
        <v>0.363148175709569</v>
      </c>
      <c r="U1139" s="19" t="n">
        <f aca="false">B1139/MAX(B888:B1139)-1</f>
        <v>-0.0154679058694259</v>
      </c>
      <c r="V1139" s="17" t="n">
        <f aca="false">(B1139-AVERAGE(B1120:B1139))/STDEV(B1120:B1139)</f>
        <v>0.967703367219015</v>
      </c>
    </row>
    <row r="1140" customFormat="false" ht="15" hidden="false" customHeight="false" outlineLevel="0" collapsed="false">
      <c r="A1140" s="17" t="s">
        <v>1704</v>
      </c>
      <c r="B1140" s="17" t="n">
        <v>12892.09</v>
      </c>
      <c r="C1140" s="19" t="n">
        <f aca="false">B1140/B1139-1</f>
        <v>-0.000806045964771074</v>
      </c>
      <c r="D1140" s="17" t="n">
        <f aca="false">AVERAGE(B1091:B1140)</f>
        <v>12331.2832</v>
      </c>
      <c r="E1140" s="17" t="n">
        <f aca="false">AVERAGE(B941:B1140)</f>
        <v>10837.9949</v>
      </c>
      <c r="F1140" s="17" t="n">
        <f aca="false">B1140*2/13+F1139*11/13</f>
        <v>12833.200129741</v>
      </c>
      <c r="G1140" s="17" t="n">
        <f aca="false">B1140*2/27+G1139*25/27</f>
        <v>12674.0610664714</v>
      </c>
      <c r="H1140" s="17" t="n">
        <f aca="false">F1140-G1140</f>
        <v>159.139063269529</v>
      </c>
      <c r="I1140" s="17" t="n">
        <f aca="false">H1140*2/10+I1139*8/10</f>
        <v>169.521304375581</v>
      </c>
      <c r="J1140" s="17" t="n">
        <f aca="false">H1140-I1140</f>
        <v>-10.3822411060515</v>
      </c>
      <c r="K1140" s="17" t="n">
        <f aca="false">MAX(B1140-B1139,0)</f>
        <v>0</v>
      </c>
      <c r="L1140" s="17" t="n">
        <f aca="false">MAX(B1139-B1140,0)</f>
        <v>10.3999999999996</v>
      </c>
      <c r="M1140" s="17" t="n">
        <f aca="false">(M1139*13+K1140)/14</f>
        <v>63.2528276453698</v>
      </c>
      <c r="N1140" s="17" t="n">
        <f aca="false">(N1139*13+L1140)/14</f>
        <v>45.5655944088667</v>
      </c>
      <c r="O1140" s="17" t="n">
        <f aca="false">IF(N1140=0,100,100-100/(1+M1140/N1140))</f>
        <v>58.1269480399594</v>
      </c>
      <c r="P1140" s="17" t="n">
        <f aca="false">AVERAGE(B1121:B1140)+2*STDEV(B1121:B1140)</f>
        <v>13056.4146307237</v>
      </c>
      <c r="Q1140" s="17" t="n">
        <f aca="false">AVERAGE(B1121:B1140)-2*STDEV(B1121:B1140)</f>
        <v>12480.0083692763</v>
      </c>
      <c r="R1140" s="19" t="n">
        <f aca="false">B1140/B1120-1</f>
        <v>0.0417505359418395</v>
      </c>
      <c r="S1140" s="17" t="n">
        <f aca="false">STDEV(C1121:C1140)*SQRT(252)*100</f>
        <v>15.6936538123455</v>
      </c>
      <c r="T1140" s="19" t="n">
        <f aca="false">B1119/B889-1</f>
        <v>0.372873175386509</v>
      </c>
      <c r="U1140" s="19" t="n">
        <f aca="false">B1140/MAX(B889:B1140)-1</f>
        <v>-0.0162614839910875</v>
      </c>
      <c r="V1140" s="17" t="n">
        <f aca="false">(B1140-AVERAGE(B1121:B1140))/STDEV(B1121:B1140)</f>
        <v>0.859661029281163</v>
      </c>
    </row>
    <row r="1141" customFormat="false" ht="15" hidden="false" customHeight="false" outlineLevel="0" collapsed="false">
      <c r="A1141" s="17" t="s">
        <v>1705</v>
      </c>
      <c r="B1141" s="17" t="n">
        <v>12973.63</v>
      </c>
      <c r="C1141" s="19" t="n">
        <f aca="false">B1141/B1140-1</f>
        <v>0.00632480846782779</v>
      </c>
      <c r="D1141" s="17" t="n">
        <f aca="false">AVERAGE(B1092:B1141)</f>
        <v>12369.6968</v>
      </c>
      <c r="E1141" s="17" t="n">
        <f aca="false">AVERAGE(B942:B1141)</f>
        <v>10863.418</v>
      </c>
      <c r="F1141" s="17" t="n">
        <f aca="false">B1141*2/13+F1140*11/13</f>
        <v>12854.8047251654</v>
      </c>
      <c r="G1141" s="17" t="n">
        <f aca="false">B1141*2/27+G1140*25/27</f>
        <v>12696.2513578439</v>
      </c>
      <c r="H1141" s="17" t="n">
        <f aca="false">F1141-G1141</f>
        <v>158.55336732151</v>
      </c>
      <c r="I1141" s="17" t="n">
        <f aca="false">H1141*2/10+I1140*8/10</f>
        <v>167.327716964767</v>
      </c>
      <c r="J1141" s="17" t="n">
        <f aca="false">H1141-I1141</f>
        <v>-8.77434964325624</v>
      </c>
      <c r="K1141" s="17" t="n">
        <f aca="false">MAX(B1141-B1140,0)</f>
        <v>81.5399999999991</v>
      </c>
      <c r="L1141" s="17" t="n">
        <f aca="false">MAX(B1140-B1141,0)</f>
        <v>0</v>
      </c>
      <c r="M1141" s="17" t="n">
        <f aca="false">(M1140*13+K1141)/14</f>
        <v>64.559054242129</v>
      </c>
      <c r="N1141" s="17" t="n">
        <f aca="false">(N1140*13+L1141)/14</f>
        <v>42.3109090939477</v>
      </c>
      <c r="O1141" s="17" t="n">
        <f aca="false">IF(N1141=0,100,100-100/(1+M1141/N1141))</f>
        <v>60.4089794988593</v>
      </c>
      <c r="P1141" s="17" t="n">
        <f aca="false">AVERAGE(B1122:B1141)+2*STDEV(B1122:B1141)</f>
        <v>13057.370009877</v>
      </c>
      <c r="Q1141" s="17" t="n">
        <f aca="false">AVERAGE(B1122:B1141)-2*STDEV(B1122:B1141)</f>
        <v>12530.194990123</v>
      </c>
      <c r="R1141" s="19" t="n">
        <f aca="false">B1141/B1121-1</f>
        <v>0.0410376650690367</v>
      </c>
      <c r="S1141" s="17" t="n">
        <f aca="false">STDEV(C1122:C1141)*SQRT(252)*100</f>
        <v>15.6668821369985</v>
      </c>
      <c r="T1141" s="19" t="n">
        <f aca="false">B1120/B890-1</f>
        <v>0.369617305634225</v>
      </c>
      <c r="U1141" s="19" t="n">
        <f aca="false">B1141/MAX(B890:B1141)-1</f>
        <v>-0.010039526294906</v>
      </c>
      <c r="V1141" s="17" t="n">
        <f aca="false">(B1141-AVERAGE(B1122:B1141))/STDEV(B1122:B1141)</f>
        <v>1.36461321770461</v>
      </c>
    </row>
    <row r="1142" customFormat="false" ht="15" hidden="false" customHeight="false" outlineLevel="0" collapsed="false">
      <c r="A1142" s="17" t="s">
        <v>1706</v>
      </c>
      <c r="B1142" s="17" t="n">
        <v>12898.69</v>
      </c>
      <c r="C1142" s="19" t="n">
        <f aca="false">B1142/B1141-1</f>
        <v>-0.00577633245282927</v>
      </c>
      <c r="D1142" s="17" t="n">
        <f aca="false">AVERAGE(B1093:B1142)</f>
        <v>12405.9754</v>
      </c>
      <c r="E1142" s="17" t="n">
        <f aca="false">AVERAGE(B943:B1142)</f>
        <v>10888.84395</v>
      </c>
      <c r="F1142" s="17" t="n">
        <f aca="false">B1142*2/13+F1141*11/13</f>
        <v>12861.5563059092</v>
      </c>
      <c r="G1142" s="17" t="n">
        <f aca="false">B1142*2/27+G1141*25/27</f>
        <v>12711.2468128184</v>
      </c>
      <c r="H1142" s="17" t="n">
        <f aca="false">F1142-G1142</f>
        <v>150.309493090766</v>
      </c>
      <c r="I1142" s="17" t="n">
        <f aca="false">H1142*2/10+I1141*8/10</f>
        <v>163.924072189967</v>
      </c>
      <c r="J1142" s="17" t="n">
        <f aca="false">H1142-I1142</f>
        <v>-13.6145790992002</v>
      </c>
      <c r="K1142" s="17" t="n">
        <f aca="false">MAX(B1142-B1141,0)</f>
        <v>0</v>
      </c>
      <c r="L1142" s="17" t="n">
        <f aca="false">MAX(B1141-B1142,0)</f>
        <v>74.9399999999987</v>
      </c>
      <c r="M1142" s="17" t="n">
        <f aca="false">(M1141*13+K1142)/14</f>
        <v>59.9476932248341</v>
      </c>
      <c r="N1142" s="17" t="n">
        <f aca="false">(N1141*13+L1142)/14</f>
        <v>44.6415584443799</v>
      </c>
      <c r="O1142" s="17" t="n">
        <f aca="false">IF(N1142=0,100,100-100/(1+M1142/N1142))</f>
        <v>57.3172599173303</v>
      </c>
      <c r="P1142" s="17" t="n">
        <f aca="false">AVERAGE(B1123:B1142)+2*STDEV(B1123:B1142)</f>
        <v>13059.0977013343</v>
      </c>
      <c r="Q1142" s="17" t="n">
        <f aca="false">AVERAGE(B1123:B1142)-2*STDEV(B1123:B1142)</f>
        <v>12558.7442986657</v>
      </c>
      <c r="R1142" s="19" t="n">
        <f aca="false">B1142/B1122-1</f>
        <v>0.0240371485369866</v>
      </c>
      <c r="S1142" s="17" t="n">
        <f aca="false">STDEV(C1123:C1142)*SQRT(252)*100</f>
        <v>15.5504734629377</v>
      </c>
      <c r="T1142" s="19" t="n">
        <f aca="false">B1121/B891-1</f>
        <v>0.365721643835616</v>
      </c>
      <c r="U1142" s="19" t="n">
        <f aca="false">B1142/MAX(B891:B1142)-1</f>
        <v>-0.0157578671061869</v>
      </c>
      <c r="V1142" s="17" t="n">
        <f aca="false">(B1142-AVERAGE(B1123:B1142))/STDEV(B1123:B1142)</f>
        <v>0.717644764849907</v>
      </c>
    </row>
    <row r="1143" customFormat="false" ht="15" hidden="false" customHeight="false" outlineLevel="0" collapsed="false">
      <c r="A1143" s="17" t="s">
        <v>1707</v>
      </c>
      <c r="B1143" s="17" t="n">
        <v>12803.93</v>
      </c>
      <c r="C1143" s="19" t="n">
        <f aca="false">B1143/B1142-1</f>
        <v>-0.00734648247225112</v>
      </c>
      <c r="D1143" s="17" t="n">
        <f aca="false">AVERAGE(B1094:B1143)</f>
        <v>12436.4558</v>
      </c>
      <c r="E1143" s="17" t="n">
        <f aca="false">AVERAGE(B944:B1143)</f>
        <v>10915.43215</v>
      </c>
      <c r="F1143" s="17" t="n">
        <f aca="false">B1143*2/13+F1142*11/13</f>
        <v>12852.6907203847</v>
      </c>
      <c r="G1143" s="17" t="n">
        <f aca="false">B1143*2/27+G1142*25/27</f>
        <v>12718.1122340912</v>
      </c>
      <c r="H1143" s="17" t="n">
        <f aca="false">F1143-G1143</f>
        <v>134.578486293565</v>
      </c>
      <c r="I1143" s="17" t="n">
        <f aca="false">H1143*2/10+I1142*8/10</f>
        <v>158.054955010686</v>
      </c>
      <c r="J1143" s="17" t="n">
        <f aca="false">H1143-I1143</f>
        <v>-23.4764687171211</v>
      </c>
      <c r="K1143" s="17" t="n">
        <f aca="false">MAX(B1143-B1142,0)</f>
        <v>0</v>
      </c>
      <c r="L1143" s="17" t="n">
        <f aca="false">MAX(B1142-B1143,0)</f>
        <v>94.7600000000002</v>
      </c>
      <c r="M1143" s="17" t="n">
        <f aca="false">(M1142*13+K1143)/14</f>
        <v>55.6657151373459</v>
      </c>
      <c r="N1143" s="17" t="n">
        <f aca="false">(N1142*13+L1143)/14</f>
        <v>48.2214471269242</v>
      </c>
      <c r="O1143" s="17" t="n">
        <f aca="false">IF(N1143=0,100,100-100/(1+M1143/N1143))</f>
        <v>53.5828623326359</v>
      </c>
      <c r="P1143" s="17" t="n">
        <f aca="false">AVERAGE(B1124:B1143)+2*STDEV(B1124:B1143)</f>
        <v>13057.0148930058</v>
      </c>
      <c r="Q1143" s="17" t="n">
        <f aca="false">AVERAGE(B1124:B1143)-2*STDEV(B1124:B1143)</f>
        <v>12574.4041069942</v>
      </c>
      <c r="R1143" s="19" t="n">
        <f aca="false">B1143/B1123-1</f>
        <v>0.0107174206830354</v>
      </c>
      <c r="S1143" s="17" t="n">
        <f aca="false">STDEV(C1124:C1143)*SQRT(252)*100</f>
        <v>15.740377573936</v>
      </c>
      <c r="T1143" s="19" t="n">
        <f aca="false">B1122/B892-1</f>
        <v>0.373042372077661</v>
      </c>
      <c r="U1143" s="19" t="n">
        <f aca="false">B1143/MAX(B892:B1143)-1</f>
        <v>-0.0229885846839423</v>
      </c>
      <c r="V1143" s="17" t="n">
        <f aca="false">(B1143-AVERAGE(B1124:B1143))/STDEV(B1124:B1143)</f>
        <v>-0.097631469013354</v>
      </c>
    </row>
    <row r="1144" customFormat="false" ht="15" hidden="false" customHeight="false" outlineLevel="0" collapsed="false">
      <c r="A1144" s="17" t="s">
        <v>1708</v>
      </c>
      <c r="B1144" s="17" t="n">
        <v>12996.54</v>
      </c>
      <c r="C1144" s="19" t="n">
        <f aca="false">B1144/B1143-1</f>
        <v>0.015043037567372</v>
      </c>
      <c r="D1144" s="17" t="n">
        <f aca="false">AVERAGE(B1095:B1144)</f>
        <v>12460.8462</v>
      </c>
      <c r="E1144" s="17" t="n">
        <f aca="false">AVERAGE(B945:B1144)</f>
        <v>10942.23655</v>
      </c>
      <c r="F1144" s="17" t="n">
        <f aca="false">B1144*2/13+F1143*11/13</f>
        <v>12874.8213787871</v>
      </c>
      <c r="G1144" s="17" t="n">
        <f aca="false">B1144*2/27+G1143*25/27</f>
        <v>12738.7365130474</v>
      </c>
      <c r="H1144" s="17" t="n">
        <f aca="false">F1144-G1144</f>
        <v>136.084865739706</v>
      </c>
      <c r="I1144" s="17" t="n">
        <f aca="false">H1144*2/10+I1143*8/10</f>
        <v>153.66093715649</v>
      </c>
      <c r="J1144" s="17" t="n">
        <f aca="false">H1144-I1144</f>
        <v>-17.5760714167847</v>
      </c>
      <c r="K1144" s="17" t="n">
        <f aca="false">MAX(B1144-B1143,0)</f>
        <v>192.610000000001</v>
      </c>
      <c r="L1144" s="17" t="n">
        <f aca="false">MAX(B1143-B1144,0)</f>
        <v>0</v>
      </c>
      <c r="M1144" s="17" t="n">
        <f aca="false">(M1143*13+K1144)/14</f>
        <v>65.4474497703927</v>
      </c>
      <c r="N1144" s="17" t="n">
        <f aca="false">(N1143*13+L1144)/14</f>
        <v>44.7770580464296</v>
      </c>
      <c r="O1144" s="17" t="n">
        <f aca="false">IF(N1144=0,100,100-100/(1+M1144/N1144))</f>
        <v>59.3764953608658</v>
      </c>
      <c r="P1144" s="17" t="n">
        <f aca="false">AVERAGE(B1125:B1144)+2*STDEV(B1125:B1144)</f>
        <v>13080.1841179242</v>
      </c>
      <c r="Q1144" s="17" t="n">
        <f aca="false">AVERAGE(B1125:B1144)-2*STDEV(B1125:B1144)</f>
        <v>12575.6828820758</v>
      </c>
      <c r="R1144" s="19" t="n">
        <f aca="false">B1144/B1124-1</f>
        <v>0.019171804398662</v>
      </c>
      <c r="S1144" s="17" t="n">
        <f aca="false">STDEV(C1125:C1144)*SQRT(252)*100</f>
        <v>16.437470604721</v>
      </c>
      <c r="T1144" s="19" t="n">
        <f aca="false">B1123/B893-1</f>
        <v>0.381986618855567</v>
      </c>
      <c r="U1144" s="19" t="n">
        <f aca="false">B1144/MAX(B893:B1144)-1</f>
        <v>-0.00829136525959162</v>
      </c>
      <c r="V1144" s="17" t="n">
        <f aca="false">(B1144-AVERAGE(B1125:B1144))/STDEV(B1125:B1144)</f>
        <v>1.33681733973506</v>
      </c>
    </row>
    <row r="1145" customFormat="false" ht="15" hidden="false" customHeight="false" outlineLevel="0" collapsed="false">
      <c r="A1145" s="17" t="s">
        <v>1709</v>
      </c>
      <c r="B1145" s="17" t="n">
        <v>13296.45</v>
      </c>
      <c r="C1145" s="19" t="n">
        <f aca="false">B1145/B1144-1</f>
        <v>0.0230761418038954</v>
      </c>
      <c r="D1145" s="17" t="n">
        <f aca="false">AVERAGE(B1096:B1145)</f>
        <v>12485.2138</v>
      </c>
      <c r="E1145" s="17" t="n">
        <f aca="false">AVERAGE(B946:B1145)</f>
        <v>10971.07825</v>
      </c>
      <c r="F1145" s="17" t="n">
        <f aca="false">B1145*2/13+F1144*11/13</f>
        <v>12939.6873205121</v>
      </c>
      <c r="G1145" s="17" t="n">
        <f aca="false">B1145*2/27+G1144*25/27</f>
        <v>12780.048623192</v>
      </c>
      <c r="H1145" s="17" t="n">
        <f aca="false">F1145-G1145</f>
        <v>159.638697320133</v>
      </c>
      <c r="I1145" s="17" t="n">
        <f aca="false">H1145*2/10+I1144*8/10</f>
        <v>154.856489189219</v>
      </c>
      <c r="J1145" s="17" t="n">
        <f aca="false">H1145-I1145</f>
        <v>4.78220813091454</v>
      </c>
      <c r="K1145" s="17" t="n">
        <f aca="false">MAX(B1145-B1144,0)</f>
        <v>299.91</v>
      </c>
      <c r="L1145" s="17" t="n">
        <f aca="false">MAX(B1144-B1145,0)</f>
        <v>0</v>
      </c>
      <c r="M1145" s="17" t="n">
        <f aca="false">(M1144*13+K1145)/14</f>
        <v>82.1947747867932</v>
      </c>
      <c r="N1145" s="17" t="n">
        <f aca="false">(N1144*13+L1145)/14</f>
        <v>41.5786967573989</v>
      </c>
      <c r="O1145" s="17" t="n">
        <f aca="false">IF(N1145=0,100,100-100/(1+M1145/N1145))</f>
        <v>66.4074245969956</v>
      </c>
      <c r="P1145" s="17" t="n">
        <f aca="false">AVERAGE(B1126:B1145)+2*STDEV(B1126:B1145)</f>
        <v>13179.6770490007</v>
      </c>
      <c r="Q1145" s="17" t="n">
        <f aca="false">AVERAGE(B1126:B1145)-2*STDEV(B1126:B1145)</f>
        <v>12532.0169509993</v>
      </c>
      <c r="R1145" s="19" t="n">
        <f aca="false">B1145/B1125-1</f>
        <v>0.0438265121076951</v>
      </c>
      <c r="S1145" s="17" t="n">
        <f aca="false">STDEV(C1126:C1145)*SQRT(252)*100</f>
        <v>18.1761828142497</v>
      </c>
      <c r="T1145" s="19" t="n">
        <f aca="false">B1124/B894-1</f>
        <v>0.387816180519732</v>
      </c>
      <c r="U1145" s="19" t="n">
        <f aca="false">B1145/MAX(B894:B1145)-1</f>
        <v>0</v>
      </c>
      <c r="V1145" s="17" t="n">
        <f aca="false">(B1145-AVERAGE(B1126:B1145))/STDEV(B1126:B1145)</f>
        <v>2.72119898298296</v>
      </c>
    </row>
    <row r="1146" customFormat="false" ht="15" hidden="false" customHeight="false" outlineLevel="0" collapsed="false">
      <c r="A1146" s="17" t="s">
        <v>1710</v>
      </c>
      <c r="B1146" s="17" t="n">
        <v>13404.99</v>
      </c>
      <c r="C1146" s="19" t="n">
        <f aca="false">B1146/B1145-1</f>
        <v>0.00816308112315678</v>
      </c>
      <c r="D1146" s="17" t="n">
        <f aca="false">AVERAGE(B1097:B1146)</f>
        <v>12511.4866</v>
      </c>
      <c r="E1146" s="17" t="n">
        <f aca="false">AVERAGE(B947:B1146)</f>
        <v>10997.6949</v>
      </c>
      <c r="F1146" s="17" t="n">
        <f aca="false">B1146*2/13+F1145*11/13</f>
        <v>13011.2723481257</v>
      </c>
      <c r="G1146" s="17" t="n">
        <f aca="false">B1146*2/27+G1145*25/27</f>
        <v>12826.3405770296</v>
      </c>
      <c r="H1146" s="17" t="n">
        <f aca="false">F1146-G1146</f>
        <v>184.93177109602</v>
      </c>
      <c r="I1146" s="17" t="n">
        <f aca="false">H1146*2/10+I1145*8/10</f>
        <v>160.871545570579</v>
      </c>
      <c r="J1146" s="17" t="n">
        <f aca="false">H1146-I1146</f>
        <v>24.0602255254412</v>
      </c>
      <c r="K1146" s="17" t="n">
        <f aca="false">MAX(B1146-B1145,0)</f>
        <v>108.539999999999</v>
      </c>
      <c r="L1146" s="17" t="n">
        <f aca="false">MAX(B1145-B1146,0)</f>
        <v>0</v>
      </c>
      <c r="M1146" s="17" t="n">
        <f aca="false">(M1145*13+K1146)/14</f>
        <v>84.0765765877365</v>
      </c>
      <c r="N1146" s="17" t="n">
        <f aca="false">(N1145*13+L1146)/14</f>
        <v>38.6087898461561</v>
      </c>
      <c r="O1146" s="17" t="n">
        <f aca="false">IF(N1146=0,100,100-100/(1+M1146/N1146))</f>
        <v>68.530240428503</v>
      </c>
      <c r="P1146" s="17" t="n">
        <f aca="false">AVERAGE(B1127:B1146)+2*STDEV(B1127:B1146)</f>
        <v>13288.0707226666</v>
      </c>
      <c r="Q1146" s="17" t="n">
        <f aca="false">AVERAGE(B1127:B1146)-2*STDEV(B1127:B1146)</f>
        <v>12495.0962773334</v>
      </c>
      <c r="R1146" s="19" t="n">
        <f aca="false">B1146/B1126-1</f>
        <v>0.0563211470844569</v>
      </c>
      <c r="S1146" s="17" t="n">
        <f aca="false">STDEV(C1127:C1146)*SQRT(252)*100</f>
        <v>18.1494910923894</v>
      </c>
      <c r="T1146" s="19" t="n">
        <f aca="false">B1125/B895-1</f>
        <v>0.382034028499574</v>
      </c>
      <c r="U1146" s="19" t="n">
        <f aca="false">B1146/MAX(B895:B1146)-1</f>
        <v>0</v>
      </c>
      <c r="V1146" s="17" t="n">
        <f aca="false">(B1146-AVERAGE(B1127:B1146))/STDEV(B1127:B1146)</f>
        <v>2.5897757640058</v>
      </c>
    </row>
    <row r="1147" customFormat="false" ht="15" hidden="false" customHeight="false" outlineLevel="0" collapsed="false">
      <c r="A1147" s="17" t="s">
        <v>1711</v>
      </c>
      <c r="B1147" s="17" t="n">
        <v>13366.4</v>
      </c>
      <c r="C1147" s="19" t="n">
        <f aca="false">B1147/B1146-1</f>
        <v>-0.00287877872344555</v>
      </c>
      <c r="D1147" s="17" t="n">
        <f aca="false">AVERAGE(B1098:B1147)</f>
        <v>12542.2068</v>
      </c>
      <c r="E1147" s="17" t="n">
        <f aca="false">AVERAGE(B948:B1147)</f>
        <v>11024.28035</v>
      </c>
      <c r="F1147" s="17" t="n">
        <f aca="false">B1147*2/13+F1146*11/13</f>
        <v>13065.9073714909</v>
      </c>
      <c r="G1147" s="17" t="n">
        <f aca="false">B1147*2/27+G1146*25/27</f>
        <v>12866.3449787311</v>
      </c>
      <c r="H1147" s="17" t="n">
        <f aca="false">F1147-G1147</f>
        <v>199.562392759795</v>
      </c>
      <c r="I1147" s="17" t="n">
        <f aca="false">H1147*2/10+I1146*8/10</f>
        <v>168.609715008422</v>
      </c>
      <c r="J1147" s="17" t="n">
        <f aca="false">H1147-I1147</f>
        <v>30.952677751373</v>
      </c>
      <c r="K1147" s="17" t="n">
        <f aca="false">MAX(B1147-B1146,0)</f>
        <v>0</v>
      </c>
      <c r="L1147" s="17" t="n">
        <f aca="false">MAX(B1146-B1147,0)</f>
        <v>38.5900000000001</v>
      </c>
      <c r="M1147" s="17" t="n">
        <f aca="false">(M1146*13+K1147)/14</f>
        <v>78.0711068314696</v>
      </c>
      <c r="N1147" s="17" t="n">
        <f aca="false">(N1146*13+L1147)/14</f>
        <v>38.6074477142879</v>
      </c>
      <c r="O1147" s="17" t="n">
        <f aca="false">IF(N1147=0,100,100-100/(1+M1147/N1147))</f>
        <v>66.9112735715737</v>
      </c>
      <c r="P1147" s="17" t="n">
        <f aca="false">AVERAGE(B1128:B1147)+2*STDEV(B1128:B1147)</f>
        <v>13364.3189241939</v>
      </c>
      <c r="Q1147" s="17" t="n">
        <f aca="false">AVERAGE(B1128:B1147)-2*STDEV(B1128:B1147)</f>
        <v>12483.7320758061</v>
      </c>
      <c r="R1147" s="19" t="n">
        <f aca="false">B1147/B1127-1</f>
        <v>0.0510192206681157</v>
      </c>
      <c r="S1147" s="17" t="n">
        <f aca="false">STDEV(C1128:C1147)*SQRT(252)*100</f>
        <v>18.2610120704949</v>
      </c>
      <c r="T1147" s="19" t="n">
        <f aca="false">B1126/B896-1</f>
        <v>0.388207804652862</v>
      </c>
      <c r="U1147" s="19" t="n">
        <f aca="false">B1147/MAX(B896:B1147)-1</f>
        <v>-0.00287877872344555</v>
      </c>
      <c r="V1147" s="17" t="n">
        <f aca="false">(B1147-AVERAGE(B1128:B1147))/STDEV(B1128:B1147)</f>
        <v>2.0094531314424</v>
      </c>
    </row>
    <row r="1148" customFormat="false" ht="15" hidden="false" customHeight="false" outlineLevel="0" collapsed="false">
      <c r="A1148" s="17" t="s">
        <v>1712</v>
      </c>
      <c r="B1148" s="17" t="n">
        <v>13483.29</v>
      </c>
      <c r="C1148" s="19" t="n">
        <f aca="false">B1148/B1147-1</f>
        <v>0.00874506224563088</v>
      </c>
      <c r="D1148" s="17" t="n">
        <f aca="false">AVERAGE(B1099:B1148)</f>
        <v>12579.3868</v>
      </c>
      <c r="E1148" s="17" t="n">
        <f aca="false">AVERAGE(B949:B1148)</f>
        <v>11050.5491</v>
      </c>
      <c r="F1148" s="17" t="n">
        <f aca="false">B1148*2/13+F1147*11/13</f>
        <v>13130.1200835693</v>
      </c>
      <c r="G1148" s="17" t="n">
        <f aca="false">B1148*2/27+G1147*25/27</f>
        <v>12912.0446099362</v>
      </c>
      <c r="H1148" s="17" t="n">
        <f aca="false">F1148-G1148</f>
        <v>218.075473633013</v>
      </c>
      <c r="I1148" s="17" t="n">
        <f aca="false">H1148*2/10+I1147*8/10</f>
        <v>178.50286673334</v>
      </c>
      <c r="J1148" s="17" t="n">
        <f aca="false">H1148-I1148</f>
        <v>39.5726068996723</v>
      </c>
      <c r="K1148" s="17" t="n">
        <f aca="false">MAX(B1148-B1147,0)</f>
        <v>116.890000000001</v>
      </c>
      <c r="L1148" s="17" t="n">
        <f aca="false">MAX(B1147-B1148,0)</f>
        <v>0</v>
      </c>
      <c r="M1148" s="17" t="n">
        <f aca="false">(M1147*13+K1148)/14</f>
        <v>80.8438849149361</v>
      </c>
      <c r="N1148" s="17" t="n">
        <f aca="false">(N1147*13+L1148)/14</f>
        <v>35.849772877553</v>
      </c>
      <c r="O1148" s="17" t="n">
        <f aca="false">IF(N1148=0,100,100-100/(1+M1148/N1148))</f>
        <v>69.2787306904862</v>
      </c>
      <c r="P1148" s="17" t="n">
        <f aca="false">AVERAGE(B1129:B1148)+2*STDEV(B1129:B1148)</f>
        <v>13452.3631979606</v>
      </c>
      <c r="Q1148" s="17" t="n">
        <f aca="false">AVERAGE(B1129:B1148)-2*STDEV(B1129:B1148)</f>
        <v>12478.7028020394</v>
      </c>
      <c r="R1148" s="19" t="n">
        <f aca="false">B1148/B1128-1</f>
        <v>0.0656082205681754</v>
      </c>
      <c r="S1148" s="17" t="n">
        <f aca="false">STDEV(C1129:C1148)*SQRT(252)*100</f>
        <v>18.1544588233016</v>
      </c>
      <c r="T1148" s="19" t="n">
        <f aca="false">B1127/B897-1</f>
        <v>0.420610398807888</v>
      </c>
      <c r="U1148" s="19" t="n">
        <f aca="false">B1148/MAX(B897:B1148)-1</f>
        <v>0</v>
      </c>
      <c r="V1148" s="17" t="n">
        <f aca="false">(B1148-AVERAGE(B1129:B1148))/STDEV(B1129:B1148)</f>
        <v>2.1270537537277</v>
      </c>
    </row>
    <row r="1149" customFormat="false" ht="15" hidden="false" customHeight="false" outlineLevel="0" collapsed="false">
      <c r="A1149" s="17" t="s">
        <v>1713</v>
      </c>
      <c r="B1149" s="17" t="n">
        <v>13490.19</v>
      </c>
      <c r="C1149" s="19" t="n">
        <f aca="false">B1149/B1148-1</f>
        <v>0.00051174453712699</v>
      </c>
      <c r="D1149" s="17" t="n">
        <f aca="false">AVERAGE(B1100:B1149)</f>
        <v>12611.332</v>
      </c>
      <c r="E1149" s="17" t="n">
        <f aca="false">AVERAGE(B950:B1149)</f>
        <v>11076.8074</v>
      </c>
      <c r="F1149" s="17" t="n">
        <f aca="false">B1149*2/13+F1148*11/13</f>
        <v>13185.5154553278</v>
      </c>
      <c r="G1149" s="17" t="n">
        <f aca="false">B1149*2/27+G1148*25/27</f>
        <v>12954.8701943854</v>
      </c>
      <c r="H1149" s="17" t="n">
        <f aca="false">F1149-G1149</f>
        <v>230.645260942425</v>
      </c>
      <c r="I1149" s="17" t="n">
        <f aca="false">H1149*2/10+I1148*8/10</f>
        <v>188.931345575157</v>
      </c>
      <c r="J1149" s="17" t="n">
        <f aca="false">H1149-I1149</f>
        <v>41.7139153672676</v>
      </c>
      <c r="K1149" s="17" t="n">
        <f aca="false">MAX(B1149-B1148,0)</f>
        <v>6.89999999999964</v>
      </c>
      <c r="L1149" s="17" t="n">
        <f aca="false">MAX(B1148-B1149,0)</f>
        <v>0</v>
      </c>
      <c r="M1149" s="17" t="n">
        <f aca="false">(M1148*13+K1149)/14</f>
        <v>75.5621788495835</v>
      </c>
      <c r="N1149" s="17" t="n">
        <f aca="false">(N1148*13+L1149)/14</f>
        <v>33.2890748148707</v>
      </c>
      <c r="O1149" s="17" t="n">
        <f aca="false">IF(N1149=0,100,100-100/(1+M1149/N1149))</f>
        <v>69.4178305768642</v>
      </c>
      <c r="P1149" s="17" t="n">
        <f aca="false">AVERAGE(B1130:B1149)+2*STDEV(B1130:B1149)</f>
        <v>13528.8250067449</v>
      </c>
      <c r="Q1149" s="17" t="n">
        <f aca="false">AVERAGE(B1130:B1149)-2*STDEV(B1130:B1149)</f>
        <v>12480.1589932551</v>
      </c>
      <c r="R1149" s="19" t="n">
        <f aca="false">B1149/B1129-1</f>
        <v>0.0612996134846877</v>
      </c>
      <c r="S1149" s="17" t="n">
        <f aca="false">STDEV(C1130:C1149)*SQRT(252)*100</f>
        <v>18.1722561762005</v>
      </c>
      <c r="T1149" s="19" t="n">
        <f aca="false">B1128/B898-1</f>
        <v>0.391842198762943</v>
      </c>
      <c r="U1149" s="19" t="n">
        <f aca="false">B1149/MAX(B898:B1149)-1</f>
        <v>0</v>
      </c>
      <c r="V1149" s="17" t="n">
        <f aca="false">(B1149-AVERAGE(B1130:B1149))/STDEV(B1130:B1149)</f>
        <v>1.85263179602325</v>
      </c>
    </row>
    <row r="1150" customFormat="false" ht="15" hidden="false" customHeight="false" outlineLevel="0" collapsed="false">
      <c r="A1150" s="17" t="s">
        <v>1714</v>
      </c>
      <c r="B1150" s="17" t="n">
        <v>13112.65</v>
      </c>
      <c r="C1150" s="19" t="n">
        <f aca="false">B1150/B1149-1</f>
        <v>-0.0279862626100893</v>
      </c>
      <c r="D1150" s="17" t="n">
        <f aca="false">AVERAGE(B1101:B1150)</f>
        <v>12637.0422</v>
      </c>
      <c r="E1150" s="17" t="n">
        <f aca="false">AVERAGE(B951:B1150)</f>
        <v>11100.70695</v>
      </c>
      <c r="F1150" s="17" t="n">
        <f aca="false">B1150*2/13+F1149*11/13</f>
        <v>13174.3053852774</v>
      </c>
      <c r="G1150" s="17" t="n">
        <f aca="false">B1150*2/27+G1149*25/27</f>
        <v>12966.5575873939</v>
      </c>
      <c r="H1150" s="17" t="n">
        <f aca="false">F1150-G1150</f>
        <v>207.747797883505</v>
      </c>
      <c r="I1150" s="17" t="n">
        <f aca="false">H1150*2/10+I1149*8/10</f>
        <v>192.694636036827</v>
      </c>
      <c r="J1150" s="17" t="n">
        <f aca="false">H1150-I1150</f>
        <v>15.0531618466781</v>
      </c>
      <c r="K1150" s="17" t="n">
        <f aca="false">MAX(B1150-B1149,0)</f>
        <v>0</v>
      </c>
      <c r="L1150" s="17" t="n">
        <f aca="false">MAX(B1149-B1150,0)</f>
        <v>377.540000000001</v>
      </c>
      <c r="M1150" s="17" t="n">
        <f aca="false">(M1149*13+K1150)/14</f>
        <v>70.1648803603276</v>
      </c>
      <c r="N1150" s="17" t="n">
        <f aca="false">(N1149*13+L1150)/14</f>
        <v>57.8784266138085</v>
      </c>
      <c r="O1150" s="17" t="n">
        <f aca="false">IF(N1150=0,100,100-100/(1+M1150/N1150))</f>
        <v>54.7977727367666</v>
      </c>
      <c r="P1150" s="17" t="n">
        <f aca="false">AVERAGE(B1131:B1150)+2*STDEV(B1131:B1150)</f>
        <v>13538.5883003227</v>
      </c>
      <c r="Q1150" s="17" t="n">
        <f aca="false">AVERAGE(B1131:B1150)-2*STDEV(B1131:B1150)</f>
        <v>12497.7746996773</v>
      </c>
      <c r="R1150" s="19" t="n">
        <f aca="false">B1150/B1130-1</f>
        <v>0.0213251020729255</v>
      </c>
      <c r="S1150" s="17" t="n">
        <f aca="false">STDEV(C1131:C1150)*SQRT(252)*100</f>
        <v>21.0187136840006</v>
      </c>
      <c r="T1150" s="19" t="n">
        <f aca="false">B1129/B899-1</f>
        <v>0.396567200747999</v>
      </c>
      <c r="U1150" s="19" t="n">
        <f aca="false">B1150/MAX(B899:B1150)-1</f>
        <v>-0.0279862626100893</v>
      </c>
      <c r="V1150" s="17" t="n">
        <f aca="false">(B1150-AVERAGE(B1131:B1150))/STDEV(B1131:B1150)</f>
        <v>0.363056362604873</v>
      </c>
    </row>
    <row r="1151" customFormat="false" ht="15" hidden="false" customHeight="false" outlineLevel="0" collapsed="false">
      <c r="A1151" s="17" t="s">
        <v>1715</v>
      </c>
      <c r="B1151" s="17" t="n">
        <v>13201.53</v>
      </c>
      <c r="C1151" s="19" t="n">
        <f aca="false">B1151/B1150-1</f>
        <v>0.00677818747545311</v>
      </c>
      <c r="D1151" s="17" t="n">
        <f aca="false">AVERAGE(B1102:B1151)</f>
        <v>12662.316</v>
      </c>
      <c r="E1151" s="17" t="n">
        <f aca="false">AVERAGE(B952:B1151)</f>
        <v>11123.2538</v>
      </c>
      <c r="F1151" s="17" t="n">
        <f aca="false">B1151*2/13+F1150*11/13</f>
        <v>13178.4937875424</v>
      </c>
      <c r="G1151" s="17" t="n">
        <f aca="false">B1151*2/27+G1150*25/27</f>
        <v>12983.9629512906</v>
      </c>
      <c r="H1151" s="17" t="n">
        <f aca="false">F1151-G1151</f>
        <v>194.530836251774</v>
      </c>
      <c r="I1151" s="17" t="n">
        <f aca="false">H1151*2/10+I1150*8/10</f>
        <v>193.061876079816</v>
      </c>
      <c r="J1151" s="17" t="n">
        <f aca="false">H1151-I1151</f>
        <v>1.46896017195729</v>
      </c>
      <c r="K1151" s="17" t="n">
        <f aca="false">MAX(B1151-B1150,0)</f>
        <v>88.880000000001</v>
      </c>
      <c r="L1151" s="17" t="n">
        <f aca="false">MAX(B1150-B1151,0)</f>
        <v>0</v>
      </c>
      <c r="M1151" s="17" t="n">
        <f aca="false">(M1150*13+K1151)/14</f>
        <v>71.5016746203042</v>
      </c>
      <c r="N1151" s="17" t="n">
        <f aca="false">(N1150*13+L1151)/14</f>
        <v>53.7442532842508</v>
      </c>
      <c r="O1151" s="17" t="n">
        <f aca="false">IF(N1151=0,100,100-100/(1+M1151/N1151))</f>
        <v>57.0890214289385</v>
      </c>
      <c r="P1151" s="17" t="n">
        <f aca="false">AVERAGE(B1132:B1151)+2*STDEV(B1132:B1151)</f>
        <v>13555.8203362131</v>
      </c>
      <c r="Q1151" s="17" t="n">
        <f aca="false">AVERAGE(B1132:B1151)-2*STDEV(B1132:B1151)</f>
        <v>12516.3466637869</v>
      </c>
      <c r="R1151" s="19" t="n">
        <f aca="false">B1151/B1131-1</f>
        <v>0.0278771579998895</v>
      </c>
      <c r="S1151" s="17" t="n">
        <f aca="false">STDEV(C1132:C1151)*SQRT(252)*100</f>
        <v>21.1104406197675</v>
      </c>
      <c r="T1151" s="19" t="n">
        <f aca="false">B1130/B900-1</f>
        <v>0.405290447007418</v>
      </c>
      <c r="U1151" s="19" t="n">
        <f aca="false">B1151/MAX(B900:B1151)-1</f>
        <v>-0.0213977712693446</v>
      </c>
      <c r="V1151" s="17" t="n">
        <f aca="false">(B1151-AVERAGE(B1132:B1151))/STDEV(B1132:B1151)</f>
        <v>0.636654893293545</v>
      </c>
    </row>
    <row r="1152" customFormat="false" ht="15" hidden="false" customHeight="false" outlineLevel="0" collapsed="false">
      <c r="A1152" s="17" t="s">
        <v>1716</v>
      </c>
      <c r="B1152" s="17" t="n">
        <v>12925.38</v>
      </c>
      <c r="C1152" s="19" t="n">
        <f aca="false">B1152/B1151-1</f>
        <v>-0.0209180299556189</v>
      </c>
      <c r="D1152" s="17" t="n">
        <f aca="false">AVERAGE(B1103:B1152)</f>
        <v>12680.556</v>
      </c>
      <c r="E1152" s="17" t="n">
        <f aca="false">AVERAGE(B953:B1152)</f>
        <v>11144.9209</v>
      </c>
      <c r="F1152" s="17" t="n">
        <f aca="false">B1152*2/13+F1151*11/13</f>
        <v>13139.5532048436</v>
      </c>
      <c r="G1152" s="17" t="n">
        <f aca="false">B1152*2/27+G1151*25/27</f>
        <v>12979.6234734173</v>
      </c>
      <c r="H1152" s="17" t="n">
        <f aca="false">F1152-G1152</f>
        <v>159.92973142632</v>
      </c>
      <c r="I1152" s="17" t="n">
        <f aca="false">H1152*2/10+I1151*8/10</f>
        <v>186.435447149117</v>
      </c>
      <c r="J1152" s="17" t="n">
        <f aca="false">H1152-I1152</f>
        <v>-26.5057157227967</v>
      </c>
      <c r="K1152" s="17" t="n">
        <f aca="false">MAX(B1152-B1151,0)</f>
        <v>0</v>
      </c>
      <c r="L1152" s="17" t="n">
        <f aca="false">MAX(B1151-B1152,0)</f>
        <v>276.150000000001</v>
      </c>
      <c r="M1152" s="17" t="n">
        <f aca="false">(M1151*13+K1152)/14</f>
        <v>66.3944121474254</v>
      </c>
      <c r="N1152" s="17" t="n">
        <f aca="false">(N1151*13+L1152)/14</f>
        <v>69.6303780496615</v>
      </c>
      <c r="O1152" s="17" t="n">
        <f aca="false">IF(N1152=0,100,100-100/(1+M1152/N1152))</f>
        <v>48.8105234723952</v>
      </c>
      <c r="P1152" s="17" t="n">
        <f aca="false">AVERAGE(B1133:B1152)+2*STDEV(B1133:B1152)</f>
        <v>13554.8475934497</v>
      </c>
      <c r="Q1152" s="17" t="n">
        <f aca="false">AVERAGE(B1133:B1152)-2*STDEV(B1133:B1152)</f>
        <v>12525.3214065503</v>
      </c>
      <c r="R1152" s="19" t="n">
        <f aca="false">B1152/B1132-1</f>
        <v>0.0062294867563073</v>
      </c>
      <c r="S1152" s="17" t="n">
        <f aca="false">STDEV(C1133:C1152)*SQRT(252)*100</f>
        <v>22.5587447893307</v>
      </c>
      <c r="T1152" s="19" t="n">
        <f aca="false">B1131/B901-1</f>
        <v>0.428401903573482</v>
      </c>
      <c r="U1152" s="19" t="n">
        <f aca="false">B1152/MAX(B901:B1152)-1</f>
        <v>-0.0418682020045679</v>
      </c>
      <c r="V1152" s="17" t="n">
        <f aca="false">(B1152-AVERAGE(B1133:B1152))/STDEV(B1133:B1152)</f>
        <v>-0.445659377914248</v>
      </c>
    </row>
    <row r="1153" customFormat="false" ht="15" hidden="false" customHeight="false" outlineLevel="0" collapsed="false">
      <c r="A1153" s="17" t="s">
        <v>1717</v>
      </c>
      <c r="B1153" s="17" t="n">
        <v>13248.9</v>
      </c>
      <c r="C1153" s="19" t="n">
        <f aca="false">B1153/B1152-1</f>
        <v>0.0250298250418943</v>
      </c>
      <c r="D1153" s="17" t="n">
        <f aca="false">AVERAGE(B1104:B1153)</f>
        <v>12705.9842</v>
      </c>
      <c r="E1153" s="17" t="n">
        <f aca="false">AVERAGE(B954:B1153)</f>
        <v>11167.37625</v>
      </c>
      <c r="F1153" s="17" t="n">
        <f aca="false">B1153*2/13+F1152*11/13</f>
        <v>13156.3757887138</v>
      </c>
      <c r="G1153" s="17" t="n">
        <f aca="false">B1153*2/27+G1152*25/27</f>
        <v>12999.5698827938</v>
      </c>
      <c r="H1153" s="17" t="n">
        <f aca="false">F1153-G1153</f>
        <v>156.805905920039</v>
      </c>
      <c r="I1153" s="17" t="n">
        <f aca="false">H1153*2/10+I1152*8/10</f>
        <v>180.509538903301</v>
      </c>
      <c r="J1153" s="17" t="n">
        <f aca="false">H1153-I1153</f>
        <v>-23.7036329832627</v>
      </c>
      <c r="K1153" s="17" t="n">
        <f aca="false">MAX(B1153-B1152,0)</f>
        <v>323.52</v>
      </c>
      <c r="L1153" s="17" t="n">
        <f aca="false">MAX(B1152-B1153,0)</f>
        <v>0</v>
      </c>
      <c r="M1153" s="17" t="n">
        <f aca="false">(M1152*13+K1153)/14</f>
        <v>84.7605255654664</v>
      </c>
      <c r="N1153" s="17" t="n">
        <f aca="false">(N1152*13+L1153)/14</f>
        <v>64.6567796175429</v>
      </c>
      <c r="O1153" s="17" t="n">
        <f aca="false">IF(N1153=0,100,100-100/(1+M1153/N1153))</f>
        <v>56.7273820536718</v>
      </c>
      <c r="P1153" s="17" t="n">
        <f aca="false">AVERAGE(B1134:B1153)+2*STDEV(B1134:B1153)</f>
        <v>13575.7451011415</v>
      </c>
      <c r="Q1153" s="17" t="n">
        <f aca="false">AVERAGE(B1134:B1153)-2*STDEV(B1134:B1153)</f>
        <v>12540.4858988585</v>
      </c>
      <c r="R1153" s="19" t="n">
        <f aca="false">B1153/B1133-1</f>
        <v>0.0279804597665476</v>
      </c>
      <c r="S1153" s="17" t="n">
        <f aca="false">STDEV(C1134:C1153)*SQRT(252)*100</f>
        <v>24.1878075693081</v>
      </c>
      <c r="T1153" s="19" t="n">
        <f aca="false">B1132/B902-1</f>
        <v>0.407520958818702</v>
      </c>
      <c r="U1153" s="19" t="n">
        <f aca="false">B1153/MAX(B902:B1153)-1</f>
        <v>-0.0178863307336665</v>
      </c>
      <c r="V1153" s="17" t="n">
        <f aca="false">(B1153-AVERAGE(B1134:B1153))/STDEV(B1134:B1153)</f>
        <v>0.737146792143563</v>
      </c>
    </row>
    <row r="1154" customFormat="false" ht="15" hidden="false" customHeight="false" outlineLevel="0" collapsed="false">
      <c r="A1154" s="17" t="s">
        <v>1718</v>
      </c>
      <c r="B1154" s="17" t="n">
        <v>13456.12</v>
      </c>
      <c r="C1154" s="19" t="n">
        <f aca="false">B1154/B1153-1</f>
        <v>0.0156405437432543</v>
      </c>
      <c r="D1154" s="17" t="n">
        <f aca="false">AVERAGE(B1105:B1154)</f>
        <v>12737.2124</v>
      </c>
      <c r="E1154" s="17" t="n">
        <f aca="false">AVERAGE(B955:B1154)</f>
        <v>11190.4948</v>
      </c>
      <c r="F1154" s="17" t="n">
        <f aca="false">B1154*2/13+F1153*11/13</f>
        <v>13202.4902827578</v>
      </c>
      <c r="G1154" s="17" t="n">
        <f aca="false">B1154*2/27+G1153*25/27</f>
        <v>13033.3884099942</v>
      </c>
      <c r="H1154" s="17" t="n">
        <f aca="false">F1154-G1154</f>
        <v>169.101872763607</v>
      </c>
      <c r="I1154" s="17" t="n">
        <f aca="false">H1154*2/10+I1153*8/10</f>
        <v>178.228005675363</v>
      </c>
      <c r="J1154" s="17" t="n">
        <f aca="false">H1154-I1154</f>
        <v>-9.12613291175518</v>
      </c>
      <c r="K1154" s="17" t="n">
        <f aca="false">MAX(B1154-B1153,0)</f>
        <v>207.220000000001</v>
      </c>
      <c r="L1154" s="17" t="n">
        <f aca="false">MAX(B1153-B1154,0)</f>
        <v>0</v>
      </c>
      <c r="M1154" s="17" t="n">
        <f aca="false">(M1153*13+K1154)/14</f>
        <v>93.5076308822189</v>
      </c>
      <c r="N1154" s="17" t="n">
        <f aca="false">(N1153*13+L1154)/14</f>
        <v>60.0384382162898</v>
      </c>
      <c r="O1154" s="17" t="n">
        <f aca="false">IF(N1154=0,100,100-100/(1+M1154/N1154))</f>
        <v>60.8987461751485</v>
      </c>
      <c r="P1154" s="17" t="n">
        <f aca="false">AVERAGE(B1135:B1154)+2*STDEV(B1135:B1154)</f>
        <v>13613.2721303845</v>
      </c>
      <c r="Q1154" s="17" t="n">
        <f aca="false">AVERAGE(B1135:B1154)-2*STDEV(B1135:B1154)</f>
        <v>12579.1048696155</v>
      </c>
      <c r="R1154" s="19" t="n">
        <f aca="false">B1154/B1134-1</f>
        <v>0.0599827013878278</v>
      </c>
      <c r="S1154" s="17" t="n">
        <f aca="false">STDEV(C1135:C1154)*SQRT(252)*100</f>
        <v>23.8578775311113</v>
      </c>
      <c r="T1154" s="19" t="n">
        <f aca="false">B1133/B903-1</f>
        <v>0.380779639299512</v>
      </c>
      <c r="U1154" s="19" t="n">
        <f aca="false">B1154/MAX(B903:B1154)-1</f>
        <v>-0.00252553892865848</v>
      </c>
      <c r="V1154" s="17" t="n">
        <f aca="false">(B1154-AVERAGE(B1135:B1154))/STDEV(B1135:B1154)</f>
        <v>1.39215971595303</v>
      </c>
    </row>
    <row r="1155" customFormat="false" ht="15" hidden="false" customHeight="false" outlineLevel="0" collapsed="false">
      <c r="A1155" s="17" t="s">
        <v>1719</v>
      </c>
      <c r="B1155" s="17" t="n">
        <v>13402.37</v>
      </c>
      <c r="C1155" s="19" t="n">
        <f aca="false">B1155/B1154-1</f>
        <v>-0.00399446497207223</v>
      </c>
      <c r="D1155" s="17" t="n">
        <f aca="false">AVERAGE(B1106:B1155)</f>
        <v>12765.5512</v>
      </c>
      <c r="E1155" s="17" t="n">
        <f aca="false">AVERAGE(B956:B1155)</f>
        <v>11213.8741</v>
      </c>
      <c r="F1155" s="17" t="n">
        <f aca="false">B1155*2/13+F1154*11/13</f>
        <v>13233.2410084874</v>
      </c>
      <c r="G1155" s="17" t="n">
        <f aca="false">B1155*2/27+G1154*25/27</f>
        <v>13060.7203796243</v>
      </c>
      <c r="H1155" s="17" t="n">
        <f aca="false">F1155-G1155</f>
        <v>172.520628863116</v>
      </c>
      <c r="I1155" s="17" t="n">
        <f aca="false">H1155*2/10+I1154*8/10</f>
        <v>177.086530312913</v>
      </c>
      <c r="J1155" s="17" t="n">
        <f aca="false">H1155-I1155</f>
        <v>-4.56590144979714</v>
      </c>
      <c r="K1155" s="17" t="n">
        <f aca="false">MAX(B1155-B1154,0)</f>
        <v>0</v>
      </c>
      <c r="L1155" s="17" t="n">
        <f aca="false">MAX(B1154-B1155,0)</f>
        <v>53.75</v>
      </c>
      <c r="M1155" s="17" t="n">
        <f aca="false">(M1154*13+K1155)/14</f>
        <v>86.8285143906319</v>
      </c>
      <c r="N1155" s="17" t="n">
        <f aca="false">(N1154*13+L1155)/14</f>
        <v>59.5892640579834</v>
      </c>
      <c r="O1155" s="17" t="n">
        <f aca="false">IF(N1155=0,100,100-100/(1+M1155/N1155))</f>
        <v>59.301893056043</v>
      </c>
      <c r="P1155" s="17" t="n">
        <f aca="false">AVERAGE(B1136:B1155)+2*STDEV(B1136:B1155)</f>
        <v>13641.1142205956</v>
      </c>
      <c r="Q1155" s="17" t="n">
        <f aca="false">AVERAGE(B1136:B1155)-2*STDEV(B1136:B1155)</f>
        <v>12611.2617794044</v>
      </c>
      <c r="R1155" s="19" t="n">
        <f aca="false">B1155/B1135-1</f>
        <v>0.0468655046952209</v>
      </c>
      <c r="S1155" s="17" t="n">
        <f aca="false">STDEV(C1136:C1155)*SQRT(252)*100</f>
        <v>23.8902371812314</v>
      </c>
      <c r="T1155" s="19" t="n">
        <f aca="false">B1134/B904-1</f>
        <v>0.355184105010099</v>
      </c>
      <c r="U1155" s="19" t="n">
        <f aca="false">B1155/MAX(B904:B1155)-1</f>
        <v>-0.00650991572394455</v>
      </c>
      <c r="V1155" s="17" t="n">
        <f aca="false">(B1155-AVERAGE(B1136:B1155))/STDEV(B1136:B1155)</f>
        <v>1.07270513309873</v>
      </c>
    </row>
    <row r="1156" customFormat="false" ht="15" hidden="false" customHeight="false" outlineLevel="0" collapsed="false">
      <c r="A1156" s="17" t="s">
        <v>1720</v>
      </c>
      <c r="B1156" s="17" t="n">
        <v>13560.89</v>
      </c>
      <c r="C1156" s="19" t="n">
        <f aca="false">B1156/B1155-1</f>
        <v>0.0118277588217606</v>
      </c>
      <c r="D1156" s="17" t="n">
        <f aca="false">AVERAGE(B1107:B1156)</f>
        <v>12798.6402</v>
      </c>
      <c r="E1156" s="17" t="n">
        <f aca="false">AVERAGE(B957:B1156)</f>
        <v>11239.66355</v>
      </c>
      <c r="F1156" s="17" t="n">
        <f aca="false">B1156*2/13+F1155*11/13</f>
        <v>13283.6485456432</v>
      </c>
      <c r="G1156" s="17" t="n">
        <f aca="false">B1156*2/27+G1155*25/27</f>
        <v>13097.7699811336</v>
      </c>
      <c r="H1156" s="17" t="n">
        <f aca="false">F1156-G1156</f>
        <v>185.87856450959</v>
      </c>
      <c r="I1156" s="17" t="n">
        <f aca="false">H1156*2/10+I1155*8/10</f>
        <v>178.844937152249</v>
      </c>
      <c r="J1156" s="17" t="n">
        <f aca="false">H1156-I1156</f>
        <v>7.03362735734174</v>
      </c>
      <c r="K1156" s="17" t="n">
        <f aca="false">MAX(B1156-B1155,0)</f>
        <v>158.519999999999</v>
      </c>
      <c r="L1156" s="17" t="n">
        <f aca="false">MAX(B1155-B1156,0)</f>
        <v>0</v>
      </c>
      <c r="M1156" s="17" t="n">
        <f aca="false">(M1155*13+K1156)/14</f>
        <v>91.9493347913009</v>
      </c>
      <c r="N1156" s="17" t="n">
        <f aca="false">(N1155*13+L1156)/14</f>
        <v>55.3328880538417</v>
      </c>
      <c r="O1156" s="17" t="n">
        <f aca="false">IF(N1156=0,100,100-100/(1+M1156/N1156))</f>
        <v>62.4307082111189</v>
      </c>
      <c r="P1156" s="17" t="n">
        <f aca="false">AVERAGE(B1137:B1156)+2*STDEV(B1137:B1156)</f>
        <v>13665.455200873</v>
      </c>
      <c r="Q1156" s="17" t="n">
        <f aca="false">AVERAGE(B1137:B1156)-2*STDEV(B1137:B1156)</f>
        <v>12680.674799127</v>
      </c>
      <c r="R1156" s="19" t="n">
        <f aca="false">B1156/B1136-1</f>
        <v>0.0742703006729593</v>
      </c>
      <c r="S1156" s="17" t="n">
        <f aca="false">STDEV(C1137:C1156)*SQRT(252)*100</f>
        <v>23.2918146629819</v>
      </c>
      <c r="T1156" s="19" t="n">
        <f aca="false">B1135/B905-1</f>
        <v>0.355334366583668</v>
      </c>
      <c r="U1156" s="19" t="n">
        <f aca="false">B1156/MAX(B905:B1156)-1</f>
        <v>0</v>
      </c>
      <c r="V1156" s="17" t="n">
        <f aca="false">(B1156-AVERAGE(B1137:B1156))/STDEV(B1137:B1156)</f>
        <v>1.57527505345299</v>
      </c>
    </row>
    <row r="1157" customFormat="false" ht="15" hidden="false" customHeight="false" outlineLevel="0" collapsed="false">
      <c r="A1157" s="17" t="s">
        <v>1721</v>
      </c>
      <c r="B1157" s="17" t="n">
        <v>13603.96</v>
      </c>
      <c r="C1157" s="19" t="n">
        <f aca="false">B1157/B1156-1</f>
        <v>0.00317604523006976</v>
      </c>
      <c r="D1157" s="17" t="n">
        <f aca="false">AVERAGE(B1108:B1157)</f>
        <v>12832.6006</v>
      </c>
      <c r="E1157" s="17" t="n">
        <f aca="false">AVERAGE(B958:B1157)</f>
        <v>11264.36015</v>
      </c>
      <c r="F1157" s="17" t="n">
        <f aca="false">B1157*2/13+F1156*11/13</f>
        <v>13332.9272309288</v>
      </c>
      <c r="G1157" s="17" t="n">
        <f aca="false">B1157*2/27+G1156*25/27</f>
        <v>13135.2655380867</v>
      </c>
      <c r="H1157" s="17" t="n">
        <f aca="false">F1157-G1157</f>
        <v>197.661692842188</v>
      </c>
      <c r="I1157" s="17" t="n">
        <f aca="false">H1157*2/10+I1156*8/10</f>
        <v>182.608288290237</v>
      </c>
      <c r="J1157" s="17" t="n">
        <f aca="false">H1157-I1157</f>
        <v>15.0534045519515</v>
      </c>
      <c r="K1157" s="17" t="n">
        <f aca="false">MAX(B1157-B1156,0)</f>
        <v>43.0699999999997</v>
      </c>
      <c r="L1157" s="17" t="n">
        <f aca="false">MAX(B1156-B1157,0)</f>
        <v>0</v>
      </c>
      <c r="M1157" s="17" t="n">
        <f aca="false">(M1156*13+K1157)/14</f>
        <v>88.4579537347794</v>
      </c>
      <c r="N1157" s="17" t="n">
        <f aca="false">(N1156*13+L1157)/14</f>
        <v>51.3805389071387</v>
      </c>
      <c r="O1157" s="17" t="n">
        <f aca="false">IF(N1157=0,100,100-100/(1+M1157/N1157))</f>
        <v>63.2572277229075</v>
      </c>
      <c r="P1157" s="17" t="n">
        <f aca="false">AVERAGE(B1138:B1157)+2*STDEV(B1138:B1157)</f>
        <v>13721.4663083775</v>
      </c>
      <c r="Q1157" s="17" t="n">
        <f aca="false">AVERAGE(B1138:B1157)-2*STDEV(B1138:B1157)</f>
        <v>12691.1026916225</v>
      </c>
      <c r="R1157" s="19" t="n">
        <f aca="false">B1157/B1137-1</f>
        <v>0.0513456011289402</v>
      </c>
      <c r="S1157" s="17" t="n">
        <f aca="false">STDEV(C1138:C1157)*SQRT(252)*100</f>
        <v>21.8828690027536</v>
      </c>
      <c r="T1157" s="19" t="n">
        <f aca="false">B1136/B906-1</f>
        <v>0.342752443862952</v>
      </c>
      <c r="U1157" s="19" t="n">
        <f aca="false">B1157/MAX(B906:B1157)-1</f>
        <v>0</v>
      </c>
      <c r="V1157" s="17" t="n">
        <f aca="false">(B1157-AVERAGE(B1138:B1157))/STDEV(B1138:B1157)</f>
        <v>1.54382586315457</v>
      </c>
    </row>
    <row r="1158" customFormat="false" ht="15" hidden="false" customHeight="false" outlineLevel="0" collapsed="false">
      <c r="A1158" s="17" t="s">
        <v>1722</v>
      </c>
      <c r="B1158" s="17" t="n">
        <v>13695.02</v>
      </c>
      <c r="C1158" s="19" t="n">
        <f aca="false">B1158/B1157-1</f>
        <v>0.00669363920505517</v>
      </c>
      <c r="D1158" s="17" t="n">
        <f aca="false">AVERAGE(B1109:B1158)</f>
        <v>12864.9048</v>
      </c>
      <c r="E1158" s="17" t="n">
        <f aca="false">AVERAGE(B959:B1158)</f>
        <v>11289.62775</v>
      </c>
      <c r="F1158" s="17" t="n">
        <f aca="false">B1158*2/13+F1157*11/13</f>
        <v>13388.6338107859</v>
      </c>
      <c r="G1158" s="17" t="n">
        <f aca="false">B1158*2/27+G1157*25/27</f>
        <v>13176.7288315617</v>
      </c>
      <c r="H1158" s="17" t="n">
        <f aca="false">F1158-G1158</f>
        <v>211.904979224228</v>
      </c>
      <c r="I1158" s="17" t="n">
        <f aca="false">H1158*2/10+I1157*8/10</f>
        <v>188.467626477035</v>
      </c>
      <c r="J1158" s="17" t="n">
        <f aca="false">H1158-I1158</f>
        <v>23.4373527471928</v>
      </c>
      <c r="K1158" s="17" t="n">
        <f aca="false">MAX(B1158-B1157,0)</f>
        <v>91.0600000000013</v>
      </c>
      <c r="L1158" s="17" t="n">
        <f aca="false">MAX(B1157-B1158,0)</f>
        <v>0</v>
      </c>
      <c r="M1158" s="17" t="n">
        <f aca="false">(M1157*13+K1158)/14</f>
        <v>88.6438141822952</v>
      </c>
      <c r="N1158" s="17" t="n">
        <f aca="false">(N1157*13+L1158)/14</f>
        <v>47.7105004137717</v>
      </c>
      <c r="O1158" s="17" t="n">
        <f aca="false">IF(N1158=0,100,100-100/(1+M1158/N1158))</f>
        <v>65.0099077868506</v>
      </c>
      <c r="P1158" s="17" t="n">
        <f aca="false">AVERAGE(B1139:B1158)+2*STDEV(B1139:B1158)</f>
        <v>13792.4495207783</v>
      </c>
      <c r="Q1158" s="17" t="n">
        <f aca="false">AVERAGE(B1139:B1158)-2*STDEV(B1139:B1158)</f>
        <v>12679.1014792217</v>
      </c>
      <c r="R1158" s="19" t="n">
        <f aca="false">B1158/B1138-1</f>
        <v>0.0450065622806215</v>
      </c>
      <c r="S1158" s="17" t="n">
        <f aca="false">STDEV(C1139:C1158)*SQRT(252)*100</f>
        <v>21.6108972276854</v>
      </c>
      <c r="T1158" s="19" t="n">
        <f aca="false">B1137/B907-1</f>
        <v>0.359649841754196</v>
      </c>
      <c r="U1158" s="19" t="n">
        <f aca="false">B1158/MAX(B907:B1158)-1</f>
        <v>0</v>
      </c>
      <c r="V1158" s="17" t="n">
        <f aca="false">(B1158-AVERAGE(B1139:B1158))/STDEV(B1139:B1158)</f>
        <v>1.64995844195468</v>
      </c>
    </row>
    <row r="1159" customFormat="false" ht="15" hidden="false" customHeight="false" outlineLevel="0" collapsed="false">
      <c r="A1159" s="17" t="s">
        <v>1723</v>
      </c>
      <c r="B1159" s="17" t="n">
        <v>13687.08</v>
      </c>
      <c r="C1159" s="19" t="n">
        <f aca="false">B1159/B1158-1</f>
        <v>-0.000579772793321998</v>
      </c>
      <c r="D1159" s="17" t="n">
        <f aca="false">AVERAGE(B1110:B1159)</f>
        <v>12895.602</v>
      </c>
      <c r="E1159" s="17" t="n">
        <f aca="false">AVERAGE(B960:B1159)</f>
        <v>11314.13015</v>
      </c>
      <c r="F1159" s="17" t="n">
        <f aca="false">B1159*2/13+F1158*11/13</f>
        <v>13434.5486091266</v>
      </c>
      <c r="G1159" s="17" t="n">
        <f aca="false">B1159*2/27+G1158*25/27</f>
        <v>13214.5326218164</v>
      </c>
      <c r="H1159" s="17" t="n">
        <f aca="false">F1159-G1159</f>
        <v>220.015987310164</v>
      </c>
      <c r="I1159" s="17" t="n">
        <f aca="false">H1159*2/10+I1158*8/10</f>
        <v>194.777298643661</v>
      </c>
      <c r="J1159" s="17" t="n">
        <f aca="false">H1159-I1159</f>
        <v>25.2386886665032</v>
      </c>
      <c r="K1159" s="17" t="n">
        <f aca="false">MAX(B1159-B1158,0)</f>
        <v>0</v>
      </c>
      <c r="L1159" s="17" t="n">
        <f aca="false">MAX(B1158-B1159,0)</f>
        <v>7.94000000000051</v>
      </c>
      <c r="M1159" s="17" t="n">
        <f aca="false">(M1158*13+K1159)/14</f>
        <v>82.3121131692742</v>
      </c>
      <c r="N1159" s="17" t="n">
        <f aca="false">(N1158*13+L1159)/14</f>
        <v>44.8697503842166</v>
      </c>
      <c r="O1159" s="17" t="n">
        <f aca="false">IF(N1159=0,100,100-100/(1+M1159/N1159))</f>
        <v>64.7200087099329</v>
      </c>
      <c r="P1159" s="17" t="n">
        <f aca="false">AVERAGE(B1140:B1159)+2*STDEV(B1140:B1159)</f>
        <v>13843.2480520565</v>
      </c>
      <c r="Q1159" s="17" t="n">
        <f aca="false">AVERAGE(B1140:B1159)-2*STDEV(B1140:B1159)</f>
        <v>12706.7619479435</v>
      </c>
      <c r="R1159" s="19" t="n">
        <f aca="false">B1159/B1139-1</f>
        <v>0.0608091926442105</v>
      </c>
      <c r="S1159" s="17" t="n">
        <f aca="false">STDEV(C1140:C1159)*SQRT(252)*100</f>
        <v>20.6112045482631</v>
      </c>
      <c r="T1159" s="19" t="n">
        <f aca="false">B1138/B908-1</f>
        <v>0.37690615327395</v>
      </c>
      <c r="U1159" s="19" t="n">
        <f aca="false">B1159/MAX(B908:B1159)-1</f>
        <v>-0.000579772793321998</v>
      </c>
      <c r="V1159" s="17" t="n">
        <f aca="false">(B1159-AVERAGE(B1140:B1159))/STDEV(B1140:B1159)</f>
        <v>1.45034769368021</v>
      </c>
    </row>
    <row r="1160" customFormat="false" ht="15" hidden="false" customHeight="false" outlineLevel="0" collapsed="false">
      <c r="A1160" s="17" t="s">
        <v>1724</v>
      </c>
      <c r="B1160" s="17" t="n">
        <v>13655.27</v>
      </c>
      <c r="C1160" s="19" t="n">
        <f aca="false">B1160/B1159-1</f>
        <v>-0.00232408957936969</v>
      </c>
      <c r="D1160" s="17" t="n">
        <f aca="false">AVERAGE(B1111:B1160)</f>
        <v>12923.5432</v>
      </c>
      <c r="E1160" s="17" t="n">
        <f aca="false">AVERAGE(B961:B1160)</f>
        <v>11338.2182</v>
      </c>
      <c r="F1160" s="17" t="n">
        <f aca="false">B1160*2/13+F1159*11/13</f>
        <v>13468.505746184</v>
      </c>
      <c r="G1160" s="17" t="n">
        <f aca="false">B1160*2/27+G1159*25/27</f>
        <v>13247.1798350152</v>
      </c>
      <c r="H1160" s="17" t="n">
        <f aca="false">F1160-G1160</f>
        <v>221.325911168828</v>
      </c>
      <c r="I1160" s="17" t="n">
        <f aca="false">H1160*2/10+I1159*8/10</f>
        <v>200.087021148694</v>
      </c>
      <c r="J1160" s="17" t="n">
        <f aca="false">H1160-I1160</f>
        <v>21.2388900201336</v>
      </c>
      <c r="K1160" s="17" t="n">
        <f aca="false">MAX(B1160-B1159,0)</f>
        <v>0</v>
      </c>
      <c r="L1160" s="17" t="n">
        <f aca="false">MAX(B1159-B1160,0)</f>
        <v>31.8099999999995</v>
      </c>
      <c r="M1160" s="17" t="n">
        <f aca="false">(M1159*13+K1160)/14</f>
        <v>76.432676514326</v>
      </c>
      <c r="N1160" s="17" t="n">
        <f aca="false">(N1159*13+L1160)/14</f>
        <v>43.9369110710582</v>
      </c>
      <c r="O1160" s="17" t="n">
        <f aca="false">IF(N1160=0,100,100-100/(1+M1160/N1160))</f>
        <v>63.4983288117594</v>
      </c>
      <c r="P1160" s="17" t="n">
        <f aca="false">AVERAGE(B1141:B1160)+2*STDEV(B1141:B1160)</f>
        <v>13875.6081355894</v>
      </c>
      <c r="Q1160" s="17" t="n">
        <f aca="false">AVERAGE(B1141:B1160)-2*STDEV(B1141:B1160)</f>
        <v>12750.7198644106</v>
      </c>
      <c r="R1160" s="19" t="n">
        <f aca="false">B1160/B1140-1</f>
        <v>0.0591975389560575</v>
      </c>
      <c r="S1160" s="17" t="n">
        <f aca="false">STDEV(C1141:C1160)*SQRT(252)*100</f>
        <v>20.6557330569086</v>
      </c>
      <c r="T1160" s="19" t="n">
        <f aca="false">B1139/B909-1</f>
        <v>0.342163899637998</v>
      </c>
      <c r="U1160" s="19" t="n">
        <f aca="false">B1160/MAX(B909:B1160)-1</f>
        <v>-0.00290251492878435</v>
      </c>
      <c r="V1160" s="17" t="n">
        <f aca="false">(B1160-AVERAGE(B1141:B1160))/STDEV(B1141:B1160)</f>
        <v>1.21649770475952</v>
      </c>
    </row>
    <row r="1161" customFormat="false" ht="15" hidden="false" customHeight="false" outlineLevel="0" collapsed="false">
      <c r="A1161" s="17" t="s">
        <v>1725</v>
      </c>
      <c r="B1161" s="17" t="n">
        <v>13734.35</v>
      </c>
      <c r="C1161" s="19" t="n">
        <f aca="false">B1161/B1160-1</f>
        <v>0.00579117073481528</v>
      </c>
      <c r="D1161" s="17" t="n">
        <f aca="false">AVERAGE(B1112:B1161)</f>
        <v>12952.8638</v>
      </c>
      <c r="E1161" s="17" t="n">
        <f aca="false">AVERAGE(B962:B1161)</f>
        <v>11363.50195</v>
      </c>
      <c r="F1161" s="17" t="n">
        <f aca="false">B1161*2/13+F1160*11/13</f>
        <v>13509.4048621557</v>
      </c>
      <c r="G1161" s="17" t="n">
        <f aca="false">B1161*2/27+G1160*25/27</f>
        <v>13283.266513903</v>
      </c>
      <c r="H1161" s="17" t="n">
        <f aca="false">F1161-G1161</f>
        <v>226.138348252754</v>
      </c>
      <c r="I1161" s="17" t="n">
        <f aca="false">H1161*2/10+I1160*8/10</f>
        <v>205.297286569506</v>
      </c>
      <c r="J1161" s="17" t="n">
        <f aca="false">H1161-I1161</f>
        <v>20.8410616832483</v>
      </c>
      <c r="K1161" s="17" t="n">
        <f aca="false">MAX(B1161-B1160,0)</f>
        <v>79.0799999999999</v>
      </c>
      <c r="L1161" s="17" t="n">
        <f aca="false">MAX(B1160-B1161,0)</f>
        <v>0</v>
      </c>
      <c r="M1161" s="17" t="n">
        <f aca="false">(M1160*13+K1161)/14</f>
        <v>76.621771049017</v>
      </c>
      <c r="N1161" s="17" t="n">
        <f aca="false">(N1160*13+L1161)/14</f>
        <v>40.7985602802684</v>
      </c>
      <c r="O1161" s="17" t="n">
        <f aca="false">IF(N1161=0,100,100-100/(1+M1161/N1161))</f>
        <v>65.2542623424765</v>
      </c>
      <c r="P1161" s="17" t="n">
        <f aca="false">AVERAGE(B1142:B1161)+2*STDEV(B1142:B1161)</f>
        <v>13919.8198879096</v>
      </c>
      <c r="Q1161" s="17" t="n">
        <f aca="false">AVERAGE(B1142:B1161)-2*STDEV(B1142:B1161)</f>
        <v>12782.5801120904</v>
      </c>
      <c r="R1161" s="19" t="n">
        <f aca="false">B1161/B1141-1</f>
        <v>0.0586358636711546</v>
      </c>
      <c r="S1161" s="17" t="n">
        <f aca="false">STDEV(C1142:C1161)*SQRT(252)*100</f>
        <v>20.6450702485538</v>
      </c>
      <c r="T1161" s="19" t="n">
        <f aca="false">B1140/B910-1</f>
        <v>0.343527830173932</v>
      </c>
      <c r="U1161" s="19" t="n">
        <f aca="false">B1161/MAX(B910:B1161)-1</f>
        <v>0</v>
      </c>
      <c r="V1161" s="17" t="n">
        <f aca="false">(B1161-AVERAGE(B1142:B1161))/STDEV(B1142:B1161)</f>
        <v>1.34764895898583</v>
      </c>
    </row>
    <row r="1162" customFormat="false" ht="15" hidden="false" customHeight="false" outlineLevel="0" collapsed="false">
      <c r="A1162" s="17" t="s">
        <v>1726</v>
      </c>
      <c r="B1162" s="17" t="n">
        <v>13807.7</v>
      </c>
      <c r="C1162" s="19" t="n">
        <f aca="false">B1162/B1161-1</f>
        <v>0.00534062405574343</v>
      </c>
      <c r="D1162" s="17" t="n">
        <f aca="false">AVERAGE(B1113:B1162)</f>
        <v>12979.9112</v>
      </c>
      <c r="E1162" s="17" t="n">
        <f aca="false">AVERAGE(B963:B1162)</f>
        <v>11387.62665</v>
      </c>
      <c r="F1162" s="17" t="n">
        <f aca="false">B1162*2/13+F1161*11/13</f>
        <v>13555.2964218241</v>
      </c>
      <c r="G1162" s="17" t="n">
        <f aca="false">B1162*2/27+G1161*25/27</f>
        <v>13322.113438799</v>
      </c>
      <c r="H1162" s="17" t="n">
        <f aca="false">F1162-G1162</f>
        <v>233.18298302503</v>
      </c>
      <c r="I1162" s="17" t="n">
        <f aca="false">H1162*2/10+I1161*8/10</f>
        <v>210.874425860611</v>
      </c>
      <c r="J1162" s="17" t="n">
        <f aca="false">H1162-I1162</f>
        <v>22.308557164419</v>
      </c>
      <c r="K1162" s="17" t="n">
        <f aca="false">MAX(B1162-B1161,0)</f>
        <v>73.3500000000004</v>
      </c>
      <c r="L1162" s="17" t="n">
        <f aca="false">MAX(B1161-B1162,0)</f>
        <v>0</v>
      </c>
      <c r="M1162" s="17" t="n">
        <f aca="false">(M1161*13+K1162)/14</f>
        <v>76.3880731169444</v>
      </c>
      <c r="N1162" s="17" t="n">
        <f aca="false">(N1161*13+L1162)/14</f>
        <v>37.8843774031063</v>
      </c>
      <c r="O1162" s="17" t="n">
        <f aca="false">IF(N1162=0,100,100-100/(1+M1162/N1162))</f>
        <v>66.8473221404673</v>
      </c>
      <c r="P1162" s="17" t="n">
        <f aca="false">AVERAGE(B1143:B1162)+2*STDEV(B1143:B1162)</f>
        <v>13958.2502322115</v>
      </c>
      <c r="Q1162" s="17" t="n">
        <f aca="false">AVERAGE(B1143:B1162)-2*STDEV(B1143:B1162)</f>
        <v>12835.0507677885</v>
      </c>
      <c r="R1162" s="19" t="n">
        <f aca="false">B1162/B1142-1</f>
        <v>0.0704730480382116</v>
      </c>
      <c r="S1162" s="17" t="n">
        <f aca="false">STDEV(C1143:C1162)*SQRT(252)*100</f>
        <v>20.3986755402997</v>
      </c>
      <c r="T1162" s="19" t="n">
        <f aca="false">B1141/B911-1</f>
        <v>0.348108500163141</v>
      </c>
      <c r="U1162" s="19" t="n">
        <f aca="false">B1162/MAX(B911:B1162)-1</f>
        <v>0</v>
      </c>
      <c r="V1162" s="17" t="n">
        <f aca="false">(B1162-AVERAGE(B1143:B1162))/STDEV(B1143:B1162)</f>
        <v>1.46385219373722</v>
      </c>
    </row>
    <row r="1163" customFormat="false" ht="15" hidden="false" customHeight="false" outlineLevel="0" collapsed="false">
      <c r="A1163" s="17" t="s">
        <v>1727</v>
      </c>
      <c r="B1163" s="17" t="n">
        <v>13773.77</v>
      </c>
      <c r="C1163" s="19" t="n">
        <f aca="false">B1163/B1162-1</f>
        <v>-0.00245732453630942</v>
      </c>
      <c r="D1163" s="17" t="n">
        <f aca="false">AVERAGE(B1114:B1163)</f>
        <v>13006.2584</v>
      </c>
      <c r="E1163" s="17" t="n">
        <f aca="false">AVERAGE(B964:B1163)</f>
        <v>11411.49295</v>
      </c>
      <c r="F1163" s="17" t="n">
        <f aca="false">B1163*2/13+F1162*11/13</f>
        <v>13588.9077415434</v>
      </c>
      <c r="G1163" s="17" t="n">
        <f aca="false">B1163*2/27+G1162*25/27</f>
        <v>13355.5694803695</v>
      </c>
      <c r="H1163" s="17" t="n">
        <f aca="false">F1163-G1163</f>
        <v>233.338261173965</v>
      </c>
      <c r="I1163" s="17" t="n">
        <f aca="false">H1163*2/10+I1162*8/10</f>
        <v>215.367192923282</v>
      </c>
      <c r="J1163" s="17" t="n">
        <f aca="false">H1163-I1163</f>
        <v>17.9710682506835</v>
      </c>
      <c r="K1163" s="17" t="n">
        <f aca="false">MAX(B1163-B1162,0)</f>
        <v>0</v>
      </c>
      <c r="L1163" s="17" t="n">
        <f aca="false">MAX(B1162-B1163,0)</f>
        <v>33.9300000000003</v>
      </c>
      <c r="M1163" s="17" t="n">
        <f aca="false">(M1162*13+K1163)/14</f>
        <v>70.9317821800198</v>
      </c>
      <c r="N1163" s="17" t="n">
        <f aca="false">(N1162*13+L1163)/14</f>
        <v>37.6019218743131</v>
      </c>
      <c r="O1163" s="17" t="n">
        <f aca="false">IF(N1163=0,100,100-100/(1+M1163/N1163))</f>
        <v>65.3546129269768</v>
      </c>
      <c r="P1163" s="17" t="n">
        <f aca="false">AVERAGE(B1144:B1163)+2*STDEV(B1144:B1163)</f>
        <v>13956.486400382</v>
      </c>
      <c r="Q1163" s="17" t="n">
        <f aca="false">AVERAGE(B1144:B1163)-2*STDEV(B1144:B1163)</f>
        <v>12933.798599618</v>
      </c>
      <c r="R1163" s="19" t="n">
        <f aca="false">B1163/B1143-1</f>
        <v>0.0757454937663671</v>
      </c>
      <c r="S1163" s="17" t="n">
        <f aca="false">STDEV(C1144:C1163)*SQRT(252)*100</f>
        <v>20.1262163675477</v>
      </c>
      <c r="T1163" s="19" t="n">
        <f aca="false">B1142/B912-1</f>
        <v>0.33945564809238</v>
      </c>
      <c r="U1163" s="19" t="n">
        <f aca="false">B1163/MAX(B912:B1163)-1</f>
        <v>-0.00245732453630942</v>
      </c>
      <c r="V1163" s="17" t="n">
        <f aca="false">(B1163-AVERAGE(B1144:B1163))/STDEV(B1144:B1163)</f>
        <v>1.28534827443718</v>
      </c>
    </row>
    <row r="1164" customFormat="false" ht="15" hidden="false" customHeight="false" outlineLevel="0" collapsed="false">
      <c r="A1164" s="17" t="s">
        <v>1728</v>
      </c>
      <c r="B1164" s="17" t="n">
        <v>13699.71</v>
      </c>
      <c r="C1164" s="19" t="n">
        <f aca="false">B1164/B1163-1</f>
        <v>-0.00537688664759184</v>
      </c>
      <c r="D1164" s="17" t="n">
        <f aca="false">AVERAGE(B1115:B1164)</f>
        <v>13030.91</v>
      </c>
      <c r="E1164" s="17" t="n">
        <f aca="false">AVERAGE(B965:B1164)</f>
        <v>11436.4006</v>
      </c>
      <c r="F1164" s="17" t="n">
        <f aca="false">B1164*2/13+F1163*11/13</f>
        <v>13605.9542428444</v>
      </c>
      <c r="G1164" s="17" t="n">
        <f aca="false">B1164*2/27+G1163*25/27</f>
        <v>13381.0613707125</v>
      </c>
      <c r="H1164" s="17" t="n">
        <f aca="false">F1164-G1164</f>
        <v>224.892872131974</v>
      </c>
      <c r="I1164" s="17" t="n">
        <f aca="false">H1164*2/10+I1163*8/10</f>
        <v>217.27232876502</v>
      </c>
      <c r="J1164" s="17" t="n">
        <f aca="false">H1164-I1164</f>
        <v>7.62054336695337</v>
      </c>
      <c r="K1164" s="17" t="n">
        <f aca="false">MAX(B1164-B1163,0)</f>
        <v>0</v>
      </c>
      <c r="L1164" s="17" t="n">
        <f aca="false">MAX(B1163-B1164,0)</f>
        <v>74.0600000000013</v>
      </c>
      <c r="M1164" s="17" t="n">
        <f aca="false">(M1163*13+K1164)/14</f>
        <v>65.8652263100184</v>
      </c>
      <c r="N1164" s="17" t="n">
        <f aca="false">(N1163*13+L1164)/14</f>
        <v>40.2060703118622</v>
      </c>
      <c r="O1164" s="17" t="n">
        <f aca="false">IF(N1164=0,100,100-100/(1+M1164/N1164))</f>
        <v>62.0952400957372</v>
      </c>
      <c r="P1164" s="17" t="n">
        <f aca="false">AVERAGE(B1145:B1164)+2*STDEV(B1145:B1164)</f>
        <v>13957.316454407</v>
      </c>
      <c r="Q1164" s="17" t="n">
        <f aca="false">AVERAGE(B1145:B1164)-2*STDEV(B1145:B1164)</f>
        <v>13003.285545593</v>
      </c>
      <c r="R1164" s="19" t="n">
        <f aca="false">B1164/B1144-1</f>
        <v>0.0541044000941788</v>
      </c>
      <c r="S1164" s="17" t="n">
        <f aca="false">STDEV(C1145:C1164)*SQRT(252)*100</f>
        <v>19.9084298396119</v>
      </c>
      <c r="T1164" s="19" t="n">
        <f aca="false">B1143/B913-1</f>
        <v>0.317448884782271</v>
      </c>
      <c r="U1164" s="19" t="n">
        <f aca="false">B1164/MAX(B913:B1164)-1</f>
        <v>-0.00782099842841322</v>
      </c>
      <c r="V1164" s="17" t="n">
        <f aca="false">(B1164-AVERAGE(B1145:B1164))/STDEV(B1145:B1164)</f>
        <v>0.919924073624555</v>
      </c>
    </row>
    <row r="1165" customFormat="false" ht="15" hidden="false" customHeight="false" outlineLevel="0" collapsed="false">
      <c r="A1165" s="17" t="s">
        <v>1729</v>
      </c>
      <c r="B1165" s="17" t="n">
        <v>13637.51</v>
      </c>
      <c r="C1165" s="19" t="n">
        <f aca="false">B1165/B1164-1</f>
        <v>-0.00454024209271575</v>
      </c>
      <c r="D1165" s="17" t="n">
        <f aca="false">AVERAGE(B1116:B1165)</f>
        <v>13053.0906</v>
      </c>
      <c r="E1165" s="17" t="n">
        <f aca="false">AVERAGE(B966:B1165)</f>
        <v>11460.4176</v>
      </c>
      <c r="F1165" s="17" t="n">
        <f aca="false">B1165*2/13+F1164*11/13</f>
        <v>13610.8089747145</v>
      </c>
      <c r="G1165" s="17" t="n">
        <f aca="false">B1165*2/27+G1164*25/27</f>
        <v>13400.0575654745</v>
      </c>
      <c r="H1165" s="17" t="n">
        <f aca="false">F1165-G1165</f>
        <v>210.751409240022</v>
      </c>
      <c r="I1165" s="17" t="n">
        <f aca="false">H1165*2/10+I1164*8/10</f>
        <v>215.96814486002</v>
      </c>
      <c r="J1165" s="17" t="n">
        <f aca="false">H1165-I1165</f>
        <v>-5.21673561999887</v>
      </c>
      <c r="K1165" s="17" t="n">
        <f aca="false">MAX(B1165-B1164,0)</f>
        <v>0</v>
      </c>
      <c r="L1165" s="17" t="n">
        <f aca="false">MAX(B1164-B1165,0)</f>
        <v>62.1999999999989</v>
      </c>
      <c r="M1165" s="17" t="n">
        <f aca="false">(M1164*13+K1165)/14</f>
        <v>61.1605672878742</v>
      </c>
      <c r="N1165" s="17" t="n">
        <f aca="false">(N1164*13+L1165)/14</f>
        <v>41.7770652895863</v>
      </c>
      <c r="O1165" s="17" t="n">
        <f aca="false">IF(N1165=0,100,100-100/(1+M1165/N1165))</f>
        <v>59.4151679579875</v>
      </c>
      <c r="P1165" s="17" t="n">
        <f aca="false">AVERAGE(B1146:B1165)+2*STDEV(B1146:B1165)</f>
        <v>13971.0694744714</v>
      </c>
      <c r="Q1165" s="17" t="n">
        <f aca="false">AVERAGE(B1146:B1165)-2*STDEV(B1146:B1165)</f>
        <v>13023.6385255286</v>
      </c>
      <c r="R1165" s="19" t="n">
        <f aca="false">B1165/B1145-1</f>
        <v>0.0256504555727279</v>
      </c>
      <c r="S1165" s="17" t="n">
        <f aca="false">STDEV(C1146:C1165)*SQRT(252)*100</f>
        <v>18.5274999040354</v>
      </c>
      <c r="T1165" s="19" t="n">
        <f aca="false">B1144/B914-1</f>
        <v>0.349892966535554</v>
      </c>
      <c r="U1165" s="19" t="n">
        <f aca="false">B1165/MAX(B914:B1165)-1</f>
        <v>-0.0123257312948573</v>
      </c>
      <c r="V1165" s="17" t="n">
        <f aca="false">(B1165-AVERAGE(B1146:B1165))/STDEV(B1146:B1165)</f>
        <v>0.591730722566692</v>
      </c>
    </row>
    <row r="1166" customFormat="false" ht="15" hidden="false" customHeight="false" outlineLevel="0" collapsed="false">
      <c r="A1166" s="17" t="s">
        <v>1730</v>
      </c>
      <c r="B1166" s="17" t="n">
        <v>13580.78</v>
      </c>
      <c r="C1166" s="19" t="n">
        <f aca="false">B1166/B1165-1</f>
        <v>-0.00415985029525179</v>
      </c>
      <c r="D1166" s="17" t="n">
        <f aca="false">AVERAGE(B1117:B1166)</f>
        <v>13072.7768</v>
      </c>
      <c r="E1166" s="17" t="n">
        <f aca="false">AVERAGE(B967:B1166)</f>
        <v>11483.6684</v>
      </c>
      <c r="F1166" s="17" t="n">
        <f aca="false">B1166*2/13+F1165*11/13</f>
        <v>13606.1891324508</v>
      </c>
      <c r="G1166" s="17" t="n">
        <f aca="false">B1166*2/27+G1165*25/27</f>
        <v>13413.4444124764</v>
      </c>
      <c r="H1166" s="17" t="n">
        <f aca="false">F1166-G1166</f>
        <v>192.744719974358</v>
      </c>
      <c r="I1166" s="17" t="n">
        <f aca="false">H1166*2/10+I1165*8/10</f>
        <v>211.323459882888</v>
      </c>
      <c r="J1166" s="17" t="n">
        <f aca="false">H1166-I1166</f>
        <v>-18.5787399085297</v>
      </c>
      <c r="K1166" s="17" t="n">
        <f aca="false">MAX(B1166-B1165,0)</f>
        <v>0</v>
      </c>
      <c r="L1166" s="17" t="n">
        <f aca="false">MAX(B1165-B1166,0)</f>
        <v>56.7299999999996</v>
      </c>
      <c r="M1166" s="17" t="n">
        <f aca="false">(M1165*13+K1166)/14</f>
        <v>56.7919553387403</v>
      </c>
      <c r="N1166" s="17" t="n">
        <f aca="false">(N1165*13+L1166)/14</f>
        <v>42.8451320546158</v>
      </c>
      <c r="O1166" s="17" t="n">
        <f aca="false">IF(N1166=0,100,100-100/(1+M1166/N1166))</f>
        <v>56.9988112102595</v>
      </c>
      <c r="P1166" s="17" t="n">
        <f aca="false">AVERAGE(B1147:B1166)+2*STDEV(B1147:B1166)</f>
        <v>13979.1659983756</v>
      </c>
      <c r="Q1166" s="17" t="n">
        <f aca="false">AVERAGE(B1147:B1166)-2*STDEV(B1147:B1166)</f>
        <v>13033.1210016244</v>
      </c>
      <c r="R1166" s="19" t="n">
        <f aca="false">B1166/B1146-1</f>
        <v>0.013113773303822</v>
      </c>
      <c r="S1166" s="17" t="n">
        <f aca="false">STDEV(C1147:C1166)*SQRT(252)*100</f>
        <v>18.4410591820809</v>
      </c>
      <c r="T1166" s="19" t="n">
        <f aca="false">B1145/B915-1</f>
        <v>0.407524752056011</v>
      </c>
      <c r="U1166" s="19" t="n">
        <f aca="false">B1166/MAX(B915:B1166)-1</f>
        <v>-0.016434308393143</v>
      </c>
      <c r="V1166" s="17" t="n">
        <f aca="false">(B1166-AVERAGE(B1147:B1166))/STDEV(B1147:B1166)</f>
        <v>0.31557272753965</v>
      </c>
    </row>
    <row r="1167" customFormat="false" ht="15" hidden="false" customHeight="false" outlineLevel="0" collapsed="false">
      <c r="A1167" s="17" t="s">
        <v>1731</v>
      </c>
      <c r="B1167" s="17" t="n">
        <v>13223.74</v>
      </c>
      <c r="C1167" s="19" t="n">
        <f aca="false">B1167/B1166-1</f>
        <v>-0.0262900952669877</v>
      </c>
      <c r="D1167" s="17" t="n">
        <f aca="false">AVERAGE(B1118:B1167)</f>
        <v>13084.5372</v>
      </c>
      <c r="E1167" s="17" t="n">
        <f aca="false">AVERAGE(B968:B1167)</f>
        <v>11504.8628</v>
      </c>
      <c r="F1167" s="17" t="n">
        <f aca="false">B1167*2/13+F1166*11/13</f>
        <v>13547.3508043814</v>
      </c>
      <c r="G1167" s="17" t="n">
        <f aca="false">B1167*2/27+G1166*25/27</f>
        <v>13399.3922337744</v>
      </c>
      <c r="H1167" s="17" t="n">
        <f aca="false">F1167-G1167</f>
        <v>147.958570606968</v>
      </c>
      <c r="I1167" s="17" t="n">
        <f aca="false">H1167*2/10+I1166*8/10</f>
        <v>198.650482027704</v>
      </c>
      <c r="J1167" s="17" t="n">
        <f aca="false">H1167-I1167</f>
        <v>-50.6919114207357</v>
      </c>
      <c r="K1167" s="17" t="n">
        <f aca="false">MAX(B1167-B1166,0)</f>
        <v>0</v>
      </c>
      <c r="L1167" s="17" t="n">
        <f aca="false">MAX(B1166-B1167,0)</f>
        <v>357.040000000001</v>
      </c>
      <c r="M1167" s="17" t="n">
        <f aca="false">(M1166*13+K1167)/14</f>
        <v>52.7353871002589</v>
      </c>
      <c r="N1167" s="17" t="n">
        <f aca="false">(N1166*13+L1167)/14</f>
        <v>65.2876226221433</v>
      </c>
      <c r="O1167" s="17" t="n">
        <f aca="false">IF(N1167=0,100,100-100/(1+M1167/N1167))</f>
        <v>44.6822930751351</v>
      </c>
      <c r="P1167" s="17" t="n">
        <f aca="false">AVERAGE(B1148:B1167)+2*STDEV(B1148:B1167)</f>
        <v>13985.0297212129</v>
      </c>
      <c r="Q1167" s="17" t="n">
        <f aca="false">AVERAGE(B1148:B1167)-2*STDEV(B1148:B1167)</f>
        <v>13012.9912787871</v>
      </c>
      <c r="R1167" s="19" t="n">
        <f aca="false">B1167/B1147-1</f>
        <v>-0.0106730308834091</v>
      </c>
      <c r="S1167" s="17" t="n">
        <f aca="false">STDEV(C1148:C1167)*SQRT(252)*100</f>
        <v>20.7715136556065</v>
      </c>
      <c r="T1167" s="19" t="n">
        <f aca="false">B1146/B916-1</f>
        <v>0.476380645466831</v>
      </c>
      <c r="U1167" s="19" t="n">
        <f aca="false">B1167/MAX(B916:B1167)-1</f>
        <v>-0.0422923441268278</v>
      </c>
      <c r="V1167" s="17" t="n">
        <f aca="false">(B1167-AVERAGE(B1148:B1167))/STDEV(B1148:B1167)</f>
        <v>-1.13275561124116</v>
      </c>
    </row>
    <row r="1168" customFormat="false" ht="15" hidden="false" customHeight="false" outlineLevel="0" collapsed="false">
      <c r="A1168" s="17" t="s">
        <v>1732</v>
      </c>
      <c r="B1168" s="17" t="n">
        <v>13194.71</v>
      </c>
      <c r="C1168" s="19" t="n">
        <f aca="false">B1168/B1167-1</f>
        <v>-0.0021952942208483</v>
      </c>
      <c r="D1168" s="17" t="n">
        <f aca="false">AVERAGE(B1119:B1168)</f>
        <v>13101.1386</v>
      </c>
      <c r="E1168" s="17" t="n">
        <f aca="false">AVERAGE(B969:B1168)</f>
        <v>11525.32695</v>
      </c>
      <c r="F1168" s="17" t="n">
        <f aca="false">B1168*2/13+F1167*11/13</f>
        <v>13493.0983729381</v>
      </c>
      <c r="G1168" s="17" t="n">
        <f aca="false">B1168*2/27+G1167*25/27</f>
        <v>13384.2305868282</v>
      </c>
      <c r="H1168" s="17" t="n">
        <f aca="false">F1168-G1168</f>
        <v>108.86778610993</v>
      </c>
      <c r="I1168" s="17" t="n">
        <f aca="false">H1168*2/10+I1167*8/10</f>
        <v>180.693942844149</v>
      </c>
      <c r="J1168" s="17" t="n">
        <f aca="false">H1168-I1168</f>
        <v>-71.8261567342196</v>
      </c>
      <c r="K1168" s="17" t="n">
        <f aca="false">MAX(B1168-B1167,0)</f>
        <v>0</v>
      </c>
      <c r="L1168" s="17" t="n">
        <f aca="false">MAX(B1167-B1168,0)</f>
        <v>29.0300000000007</v>
      </c>
      <c r="M1168" s="17" t="n">
        <f aca="false">(M1167*13+K1168)/14</f>
        <v>48.9685737359547</v>
      </c>
      <c r="N1168" s="17" t="n">
        <f aca="false">(N1167*13+L1168)/14</f>
        <v>62.6977924348474</v>
      </c>
      <c r="O1168" s="17" t="n">
        <f aca="false">IF(N1168=0,100,100-100/(1+M1168/N1168))</f>
        <v>43.8525720995108</v>
      </c>
      <c r="P1168" s="17" t="n">
        <f aca="false">AVERAGE(B1149:B1168)+2*STDEV(B1149:B1168)</f>
        <v>13989.3393857766</v>
      </c>
      <c r="Q1168" s="17" t="n">
        <f aca="false">AVERAGE(B1149:B1168)-2*STDEV(B1149:B1168)</f>
        <v>12979.8236142234</v>
      </c>
      <c r="R1168" s="19" t="n">
        <f aca="false">B1168/B1148-1</f>
        <v>-0.0214027881919029</v>
      </c>
      <c r="S1168" s="17" t="n">
        <f aca="false">STDEV(C1149:C1168)*SQRT(252)*100</f>
        <v>20.4899667944214</v>
      </c>
      <c r="T1168" s="19" t="n">
        <f aca="false">B1147/B917-1</f>
        <v>0.512914168516345</v>
      </c>
      <c r="U1168" s="19" t="n">
        <f aca="false">B1168/MAX(B917:B1168)-1</f>
        <v>-0.0443947942090284</v>
      </c>
      <c r="V1168" s="17" t="n">
        <f aca="false">(B1168-AVERAGE(B1149:B1168))/STDEV(B1149:B1168)</f>
        <v>-1.14855659779938</v>
      </c>
    </row>
    <row r="1169" customFormat="false" ht="15" hidden="false" customHeight="false" outlineLevel="0" collapsed="false">
      <c r="A1169" s="17" t="s">
        <v>1733</v>
      </c>
      <c r="B1169" s="17" t="n">
        <v>13302.19</v>
      </c>
      <c r="C1169" s="19" t="n">
        <f aca="false">B1169/B1168-1</f>
        <v>0.00814568868887622</v>
      </c>
      <c r="D1169" s="17" t="n">
        <f aca="false">AVERAGE(B1120:B1169)</f>
        <v>13119.1476</v>
      </c>
      <c r="E1169" s="17" t="n">
        <f aca="false">AVERAGE(B970:B1169)</f>
        <v>11545.73615</v>
      </c>
      <c r="F1169" s="17" t="n">
        <f aca="false">B1169*2/13+F1168*11/13</f>
        <v>13463.7278540246</v>
      </c>
      <c r="G1169" s="17" t="n">
        <f aca="false">B1169*2/27+G1168*25/27</f>
        <v>13378.1535063224</v>
      </c>
      <c r="H1169" s="17" t="n">
        <f aca="false">F1169-G1169</f>
        <v>85.5743477021642</v>
      </c>
      <c r="I1169" s="17" t="n">
        <f aca="false">H1169*2/10+I1168*8/10</f>
        <v>161.670023815752</v>
      </c>
      <c r="J1169" s="17" t="n">
        <f aca="false">H1169-I1169</f>
        <v>-76.0956761135879</v>
      </c>
      <c r="K1169" s="17" t="n">
        <f aca="false">MAX(B1169-B1168,0)</f>
        <v>107.480000000001</v>
      </c>
      <c r="L1169" s="17" t="n">
        <f aca="false">MAX(B1168-B1169,0)</f>
        <v>0</v>
      </c>
      <c r="M1169" s="17" t="n">
        <f aca="false">(M1168*13+K1169)/14</f>
        <v>53.1479613262437</v>
      </c>
      <c r="N1169" s="17" t="n">
        <f aca="false">(N1168*13+L1169)/14</f>
        <v>58.2193786895012</v>
      </c>
      <c r="O1169" s="17" t="n">
        <f aca="false">IF(N1169=0,100,100-100/(1+M1169/N1169))</f>
        <v>47.7231128252949</v>
      </c>
      <c r="P1169" s="17" t="n">
        <f aca="false">AVERAGE(B1150:B1169)+2*STDEV(B1150:B1169)</f>
        <v>13986.4596691027</v>
      </c>
      <c r="Q1169" s="17" t="n">
        <f aca="false">AVERAGE(B1150:B1169)-2*STDEV(B1150:B1169)</f>
        <v>12963.9033308973</v>
      </c>
      <c r="R1169" s="19" t="n">
        <f aca="false">B1169/B1149-1</f>
        <v>-0.013936052790954</v>
      </c>
      <c r="S1169" s="17" t="n">
        <f aca="false">STDEV(C1150:C1169)*SQRT(252)*100</f>
        <v>20.7423783972881</v>
      </c>
      <c r="T1169" s="19" t="n">
        <f aca="false">B1148/B918-1</f>
        <v>0.519456239519663</v>
      </c>
      <c r="U1169" s="19" t="n">
        <f aca="false">B1169/MAX(B918:B1169)-1</f>
        <v>-0.0366107316931857</v>
      </c>
      <c r="V1169" s="17" t="n">
        <f aca="false">(B1169-AVERAGE(B1150:B1169))/STDEV(B1150:B1169)</f>
        <v>-0.676702079040801</v>
      </c>
    </row>
    <row r="1170" customFormat="false" ht="15" hidden="false" customHeight="false" outlineLevel="0" collapsed="false">
      <c r="A1170" s="17" t="s">
        <v>1734</v>
      </c>
      <c r="B1170" s="17" t="n">
        <v>12828.31</v>
      </c>
      <c r="C1170" s="19" t="n">
        <f aca="false">B1170/B1169-1</f>
        <v>-0.0356242092467481</v>
      </c>
      <c r="D1170" s="17" t="n">
        <f aca="false">AVERAGE(B1121:B1170)</f>
        <v>13128.2056</v>
      </c>
      <c r="E1170" s="17" t="n">
        <f aca="false">AVERAGE(B971:B1170)</f>
        <v>11563.3831</v>
      </c>
      <c r="F1170" s="17" t="n">
        <f aca="false">B1170*2/13+F1169*11/13</f>
        <v>13365.9712610977</v>
      </c>
      <c r="G1170" s="17" t="n">
        <f aca="false">B1170*2/27+G1169*25/27</f>
        <v>13337.4243577059</v>
      </c>
      <c r="H1170" s="17" t="n">
        <f aca="false">F1170-G1170</f>
        <v>28.5469033917834</v>
      </c>
      <c r="I1170" s="17" t="n">
        <f aca="false">H1170*2/10+I1169*8/10</f>
        <v>135.045399730958</v>
      </c>
      <c r="J1170" s="17" t="n">
        <f aca="false">H1170-I1170</f>
        <v>-106.498496339175</v>
      </c>
      <c r="K1170" s="17" t="n">
        <f aca="false">MAX(B1170-B1169,0)</f>
        <v>0</v>
      </c>
      <c r="L1170" s="17" t="n">
        <f aca="false">MAX(B1169-B1170,0)</f>
        <v>473.880000000001</v>
      </c>
      <c r="M1170" s="17" t="n">
        <f aca="false">(M1169*13+K1170)/14</f>
        <v>49.3516783743692</v>
      </c>
      <c r="N1170" s="17" t="n">
        <f aca="false">(N1169*13+L1170)/14</f>
        <v>87.9094230688226</v>
      </c>
      <c r="O1170" s="17" t="n">
        <f aca="false">IF(N1170=0,100,100-100/(1+M1170/N1170))</f>
        <v>35.9545988306049</v>
      </c>
      <c r="P1170" s="17" t="n">
        <f aca="false">AVERAGE(B1151:B1170)+2*STDEV(B1151:B1170)</f>
        <v>14027.5139221383</v>
      </c>
      <c r="Q1170" s="17" t="n">
        <f aca="false">AVERAGE(B1151:B1170)-2*STDEV(B1151:B1170)</f>
        <v>12894.4150778617</v>
      </c>
      <c r="R1170" s="19" t="n">
        <f aca="false">B1170/B1150-1</f>
        <v>-0.0216844039915655</v>
      </c>
      <c r="S1170" s="17" t="n">
        <f aca="false">STDEV(C1151:C1170)*SQRT(252)*100</f>
        <v>22.204568154016</v>
      </c>
      <c r="T1170" s="19" t="n">
        <f aca="false">B1149/B919-1</f>
        <v>0.598994627027014</v>
      </c>
      <c r="U1170" s="19" t="n">
        <f aca="false">B1170/MAX(B919:B1170)-1</f>
        <v>-0.0709307125734193</v>
      </c>
      <c r="V1170" s="17" t="n">
        <f aca="false">(B1170-AVERAGE(B1151:B1170))/STDEV(B1151:B1170)</f>
        <v>-2.23336032225461</v>
      </c>
    </row>
    <row r="1171" customFormat="false" ht="15" hidden="false" customHeight="false" outlineLevel="0" collapsed="false">
      <c r="A1171" s="17" t="s">
        <v>1735</v>
      </c>
      <c r="B1171" s="17" t="n">
        <v>12909.44</v>
      </c>
      <c r="C1171" s="19" t="n">
        <f aca="false">B1171/B1170-1</f>
        <v>0.00632429369106302</v>
      </c>
      <c r="D1171" s="17" t="n">
        <f aca="false">AVERAGE(B1122:B1171)</f>
        <v>13137.1502</v>
      </c>
      <c r="E1171" s="17" t="n">
        <f aca="false">AVERAGE(B972:B1171)</f>
        <v>11582.36805</v>
      </c>
      <c r="F1171" s="17" t="n">
        <f aca="false">B1171*2/13+F1170*11/13</f>
        <v>13295.7356824673</v>
      </c>
      <c r="G1171" s="17" t="n">
        <f aca="false">B1171*2/27+G1170*25/27</f>
        <v>13305.7218126907</v>
      </c>
      <c r="H1171" s="17" t="n">
        <f aca="false">F1171-G1171</f>
        <v>-9.98613022338031</v>
      </c>
      <c r="I1171" s="17" t="n">
        <f aca="false">H1171*2/10+I1170*8/10</f>
        <v>106.039093740091</v>
      </c>
      <c r="J1171" s="17" t="n">
        <f aca="false">H1171-I1171</f>
        <v>-116.025223963471</v>
      </c>
      <c r="K1171" s="17" t="n">
        <f aca="false">MAX(B1171-B1170,0)</f>
        <v>81.130000000001</v>
      </c>
      <c r="L1171" s="17" t="n">
        <f aca="false">MAX(B1170-B1171,0)</f>
        <v>0</v>
      </c>
      <c r="M1171" s="17" t="n">
        <f aca="false">(M1170*13+K1171)/14</f>
        <v>51.6215584904857</v>
      </c>
      <c r="N1171" s="17" t="n">
        <f aca="false">(N1170*13+L1171)/14</f>
        <v>81.6301785639067</v>
      </c>
      <c r="O1171" s="17" t="n">
        <f aca="false">IF(N1171=0,100,100-100/(1+M1171/N1171))</f>
        <v>38.7398765911878</v>
      </c>
      <c r="P1171" s="17" t="n">
        <f aca="false">AVERAGE(B1152:B1171)+2*STDEV(B1152:B1171)</f>
        <v>14054.593657076</v>
      </c>
      <c r="Q1171" s="17" t="n">
        <f aca="false">AVERAGE(B1152:B1171)-2*STDEV(B1152:B1171)</f>
        <v>12838.126342924</v>
      </c>
      <c r="R1171" s="19" t="n">
        <f aca="false">B1171/B1151-1</f>
        <v>-0.0221254657604081</v>
      </c>
      <c r="S1171" s="17" t="n">
        <f aca="false">STDEV(C1152:C1171)*SQRT(252)*100</f>
        <v>22.1840501284482</v>
      </c>
      <c r="T1171" s="19" t="n">
        <f aca="false">B1150/B920-1</f>
        <v>0.549623426611029</v>
      </c>
      <c r="U1171" s="19" t="n">
        <f aca="false">B1171/MAX(B920:B1171)-1</f>
        <v>-0.0650550055403869</v>
      </c>
      <c r="V1171" s="17" t="n">
        <f aca="false">(B1171-AVERAGE(B1152:B1171))/STDEV(B1152:B1171)</f>
        <v>-1.7655057189081</v>
      </c>
    </row>
    <row r="1172" customFormat="false" ht="15" hidden="false" customHeight="false" outlineLevel="0" collapsed="false">
      <c r="A1172" s="17" t="s">
        <v>1736</v>
      </c>
      <c r="B1172" s="17" t="n">
        <v>13282.95</v>
      </c>
      <c r="C1172" s="19" t="n">
        <f aca="false">B1172/B1171-1</f>
        <v>0.0289330908234595</v>
      </c>
      <c r="D1172" s="17" t="n">
        <f aca="false">AVERAGE(B1123:B1172)</f>
        <v>13150.8908</v>
      </c>
      <c r="E1172" s="17" t="n">
        <f aca="false">AVERAGE(B973:B1172)</f>
        <v>11603.7824</v>
      </c>
      <c r="F1172" s="17" t="n">
        <f aca="false">B1172*2/13+F1171*11/13</f>
        <v>13293.7686543954</v>
      </c>
      <c r="G1172" s="17" t="n">
        <f aca="false">B1172*2/27+G1171*25/27</f>
        <v>13304.0350117506</v>
      </c>
      <c r="H1172" s="17" t="n">
        <f aca="false">F1172-G1172</f>
        <v>-10.26635735522</v>
      </c>
      <c r="I1172" s="17" t="n">
        <f aca="false">H1172*2/10+I1171*8/10</f>
        <v>82.7780035210285</v>
      </c>
      <c r="J1172" s="17" t="n">
        <f aca="false">H1172-I1172</f>
        <v>-93.0443608762485</v>
      </c>
      <c r="K1172" s="17" t="n">
        <f aca="false">MAX(B1172-B1171,0)</f>
        <v>373.51</v>
      </c>
      <c r="L1172" s="17" t="n">
        <f aca="false">MAX(B1171-B1172,0)</f>
        <v>0</v>
      </c>
      <c r="M1172" s="17" t="n">
        <f aca="false">(M1171*13+K1172)/14</f>
        <v>74.6135900268796</v>
      </c>
      <c r="N1172" s="17" t="n">
        <f aca="false">(N1171*13+L1172)/14</f>
        <v>75.7994515236276</v>
      </c>
      <c r="O1172" s="17" t="n">
        <f aca="false">IF(N1172=0,100,100-100/(1+M1172/N1172))</f>
        <v>49.6057983122595</v>
      </c>
      <c r="P1172" s="17" t="n">
        <f aca="false">AVERAGE(B1153:B1172)+2*STDEV(B1153:B1172)</f>
        <v>14027.3396342379</v>
      </c>
      <c r="Q1172" s="17" t="n">
        <f aca="false">AVERAGE(B1153:B1172)-2*STDEV(B1153:B1172)</f>
        <v>12901.1373657621</v>
      </c>
      <c r="R1172" s="19" t="n">
        <f aca="false">B1172/B1152-1</f>
        <v>0.0276641769913149</v>
      </c>
      <c r="S1172" s="17" t="n">
        <f aca="false">STDEV(C1153:C1172)*SQRT(252)*100</f>
        <v>23.2850606138693</v>
      </c>
      <c r="T1172" s="19" t="n">
        <f aca="false">B1151/B921-1</f>
        <v>0.486997042119942</v>
      </c>
      <c r="U1172" s="19" t="n">
        <f aca="false">B1172/MAX(B921:B1172)-1</f>
        <v>-0.0380041571007481</v>
      </c>
      <c r="V1172" s="17" t="n">
        <f aca="false">(B1172-AVERAGE(B1153:B1172))/STDEV(B1153:B1172)</f>
        <v>-0.643893215542386</v>
      </c>
    </row>
    <row r="1173" customFormat="false" ht="15" hidden="false" customHeight="false" outlineLevel="0" collapsed="false">
      <c r="A1173" s="17" t="s">
        <v>1737</v>
      </c>
      <c r="B1173" s="17" t="n">
        <v>13059.95</v>
      </c>
      <c r="C1173" s="19" t="n">
        <f aca="false">B1173/B1172-1</f>
        <v>-0.0167884393150618</v>
      </c>
      <c r="D1173" s="17" t="n">
        <f aca="false">AVERAGE(B1124:B1173)</f>
        <v>13158.7266</v>
      </c>
      <c r="E1173" s="17" t="n">
        <f aca="false">AVERAGE(B974:B1173)</f>
        <v>11623.61005</v>
      </c>
      <c r="F1173" s="17" t="n">
        <f aca="false">B1173*2/13+F1172*11/13</f>
        <v>13257.7965537192</v>
      </c>
      <c r="G1173" s="17" t="n">
        <f aca="false">B1173*2/27+G1172*25/27</f>
        <v>13285.9546405098</v>
      </c>
      <c r="H1173" s="17" t="n">
        <f aca="false">F1173-G1173</f>
        <v>-28.1580867906487</v>
      </c>
      <c r="I1173" s="17" t="n">
        <f aca="false">H1173*2/10+I1172*8/10</f>
        <v>60.5907854586931</v>
      </c>
      <c r="J1173" s="17" t="n">
        <f aca="false">H1173-I1173</f>
        <v>-88.7488722493418</v>
      </c>
      <c r="K1173" s="17" t="n">
        <f aca="false">MAX(B1173-B1172,0)</f>
        <v>0</v>
      </c>
      <c r="L1173" s="17" t="n">
        <f aca="false">MAX(B1172-B1173,0)</f>
        <v>223</v>
      </c>
      <c r="M1173" s="17" t="n">
        <f aca="false">(M1172*13+K1173)/14</f>
        <v>69.2840478821025</v>
      </c>
      <c r="N1173" s="17" t="n">
        <f aca="false">(N1172*13+L1173)/14</f>
        <v>86.3137764147971</v>
      </c>
      <c r="O1173" s="17" t="n">
        <f aca="false">IF(N1173=0,100,100-100/(1+M1173/N1173))</f>
        <v>44.527645675752</v>
      </c>
      <c r="P1173" s="17" t="n">
        <f aca="false">AVERAGE(B1154:B1173)+2*STDEV(B1154:B1173)</f>
        <v>14039.0470958996</v>
      </c>
      <c r="Q1173" s="17" t="n">
        <f aca="false">AVERAGE(B1154:B1173)-2*STDEV(B1154:B1173)</f>
        <v>12870.5349041004</v>
      </c>
      <c r="R1173" s="19" t="n">
        <f aca="false">B1173/B1153-1</f>
        <v>-0.0142615613371675</v>
      </c>
      <c r="S1173" s="17" t="n">
        <f aca="false">STDEV(C1154:C1173)*SQRT(252)*100</f>
        <v>22.3868555010417</v>
      </c>
      <c r="T1173" s="19" t="n">
        <f aca="false">B1152/B922-1</f>
        <v>0.503914717452694</v>
      </c>
      <c r="U1173" s="19" t="n">
        <f aca="false">B1173/MAX(B922:B1173)-1</f>
        <v>-0.054154565930604</v>
      </c>
      <c r="V1173" s="17" t="n">
        <f aca="false">(B1173-AVERAGE(B1154:B1173))/STDEV(B1154:B1173)</f>
        <v>-1.35160250024291</v>
      </c>
    </row>
    <row r="1174" customFormat="false" ht="15" hidden="false" customHeight="false" outlineLevel="0" collapsed="false">
      <c r="A1174" s="17" t="s">
        <v>1738</v>
      </c>
      <c r="B1174" s="17" t="n">
        <v>12683.33</v>
      </c>
      <c r="C1174" s="19" t="n">
        <f aca="false">B1174/B1173-1</f>
        <v>-0.0288377826867638</v>
      </c>
      <c r="D1174" s="17" t="n">
        <f aca="false">AVERAGE(B1125:B1174)</f>
        <v>13157.352</v>
      </c>
      <c r="E1174" s="17" t="n">
        <f aca="false">AVERAGE(B975:B1174)</f>
        <v>11641.2635</v>
      </c>
      <c r="F1174" s="17" t="n">
        <f aca="false">B1174*2/13+F1173*11/13</f>
        <v>13169.4170839162</v>
      </c>
      <c r="G1174" s="17" t="n">
        <f aca="false">B1174*2/27+G1173*25/27</f>
        <v>13241.3157782498</v>
      </c>
      <c r="H1174" s="17" t="n">
        <f aca="false">F1174-G1174</f>
        <v>-71.8986943336095</v>
      </c>
      <c r="I1174" s="17" t="n">
        <f aca="false">H1174*2/10+I1173*8/10</f>
        <v>34.0928895002326</v>
      </c>
      <c r="J1174" s="17" t="n">
        <f aca="false">H1174-I1174</f>
        <v>-105.991583833842</v>
      </c>
      <c r="K1174" s="17" t="n">
        <f aca="false">MAX(B1174-B1173,0)</f>
        <v>0</v>
      </c>
      <c r="L1174" s="17" t="n">
        <f aca="false">MAX(B1173-B1174,0)</f>
        <v>376.620000000001</v>
      </c>
      <c r="M1174" s="17" t="n">
        <f aca="false">(M1173*13+K1174)/14</f>
        <v>64.3351873190952</v>
      </c>
      <c r="N1174" s="17" t="n">
        <f aca="false">(N1173*13+L1174)/14</f>
        <v>107.049935242312</v>
      </c>
      <c r="O1174" s="17" t="n">
        <f aca="false">IF(N1174=0,100,100-100/(1+M1174/N1174))</f>
        <v>37.5383734349778</v>
      </c>
      <c r="P1174" s="17" t="n">
        <f aca="false">AVERAGE(B1155:B1174)+2*STDEV(B1155:B1174)</f>
        <v>14094.6525135593</v>
      </c>
      <c r="Q1174" s="17" t="n">
        <f aca="false">AVERAGE(B1155:B1174)-2*STDEV(B1155:B1174)</f>
        <v>12737.6504864407</v>
      </c>
      <c r="R1174" s="19" t="n">
        <f aca="false">B1174/B1154-1</f>
        <v>-0.0574303736887009</v>
      </c>
      <c r="S1174" s="17" t="n">
        <f aca="false">STDEV(C1155:C1174)*SQRT(252)*100</f>
        <v>23.6337959011413</v>
      </c>
      <c r="T1174" s="19" t="n">
        <f aca="false">B1153/B923-1</f>
        <v>0.48044311944648</v>
      </c>
      <c r="U1174" s="19" t="n">
        <f aca="false">B1174/MAX(B923:B1174)-1</f>
        <v>-0.081430651013565</v>
      </c>
      <c r="V1174" s="17" t="n">
        <f aca="false">(B1174-AVERAGE(B1155:B1174))/STDEV(B1155:B1174)</f>
        <v>-2.1601191018292</v>
      </c>
    </row>
    <row r="1175" customFormat="false" ht="15" hidden="false" customHeight="false" outlineLevel="0" collapsed="false">
      <c r="A1175" s="17" t="s">
        <v>1739</v>
      </c>
      <c r="B1175" s="17" t="n">
        <v>12464</v>
      </c>
      <c r="C1175" s="19" t="n">
        <f aca="false">B1175/B1174-1</f>
        <v>-0.0172927772122936</v>
      </c>
      <c r="D1175" s="17" t="n">
        <f aca="false">AVERAGE(B1126:B1175)</f>
        <v>13151.8684</v>
      </c>
      <c r="E1175" s="17" t="n">
        <f aca="false">AVERAGE(B976:B1175)</f>
        <v>11656.92385</v>
      </c>
      <c r="F1175" s="17" t="n">
        <f aca="false">B1175*2/13+F1174*11/13</f>
        <v>13060.8913786984</v>
      </c>
      <c r="G1175" s="17" t="n">
        <f aca="false">B1175*2/27+G1174*25/27</f>
        <v>13183.7368317128</v>
      </c>
      <c r="H1175" s="17" t="n">
        <f aca="false">F1175-G1175</f>
        <v>-122.845453014466</v>
      </c>
      <c r="I1175" s="17" t="n">
        <f aca="false">H1175*2/10+I1174*8/10</f>
        <v>2.70522099729281</v>
      </c>
      <c r="J1175" s="17" t="n">
        <f aca="false">H1175-I1175</f>
        <v>-125.550674011759</v>
      </c>
      <c r="K1175" s="17" t="n">
        <f aca="false">MAX(B1175-B1174,0)</f>
        <v>0</v>
      </c>
      <c r="L1175" s="17" t="n">
        <f aca="false">MAX(B1174-B1175,0)</f>
        <v>219.33</v>
      </c>
      <c r="M1175" s="17" t="n">
        <f aca="false">(M1174*13+K1175)/14</f>
        <v>59.7398167963027</v>
      </c>
      <c r="N1175" s="17" t="n">
        <f aca="false">(N1174*13+L1175)/14</f>
        <v>115.069939867861</v>
      </c>
      <c r="O1175" s="17" t="n">
        <f aca="false">IF(N1175=0,100,100-100/(1+M1175/N1175))</f>
        <v>34.1741890935024</v>
      </c>
      <c r="P1175" s="17" t="n">
        <f aca="false">AVERAGE(B1156:B1175)+2*STDEV(B1156:B1175)</f>
        <v>14170.4298490649</v>
      </c>
      <c r="Q1175" s="17" t="n">
        <f aca="false">AVERAGE(B1156:B1175)-2*STDEV(B1156:B1175)</f>
        <v>12568.0361509351</v>
      </c>
      <c r="R1175" s="19" t="n">
        <f aca="false">B1175/B1155-1</f>
        <v>-0.0700152286498582</v>
      </c>
      <c r="S1175" s="17" t="n">
        <f aca="false">STDEV(C1156:C1175)*SQRT(252)*100</f>
        <v>24.1844416062795</v>
      </c>
      <c r="T1175" s="19" t="n">
        <f aca="false">B1154/B924-1</f>
        <v>0.55173519256982</v>
      </c>
      <c r="U1175" s="19" t="n">
        <f aca="false">B1175/MAX(B924:B1175)-1</f>
        <v>-0.0973152661196289</v>
      </c>
      <c r="V1175" s="17" t="n">
        <f aca="false">(B1175-AVERAGE(B1156:B1175))/STDEV(B1156:B1175)</f>
        <v>-2.25970184744606</v>
      </c>
    </row>
    <row r="1176" customFormat="false" ht="15" hidden="false" customHeight="false" outlineLevel="0" collapsed="false">
      <c r="A1176" s="17" t="s">
        <v>1740</v>
      </c>
      <c r="B1176" s="17" t="n">
        <v>12668.51</v>
      </c>
      <c r="C1176" s="19" t="n">
        <f aca="false">B1176/B1175-1</f>
        <v>0.0164080551989731</v>
      </c>
      <c r="D1176" s="17" t="n">
        <f aca="false">AVERAGE(B1127:B1176)</f>
        <v>13151.4334</v>
      </c>
      <c r="E1176" s="17" t="n">
        <f aca="false">AVERAGE(B977:B1176)</f>
        <v>11673.7737</v>
      </c>
      <c r="F1176" s="17" t="n">
        <f aca="false">B1176*2/13+F1175*11/13</f>
        <v>13000.5250127448</v>
      </c>
      <c r="G1176" s="17" t="n">
        <f aca="false">B1176*2/27+G1175*25/27</f>
        <v>13145.5718812156</v>
      </c>
      <c r="H1176" s="17" t="n">
        <f aca="false">F1176-G1176</f>
        <v>-145.046868470814</v>
      </c>
      <c r="I1176" s="17" t="n">
        <f aca="false">H1176*2/10+I1175*8/10</f>
        <v>-26.8451968963285</v>
      </c>
      <c r="J1176" s="17" t="n">
        <f aca="false">H1176-I1176</f>
        <v>-118.201671574485</v>
      </c>
      <c r="K1176" s="17" t="n">
        <f aca="false">MAX(B1176-B1175,0)</f>
        <v>204.51</v>
      </c>
      <c r="L1176" s="17" t="n">
        <f aca="false">MAX(B1175-B1176,0)</f>
        <v>0</v>
      </c>
      <c r="M1176" s="17" t="n">
        <f aca="false">(M1175*13+K1176)/14</f>
        <v>70.0805441679953</v>
      </c>
      <c r="N1176" s="17" t="n">
        <f aca="false">(N1175*13+L1176)/14</f>
        <v>106.850658448728</v>
      </c>
      <c r="O1176" s="17" t="n">
        <f aca="false">IF(N1176=0,100,100-100/(1+M1176/N1176))</f>
        <v>39.6089232037874</v>
      </c>
      <c r="P1176" s="17" t="n">
        <f aca="false">AVERAGE(B1157:B1176)+2*STDEV(B1157:B1176)</f>
        <v>14178.5295721708</v>
      </c>
      <c r="Q1176" s="17" t="n">
        <f aca="false">AVERAGE(B1157:B1176)-2*STDEV(B1157:B1176)</f>
        <v>12470.6984278292</v>
      </c>
      <c r="R1176" s="19" t="n">
        <f aca="false">B1176/B1156-1</f>
        <v>-0.0658054154262736</v>
      </c>
      <c r="S1176" s="17" t="n">
        <f aca="false">STDEV(C1157:C1176)*SQRT(252)*100</f>
        <v>24.6204753608949</v>
      </c>
      <c r="T1176" s="19" t="n">
        <f aca="false">B1155/B925-1</f>
        <v>0.571141361305646</v>
      </c>
      <c r="U1176" s="19" t="n">
        <f aca="false">B1176/MAX(B925:B1176)-1</f>
        <v>-0.0825039651788495</v>
      </c>
      <c r="V1176" s="17" t="n">
        <f aca="false">(B1176-AVERAGE(B1157:B1176))/STDEV(B1157:B1176)</f>
        <v>-1.53669524571866</v>
      </c>
    </row>
    <row r="1177" customFormat="false" ht="15" hidden="false" customHeight="false" outlineLevel="0" collapsed="false">
      <c r="A1177" s="17" t="s">
        <v>1741</v>
      </c>
      <c r="B1177" s="17" t="n">
        <v>12299.08</v>
      </c>
      <c r="C1177" s="19" t="n">
        <f aca="false">B1177/B1176-1</f>
        <v>-0.0291612825817716</v>
      </c>
      <c r="D1177" s="17" t="n">
        <f aca="false">AVERAGE(B1128:B1177)</f>
        <v>13143.0638</v>
      </c>
      <c r="E1177" s="17" t="n">
        <f aca="false">AVERAGE(B978:B1177)</f>
        <v>11687.844</v>
      </c>
      <c r="F1177" s="17" t="n">
        <f aca="false">B1177*2/13+F1176*11/13</f>
        <v>12892.6103953994</v>
      </c>
      <c r="G1177" s="17" t="n">
        <f aca="false">B1177*2/27+G1176*25/27</f>
        <v>13082.8687789033</v>
      </c>
      <c r="H1177" s="17" t="n">
        <f aca="false">F1177-G1177</f>
        <v>-190.258383503897</v>
      </c>
      <c r="I1177" s="17" t="n">
        <f aca="false">H1177*2/10+I1176*8/10</f>
        <v>-59.5278342178422</v>
      </c>
      <c r="J1177" s="17" t="n">
        <f aca="false">H1177-I1177</f>
        <v>-130.730549286055</v>
      </c>
      <c r="K1177" s="17" t="n">
        <f aca="false">MAX(B1177-B1176,0)</f>
        <v>0</v>
      </c>
      <c r="L1177" s="17" t="n">
        <f aca="false">MAX(B1176-B1177,0)</f>
        <v>369.43</v>
      </c>
      <c r="M1177" s="17" t="n">
        <f aca="false">(M1176*13+K1177)/14</f>
        <v>65.0747910131385</v>
      </c>
      <c r="N1177" s="17" t="n">
        <f aca="false">(N1176*13+L1177)/14</f>
        <v>125.60632570239</v>
      </c>
      <c r="O1177" s="17" t="n">
        <f aca="false">IF(N1177=0,100,100-100/(1+M1177/N1177))</f>
        <v>34.1275487232549</v>
      </c>
      <c r="P1177" s="17" t="n">
        <f aca="false">AVERAGE(B1158:B1177)+2*STDEV(B1158:B1177)</f>
        <v>14216.5716536815</v>
      </c>
      <c r="Q1177" s="17" t="n">
        <f aca="false">AVERAGE(B1158:B1177)-2*STDEV(B1158:B1177)</f>
        <v>12302.1683463185</v>
      </c>
      <c r="R1177" s="19" t="n">
        <f aca="false">B1177/B1157-1</f>
        <v>-0.0959191294299601</v>
      </c>
      <c r="S1177" s="17" t="n">
        <f aca="false">STDEV(C1158:C1177)*SQRT(252)*100</f>
        <v>26.125156599552</v>
      </c>
      <c r="T1177" s="19" t="n">
        <f aca="false">B1156/B926-1</f>
        <v>0.706195120048616</v>
      </c>
      <c r="U1177" s="19" t="n">
        <f aca="false">B1177/MAX(B926:B1177)-1</f>
        <v>-0.109259326317924</v>
      </c>
      <c r="V1177" s="17" t="n">
        <f aca="false">(B1177-AVERAGE(B1158:B1177))/STDEV(B1158:B1177)</f>
        <v>-2.00645286456968</v>
      </c>
    </row>
    <row r="1178" customFormat="false" ht="15" hidden="false" customHeight="false" outlineLevel="0" collapsed="false">
      <c r="A1178" s="17" t="s">
        <v>1742</v>
      </c>
      <c r="B1178" s="17" t="n">
        <v>12794.49</v>
      </c>
      <c r="C1178" s="19" t="n">
        <f aca="false">B1178/B1177-1</f>
        <v>0.0402802486039606</v>
      </c>
      <c r="D1178" s="17" t="n">
        <f aca="false">AVERAGE(B1129:B1178)</f>
        <v>13145.8908</v>
      </c>
      <c r="E1178" s="17" t="n">
        <f aca="false">AVERAGE(B979:B1178)</f>
        <v>11704.9265</v>
      </c>
      <c r="F1178" s="17" t="n">
        <f aca="false">B1178*2/13+F1177*11/13</f>
        <v>12877.5149499533</v>
      </c>
      <c r="G1178" s="17" t="n">
        <f aca="false">B1178*2/27+G1177*25/27</f>
        <v>13061.5073878734</v>
      </c>
      <c r="H1178" s="17" t="n">
        <f aca="false">F1178-G1178</f>
        <v>-183.992437920086</v>
      </c>
      <c r="I1178" s="17" t="n">
        <f aca="false">H1178*2/10+I1177*8/10</f>
        <v>-84.4207549582909</v>
      </c>
      <c r="J1178" s="17" t="n">
        <f aca="false">H1178-I1178</f>
        <v>-99.5716829617948</v>
      </c>
      <c r="K1178" s="17" t="n">
        <f aca="false">MAX(B1178-B1177,0)</f>
        <v>495.41</v>
      </c>
      <c r="L1178" s="17" t="n">
        <f aca="false">MAX(B1177-B1178,0)</f>
        <v>0</v>
      </c>
      <c r="M1178" s="17" t="n">
        <f aca="false">(M1177*13+K1178)/14</f>
        <v>95.8130202264858</v>
      </c>
      <c r="N1178" s="17" t="n">
        <f aca="false">(N1177*13+L1178)/14</f>
        <v>116.634445295077</v>
      </c>
      <c r="O1178" s="17" t="n">
        <f aca="false">IF(N1178=0,100,100-100/(1+M1178/N1178))</f>
        <v>45.0996296855145</v>
      </c>
      <c r="P1178" s="17" t="n">
        <f aca="false">AVERAGE(B1159:B1178)+2*STDEV(B1159:B1178)</f>
        <v>14169.979530192</v>
      </c>
      <c r="Q1178" s="17" t="n">
        <f aca="false">AVERAGE(B1159:B1178)-2*STDEV(B1159:B1178)</f>
        <v>12258.707469808</v>
      </c>
      <c r="R1178" s="19" t="n">
        <f aca="false">B1178/B1158-1</f>
        <v>-0.0657560193413372</v>
      </c>
      <c r="S1178" s="17" t="n">
        <f aca="false">STDEV(C1159:C1178)*SQRT(252)*100</f>
        <v>30.4622177487857</v>
      </c>
      <c r="T1178" s="19" t="n">
        <f aca="false">B1157/B927-1</f>
        <v>0.624883096221216</v>
      </c>
      <c r="U1178" s="19" t="n">
        <f aca="false">B1178/MAX(B927:B1178)-1</f>
        <v>-0.0733800705403508</v>
      </c>
      <c r="V1178" s="17" t="n">
        <f aca="false">(B1178-AVERAGE(B1159:B1178))/STDEV(B1159:B1178)</f>
        <v>-0.878689138406934</v>
      </c>
    </row>
    <row r="1179" customFormat="false" ht="15" hidden="false" customHeight="false" outlineLevel="0" collapsed="false">
      <c r="A1179" s="17" t="s">
        <v>1743</v>
      </c>
      <c r="B1179" s="17" t="n">
        <v>12752.07</v>
      </c>
      <c r="C1179" s="19" t="n">
        <f aca="false">B1179/B1178-1</f>
        <v>-0.00331548971471318</v>
      </c>
      <c r="D1179" s="17" t="n">
        <f aca="false">AVERAGE(B1130:B1179)</f>
        <v>13146.712</v>
      </c>
      <c r="E1179" s="17" t="n">
        <f aca="false">AVERAGE(B980:B1179)</f>
        <v>11721.6169</v>
      </c>
      <c r="F1179" s="17" t="n">
        <f aca="false">B1179*2/13+F1178*11/13</f>
        <v>12858.2157268836</v>
      </c>
      <c r="G1179" s="17" t="n">
        <f aca="false">B1179*2/27+G1178*25/27</f>
        <v>13038.5860998828</v>
      </c>
      <c r="H1179" s="17" t="n">
        <f aca="false">F1179-G1179</f>
        <v>-180.370372999205</v>
      </c>
      <c r="I1179" s="17" t="n">
        <f aca="false">H1179*2/10+I1178*8/10</f>
        <v>-103.610678566474</v>
      </c>
      <c r="J1179" s="17" t="n">
        <f aca="false">H1179-I1179</f>
        <v>-76.7596944327312</v>
      </c>
      <c r="K1179" s="17" t="n">
        <f aca="false">MAX(B1179-B1178,0)</f>
        <v>0</v>
      </c>
      <c r="L1179" s="17" t="n">
        <f aca="false">MAX(B1178-B1179,0)</f>
        <v>42.4200000000001</v>
      </c>
      <c r="M1179" s="17" t="n">
        <f aca="false">(M1178*13+K1179)/14</f>
        <v>88.9692330674511</v>
      </c>
      <c r="N1179" s="17" t="n">
        <f aca="false">(N1178*13+L1179)/14</f>
        <v>111.333413488285</v>
      </c>
      <c r="O1179" s="17" t="n">
        <f aca="false">IF(N1179=0,100,100-100/(1+M1179/N1179))</f>
        <v>44.4174026640703</v>
      </c>
      <c r="P1179" s="17" t="n">
        <f aca="false">AVERAGE(B1160:B1179)+2*STDEV(B1160:B1179)</f>
        <v>14117.3182634115</v>
      </c>
      <c r="Q1179" s="17" t="n">
        <f aca="false">AVERAGE(B1160:B1179)-2*STDEV(B1160:B1179)</f>
        <v>12217.8677365885</v>
      </c>
      <c r="R1179" s="19" t="n">
        <f aca="false">B1179/B1159-1</f>
        <v>-0.0683133290665358</v>
      </c>
      <c r="S1179" s="17" t="n">
        <f aca="false">STDEV(C1160:C1179)*SQRT(252)*100</f>
        <v>30.4462405362261</v>
      </c>
      <c r="T1179" s="19" t="n">
        <f aca="false">B1158/B928-1</f>
        <v>0.710568914780193</v>
      </c>
      <c r="U1179" s="19" t="n">
        <f aca="false">B1179/MAX(B928:B1179)-1</f>
        <v>-0.0764522693859224</v>
      </c>
      <c r="V1179" s="17" t="n">
        <f aca="false">(B1179-AVERAGE(B1160:B1179))/STDEV(B1160:B1179)</f>
        <v>-0.875038321098016</v>
      </c>
    </row>
    <row r="1180" customFormat="false" ht="15" hidden="false" customHeight="false" outlineLevel="0" collapsed="false">
      <c r="A1180" s="17" t="s">
        <v>1744</v>
      </c>
      <c r="B1180" s="17" t="n">
        <v>13052.9</v>
      </c>
      <c r="C1180" s="19" t="n">
        <f aca="false">B1180/B1179-1</f>
        <v>0.0235906797876737</v>
      </c>
      <c r="D1180" s="17" t="n">
        <f aca="false">AVERAGE(B1131:B1180)</f>
        <v>13150.9928</v>
      </c>
      <c r="E1180" s="17" t="n">
        <f aca="false">AVERAGE(B981:B1180)</f>
        <v>11739.9315</v>
      </c>
      <c r="F1180" s="17" t="n">
        <f aca="false">B1180*2/13+F1179*11/13</f>
        <v>12888.1671535169</v>
      </c>
      <c r="G1180" s="17" t="n">
        <f aca="false">B1180*2/27+G1179*25/27</f>
        <v>13039.6463887804</v>
      </c>
      <c r="H1180" s="17" t="n">
        <f aca="false">F1180-G1180</f>
        <v>-151.479235263483</v>
      </c>
      <c r="I1180" s="17" t="n">
        <f aca="false">H1180*2/10+I1179*8/10</f>
        <v>-113.184389905876</v>
      </c>
      <c r="J1180" s="17" t="n">
        <f aca="false">H1180-I1180</f>
        <v>-38.2948453576076</v>
      </c>
      <c r="K1180" s="17" t="n">
        <f aca="false">MAX(B1180-B1179,0)</f>
        <v>300.83</v>
      </c>
      <c r="L1180" s="17" t="n">
        <f aca="false">MAX(B1179-B1180,0)</f>
        <v>0</v>
      </c>
      <c r="M1180" s="17" t="n">
        <f aca="false">(M1179*13+K1180)/14</f>
        <v>104.102144991205</v>
      </c>
      <c r="N1180" s="17" t="n">
        <f aca="false">(N1179*13+L1180)/14</f>
        <v>103.381026810551</v>
      </c>
      <c r="O1180" s="17" t="n">
        <f aca="false">IF(N1180=0,100,100-100/(1+M1180/N1180))</f>
        <v>50.1737775103378</v>
      </c>
      <c r="P1180" s="17" t="n">
        <f aca="false">AVERAGE(B1161:B1180)+2*STDEV(B1161:B1180)</f>
        <v>14059.8945445048</v>
      </c>
      <c r="Q1180" s="17" t="n">
        <f aca="false">AVERAGE(B1161:B1180)-2*STDEV(B1161:B1180)</f>
        <v>12215.0544554952</v>
      </c>
      <c r="R1180" s="19" t="n">
        <f aca="false">B1180/B1160-1</f>
        <v>-0.0441126392960374</v>
      </c>
      <c r="S1180" s="17" t="n">
        <f aca="false">STDEV(C1161:C1180)*SQRT(252)*100</f>
        <v>31.9169659866891</v>
      </c>
      <c r="T1180" s="19" t="n">
        <f aca="false">B1159/B929-1</f>
        <v>0.884325373606933</v>
      </c>
      <c r="U1180" s="19" t="n">
        <f aca="false">B1180/MAX(B929:B1180)-1</f>
        <v>-0.0546651506043731</v>
      </c>
      <c r="V1180" s="17" t="n">
        <f aca="false">(B1180-AVERAGE(B1161:B1180))/STDEV(B1161:B1180)</f>
        <v>-0.183375243206918</v>
      </c>
    </row>
    <row r="1181" customFormat="false" ht="15" hidden="false" customHeight="false" outlineLevel="0" collapsed="false">
      <c r="A1181" s="17" t="s">
        <v>1745</v>
      </c>
      <c r="B1181" s="17" t="n">
        <v>12937.29</v>
      </c>
      <c r="C1181" s="19" t="n">
        <f aca="false">B1181/B1180-1</f>
        <v>-0.00885703560128393</v>
      </c>
      <c r="D1181" s="17" t="n">
        <f aca="false">AVERAGE(B1132:B1181)</f>
        <v>13152.8688</v>
      </c>
      <c r="E1181" s="17" t="n">
        <f aca="false">AVERAGE(B982:B1181)</f>
        <v>11757.4077</v>
      </c>
      <c r="F1181" s="17" t="n">
        <f aca="false">B1181*2/13+F1180*11/13</f>
        <v>12895.7245145143</v>
      </c>
      <c r="G1181" s="17" t="n">
        <f aca="false">B1181*2/27+G1180*25/27</f>
        <v>13032.0644340559</v>
      </c>
      <c r="H1181" s="17" t="n">
        <f aca="false">F1181-G1181</f>
        <v>-136.339919541608</v>
      </c>
      <c r="I1181" s="17" t="n">
        <f aca="false">H1181*2/10+I1180*8/10</f>
        <v>-117.815495833022</v>
      </c>
      <c r="J1181" s="17" t="n">
        <f aca="false">H1181-I1181</f>
        <v>-18.5244237085857</v>
      </c>
      <c r="K1181" s="17" t="n">
        <f aca="false">MAX(B1181-B1180,0)</f>
        <v>0</v>
      </c>
      <c r="L1181" s="17" t="n">
        <f aca="false">MAX(B1180-B1181,0)</f>
        <v>115.609999999999</v>
      </c>
      <c r="M1181" s="17" t="n">
        <f aca="false">(M1180*13+K1181)/14</f>
        <v>96.6662774918328</v>
      </c>
      <c r="N1181" s="17" t="n">
        <f aca="false">(N1180*13+L1181)/14</f>
        <v>104.254524895511</v>
      </c>
      <c r="O1181" s="17" t="n">
        <f aca="false">IF(N1181=0,100,100-100/(1+M1181/N1181))</f>
        <v>48.1116322168947</v>
      </c>
      <c r="P1181" s="17" t="n">
        <f aca="false">AVERAGE(B1162:B1181)+2*STDEV(B1162:B1181)</f>
        <v>13979.4410599238</v>
      </c>
      <c r="Q1181" s="17" t="n">
        <f aca="false">AVERAGE(B1162:B1181)-2*STDEV(B1162:B1181)</f>
        <v>12215.8019400762</v>
      </c>
      <c r="R1181" s="19" t="n">
        <f aca="false">B1181/B1161-1</f>
        <v>-0.0580340533043063</v>
      </c>
      <c r="S1181" s="17" t="n">
        <f aca="false">STDEV(C1162:C1181)*SQRT(252)*100</f>
        <v>31.862466542756</v>
      </c>
      <c r="T1181" s="19" t="n">
        <f aca="false">B1160/B930-1</f>
        <v>0.707920693010609</v>
      </c>
      <c r="U1181" s="19" t="n">
        <f aca="false">B1181/MAX(B930:B1181)-1</f>
        <v>-0.0630380150206045</v>
      </c>
      <c r="V1181" s="17" t="n">
        <f aca="false">(B1181-AVERAGE(B1162:B1181))/STDEV(B1162:B1181)</f>
        <v>-0.363637885314888</v>
      </c>
    </row>
    <row r="1182" customFormat="false" ht="15" hidden="false" customHeight="false" outlineLevel="0" collapsed="false">
      <c r="A1182" s="17" t="s">
        <v>1746</v>
      </c>
      <c r="B1182" s="17" t="n">
        <v>13082.54</v>
      </c>
      <c r="C1182" s="19" t="n">
        <f aca="false">B1182/B1181-1</f>
        <v>0.0112272353792795</v>
      </c>
      <c r="D1182" s="17" t="n">
        <f aca="false">AVERAGE(B1133:B1182)</f>
        <v>13157.6124</v>
      </c>
      <c r="E1182" s="17" t="n">
        <f aca="false">AVERAGE(B983:B1182)</f>
        <v>11775.73685</v>
      </c>
      <c r="F1182" s="17" t="n">
        <f aca="false">B1182*2/13+F1181*11/13</f>
        <v>12924.4653584352</v>
      </c>
      <c r="G1182" s="17" t="n">
        <f aca="false">B1182*2/27+G1181*25/27</f>
        <v>13035.8033648666</v>
      </c>
      <c r="H1182" s="17" t="n">
        <f aca="false">F1182-G1182</f>
        <v>-111.338006431404</v>
      </c>
      <c r="I1182" s="17" t="n">
        <f aca="false">H1182*2/10+I1181*8/10</f>
        <v>-116.519997952698</v>
      </c>
      <c r="J1182" s="17" t="n">
        <f aca="false">H1182-I1182</f>
        <v>5.18199152129424</v>
      </c>
      <c r="K1182" s="17" t="n">
        <f aca="false">MAX(B1182-B1181,0)</f>
        <v>145.25</v>
      </c>
      <c r="L1182" s="17" t="n">
        <f aca="false">MAX(B1181-B1182,0)</f>
        <v>0</v>
      </c>
      <c r="M1182" s="17" t="n">
        <f aca="false">(M1181*13+K1182)/14</f>
        <v>100.136543385273</v>
      </c>
      <c r="N1182" s="17" t="n">
        <f aca="false">(N1181*13+L1182)/14</f>
        <v>96.8077731172605</v>
      </c>
      <c r="O1182" s="17" t="n">
        <f aca="false">IF(N1182=0,100,100-100/(1+M1182/N1182))</f>
        <v>50.8451044252323</v>
      </c>
      <c r="P1182" s="17" t="n">
        <f aca="false">AVERAGE(B1163:B1182)+2*STDEV(B1163:B1182)</f>
        <v>13877.4324304548</v>
      </c>
      <c r="Q1182" s="17" t="n">
        <f aca="false">AVERAGE(B1163:B1182)-2*STDEV(B1163:B1182)</f>
        <v>12245.2945695452</v>
      </c>
      <c r="R1182" s="19" t="n">
        <f aca="false">B1182/B1162-1</f>
        <v>-0.0525185222738037</v>
      </c>
      <c r="S1182" s="17" t="n">
        <f aca="false">STDEV(C1163:C1182)*SQRT(252)*100</f>
        <v>32.1291878010441</v>
      </c>
      <c r="T1182" s="19" t="n">
        <f aca="false">B1161/B931-1</f>
        <v>0.956354214444232</v>
      </c>
      <c r="U1182" s="19" t="n">
        <f aca="false">B1182/MAX(B931:B1182)-1</f>
        <v>-0.0525185222738037</v>
      </c>
      <c r="V1182" s="17" t="n">
        <f aca="false">(B1182-AVERAGE(B1163:B1182))/STDEV(B1163:B1182)</f>
        <v>0.0518988021960324</v>
      </c>
    </row>
    <row r="1183" customFormat="false" ht="15" hidden="false" customHeight="false" outlineLevel="0" collapsed="false">
      <c r="A1183" s="17" t="s">
        <v>1747</v>
      </c>
      <c r="B1183" s="17" t="n">
        <v>13152.28</v>
      </c>
      <c r="C1183" s="19" t="n">
        <f aca="false">B1183/B1182-1</f>
        <v>0.00533076910141306</v>
      </c>
      <c r="D1183" s="17" t="n">
        <f aca="false">AVERAGE(B1134:B1183)</f>
        <v>13162.8924</v>
      </c>
      <c r="E1183" s="17" t="n">
        <f aca="false">AVERAGE(B984:B1183)</f>
        <v>11793.7206</v>
      </c>
      <c r="F1183" s="17" t="n">
        <f aca="false">B1183*2/13+F1182*11/13</f>
        <v>12959.5137648298</v>
      </c>
      <c r="G1183" s="17" t="n">
        <f aca="false">B1183*2/27+G1182*25/27</f>
        <v>13044.4312637653</v>
      </c>
      <c r="H1183" s="17" t="n">
        <f aca="false">F1183-G1183</f>
        <v>-84.9174989355852</v>
      </c>
      <c r="I1183" s="17" t="n">
        <f aca="false">H1183*2/10+I1182*8/10</f>
        <v>-110.199498149276</v>
      </c>
      <c r="J1183" s="17" t="n">
        <f aca="false">H1183-I1183</f>
        <v>25.2819992136906</v>
      </c>
      <c r="K1183" s="17" t="n">
        <f aca="false">MAX(B1183-B1182,0)</f>
        <v>69.7399999999998</v>
      </c>
      <c r="L1183" s="17" t="n">
        <f aca="false">MAX(B1182-B1183,0)</f>
        <v>0</v>
      </c>
      <c r="M1183" s="17" t="n">
        <f aca="false">(M1182*13+K1183)/14</f>
        <v>97.9653617148966</v>
      </c>
      <c r="N1183" s="17" t="n">
        <f aca="false">(N1182*13+L1183)/14</f>
        <v>89.8929321803133</v>
      </c>
      <c r="O1183" s="17" t="n">
        <f aca="false">IF(N1183=0,100,100-100/(1+M1183/N1183))</f>
        <v>52.1485422248874</v>
      </c>
      <c r="P1183" s="17" t="n">
        <f aca="false">AVERAGE(B1164:B1183)+2*STDEV(B1164:B1183)</f>
        <v>13776.4765972929</v>
      </c>
      <c r="Q1183" s="17" t="n">
        <f aca="false">AVERAGE(B1164:B1183)-2*STDEV(B1164:B1183)</f>
        <v>12284.1014027071</v>
      </c>
      <c r="R1183" s="19" t="n">
        <f aca="false">B1183/B1163-1</f>
        <v>-0.0451212703566272</v>
      </c>
      <c r="S1183" s="17" t="n">
        <f aca="false">STDEV(C1164:C1183)*SQRT(252)*100</f>
        <v>32.2492484677803</v>
      </c>
      <c r="T1183" s="19" t="n">
        <f aca="false">B1162/B932-1</f>
        <v>0.847443453595488</v>
      </c>
      <c r="U1183" s="19" t="n">
        <f aca="false">B1183/MAX(B932:B1183)-1</f>
        <v>-0.0474677172881798</v>
      </c>
      <c r="V1183" s="17" t="n">
        <f aca="false">(B1183-AVERAGE(B1164:B1183))/STDEV(B1164:B1183)</f>
        <v>0.326971395511208</v>
      </c>
    </row>
    <row r="1184" customFormat="false" ht="15" hidden="false" customHeight="false" outlineLevel="0" collapsed="false">
      <c r="A1184" s="17" t="s">
        <v>1748</v>
      </c>
      <c r="B1184" s="17" t="n">
        <v>13202.38</v>
      </c>
      <c r="C1184" s="19" t="n">
        <f aca="false">B1184/B1183-1</f>
        <v>0.00380922547269358</v>
      </c>
      <c r="D1184" s="17" t="n">
        <f aca="false">AVERAGE(B1135:B1184)</f>
        <v>13173.0468</v>
      </c>
      <c r="E1184" s="17" t="n">
        <f aca="false">AVERAGE(B985:B1184)</f>
        <v>11811.73805</v>
      </c>
      <c r="F1184" s="17" t="n">
        <f aca="false">B1184*2/13+F1183*11/13</f>
        <v>12996.8778010098</v>
      </c>
      <c r="G1184" s="17" t="n">
        <f aca="false">B1184*2/27+G1183*25/27</f>
        <v>13056.1311701531</v>
      </c>
      <c r="H1184" s="17" t="n">
        <f aca="false">F1184-G1184</f>
        <v>-59.2533691433018</v>
      </c>
      <c r="I1184" s="17" t="n">
        <f aca="false">H1184*2/10+I1183*8/10</f>
        <v>-100.010272348081</v>
      </c>
      <c r="J1184" s="17" t="n">
        <f aca="false">H1184-I1184</f>
        <v>40.7569032047792</v>
      </c>
      <c r="K1184" s="17" t="n">
        <f aca="false">MAX(B1184-B1183,0)</f>
        <v>50.0999999999985</v>
      </c>
      <c r="L1184" s="17" t="n">
        <f aca="false">MAX(B1183-B1184,0)</f>
        <v>0</v>
      </c>
      <c r="M1184" s="17" t="n">
        <f aca="false">(M1183*13+K1184)/14</f>
        <v>94.5464073066896</v>
      </c>
      <c r="N1184" s="17" t="n">
        <f aca="false">(N1183*13+L1184)/14</f>
        <v>83.4720084531481</v>
      </c>
      <c r="O1184" s="17" t="n">
        <f aca="false">IF(N1184=0,100,100-100/(1+M1184/N1184))</f>
        <v>53.1104643882692</v>
      </c>
      <c r="P1184" s="17" t="n">
        <f aca="false">AVERAGE(B1165:B1184)+2*STDEV(B1165:B1184)</f>
        <v>13688.1268206442</v>
      </c>
      <c r="Q1184" s="17" t="n">
        <f aca="false">AVERAGE(B1165:B1184)-2*STDEV(B1165:B1184)</f>
        <v>12322.7181793558</v>
      </c>
      <c r="R1184" s="19" t="n">
        <f aca="false">B1184/B1164-1</f>
        <v>-0.0363022282953435</v>
      </c>
      <c r="S1184" s="17" t="n">
        <f aca="false">STDEV(C1165:C1184)*SQRT(252)*100</f>
        <v>32.2906467423783</v>
      </c>
      <c r="T1184" s="19" t="n">
        <f aca="false">B1163/B933-1</f>
        <v>0.919641040364144</v>
      </c>
      <c r="U1184" s="19" t="n">
        <f aca="false">B1184/MAX(B933:B1184)-1</f>
        <v>-0.043839307053311</v>
      </c>
      <c r="V1184" s="17" t="n">
        <f aca="false">(B1184-AVERAGE(B1165:B1184))/STDEV(B1165:B1184)</f>
        <v>0.576992100516186</v>
      </c>
    </row>
    <row r="1185" customFormat="false" ht="15" hidden="false" customHeight="false" outlineLevel="0" collapsed="false">
      <c r="A1185" s="17" t="s">
        <v>1749</v>
      </c>
      <c r="B1185" s="17" t="n">
        <v>12789.14</v>
      </c>
      <c r="C1185" s="19" t="n">
        <f aca="false">B1185/B1184-1</f>
        <v>-0.0313004170460175</v>
      </c>
      <c r="D1185" s="17" t="n">
        <f aca="false">AVERAGE(B1136:B1185)</f>
        <v>13172.782</v>
      </c>
      <c r="E1185" s="17" t="n">
        <f aca="false">AVERAGE(B986:B1185)</f>
        <v>11827.3972</v>
      </c>
      <c r="F1185" s="17" t="n">
        <f aca="false">B1185*2/13+F1184*11/13</f>
        <v>12964.918139316</v>
      </c>
      <c r="G1185" s="17" t="n">
        <f aca="false">B1185*2/27+G1184*25/27</f>
        <v>13036.3540464381</v>
      </c>
      <c r="H1185" s="17" t="n">
        <f aca="false">F1185-G1185</f>
        <v>-71.4359071220733</v>
      </c>
      <c r="I1185" s="17" t="n">
        <f aca="false">H1185*2/10+I1184*8/10</f>
        <v>-94.2953993028795</v>
      </c>
      <c r="J1185" s="17" t="n">
        <f aca="false">H1185-I1185</f>
        <v>22.8594921808061</v>
      </c>
      <c r="K1185" s="17" t="n">
        <f aca="false">MAX(B1185-B1184,0)</f>
        <v>0</v>
      </c>
      <c r="L1185" s="17" t="n">
        <f aca="false">MAX(B1184-B1185,0)</f>
        <v>413.24</v>
      </c>
      <c r="M1185" s="17" t="n">
        <f aca="false">(M1184*13+K1185)/14</f>
        <v>87.793092499069</v>
      </c>
      <c r="N1185" s="17" t="n">
        <f aca="false">(N1184*13+L1185)/14</f>
        <v>107.026864992209</v>
      </c>
      <c r="O1185" s="17" t="n">
        <f aca="false">IF(N1185=0,100,100-100/(1+M1185/N1185))</f>
        <v>45.0637058079635</v>
      </c>
      <c r="P1185" s="17" t="n">
        <f aca="false">AVERAGE(B1166:B1185)+2*STDEV(B1166:B1185)</f>
        <v>13582.878618745</v>
      </c>
      <c r="Q1185" s="17" t="n">
        <f aca="false">AVERAGE(B1166:B1185)-2*STDEV(B1166:B1185)</f>
        <v>12343.129381255</v>
      </c>
      <c r="R1185" s="19" t="n">
        <f aca="false">B1185/B1165-1</f>
        <v>-0.0622085703328541</v>
      </c>
      <c r="S1185" s="17" t="n">
        <f aca="false">STDEV(C1166:C1185)*SQRT(252)*100</f>
        <v>33.9621407697479</v>
      </c>
      <c r="T1185" s="19" t="n">
        <f aca="false">B1164/B934-1</f>
        <v>0.879628511686872</v>
      </c>
      <c r="U1185" s="19" t="n">
        <f aca="false">B1185/MAX(B934:B1185)-1</f>
        <v>-0.0737675355055514</v>
      </c>
      <c r="V1185" s="17" t="n">
        <f aca="false">(B1185-AVERAGE(B1166:B1185))/STDEV(B1166:B1185)</f>
        <v>-0.560965055649537</v>
      </c>
    </row>
    <row r="1186" customFormat="false" ht="15" hidden="false" customHeight="false" outlineLevel="0" collapsed="false">
      <c r="A1186" s="17" t="s">
        <v>1750</v>
      </c>
      <c r="B1186" s="17" t="n">
        <v>12866.99</v>
      </c>
      <c r="C1186" s="19" t="n">
        <f aca="false">B1186/B1185-1</f>
        <v>0.00608719585523354</v>
      </c>
      <c r="D1186" s="17" t="n">
        <f aca="false">AVERAGE(B1137:B1186)</f>
        <v>13177.6548</v>
      </c>
      <c r="E1186" s="17" t="n">
        <f aca="false">AVERAGE(B987:B1186)</f>
        <v>11843.2087</v>
      </c>
      <c r="F1186" s="17" t="n">
        <f aca="false">B1186*2/13+F1185*11/13</f>
        <v>12949.8522717289</v>
      </c>
      <c r="G1186" s="17" t="n">
        <f aca="false">B1186*2/27+G1185*25/27</f>
        <v>13023.8085615167</v>
      </c>
      <c r="H1186" s="17" t="n">
        <f aca="false">F1186-G1186</f>
        <v>-73.9562897878077</v>
      </c>
      <c r="I1186" s="17" t="n">
        <f aca="false">H1186*2/10+I1185*8/10</f>
        <v>-90.2275773998651</v>
      </c>
      <c r="J1186" s="17" t="n">
        <f aca="false">H1186-I1186</f>
        <v>16.2712876120574</v>
      </c>
      <c r="K1186" s="17" t="n">
        <f aca="false">MAX(B1186-B1185,0)</f>
        <v>77.8500000000004</v>
      </c>
      <c r="L1186" s="17" t="n">
        <f aca="false">MAX(B1185-B1186,0)</f>
        <v>0</v>
      </c>
      <c r="M1186" s="17" t="n">
        <f aca="false">(M1185*13+K1186)/14</f>
        <v>87.0828716062783</v>
      </c>
      <c r="N1186" s="17" t="n">
        <f aca="false">(N1185*13+L1186)/14</f>
        <v>99.3820889213368</v>
      </c>
      <c r="O1186" s="17" t="n">
        <f aca="false">IF(N1186=0,100,100-100/(1+M1186/N1186))</f>
        <v>46.7020030786865</v>
      </c>
      <c r="P1186" s="17" t="n">
        <f aca="false">AVERAGE(B1167:B1186)+2*STDEV(B1167:B1186)</f>
        <v>13475.4708881527</v>
      </c>
      <c r="Q1186" s="17" t="n">
        <f aca="false">AVERAGE(B1167:B1186)-2*STDEV(B1167:B1186)</f>
        <v>12379.1581118473</v>
      </c>
      <c r="R1186" s="19" t="n">
        <f aca="false">B1186/B1166-1</f>
        <v>-0.0525588368267508</v>
      </c>
      <c r="S1186" s="17" t="n">
        <f aca="false">STDEV(C1167:C1186)*SQRT(252)*100</f>
        <v>34.1097316058189</v>
      </c>
      <c r="T1186" s="19" t="n">
        <f aca="false">B1165/B935-1</f>
        <v>0.949806199056659</v>
      </c>
      <c r="U1186" s="19" t="n">
        <f aca="false">B1186/MAX(B935:B1186)-1</f>
        <v>-0.0681293770866981</v>
      </c>
      <c r="V1186" s="17" t="n">
        <f aca="false">(B1186-AVERAGE(B1167:B1186))/STDEV(B1167:B1186)</f>
        <v>-0.220099596771256</v>
      </c>
    </row>
    <row r="1187" customFormat="false" ht="15" hidden="false" customHeight="false" outlineLevel="0" collapsed="false">
      <c r="A1187" s="17" t="s">
        <v>1751</v>
      </c>
      <c r="B1187" s="17" t="n">
        <v>13086.51</v>
      </c>
      <c r="C1187" s="19" t="n">
        <f aca="false">B1187/B1186-1</f>
        <v>0.0170607111686572</v>
      </c>
      <c r="D1187" s="17" t="n">
        <f aca="false">AVERAGE(B1138:B1187)</f>
        <v>13180.5936</v>
      </c>
      <c r="E1187" s="17" t="n">
        <f aca="false">AVERAGE(B988:B1187)</f>
        <v>11860.49295</v>
      </c>
      <c r="F1187" s="17" t="n">
        <f aca="false">B1187*2/13+F1186*11/13</f>
        <v>12970.8765376168</v>
      </c>
      <c r="G1187" s="17" t="n">
        <f aca="false">B1187*2/27+G1186*25/27</f>
        <v>13028.4531125155</v>
      </c>
      <c r="H1187" s="17" t="n">
        <f aca="false">F1187-G1187</f>
        <v>-57.5765748987105</v>
      </c>
      <c r="I1187" s="17" t="n">
        <f aca="false">H1187*2/10+I1186*8/10</f>
        <v>-83.6973768996342</v>
      </c>
      <c r="J1187" s="17" t="n">
        <f aca="false">H1187-I1187</f>
        <v>26.1208020009237</v>
      </c>
      <c r="K1187" s="17" t="n">
        <f aca="false">MAX(B1187-B1186,0)</f>
        <v>219.52</v>
      </c>
      <c r="L1187" s="17" t="n">
        <f aca="false">MAX(B1186-B1187,0)</f>
        <v>0</v>
      </c>
      <c r="M1187" s="17" t="n">
        <f aca="false">(M1186*13+K1187)/14</f>
        <v>96.5426664915442</v>
      </c>
      <c r="N1187" s="17" t="n">
        <f aca="false">(N1186*13+L1187)/14</f>
        <v>92.2833682840985</v>
      </c>
      <c r="O1187" s="17" t="n">
        <f aca="false">IF(N1187=0,100,100-100/(1+M1187/N1187))</f>
        <v>51.1278365858041</v>
      </c>
      <c r="P1187" s="17" t="n">
        <f aca="false">AVERAGE(B1168:B1187)+2*STDEV(B1168:B1187)</f>
        <v>13456.2832558048</v>
      </c>
      <c r="Q1187" s="17" t="n">
        <f aca="false">AVERAGE(B1168:B1187)-2*STDEV(B1168:B1187)</f>
        <v>12384.6227441952</v>
      </c>
      <c r="R1187" s="19" t="n">
        <f aca="false">B1187/B1167-1</f>
        <v>-0.0103775482579058</v>
      </c>
      <c r="S1187" s="17" t="n">
        <f aca="false">STDEV(C1168:C1187)*SQRT(252)*100</f>
        <v>33.562198148865</v>
      </c>
      <c r="T1187" s="19" t="n">
        <f aca="false">B1166/B936-1</f>
        <v>0.938195383991825</v>
      </c>
      <c r="U1187" s="19" t="n">
        <f aca="false">B1187/MAX(B936:B1187)-1</f>
        <v>-0.0522310015426175</v>
      </c>
      <c r="V1187" s="17" t="n">
        <f aca="false">(B1187-AVERAGE(B1168:B1187))/STDEV(B1168:B1187)</f>
        <v>0.619811957988831</v>
      </c>
    </row>
    <row r="1188" customFormat="false" ht="15" hidden="false" customHeight="false" outlineLevel="0" collapsed="false">
      <c r="A1188" s="17" t="s">
        <v>1752</v>
      </c>
      <c r="B1188" s="17" t="n">
        <v>13017.79</v>
      </c>
      <c r="C1188" s="19" t="n">
        <f aca="false">B1188/B1187-1</f>
        <v>-0.00525120906949217</v>
      </c>
      <c r="D1188" s="17" t="n">
        <f aca="false">AVERAGE(B1139:B1188)</f>
        <v>13178.8454</v>
      </c>
      <c r="E1188" s="17" t="n">
        <f aca="false">AVERAGE(B989:B1188)</f>
        <v>11876.45995</v>
      </c>
      <c r="F1188" s="17" t="n">
        <f aca="false">B1188*2/13+F1187*11/13</f>
        <v>12978.093993368</v>
      </c>
      <c r="G1188" s="17" t="n">
        <f aca="false">B1188*2/27+G1187*25/27</f>
        <v>13027.6632523291</v>
      </c>
      <c r="H1188" s="17" t="n">
        <f aca="false">F1188-G1188</f>
        <v>-49.5692589611117</v>
      </c>
      <c r="I1188" s="17" t="n">
        <f aca="false">H1188*2/10+I1187*8/10</f>
        <v>-76.8717533119297</v>
      </c>
      <c r="J1188" s="17" t="n">
        <f aca="false">H1188-I1188</f>
        <v>27.302494350818</v>
      </c>
      <c r="K1188" s="17" t="n">
        <f aca="false">MAX(B1188-B1187,0)</f>
        <v>0</v>
      </c>
      <c r="L1188" s="17" t="n">
        <f aca="false">MAX(B1187-B1188,0)</f>
        <v>68.7199999999994</v>
      </c>
      <c r="M1188" s="17" t="n">
        <f aca="false">(M1187*13+K1188)/14</f>
        <v>89.6467617421482</v>
      </c>
      <c r="N1188" s="17" t="n">
        <f aca="false">(N1187*13+L1188)/14</f>
        <v>90.60027054952</v>
      </c>
      <c r="O1188" s="17" t="n">
        <f aca="false">IF(N1188=0,100,100-100/(1+M1188/N1188))</f>
        <v>49.7354994433892</v>
      </c>
      <c r="P1188" s="17" t="n">
        <f aca="false">AVERAGE(B1169:B1188)+2*STDEV(B1169:B1188)</f>
        <v>13434.047498676</v>
      </c>
      <c r="Q1188" s="17" t="n">
        <f aca="false">AVERAGE(B1169:B1188)-2*STDEV(B1169:B1188)</f>
        <v>12389.166501324</v>
      </c>
      <c r="R1188" s="19" t="n">
        <f aca="false">B1188/B1168-1</f>
        <v>-0.0134084038224408</v>
      </c>
      <c r="S1188" s="17" t="n">
        <f aca="false">STDEV(C1169:C1188)*SQRT(252)*100</f>
        <v>33.6024859503728</v>
      </c>
      <c r="T1188" s="19" t="n">
        <f aca="false">B1167/B937-1</f>
        <v>0.750600688657277</v>
      </c>
      <c r="U1188" s="19" t="n">
        <f aca="false">B1188/MAX(B937:B1188)-1</f>
        <v>-0.0572079347031005</v>
      </c>
      <c r="V1188" s="17" t="n">
        <f aca="false">(B1188-AVERAGE(B1169:B1188))/STDEV(B1169:B1188)</f>
        <v>0.406488395402322</v>
      </c>
    </row>
    <row r="1189" customFormat="false" ht="15" hidden="false" customHeight="false" outlineLevel="0" collapsed="false">
      <c r="A1189" s="17" t="s">
        <v>1753</v>
      </c>
      <c r="B1189" s="17" t="n">
        <v>12798.88</v>
      </c>
      <c r="C1189" s="19" t="n">
        <f aca="false">B1189/B1188-1</f>
        <v>-0.0168162184210993</v>
      </c>
      <c r="D1189" s="17" t="n">
        <f aca="false">AVERAGE(B1140:B1189)</f>
        <v>13176.7732</v>
      </c>
      <c r="E1189" s="17" t="n">
        <f aca="false">AVERAGE(B990:B1189)</f>
        <v>11890.94675</v>
      </c>
      <c r="F1189" s="17" t="n">
        <f aca="false">B1189*2/13+F1188*11/13</f>
        <v>12950.522609773</v>
      </c>
      <c r="G1189" s="17" t="n">
        <f aca="false">B1189*2/27+G1188*25/27</f>
        <v>13010.7163447492</v>
      </c>
      <c r="H1189" s="17" t="n">
        <f aca="false">F1189-G1189</f>
        <v>-60.1937349762575</v>
      </c>
      <c r="I1189" s="17" t="n">
        <f aca="false">H1189*2/10+I1188*8/10</f>
        <v>-73.5361496447953</v>
      </c>
      <c r="J1189" s="17" t="n">
        <f aca="false">H1189-I1189</f>
        <v>13.3424146685378</v>
      </c>
      <c r="K1189" s="17" t="n">
        <f aca="false">MAX(B1189-B1188,0)</f>
        <v>0</v>
      </c>
      <c r="L1189" s="17" t="n">
        <f aca="false">MAX(B1188-B1189,0)</f>
        <v>218.910000000002</v>
      </c>
      <c r="M1189" s="17" t="n">
        <f aca="false">(M1188*13+K1189)/14</f>
        <v>83.243421617709</v>
      </c>
      <c r="N1189" s="17" t="n">
        <f aca="false">(N1188*13+L1189)/14</f>
        <v>99.7652512245544</v>
      </c>
      <c r="O1189" s="17" t="n">
        <f aca="false">IF(N1189=0,100,100-100/(1+M1189/N1189))</f>
        <v>45.4860528328388</v>
      </c>
      <c r="P1189" s="17" t="n">
        <f aca="false">AVERAGE(B1170:B1189)+2*STDEV(B1170:B1189)</f>
        <v>13377.1918606895</v>
      </c>
      <c r="Q1189" s="17" t="n">
        <f aca="false">AVERAGE(B1170:B1189)-2*STDEV(B1170:B1189)</f>
        <v>12395.6911393105</v>
      </c>
      <c r="R1189" s="19" t="n">
        <f aca="false">B1189/B1169-1</f>
        <v>-0.0378366269012848</v>
      </c>
      <c r="S1189" s="17" t="n">
        <f aca="false">STDEV(C1170:C1189)*SQRT(252)*100</f>
        <v>33.9211512376207</v>
      </c>
      <c r="T1189" s="19" t="n">
        <f aca="false">B1168/B938-1</f>
        <v>0.766449966664971</v>
      </c>
      <c r="U1189" s="19" t="n">
        <f aca="false">B1189/MAX(B938:B1189)-1</f>
        <v>-0.0730621319988124</v>
      </c>
      <c r="V1189" s="17" t="n">
        <f aca="false">(B1189-AVERAGE(B1170:B1189))/STDEV(B1170:B1189)</f>
        <v>-0.356847419844926</v>
      </c>
    </row>
    <row r="1190" customFormat="false" ht="15" hidden="false" customHeight="false" outlineLevel="0" collapsed="false">
      <c r="A1190" s="17" t="s">
        <v>1754</v>
      </c>
      <c r="B1190" s="17" t="n">
        <v>12780.51</v>
      </c>
      <c r="C1190" s="19" t="n">
        <f aca="false">B1190/B1189-1</f>
        <v>-0.00143528183716068</v>
      </c>
      <c r="D1190" s="17" t="n">
        <f aca="false">AVERAGE(B1141:B1190)</f>
        <v>13174.5416</v>
      </c>
      <c r="E1190" s="17" t="n">
        <f aca="false">AVERAGE(B991:B1190)</f>
        <v>11905.01345</v>
      </c>
      <c r="F1190" s="17" t="n">
        <f aca="false">B1190*2/13+F1189*11/13</f>
        <v>12924.366823654</v>
      </c>
      <c r="G1190" s="17" t="n">
        <f aca="false">B1190*2/27+G1189*25/27</f>
        <v>12993.6640229159</v>
      </c>
      <c r="H1190" s="17" t="n">
        <f aca="false">F1190-G1190</f>
        <v>-69.2971992618968</v>
      </c>
      <c r="I1190" s="17" t="n">
        <f aca="false">H1190*2/10+I1189*8/10</f>
        <v>-72.6883595682156</v>
      </c>
      <c r="J1190" s="17" t="n">
        <f aca="false">H1190-I1190</f>
        <v>3.39116030631875</v>
      </c>
      <c r="K1190" s="17" t="n">
        <f aca="false">MAX(B1190-B1189,0)</f>
        <v>0</v>
      </c>
      <c r="L1190" s="17" t="n">
        <f aca="false">MAX(B1189-B1190,0)</f>
        <v>18.369999999999</v>
      </c>
      <c r="M1190" s="17" t="n">
        <f aca="false">(M1189*13+K1190)/14</f>
        <v>77.2974629307298</v>
      </c>
      <c r="N1190" s="17" t="n">
        <f aca="false">(N1189*13+L1190)/14</f>
        <v>93.9513047085147</v>
      </c>
      <c r="O1190" s="17" t="n">
        <f aca="false">IF(N1190=0,100,100-100/(1+M1190/N1190))</f>
        <v>45.1375294528051</v>
      </c>
      <c r="P1190" s="17" t="n">
        <f aca="false">AVERAGE(B1171:B1190)+2*STDEV(B1171:B1190)</f>
        <v>13376.456676093</v>
      </c>
      <c r="Q1190" s="17" t="n">
        <f aca="false">AVERAGE(B1171:B1190)-2*STDEV(B1171:B1190)</f>
        <v>12391.646323907</v>
      </c>
      <c r="R1190" s="19" t="n">
        <f aca="false">B1190/B1170-1</f>
        <v>-0.00372613383992115</v>
      </c>
      <c r="S1190" s="17" t="n">
        <f aca="false">STDEV(C1171:C1190)*SQRT(252)*100</f>
        <v>31.469836681114</v>
      </c>
      <c r="T1190" s="19" t="n">
        <f aca="false">B1169/B939-1</f>
        <v>0.684433458737541</v>
      </c>
      <c r="U1190" s="19" t="n">
        <f aca="false">B1190/MAX(B939:B1190)-1</f>
        <v>-0.0743925490849309</v>
      </c>
      <c r="V1190" s="17" t="n">
        <f aca="false">(B1190-AVERAGE(B1171:B1190))/STDEV(B1171:B1190)</f>
        <v>-0.420554068182451</v>
      </c>
    </row>
    <row r="1191" customFormat="false" ht="15" hidden="false" customHeight="false" outlineLevel="0" collapsed="false">
      <c r="A1191" s="17" t="s">
        <v>1755</v>
      </c>
      <c r="B1191" s="17" t="n">
        <v>12979.12</v>
      </c>
      <c r="C1191" s="19" t="n">
        <f aca="false">B1191/B1190-1</f>
        <v>0.0155400684323239</v>
      </c>
      <c r="D1191" s="17" t="n">
        <f aca="false">AVERAGE(B1142:B1191)</f>
        <v>13174.6514</v>
      </c>
      <c r="E1191" s="17" t="n">
        <f aca="false">AVERAGE(B992:B1191)</f>
        <v>11919.43775</v>
      </c>
      <c r="F1191" s="17" t="n">
        <f aca="false">B1191*2/13+F1190*11/13</f>
        <v>12932.7903892457</v>
      </c>
      <c r="G1191" s="17" t="n">
        <f aca="false">B1191*2/27+G1190*25/27</f>
        <v>12992.5866878851</v>
      </c>
      <c r="H1191" s="17" t="n">
        <f aca="false">F1191-G1191</f>
        <v>-59.7962986394014</v>
      </c>
      <c r="I1191" s="17" t="n">
        <f aca="false">H1191*2/10+I1190*8/10</f>
        <v>-70.1099473824527</v>
      </c>
      <c r="J1191" s="17" t="n">
        <f aca="false">H1191-I1191</f>
        <v>10.3136487430514</v>
      </c>
      <c r="K1191" s="17" t="n">
        <f aca="false">MAX(B1191-B1190,0)</f>
        <v>198.610000000001</v>
      </c>
      <c r="L1191" s="17" t="n">
        <f aca="false">MAX(B1190-B1191,0)</f>
        <v>0</v>
      </c>
      <c r="M1191" s="17" t="n">
        <f aca="false">(M1190*13+K1191)/14</f>
        <v>85.9626441499634</v>
      </c>
      <c r="N1191" s="17" t="n">
        <f aca="false">(N1190*13+L1191)/14</f>
        <v>87.2404972293351</v>
      </c>
      <c r="O1191" s="17" t="n">
        <f aca="false">IF(N1191=0,100,100-100/(1+M1191/N1191))</f>
        <v>49.6311114598744</v>
      </c>
      <c r="P1191" s="17" t="n">
        <f aca="false">AVERAGE(B1172:B1191)+2*STDEV(B1172:B1191)</f>
        <v>13381.6800029426</v>
      </c>
      <c r="Q1191" s="17" t="n">
        <f aca="false">AVERAGE(B1172:B1191)-2*STDEV(B1172:B1191)</f>
        <v>12393.3909970574</v>
      </c>
      <c r="R1191" s="19" t="n">
        <f aca="false">B1191/B1171-1</f>
        <v>0.00539760051559179</v>
      </c>
      <c r="S1191" s="17" t="n">
        <f aca="false">STDEV(C1172:C1191)*SQRT(252)*100</f>
        <v>31.8827980067816</v>
      </c>
      <c r="T1191" s="19" t="n">
        <f aca="false">B1170/B940-1</f>
        <v>0.690522470570096</v>
      </c>
      <c r="U1191" s="19" t="n">
        <f aca="false">B1191/MAX(B940:B1191)-1</f>
        <v>-0.0600085459562418</v>
      </c>
      <c r="V1191" s="17" t="n">
        <f aca="false">(B1191-AVERAGE(B1172:B1191))/STDEV(B1172:B1191)</f>
        <v>0.370679019819566</v>
      </c>
    </row>
    <row r="1192" customFormat="false" ht="15" hidden="false" customHeight="false" outlineLevel="0" collapsed="false">
      <c r="A1192" s="17" t="s">
        <v>1756</v>
      </c>
      <c r="B1192" s="17" t="n">
        <v>12965.74</v>
      </c>
      <c r="C1192" s="19" t="n">
        <f aca="false">B1192/B1191-1</f>
        <v>-0.00103088653159855</v>
      </c>
      <c r="D1192" s="17" t="n">
        <f aca="false">AVERAGE(B1143:B1192)</f>
        <v>13175.9924</v>
      </c>
      <c r="E1192" s="17" t="n">
        <f aca="false">AVERAGE(B993:B1192)</f>
        <v>11936.32405</v>
      </c>
      <c r="F1192" s="17" t="n">
        <f aca="false">B1192*2/13+F1191*11/13</f>
        <v>12937.859560131</v>
      </c>
      <c r="G1192" s="17" t="n">
        <f aca="false">B1192*2/27+G1191*25/27</f>
        <v>12990.5980443381</v>
      </c>
      <c r="H1192" s="17" t="n">
        <f aca="false">F1192-G1192</f>
        <v>-52.7384842070824</v>
      </c>
      <c r="I1192" s="17" t="n">
        <f aca="false">H1192*2/10+I1191*8/10</f>
        <v>-66.6356547473787</v>
      </c>
      <c r="J1192" s="17" t="n">
        <f aca="false">H1192-I1192</f>
        <v>13.8971705402963</v>
      </c>
      <c r="K1192" s="17" t="n">
        <f aca="false">MAX(B1192-B1191,0)</f>
        <v>0</v>
      </c>
      <c r="L1192" s="17" t="n">
        <f aca="false">MAX(B1191-B1192,0)</f>
        <v>13.380000000001</v>
      </c>
      <c r="M1192" s="17" t="n">
        <f aca="false">(M1191*13+K1192)/14</f>
        <v>79.8224552821089</v>
      </c>
      <c r="N1192" s="17" t="n">
        <f aca="false">(N1191*13+L1192)/14</f>
        <v>81.9647474272398</v>
      </c>
      <c r="O1192" s="17" t="n">
        <f aca="false">IF(N1192=0,100,100-100/(1+M1192/N1192))</f>
        <v>49.3379290483872</v>
      </c>
      <c r="P1192" s="17" t="n">
        <f aca="false">AVERAGE(B1173:B1192)+2*STDEV(B1173:B1192)</f>
        <v>13331.5563254926</v>
      </c>
      <c r="Q1192" s="17" t="n">
        <f aca="false">AVERAGE(B1173:B1192)-2*STDEV(B1173:B1192)</f>
        <v>12411.7936745074</v>
      </c>
      <c r="R1192" s="19" t="n">
        <f aca="false">B1192/B1172-1</f>
        <v>-0.0238809902920663</v>
      </c>
      <c r="S1192" s="17" t="n">
        <f aca="false">STDEV(C1173:C1192)*SQRT(252)*100</f>
        <v>30.0554714608535</v>
      </c>
      <c r="T1192" s="19" t="n">
        <f aca="false">B1171/B941-1</f>
        <v>0.636382765391348</v>
      </c>
      <c r="U1192" s="19" t="n">
        <f aca="false">B1192/MAX(B941:B1192)-1</f>
        <v>-0.0609775704860333</v>
      </c>
      <c r="V1192" s="17" t="n">
        <f aca="false">(B1192-AVERAGE(B1173:B1192))/STDEV(B1173:B1192)</f>
        <v>0.409083799605216</v>
      </c>
    </row>
    <row r="1193" customFormat="false" ht="15" hidden="false" customHeight="false" outlineLevel="0" collapsed="false">
      <c r="A1193" s="17" t="s">
        <v>1757</v>
      </c>
      <c r="B1193" s="17" t="n">
        <v>12896.53</v>
      </c>
      <c r="C1193" s="19" t="n">
        <f aca="false">B1193/B1192-1</f>
        <v>-0.00533791360925018</v>
      </c>
      <c r="D1193" s="17" t="n">
        <f aca="false">AVERAGE(B1144:B1193)</f>
        <v>13177.8444</v>
      </c>
      <c r="E1193" s="17" t="n">
        <f aca="false">AVERAGE(B994:B1193)</f>
        <v>11952.4878</v>
      </c>
      <c r="F1193" s="17" t="n">
        <f aca="false">B1193*2/13+F1192*11/13</f>
        <v>12931.5011662647</v>
      </c>
      <c r="G1193" s="17" t="n">
        <f aca="false">B1193*2/27+G1192*25/27</f>
        <v>12983.6300410538</v>
      </c>
      <c r="H1193" s="17" t="n">
        <f aca="false">F1193-G1193</f>
        <v>-52.1288747890867</v>
      </c>
      <c r="I1193" s="17" t="n">
        <f aca="false">H1193*2/10+I1192*8/10</f>
        <v>-63.7342987557203</v>
      </c>
      <c r="J1193" s="17" t="n">
        <f aca="false">H1193-I1193</f>
        <v>11.6054239666336</v>
      </c>
      <c r="K1193" s="17" t="n">
        <f aca="false">MAX(B1193-B1192,0)</f>
        <v>0</v>
      </c>
      <c r="L1193" s="17" t="n">
        <f aca="false">MAX(B1192-B1193,0)</f>
        <v>69.2099999999991</v>
      </c>
      <c r="M1193" s="17" t="n">
        <f aca="false">(M1192*13+K1193)/14</f>
        <v>74.1208513333869</v>
      </c>
      <c r="N1193" s="17" t="n">
        <f aca="false">(N1192*13+L1193)/14</f>
        <v>81.0536940395798</v>
      </c>
      <c r="O1193" s="17" t="n">
        <f aca="false">IF(N1193=0,100,100-100/(1+M1193/N1193))</f>
        <v>47.7661147034362</v>
      </c>
      <c r="P1193" s="17" t="n">
        <f aca="false">AVERAGE(B1174:B1193)+2*STDEV(B1174:B1193)</f>
        <v>13315.0315709668</v>
      </c>
      <c r="Q1193" s="17" t="n">
        <f aca="false">AVERAGE(B1174:B1193)-2*STDEV(B1174:B1193)</f>
        <v>12411.9764290332</v>
      </c>
      <c r="R1193" s="19" t="n">
        <f aca="false">B1193/B1173-1</f>
        <v>-0.0125130647513965</v>
      </c>
      <c r="S1193" s="17" t="n">
        <f aca="false">STDEV(C1174:C1193)*SQRT(252)*100</f>
        <v>29.5298197091525</v>
      </c>
      <c r="T1193" s="19" t="n">
        <f aca="false">B1172/B942-1</f>
        <v>0.7</v>
      </c>
      <c r="U1193" s="19" t="n">
        <f aca="false">B1193/MAX(B942:B1193)-1</f>
        <v>-0.0659899910919269</v>
      </c>
      <c r="V1193" s="17" t="n">
        <f aca="false">(B1193-AVERAGE(B1174:B1193))/STDEV(B1174:B1193)</f>
        <v>0.146285640672117</v>
      </c>
    </row>
    <row r="1194" customFormat="false" ht="15" hidden="false" customHeight="false" outlineLevel="0" collapsed="false">
      <c r="A1194" s="17" t="s">
        <v>1758</v>
      </c>
      <c r="B1194" s="17" t="n">
        <v>13091.44</v>
      </c>
      <c r="C1194" s="19" t="n">
        <f aca="false">B1194/B1193-1</f>
        <v>0.015113367704336</v>
      </c>
      <c r="D1194" s="17" t="n">
        <f aca="false">AVERAGE(B1145:B1194)</f>
        <v>13179.7424</v>
      </c>
      <c r="E1194" s="17" t="n">
        <f aca="false">AVERAGE(B995:B1194)</f>
        <v>11969.06055</v>
      </c>
      <c r="F1194" s="17" t="n">
        <f aca="false">B1194*2/13+F1193*11/13</f>
        <v>12956.1071406855</v>
      </c>
      <c r="G1194" s="17" t="n">
        <f aca="false">B1194*2/27+G1193*25/27</f>
        <v>12991.6159639387</v>
      </c>
      <c r="H1194" s="17" t="n">
        <f aca="false">F1194-G1194</f>
        <v>-35.5088232531762</v>
      </c>
      <c r="I1194" s="17" t="n">
        <f aca="false">H1194*2/10+I1193*8/10</f>
        <v>-58.0892036552114</v>
      </c>
      <c r="J1194" s="17" t="n">
        <f aca="false">H1194-I1194</f>
        <v>22.5803804020353</v>
      </c>
      <c r="K1194" s="17" t="n">
        <f aca="false">MAX(B1194-B1193,0)</f>
        <v>194.91</v>
      </c>
      <c r="L1194" s="17" t="n">
        <f aca="false">MAX(B1193-B1194,0)</f>
        <v>0</v>
      </c>
      <c r="M1194" s="17" t="n">
        <f aca="false">(M1193*13+K1194)/14</f>
        <v>82.7486476667164</v>
      </c>
      <c r="N1194" s="17" t="n">
        <f aca="false">(N1193*13+L1194)/14</f>
        <v>75.2641444653241</v>
      </c>
      <c r="O1194" s="17" t="n">
        <f aca="false">IF(N1194=0,100,100-100/(1+M1194/N1194))</f>
        <v>52.3683219252078</v>
      </c>
      <c r="P1194" s="17" t="n">
        <f aca="false">AVERAGE(B1175:B1194)+2*STDEV(B1175:B1194)</f>
        <v>13338.0323470695</v>
      </c>
      <c r="Q1194" s="17" t="n">
        <f aca="false">AVERAGE(B1175:B1194)-2*STDEV(B1175:B1194)</f>
        <v>12429.7866529305</v>
      </c>
      <c r="R1194" s="19" t="n">
        <f aca="false">B1194/B1174-1</f>
        <v>0.03217688099261</v>
      </c>
      <c r="S1194" s="17" t="n">
        <f aca="false">STDEV(C1175:C1194)*SQRT(252)*100</f>
        <v>28.0110445537242</v>
      </c>
      <c r="T1194" s="19" t="n">
        <f aca="false">B1173/B943-1</f>
        <v>0.744515641258888</v>
      </c>
      <c r="U1194" s="19" t="n">
        <f aca="false">B1194/MAX(B943:B1194)-1</f>
        <v>-0.0518739543877692</v>
      </c>
      <c r="V1194" s="17" t="n">
        <f aca="false">(B1194-AVERAGE(B1175:B1194))/STDEV(B1175:B1194)</f>
        <v>0.913983964203548</v>
      </c>
    </row>
    <row r="1195" customFormat="false" ht="15" hidden="false" customHeight="false" outlineLevel="0" collapsed="false">
      <c r="A1195" s="17" t="s">
        <v>1759</v>
      </c>
      <c r="B1195" s="17" t="n">
        <v>13329.52</v>
      </c>
      <c r="C1195" s="19" t="n">
        <f aca="false">B1195/B1194-1</f>
        <v>0.0181859291262076</v>
      </c>
      <c r="D1195" s="17" t="n">
        <f aca="false">AVERAGE(B1146:B1195)</f>
        <v>13180.4038</v>
      </c>
      <c r="E1195" s="17" t="n">
        <f aca="false">AVERAGE(B996:B1195)</f>
        <v>11985.9613</v>
      </c>
      <c r="F1195" s="17" t="n">
        <f aca="false">B1195*2/13+F1194*11/13</f>
        <v>13013.5552728877</v>
      </c>
      <c r="G1195" s="17" t="n">
        <f aca="false">B1195*2/27+G1194*25/27</f>
        <v>13016.6458925358</v>
      </c>
      <c r="H1195" s="17" t="n">
        <f aca="false">F1195-G1195</f>
        <v>-3.09061964808279</v>
      </c>
      <c r="I1195" s="17" t="n">
        <f aca="false">H1195*2/10+I1194*8/10</f>
        <v>-47.0894868537857</v>
      </c>
      <c r="J1195" s="17" t="n">
        <f aca="false">H1195-I1195</f>
        <v>43.9988672057029</v>
      </c>
      <c r="K1195" s="17" t="n">
        <f aca="false">MAX(B1195-B1194,0)</f>
        <v>238.08</v>
      </c>
      <c r="L1195" s="17" t="n">
        <f aca="false">MAX(B1194-B1195,0)</f>
        <v>0</v>
      </c>
      <c r="M1195" s="17" t="n">
        <f aca="false">(M1194*13+K1195)/14</f>
        <v>93.8437442619509</v>
      </c>
      <c r="N1195" s="17" t="n">
        <f aca="false">(N1194*13+L1195)/14</f>
        <v>69.8881341463723</v>
      </c>
      <c r="O1195" s="17" t="n">
        <f aca="false">IF(N1195=0,100,100-100/(1+M1195/N1195))</f>
        <v>57.3154996902426</v>
      </c>
      <c r="P1195" s="17" t="n">
        <f aca="false">AVERAGE(B1176:B1195)+2*STDEV(B1176:B1195)</f>
        <v>13377.7686069076</v>
      </c>
      <c r="Q1195" s="17" t="n">
        <f aca="false">AVERAGE(B1176:B1195)-2*STDEV(B1176:B1195)</f>
        <v>12476.6023930924</v>
      </c>
      <c r="R1195" s="19" t="n">
        <f aca="false">B1195/B1175-1</f>
        <v>0.069441591784339</v>
      </c>
      <c r="S1195" s="17" t="n">
        <f aca="false">STDEV(C1176:C1195)*SQRT(252)*100</f>
        <v>27.6436170152556</v>
      </c>
      <c r="T1195" s="19" t="n">
        <f aca="false">B1174/B944-1</f>
        <v>0.66106531720899</v>
      </c>
      <c r="U1195" s="19" t="n">
        <f aca="false">B1195/MAX(B944:B1195)-1</f>
        <v>-0.0346314013195536</v>
      </c>
      <c r="V1195" s="17" t="n">
        <f aca="false">(B1195-AVERAGE(B1176:B1195))/STDEV(B1176:B1195)</f>
        <v>1.78583925509878</v>
      </c>
    </row>
    <row r="1196" customFormat="false" ht="15" hidden="false" customHeight="false" outlineLevel="0" collapsed="false">
      <c r="A1196" s="17" t="s">
        <v>1760</v>
      </c>
      <c r="B1196" s="17" t="n">
        <v>13598.16</v>
      </c>
      <c r="C1196" s="19" t="n">
        <f aca="false">B1196/B1195-1</f>
        <v>0.0201537639764973</v>
      </c>
      <c r="D1196" s="17" t="n">
        <f aca="false">AVERAGE(B1147:B1196)</f>
        <v>13184.2672</v>
      </c>
      <c r="E1196" s="17" t="n">
        <f aca="false">AVERAGE(B997:B1196)</f>
        <v>12004.0397</v>
      </c>
      <c r="F1196" s="17" t="n">
        <f aca="false">B1196*2/13+F1195*11/13</f>
        <v>13103.4944616742</v>
      </c>
      <c r="G1196" s="17" t="n">
        <f aca="false">B1196*2/27+G1195*25/27</f>
        <v>13059.7210116072</v>
      </c>
      <c r="H1196" s="17" t="n">
        <f aca="false">F1196-G1196</f>
        <v>43.7734500670013</v>
      </c>
      <c r="I1196" s="17" t="n">
        <f aca="false">H1196*2/10+I1195*8/10</f>
        <v>-28.9168994696283</v>
      </c>
      <c r="J1196" s="17" t="n">
        <f aca="false">H1196-I1196</f>
        <v>72.6903495366296</v>
      </c>
      <c r="K1196" s="17" t="n">
        <f aca="false">MAX(B1196-B1195,0)</f>
        <v>268.639999999999</v>
      </c>
      <c r="L1196" s="17" t="n">
        <f aca="false">MAX(B1195-B1196,0)</f>
        <v>0</v>
      </c>
      <c r="M1196" s="17" t="n">
        <f aca="false">(M1195*13+K1196)/14</f>
        <v>106.329191100383</v>
      </c>
      <c r="N1196" s="17" t="n">
        <f aca="false">(N1195*13+L1196)/14</f>
        <v>64.8961245644886</v>
      </c>
      <c r="O1196" s="17" t="n">
        <f aca="false">IF(N1196=0,100,100-100/(1+M1196/N1196))</f>
        <v>62.0989896777264</v>
      </c>
      <c r="P1196" s="17" t="n">
        <f aca="false">AVERAGE(B1177:B1196)+2*STDEV(B1177:B1196)</f>
        <v>13497.7111292656</v>
      </c>
      <c r="Q1196" s="17" t="n">
        <f aca="false">AVERAGE(B1177:B1196)-2*STDEV(B1177:B1196)</f>
        <v>12449.6248707344</v>
      </c>
      <c r="R1196" s="19" t="n">
        <f aca="false">B1196/B1176-1</f>
        <v>0.0733827419325557</v>
      </c>
      <c r="S1196" s="17" t="n">
        <f aca="false">STDEV(C1177:C1196)*SQRT(252)*100</f>
        <v>27.9062083039864</v>
      </c>
      <c r="T1196" s="19" t="n">
        <f aca="false">B1175/B945-1</f>
        <v>0.655661248308008</v>
      </c>
      <c r="U1196" s="19" t="n">
        <f aca="false">B1196/MAX(B945:B1196)-1</f>
        <v>-0.015175590431426</v>
      </c>
      <c r="V1196" s="17" t="n">
        <f aca="false">(B1196-AVERAGE(B1177:B1196))/STDEV(B1177:B1196)</f>
        <v>2.38336108279911</v>
      </c>
    </row>
    <row r="1197" customFormat="false" ht="15" hidden="false" customHeight="false" outlineLevel="0" collapsed="false">
      <c r="A1197" s="17" t="s">
        <v>1761</v>
      </c>
      <c r="B1197" s="17" t="n">
        <v>13578.46</v>
      </c>
      <c r="C1197" s="19" t="n">
        <f aca="false">B1197/B1196-1</f>
        <v>-0.00144872541579155</v>
      </c>
      <c r="D1197" s="17" t="n">
        <f aca="false">AVERAGE(B1148:B1197)</f>
        <v>13188.5084</v>
      </c>
      <c r="E1197" s="17" t="n">
        <f aca="false">AVERAGE(B998:B1197)</f>
        <v>12021.87175</v>
      </c>
      <c r="F1197" s="17" t="n">
        <f aca="false">B1197*2/13+F1196*11/13</f>
        <v>13176.5660829551</v>
      </c>
      <c r="G1197" s="17" t="n">
        <f aca="false">B1197*2/27+G1196*25/27</f>
        <v>13098.1461218586</v>
      </c>
      <c r="H1197" s="17" t="n">
        <f aca="false">F1197-G1197</f>
        <v>78.4199610965752</v>
      </c>
      <c r="I1197" s="17" t="n">
        <f aca="false">H1197*2/10+I1196*8/10</f>
        <v>-7.44952735638762</v>
      </c>
      <c r="J1197" s="17" t="n">
        <f aca="false">H1197-I1197</f>
        <v>85.8694884529628</v>
      </c>
      <c r="K1197" s="17" t="n">
        <f aca="false">MAX(B1197-B1196,0)</f>
        <v>0</v>
      </c>
      <c r="L1197" s="17" t="n">
        <f aca="false">MAX(B1196-B1197,0)</f>
        <v>19.7000000000007</v>
      </c>
      <c r="M1197" s="17" t="n">
        <f aca="false">(M1196*13+K1197)/14</f>
        <v>98.734248878927</v>
      </c>
      <c r="N1197" s="17" t="n">
        <f aca="false">(N1196*13+L1197)/14</f>
        <v>61.6678299527395</v>
      </c>
      <c r="O1197" s="17" t="n">
        <f aca="false">IF(N1197=0,100,100-100/(1+M1197/N1197))</f>
        <v>61.554220243332</v>
      </c>
      <c r="P1197" s="17" t="n">
        <f aca="false">AVERAGE(B1178:B1197)+2*STDEV(B1178:B1197)</f>
        <v>13526.0963266739</v>
      </c>
      <c r="Q1197" s="17" t="n">
        <f aca="false">AVERAGE(B1178:B1197)-2*STDEV(B1178:B1197)</f>
        <v>12549.1776733261</v>
      </c>
      <c r="R1197" s="19" t="n">
        <f aca="false">B1197/B1177-1</f>
        <v>0.104022414684676</v>
      </c>
      <c r="S1197" s="17" t="n">
        <f aca="false">STDEV(C1178:C1197)*SQRT(252)*100</f>
        <v>25.1793951601585</v>
      </c>
      <c r="T1197" s="19" t="n">
        <f aca="false">B1176/B946-1</f>
        <v>0.567562852186308</v>
      </c>
      <c r="U1197" s="19" t="n">
        <f aca="false">B1197/MAX(B946:B1197)-1</f>
        <v>-0.01660233058366</v>
      </c>
      <c r="V1197" s="17" t="n">
        <f aca="false">(B1197-AVERAGE(B1178:B1197))/STDEV(B1178:B1197)</f>
        <v>2.21440341279854</v>
      </c>
    </row>
    <row r="1198" customFormat="false" ht="15" hidden="false" customHeight="false" outlineLevel="0" collapsed="false">
      <c r="A1198" s="17" t="s">
        <v>1762</v>
      </c>
      <c r="B1198" s="17" t="n">
        <v>13616.7</v>
      </c>
      <c r="C1198" s="19" t="n">
        <f aca="false">B1198/B1197-1</f>
        <v>0.00281622510947499</v>
      </c>
      <c r="D1198" s="17" t="n">
        <f aca="false">AVERAGE(B1149:B1198)</f>
        <v>13191.1766</v>
      </c>
      <c r="E1198" s="17" t="n">
        <f aca="false">AVERAGE(B999:B1198)</f>
        <v>12039.91205</v>
      </c>
      <c r="F1198" s="17" t="n">
        <f aca="false">B1198*2/13+F1197*11/13</f>
        <v>13244.2789932697</v>
      </c>
      <c r="G1198" s="17" t="n">
        <f aca="false">B1198*2/27+G1197*25/27</f>
        <v>13136.5575202394</v>
      </c>
      <c r="H1198" s="17" t="n">
        <f aca="false">F1198-G1198</f>
        <v>107.721473030322</v>
      </c>
      <c r="I1198" s="17" t="n">
        <f aca="false">H1198*2/10+I1197*8/10</f>
        <v>15.5846727209543</v>
      </c>
      <c r="J1198" s="17" t="n">
        <f aca="false">H1198-I1198</f>
        <v>92.1368003093678</v>
      </c>
      <c r="K1198" s="17" t="n">
        <f aca="false">MAX(B1198-B1197,0)</f>
        <v>38.2400000000016</v>
      </c>
      <c r="L1198" s="17" t="n">
        <f aca="false">MAX(B1197-B1198,0)</f>
        <v>0</v>
      </c>
      <c r="M1198" s="17" t="n">
        <f aca="false">(M1197*13+K1198)/14</f>
        <v>94.4132311018609</v>
      </c>
      <c r="N1198" s="17" t="n">
        <f aca="false">(N1197*13+L1198)/14</f>
        <v>57.2629849561152</v>
      </c>
      <c r="O1198" s="17" t="n">
        <f aca="false">IF(N1198=0,100,100-100/(1+M1198/N1198))</f>
        <v>62.2465628136271</v>
      </c>
      <c r="P1198" s="17" t="n">
        <f aca="false">AVERAGE(B1179:B1198)+2*STDEV(B1179:B1198)</f>
        <v>13616.9132875599</v>
      </c>
      <c r="Q1198" s="17" t="n">
        <f aca="false">AVERAGE(B1179:B1198)-2*STDEV(B1179:B1198)</f>
        <v>12540.5817124401</v>
      </c>
      <c r="R1198" s="19" t="n">
        <f aca="false">B1198/B1178-1</f>
        <v>0.0642628193855324</v>
      </c>
      <c r="S1198" s="17" t="n">
        <f aca="false">STDEV(C1179:C1198)*SQRT(252)*100</f>
        <v>21.4715803093834</v>
      </c>
      <c r="T1198" s="19" t="n">
        <f aca="false">B1177/B947-1</f>
        <v>0.527966993444158</v>
      </c>
      <c r="U1198" s="19" t="n">
        <f aca="false">B1198/MAX(B947:B1198)-1</f>
        <v>-0.0138328613744505</v>
      </c>
      <c r="V1198" s="17" t="n">
        <f aca="false">(B1198-AVERAGE(B1179:B1198))/STDEV(B1179:B1198)</f>
        <v>1.99920735370081</v>
      </c>
    </row>
    <row r="1199" customFormat="false" ht="15" hidden="false" customHeight="false" outlineLevel="0" collapsed="false">
      <c r="A1199" s="17" t="s">
        <v>1763</v>
      </c>
      <c r="B1199" s="17" t="n">
        <v>13758.51</v>
      </c>
      <c r="C1199" s="19" t="n">
        <f aca="false">B1199/B1198-1</f>
        <v>0.010414417590165</v>
      </c>
      <c r="D1199" s="17" t="n">
        <f aca="false">AVERAGE(B1150:B1199)</f>
        <v>13196.543</v>
      </c>
      <c r="E1199" s="17" t="n">
        <f aca="false">AVERAGE(B1000:B1199)</f>
        <v>12058.05295</v>
      </c>
      <c r="F1199" s="17" t="n">
        <f aca="false">B1199*2/13+F1198*11/13</f>
        <v>13323.3914558436</v>
      </c>
      <c r="G1199" s="17" t="n">
        <f aca="false">B1199*2/27+G1198*25/27</f>
        <v>13182.6280742957</v>
      </c>
      <c r="H1199" s="17" t="n">
        <f aca="false">F1199-G1199</f>
        <v>140.763381547871</v>
      </c>
      <c r="I1199" s="17" t="n">
        <f aca="false">H1199*2/10+I1198*8/10</f>
        <v>40.6204144863377</v>
      </c>
      <c r="J1199" s="17" t="n">
        <f aca="false">H1199-I1199</f>
        <v>100.142967061533</v>
      </c>
      <c r="K1199" s="17" t="n">
        <f aca="false">MAX(B1199-B1198,0)</f>
        <v>141.81</v>
      </c>
      <c r="L1199" s="17" t="n">
        <f aca="false">MAX(B1198-B1199,0)</f>
        <v>0</v>
      </c>
      <c r="M1199" s="17" t="n">
        <f aca="false">(M1198*13+K1199)/14</f>
        <v>97.7987145945851</v>
      </c>
      <c r="N1199" s="17" t="n">
        <f aca="false">(N1198*13+L1199)/14</f>
        <v>53.1727717449641</v>
      </c>
      <c r="O1199" s="17" t="n">
        <f aca="false">IF(N1199=0,100,100-100/(1+M1199/N1199))</f>
        <v>64.7795931310012</v>
      </c>
      <c r="P1199" s="17" t="n">
        <f aca="false">AVERAGE(B1180:B1199)+2*STDEV(B1180:B1199)</f>
        <v>13723.8572577219</v>
      </c>
      <c r="Q1199" s="17" t="n">
        <f aca="false">AVERAGE(B1180:B1199)-2*STDEV(B1180:B1199)</f>
        <v>12534.2817422781</v>
      </c>
      <c r="R1199" s="19" t="n">
        <f aca="false">B1199/B1179-1</f>
        <v>0.0789236571003766</v>
      </c>
      <c r="S1199" s="17" t="n">
        <f aca="false">STDEV(C1180:C1199)*SQRT(252)*100</f>
        <v>21.4715901950609</v>
      </c>
      <c r="T1199" s="19" t="n">
        <f aca="false">B1178/B948-1</f>
        <v>0.554702936008574</v>
      </c>
      <c r="U1199" s="19" t="n">
        <f aca="false">B1199/MAX(B948:B1199)-1</f>
        <v>-0.00356250497910593</v>
      </c>
      <c r="V1199" s="17" t="n">
        <f aca="false">(B1199-AVERAGE(B1180:B1199))/STDEV(B1180:B1199)</f>
        <v>2.1165213702813</v>
      </c>
    </row>
    <row r="1200" customFormat="false" ht="15" hidden="false" customHeight="false" outlineLevel="0" collapsed="false">
      <c r="A1200" s="17" t="s">
        <v>1764</v>
      </c>
      <c r="B1200" s="17" t="n">
        <v>13845.06</v>
      </c>
      <c r="C1200" s="19" t="n">
        <f aca="false">B1200/B1199-1</f>
        <v>0.00629065211276503</v>
      </c>
      <c r="D1200" s="17" t="n">
        <f aca="false">AVERAGE(B1151:B1200)</f>
        <v>13211.1912</v>
      </c>
      <c r="E1200" s="17" t="n">
        <f aca="false">AVERAGE(B1001:B1200)</f>
        <v>12076.22915</v>
      </c>
      <c r="F1200" s="17" t="n">
        <f aca="false">B1200*2/13+F1199*11/13</f>
        <v>13403.6481549446</v>
      </c>
      <c r="G1200" s="17" t="n">
        <f aca="false">B1200*2/27+G1199*25/27</f>
        <v>13231.6971058294</v>
      </c>
      <c r="H1200" s="17" t="n">
        <f aca="false">F1200-G1200</f>
        <v>171.951049115205</v>
      </c>
      <c r="I1200" s="17" t="n">
        <f aca="false">H1200*2/10+I1199*8/10</f>
        <v>66.8865414121112</v>
      </c>
      <c r="J1200" s="17" t="n">
        <f aca="false">H1200-I1200</f>
        <v>105.064507703094</v>
      </c>
      <c r="K1200" s="17" t="n">
        <f aca="false">MAX(B1200-B1199,0)</f>
        <v>86.5499999999993</v>
      </c>
      <c r="L1200" s="17" t="n">
        <f aca="false">MAX(B1199-B1200,0)</f>
        <v>0</v>
      </c>
      <c r="M1200" s="17" t="n">
        <f aca="false">(M1199*13+K1200)/14</f>
        <v>96.9952349806861</v>
      </c>
      <c r="N1200" s="17" t="n">
        <f aca="false">(N1199*13+L1200)/14</f>
        <v>49.3747166203239</v>
      </c>
      <c r="O1200" s="17" t="n">
        <f aca="false">IF(N1200=0,100,100-100/(1+M1200/N1200))</f>
        <v>66.2671770535837</v>
      </c>
      <c r="P1200" s="17" t="n">
        <f aca="false">AVERAGE(B1181:B1200)+2*STDEV(B1181:B1200)</f>
        <v>13842.3764792536</v>
      </c>
      <c r="Q1200" s="17" t="n">
        <f aca="false">AVERAGE(B1181:B1200)-2*STDEV(B1181:B1200)</f>
        <v>12494.9785207464</v>
      </c>
      <c r="R1200" s="19" t="n">
        <f aca="false">B1200/B1180-1</f>
        <v>0.0606884293911698</v>
      </c>
      <c r="S1200" s="17" t="n">
        <f aca="false">STDEV(C1181:C1200)*SQRT(252)*100</f>
        <v>20.2075271616056</v>
      </c>
      <c r="T1200" s="19" t="n">
        <f aca="false">B1179/B949-1</f>
        <v>0.54785744544233</v>
      </c>
      <c r="U1200" s="19" t="n">
        <f aca="false">B1200/MAX(B949:B1200)-1</f>
        <v>0</v>
      </c>
      <c r="V1200" s="17" t="n">
        <f aca="false">(B1200-AVERAGE(B1181:B1200))/STDEV(B1181:B1200)</f>
        <v>2.00796652757097</v>
      </c>
    </row>
    <row r="1201" customFormat="false" ht="15" hidden="false" customHeight="false" outlineLevel="0" collapsed="false">
      <c r="A1201" s="17" t="s">
        <v>1765</v>
      </c>
      <c r="B1201" s="17" t="n">
        <v>13819.35</v>
      </c>
      <c r="C1201" s="19" t="n">
        <f aca="false">B1201/B1200-1</f>
        <v>-0.00185698003475598</v>
      </c>
      <c r="D1201" s="17" t="n">
        <f aca="false">AVERAGE(B1152:B1201)</f>
        <v>13223.5476</v>
      </c>
      <c r="E1201" s="17" t="n">
        <f aca="false">AVERAGE(B1002:B1201)</f>
        <v>12095.3124</v>
      </c>
      <c r="F1201" s="17" t="n">
        <f aca="false">B1201*2/13+F1200*11/13</f>
        <v>13467.6022849531</v>
      </c>
      <c r="G1201" s="17" t="n">
        <f aca="false">B1201*2/27+G1200*25/27</f>
        <v>13275.226949842</v>
      </c>
      <c r="H1201" s="17" t="n">
        <f aca="false">F1201-G1201</f>
        <v>192.37533511109</v>
      </c>
      <c r="I1201" s="17" t="n">
        <f aca="false">H1201*2/10+I1200*8/10</f>
        <v>91.9843001519069</v>
      </c>
      <c r="J1201" s="17" t="n">
        <f aca="false">H1201-I1201</f>
        <v>100.391034959183</v>
      </c>
      <c r="K1201" s="17" t="n">
        <f aca="false">MAX(B1201-B1200,0)</f>
        <v>0</v>
      </c>
      <c r="L1201" s="17" t="n">
        <f aca="false">MAX(B1200-B1201,0)</f>
        <v>25.7099999999991</v>
      </c>
      <c r="M1201" s="17" t="n">
        <f aca="false">(M1200*13+K1201)/14</f>
        <v>90.0670039106371</v>
      </c>
      <c r="N1201" s="17" t="n">
        <f aca="false">(N1200*13+L1201)/14</f>
        <v>47.6843797188721</v>
      </c>
      <c r="O1201" s="17" t="n">
        <f aca="false">IF(N1201=0,100,100-100/(1+M1201/N1201))</f>
        <v>65.3837381066733</v>
      </c>
      <c r="P1201" s="17" t="n">
        <f aca="false">AVERAGE(B1182:B1201)+2*STDEV(B1182:B1201)</f>
        <v>13936.3414354174</v>
      </c>
      <c r="Q1201" s="17" t="n">
        <f aca="false">AVERAGE(B1182:B1201)-2*STDEV(B1182:B1201)</f>
        <v>12489.2195645826</v>
      </c>
      <c r="R1201" s="19" t="n">
        <f aca="false">B1201/B1181-1</f>
        <v>0.0681796574089317</v>
      </c>
      <c r="S1201" s="17" t="n">
        <f aca="false">STDEV(C1182:C1201)*SQRT(252)*100</f>
        <v>19.8103557965241</v>
      </c>
      <c r="T1201" s="19" t="n">
        <f aca="false">B1180/B950-1</f>
        <v>0.566459531918673</v>
      </c>
      <c r="U1201" s="19" t="n">
        <f aca="false">B1201/MAX(B950:B1201)-1</f>
        <v>-0.00185698003475598</v>
      </c>
      <c r="V1201" s="17" t="n">
        <f aca="false">(B1201-AVERAGE(B1182:B1201))/STDEV(B1182:B1201)</f>
        <v>1.67662312960577</v>
      </c>
    </row>
    <row r="1202" customFormat="false" ht="15" hidden="false" customHeight="false" outlineLevel="0" collapsed="false">
      <c r="A1202" s="17" t="s">
        <v>1766</v>
      </c>
      <c r="B1202" s="17" t="n">
        <v>13986.49</v>
      </c>
      <c r="C1202" s="19" t="n">
        <f aca="false">B1202/B1201-1</f>
        <v>0.0120946354206239</v>
      </c>
      <c r="D1202" s="17" t="n">
        <f aca="false">AVERAGE(B1153:B1202)</f>
        <v>13244.7698</v>
      </c>
      <c r="E1202" s="17" t="n">
        <f aca="false">AVERAGE(B1003:B1202)</f>
        <v>12114.7357</v>
      </c>
      <c r="F1202" s="17" t="n">
        <f aca="false">B1202*2/13+F1201*11/13</f>
        <v>13547.4311641911</v>
      </c>
      <c r="G1202" s="17" t="n">
        <f aca="false">B1202*2/27+G1201*25/27</f>
        <v>13327.9131017056</v>
      </c>
      <c r="H1202" s="17" t="n">
        <f aca="false">F1202-G1202</f>
        <v>219.51806248552</v>
      </c>
      <c r="I1202" s="17" t="n">
        <f aca="false">H1202*2/10+I1201*8/10</f>
        <v>117.49105261863</v>
      </c>
      <c r="J1202" s="17" t="n">
        <f aca="false">H1202-I1202</f>
        <v>102.027009866891</v>
      </c>
      <c r="K1202" s="17" t="n">
        <f aca="false">MAX(B1202-B1201,0)</f>
        <v>167.139999999999</v>
      </c>
      <c r="L1202" s="17" t="n">
        <f aca="false">MAX(B1201-B1202,0)</f>
        <v>0</v>
      </c>
      <c r="M1202" s="17" t="n">
        <f aca="false">(M1201*13+K1202)/14</f>
        <v>95.5722179170201</v>
      </c>
      <c r="N1202" s="17" t="n">
        <f aca="false">(N1201*13+L1202)/14</f>
        <v>44.2783525960955</v>
      </c>
      <c r="O1202" s="17" t="n">
        <f aca="false">IF(N1202=0,100,100-100/(1+M1202/N1202))</f>
        <v>68.3388116089645</v>
      </c>
      <c r="P1202" s="17" t="n">
        <f aca="false">AVERAGE(B1183:B1202)+2*STDEV(B1183:B1202)</f>
        <v>14056.3479909876</v>
      </c>
      <c r="Q1202" s="17" t="n">
        <f aca="false">AVERAGE(B1183:B1202)-2*STDEV(B1183:B1202)</f>
        <v>12459.6080090124</v>
      </c>
      <c r="R1202" s="19" t="n">
        <f aca="false">B1202/B1182-1</f>
        <v>0.0690959095099268</v>
      </c>
      <c r="S1202" s="17" t="n">
        <f aca="false">STDEV(C1183:C1202)*SQRT(252)*100</f>
        <v>19.8582757243503</v>
      </c>
      <c r="T1202" s="19" t="n">
        <f aca="false">B1181/B951-1</f>
        <v>0.488386085852078</v>
      </c>
      <c r="U1202" s="19" t="n">
        <f aca="false">B1202/MAX(B951:B1202)-1</f>
        <v>0</v>
      </c>
      <c r="V1202" s="17" t="n">
        <f aca="false">(B1202-AVERAGE(B1183:B1202))/STDEV(B1183:B1202)</f>
        <v>1.8249984549115</v>
      </c>
    </row>
    <row r="1203" customFormat="false" ht="15" hidden="false" customHeight="false" outlineLevel="0" collapsed="false">
      <c r="A1203" s="17" t="s">
        <v>1767</v>
      </c>
      <c r="B1203" s="17" t="n">
        <v>13803.91</v>
      </c>
      <c r="C1203" s="19" t="n">
        <f aca="false">B1203/B1202-1</f>
        <v>-0.013054025706235</v>
      </c>
      <c r="D1203" s="17" t="n">
        <f aca="false">AVERAGE(B1154:B1203)</f>
        <v>13255.87</v>
      </c>
      <c r="E1203" s="17" t="n">
        <f aca="false">AVERAGE(B1004:B1203)</f>
        <v>12134.50845</v>
      </c>
      <c r="F1203" s="17" t="n">
        <f aca="false">B1203*2/13+F1202*11/13</f>
        <v>13586.8894466232</v>
      </c>
      <c r="G1203" s="17" t="n">
        <f aca="false">B1203*2/27+G1202*25/27</f>
        <v>13363.1721312089</v>
      </c>
      <c r="H1203" s="17" t="n">
        <f aca="false">F1203-G1203</f>
        <v>223.717315414366</v>
      </c>
      <c r="I1203" s="17" t="n">
        <f aca="false">H1203*2/10+I1202*8/10</f>
        <v>138.736305177777</v>
      </c>
      <c r="J1203" s="17" t="n">
        <f aca="false">H1203-I1203</f>
        <v>84.9810102365889</v>
      </c>
      <c r="K1203" s="17" t="n">
        <f aca="false">MAX(B1203-B1202,0)</f>
        <v>0</v>
      </c>
      <c r="L1203" s="17" t="n">
        <f aca="false">MAX(B1202-B1203,0)</f>
        <v>182.58</v>
      </c>
      <c r="M1203" s="17" t="n">
        <f aca="false">(M1202*13+K1203)/14</f>
        <v>88.7456309229473</v>
      </c>
      <c r="N1203" s="17" t="n">
        <f aca="false">(N1202*13+L1203)/14</f>
        <v>54.1570416963744</v>
      </c>
      <c r="O1203" s="17" t="n">
        <f aca="false">IF(N1203=0,100,100-100/(1+M1203/N1203))</f>
        <v>62.1021491734845</v>
      </c>
      <c r="P1203" s="17" t="n">
        <f aca="false">AVERAGE(B1184:B1203)+2*STDEV(B1184:B1203)</f>
        <v>14123.2170274379</v>
      </c>
      <c r="Q1203" s="17" t="n">
        <f aca="false">AVERAGE(B1184:B1203)-2*STDEV(B1184:B1203)</f>
        <v>12457.9019725621</v>
      </c>
      <c r="R1203" s="19" t="n">
        <f aca="false">B1203/B1183-1</f>
        <v>0.0495450218517246</v>
      </c>
      <c r="S1203" s="17" t="n">
        <f aca="false">STDEV(C1184:C1203)*SQRT(252)*100</f>
        <v>20.6791068043567</v>
      </c>
      <c r="T1203" s="19" t="n">
        <f aca="false">B1182/B952-1</f>
        <v>0.522649081234084</v>
      </c>
      <c r="U1203" s="19" t="n">
        <f aca="false">B1203/MAX(B952:B1203)-1</f>
        <v>-0.013054025706235</v>
      </c>
      <c r="V1203" s="17" t="n">
        <f aca="false">(B1203-AVERAGE(B1184:B1203))/STDEV(B1184:B1203)</f>
        <v>1.23304115577891</v>
      </c>
    </row>
    <row r="1204" customFormat="false" ht="15" hidden="false" customHeight="false" outlineLevel="0" collapsed="false">
      <c r="A1204" s="17" t="s">
        <v>1768</v>
      </c>
      <c r="B1204" s="17" t="n">
        <v>14026.19</v>
      </c>
      <c r="C1204" s="19" t="n">
        <f aca="false">B1204/B1203-1</f>
        <v>0.0161026839496925</v>
      </c>
      <c r="D1204" s="17" t="n">
        <f aca="false">AVERAGE(B1155:B1204)</f>
        <v>13267.2714</v>
      </c>
      <c r="E1204" s="17" t="n">
        <f aca="false">AVERAGE(B1005:B1204)</f>
        <v>12154.8336</v>
      </c>
      <c r="F1204" s="17" t="n">
        <f aca="false">B1204*2/13+F1203*11/13</f>
        <v>13654.4741471427</v>
      </c>
      <c r="G1204" s="17" t="n">
        <f aca="false">B1204*2/27+G1203*25/27</f>
        <v>13412.2845659341</v>
      </c>
      <c r="H1204" s="17" t="n">
        <f aca="false">F1204-G1204</f>
        <v>242.1895812086</v>
      </c>
      <c r="I1204" s="17" t="n">
        <f aca="false">H1204*2/10+I1203*8/10</f>
        <v>159.426960383942</v>
      </c>
      <c r="J1204" s="17" t="n">
        <f aca="false">H1204-I1204</f>
        <v>82.7626208246589</v>
      </c>
      <c r="K1204" s="17" t="n">
        <f aca="false">MAX(B1204-B1203,0)</f>
        <v>222.280000000001</v>
      </c>
      <c r="L1204" s="17" t="n">
        <f aca="false">MAX(B1203-B1204,0)</f>
        <v>0</v>
      </c>
      <c r="M1204" s="17" t="n">
        <f aca="false">(M1203*13+K1204)/14</f>
        <v>98.2838001427368</v>
      </c>
      <c r="N1204" s="17" t="n">
        <f aca="false">(N1203*13+L1204)/14</f>
        <v>50.2886815752048</v>
      </c>
      <c r="O1204" s="17" t="n">
        <f aca="false">IF(N1204=0,100,100-100/(1+M1204/N1204))</f>
        <v>66.1520888702151</v>
      </c>
      <c r="P1204" s="17" t="n">
        <f aca="false">AVERAGE(B1185:B1204)+2*STDEV(B1185:B1204)</f>
        <v>14225.3184361621</v>
      </c>
      <c r="Q1204" s="17" t="n">
        <f aca="false">AVERAGE(B1185:B1204)-2*STDEV(B1185:B1204)</f>
        <v>12438.1815638379</v>
      </c>
      <c r="R1204" s="19" t="n">
        <f aca="false">B1204/B1184-1</f>
        <v>0.0623985978285735</v>
      </c>
      <c r="S1204" s="17" t="n">
        <f aca="false">STDEV(C1185:C1204)*SQRT(252)*100</f>
        <v>21.2351473523628</v>
      </c>
      <c r="T1204" s="19" t="n">
        <f aca="false">B1183/B953-1</f>
        <v>0.501773841236928</v>
      </c>
      <c r="U1204" s="19" t="n">
        <f aca="false">B1204/MAX(B953:B1204)-1</f>
        <v>0</v>
      </c>
      <c r="V1204" s="17" t="n">
        <f aca="false">(B1204-AVERAGE(B1185:B1204))/STDEV(B1185:B1204)</f>
        <v>1.55430736336794</v>
      </c>
    </row>
    <row r="1205" customFormat="false" ht="15" hidden="false" customHeight="false" outlineLevel="0" collapsed="false">
      <c r="A1205" s="17" t="s">
        <v>1769</v>
      </c>
      <c r="B1205" s="17" t="n">
        <v>14041.91</v>
      </c>
      <c r="C1205" s="19" t="n">
        <f aca="false">B1205/B1204-1</f>
        <v>0.0011207605201411</v>
      </c>
      <c r="D1205" s="17" t="n">
        <f aca="false">AVERAGE(B1156:B1205)</f>
        <v>13280.0622</v>
      </c>
      <c r="E1205" s="17" t="n">
        <f aca="false">AVERAGE(B1006:B1205)</f>
        <v>12174.2589</v>
      </c>
      <c r="F1205" s="17" t="n">
        <f aca="false">B1205*2/13+F1204*11/13</f>
        <v>13714.0796629669</v>
      </c>
      <c r="G1205" s="17" t="n">
        <f aca="false">B1205*2/27+G1204*25/27</f>
        <v>13458.9234869761</v>
      </c>
      <c r="H1205" s="17" t="n">
        <f aca="false">F1205-G1205</f>
        <v>255.15617599088</v>
      </c>
      <c r="I1205" s="17" t="n">
        <f aca="false">H1205*2/10+I1204*8/10</f>
        <v>178.572803505329</v>
      </c>
      <c r="J1205" s="17" t="n">
        <f aca="false">H1205-I1205</f>
        <v>76.5833724855508</v>
      </c>
      <c r="K1205" s="17" t="n">
        <f aca="false">MAX(B1205-B1204,0)</f>
        <v>15.7199999999993</v>
      </c>
      <c r="L1205" s="17" t="n">
        <f aca="false">MAX(B1204-B1205,0)</f>
        <v>0</v>
      </c>
      <c r="M1205" s="17" t="n">
        <f aca="false">(M1204*13+K1205)/14</f>
        <v>92.386385846827</v>
      </c>
      <c r="N1205" s="17" t="n">
        <f aca="false">(N1204*13+L1205)/14</f>
        <v>46.6966328912616</v>
      </c>
      <c r="O1205" s="17" t="n">
        <f aca="false">IF(N1205=0,100,100-100/(1+M1205/N1205))</f>
        <v>66.4253527749513</v>
      </c>
      <c r="P1205" s="17" t="n">
        <f aca="false">AVERAGE(B1186:B1205)+2*STDEV(B1186:B1205)</f>
        <v>14303.3076490713</v>
      </c>
      <c r="Q1205" s="17" t="n">
        <f aca="false">AVERAGE(B1186:B1205)-2*STDEV(B1186:B1205)</f>
        <v>12485.4693509287</v>
      </c>
      <c r="R1205" s="19" t="n">
        <f aca="false">B1205/B1185-1</f>
        <v>0.097955765594872</v>
      </c>
      <c r="S1205" s="17" t="n">
        <f aca="false">STDEV(C1186:C1205)*SQRT(252)*100</f>
        <v>16.9524226174298</v>
      </c>
      <c r="T1205" s="19" t="n">
        <f aca="false">B1184/B954-1</f>
        <v>0.494765301882499</v>
      </c>
      <c r="U1205" s="19" t="n">
        <f aca="false">B1205/MAX(B954:B1205)-1</f>
        <v>0</v>
      </c>
      <c r="V1205" s="17" t="n">
        <f aca="false">(B1205-AVERAGE(B1186:B1205))/STDEV(B1186:B1205)</f>
        <v>1.42481649916088</v>
      </c>
    </row>
    <row r="1206" customFormat="false" ht="15" hidden="false" customHeight="false" outlineLevel="0" collapsed="false">
      <c r="A1206" s="17" t="s">
        <v>1770</v>
      </c>
      <c r="B1206" s="17" t="n">
        <v>13907.67</v>
      </c>
      <c r="C1206" s="19" t="n">
        <f aca="false">B1206/B1205-1</f>
        <v>-0.00955995302633328</v>
      </c>
      <c r="D1206" s="17" t="n">
        <f aca="false">AVERAGE(B1157:B1206)</f>
        <v>13286.9978</v>
      </c>
      <c r="E1206" s="17" t="n">
        <f aca="false">AVERAGE(B1007:B1206)</f>
        <v>12192.401</v>
      </c>
      <c r="F1206" s="17" t="n">
        <f aca="false">B1206*2/13+F1205*11/13</f>
        <v>13743.8627917412</v>
      </c>
      <c r="G1206" s="17" t="n">
        <f aca="false">B1206*2/27+G1205*25/27</f>
        <v>13492.1639694223</v>
      </c>
      <c r="H1206" s="17" t="n">
        <f aca="false">F1206-G1206</f>
        <v>251.69882231898</v>
      </c>
      <c r="I1206" s="17" t="n">
        <f aca="false">H1206*2/10+I1205*8/10</f>
        <v>193.198007268059</v>
      </c>
      <c r="J1206" s="17" t="n">
        <f aca="false">H1206-I1206</f>
        <v>58.5008150509207</v>
      </c>
      <c r="K1206" s="17" t="n">
        <f aca="false">MAX(B1206-B1205,0)</f>
        <v>0</v>
      </c>
      <c r="L1206" s="17" t="n">
        <f aca="false">MAX(B1205-B1206,0)</f>
        <v>134.24</v>
      </c>
      <c r="M1206" s="17" t="n">
        <f aca="false">(M1205*13+K1206)/14</f>
        <v>85.7873582863393</v>
      </c>
      <c r="N1206" s="17" t="n">
        <f aca="false">(N1205*13+L1206)/14</f>
        <v>52.9497305418857</v>
      </c>
      <c r="O1206" s="17" t="n">
        <f aca="false">IF(N1206=0,100,100-100/(1+M1206/N1206))</f>
        <v>61.8344806070967</v>
      </c>
      <c r="P1206" s="17" t="n">
        <f aca="false">AVERAGE(B1187:B1206)+2*STDEV(B1187:B1206)</f>
        <v>14347.3336843806</v>
      </c>
      <c r="Q1206" s="17" t="n">
        <f aca="false">AVERAGE(B1187:B1206)-2*STDEV(B1187:B1206)</f>
        <v>12545.5113156194</v>
      </c>
      <c r="R1206" s="19" t="n">
        <f aca="false">B1206/B1186-1</f>
        <v>0.0808798328124916</v>
      </c>
      <c r="S1206" s="17" t="n">
        <f aca="false">STDEV(C1187:C1206)*SQRT(252)*100</f>
        <v>17.6813853592604</v>
      </c>
      <c r="T1206" s="19" t="n">
        <f aca="false">B1185/B955-1</f>
        <v>0.465550374662952</v>
      </c>
      <c r="U1206" s="19" t="n">
        <f aca="false">B1206/MAX(B955:B1206)-1</f>
        <v>-0.00955995302633328</v>
      </c>
      <c r="V1206" s="17" t="n">
        <f aca="false">(B1206-AVERAGE(B1187:B1206))/STDEV(B1187:B1206)</f>
        <v>1.02395776186774</v>
      </c>
    </row>
    <row r="1207" customFormat="false" ht="15" hidden="false" customHeight="false" outlineLevel="0" collapsed="false">
      <c r="A1207" s="17" t="s">
        <v>1771</v>
      </c>
      <c r="B1207" s="17" t="n">
        <v>13809.3</v>
      </c>
      <c r="C1207" s="19" t="n">
        <f aca="false">B1207/B1206-1</f>
        <v>-0.00707307550437997</v>
      </c>
      <c r="D1207" s="17" t="n">
        <f aca="false">AVERAGE(B1158:B1207)</f>
        <v>13291.1046</v>
      </c>
      <c r="E1207" s="17" t="n">
        <f aca="false">AVERAGE(B1008:B1207)</f>
        <v>12209.73805</v>
      </c>
      <c r="F1207" s="17" t="n">
        <f aca="false">B1207*2/13+F1206*11/13</f>
        <v>13753.9300545503</v>
      </c>
      <c r="G1207" s="17" t="n">
        <f aca="false">B1207*2/27+G1206*25/27</f>
        <v>13515.6555272428</v>
      </c>
      <c r="H1207" s="17" t="n">
        <f aca="false">F1207-G1207</f>
        <v>238.274527307445</v>
      </c>
      <c r="I1207" s="17" t="n">
        <f aca="false">H1207*2/10+I1206*8/10</f>
        <v>202.213311275937</v>
      </c>
      <c r="J1207" s="17" t="n">
        <f aca="false">H1207-I1207</f>
        <v>36.0612160315087</v>
      </c>
      <c r="K1207" s="17" t="n">
        <f aca="false">MAX(B1207-B1206,0)</f>
        <v>0</v>
      </c>
      <c r="L1207" s="17" t="n">
        <f aca="false">MAX(B1206-B1207,0)</f>
        <v>98.3700000000008</v>
      </c>
      <c r="M1207" s="17" t="n">
        <f aca="false">(M1206*13+K1207)/14</f>
        <v>79.6596898373151</v>
      </c>
      <c r="N1207" s="17" t="n">
        <f aca="false">(N1206*13+L1207)/14</f>
        <v>56.1940355031797</v>
      </c>
      <c r="O1207" s="17" t="n">
        <f aca="false">IF(N1207=0,100,100-100/(1+M1207/N1207))</f>
        <v>58.6363676356032</v>
      </c>
      <c r="P1207" s="17" t="n">
        <f aca="false">AVERAGE(B1188:B1207)+2*STDEV(B1188:B1207)</f>
        <v>14380.6671835386</v>
      </c>
      <c r="Q1207" s="17" t="n">
        <f aca="false">AVERAGE(B1188:B1207)-2*STDEV(B1188:B1207)</f>
        <v>12584.4568164614</v>
      </c>
      <c r="R1207" s="19" t="n">
        <f aca="false">B1207/B1187-1</f>
        <v>0.0552316851475296</v>
      </c>
      <c r="S1207" s="17" t="n">
        <f aca="false">STDEV(C1188:C1207)*SQRT(252)*100</f>
        <v>17.3815773753163</v>
      </c>
      <c r="T1207" s="19" t="n">
        <f aca="false">B1186/B956-1</f>
        <v>0.531237653219088</v>
      </c>
      <c r="U1207" s="19" t="n">
        <f aca="false">B1207/MAX(B956:B1207)-1</f>
        <v>-0.0165654102611398</v>
      </c>
      <c r="V1207" s="17" t="n">
        <f aca="false">(B1207-AVERAGE(B1188:B1207))/STDEV(B1188:B1207)</f>
        <v>0.727616332671901</v>
      </c>
    </row>
    <row r="1208" customFormat="false" ht="15" hidden="false" customHeight="false" outlineLevel="0" collapsed="false">
      <c r="A1208" s="17" t="s">
        <v>1772</v>
      </c>
      <c r="B1208" s="17" t="n">
        <v>13935.15</v>
      </c>
      <c r="C1208" s="19" t="n">
        <f aca="false">B1208/B1207-1</f>
        <v>0.00911342356238198</v>
      </c>
      <c r="D1208" s="17" t="n">
        <f aca="false">AVERAGE(B1159:B1208)</f>
        <v>13295.9072</v>
      </c>
      <c r="E1208" s="17" t="n">
        <f aca="false">AVERAGE(B1009:B1208)</f>
        <v>12226.3935</v>
      </c>
      <c r="F1208" s="17" t="n">
        <f aca="false">B1208*2/13+F1207*11/13</f>
        <v>13781.8100461579</v>
      </c>
      <c r="G1208" s="17" t="n">
        <f aca="false">B1208*2/27+G1207*25/27</f>
        <v>13546.7291918915</v>
      </c>
      <c r="H1208" s="17" t="n">
        <f aca="false">F1208-G1208</f>
        <v>235.080854266414</v>
      </c>
      <c r="I1208" s="17" t="n">
        <f aca="false">H1208*2/10+I1207*8/10</f>
        <v>208.786819874032</v>
      </c>
      <c r="J1208" s="17" t="n">
        <f aca="false">H1208-I1208</f>
        <v>26.2940343923824</v>
      </c>
      <c r="K1208" s="17" t="n">
        <f aca="false">MAX(B1208-B1207,0)</f>
        <v>125.85</v>
      </c>
      <c r="L1208" s="17" t="n">
        <f aca="false">MAX(B1207-B1208,0)</f>
        <v>0</v>
      </c>
      <c r="M1208" s="17" t="n">
        <f aca="false">(M1207*13+K1208)/14</f>
        <v>82.9589977060783</v>
      </c>
      <c r="N1208" s="17" t="n">
        <f aca="false">(N1207*13+L1208)/14</f>
        <v>52.1801758243811</v>
      </c>
      <c r="O1208" s="17" t="n">
        <f aca="false">IF(N1208=0,100,100-100/(1+M1208/N1208))</f>
        <v>61.3878237810741</v>
      </c>
      <c r="P1208" s="17" t="n">
        <f aca="false">AVERAGE(B1189:B1208)+2*STDEV(B1189:B1208)</f>
        <v>14420.271594455</v>
      </c>
      <c r="Q1208" s="17" t="n">
        <f aca="false">AVERAGE(B1189:B1208)-2*STDEV(B1189:B1208)</f>
        <v>12636.588405545</v>
      </c>
      <c r="R1208" s="19" t="n">
        <f aca="false">B1208/B1188-1</f>
        <v>0.0704697187464232</v>
      </c>
      <c r="S1208" s="17" t="n">
        <f aca="false">STDEV(C1189:C1208)*SQRT(252)*100</f>
        <v>17.2521474291617</v>
      </c>
      <c r="T1208" s="19" t="n">
        <f aca="false">B1187/B957-1</f>
        <v>0.510335109133213</v>
      </c>
      <c r="U1208" s="19" t="n">
        <f aca="false">B1208/MAX(B957:B1208)-1</f>
        <v>-0.00760295429895219</v>
      </c>
      <c r="V1208" s="17" t="n">
        <f aca="false">(B1208-AVERAGE(B1189:B1208))/STDEV(B1189:B1208)</f>
        <v>0.912090224382403</v>
      </c>
    </row>
    <row r="1209" customFormat="false" ht="15" hidden="false" customHeight="false" outlineLevel="0" collapsed="false">
      <c r="A1209" s="17" t="s">
        <v>1773</v>
      </c>
      <c r="B1209" s="17" t="n">
        <v>13762.36</v>
      </c>
      <c r="C1209" s="19" t="n">
        <f aca="false">B1209/B1208-1</f>
        <v>-0.0123995794806657</v>
      </c>
      <c r="D1209" s="17" t="n">
        <f aca="false">AVERAGE(B1160:B1209)</f>
        <v>13297.4128</v>
      </c>
      <c r="E1209" s="17" t="n">
        <f aca="false">AVERAGE(B1010:B1209)</f>
        <v>12242.58525</v>
      </c>
      <c r="F1209" s="17" t="n">
        <f aca="false">B1209*2/13+F1208*11/13</f>
        <v>13778.8177313644</v>
      </c>
      <c r="G1209" s="17" t="n">
        <f aca="false">B1209*2/27+G1208*25/27</f>
        <v>13562.701844344</v>
      </c>
      <c r="H1209" s="17" t="n">
        <f aca="false">F1209-G1209</f>
        <v>216.115887020404</v>
      </c>
      <c r="I1209" s="17" t="n">
        <f aca="false">H1209*2/10+I1208*8/10</f>
        <v>210.252633303306</v>
      </c>
      <c r="J1209" s="17" t="n">
        <f aca="false">H1209-I1209</f>
        <v>5.86325371709717</v>
      </c>
      <c r="K1209" s="17" t="n">
        <f aca="false">MAX(B1209-B1208,0)</f>
        <v>0</v>
      </c>
      <c r="L1209" s="17" t="n">
        <f aca="false">MAX(B1208-B1209,0)</f>
        <v>172.789999999999</v>
      </c>
      <c r="M1209" s="17" t="n">
        <f aca="false">(M1208*13+K1209)/14</f>
        <v>77.033355012787</v>
      </c>
      <c r="N1209" s="17" t="n">
        <f aca="false">(N1208*13+L1209)/14</f>
        <v>60.7951632654967</v>
      </c>
      <c r="O1209" s="17" t="n">
        <f aca="false">IF(N1209=0,100,100-100/(1+M1209/N1209))</f>
        <v>55.8907227437882</v>
      </c>
      <c r="P1209" s="17" t="n">
        <f aca="false">AVERAGE(B1190:B1209)+2*STDEV(B1190:B1209)</f>
        <v>14404.2992334461</v>
      </c>
      <c r="Q1209" s="17" t="n">
        <f aca="false">AVERAGE(B1190:B1209)-2*STDEV(B1190:B1209)</f>
        <v>12748.9087665539</v>
      </c>
      <c r="R1209" s="19" t="n">
        <f aca="false">B1209/B1189-1</f>
        <v>0.0752784618654134</v>
      </c>
      <c r="S1209" s="17" t="n">
        <f aca="false">STDEV(C1190:C1209)*SQRT(252)*100</f>
        <v>16.6232250290303</v>
      </c>
      <c r="T1209" s="19" t="n">
        <f aca="false">B1188/B958-1</f>
        <v>0.506427124920442</v>
      </c>
      <c r="U1209" s="19" t="n">
        <f aca="false">B1209/MAX(B958:B1209)-1</f>
        <v>-0.0199082603435002</v>
      </c>
      <c r="V1209" s="17" t="n">
        <f aca="false">(B1209-AVERAGE(B1190:B1209))/STDEV(B1190:B1209)</f>
        <v>0.448851201490181</v>
      </c>
    </row>
    <row r="1210" customFormat="false" ht="15" hidden="false" customHeight="false" outlineLevel="0" collapsed="false">
      <c r="A1210" s="17" t="s">
        <v>1774</v>
      </c>
      <c r="B1210" s="17" t="n">
        <v>13941.44</v>
      </c>
      <c r="C1210" s="19" t="n">
        <f aca="false">B1210/B1209-1</f>
        <v>0.0130123031224296</v>
      </c>
      <c r="D1210" s="17" t="n">
        <f aca="false">AVERAGE(B1161:B1210)</f>
        <v>13303.1362</v>
      </c>
      <c r="E1210" s="17" t="n">
        <f aca="false">AVERAGE(B1011:B1210)</f>
        <v>12258.95895</v>
      </c>
      <c r="F1210" s="17" t="n">
        <f aca="false">B1210*2/13+F1209*11/13</f>
        <v>13803.8365419237</v>
      </c>
      <c r="G1210" s="17" t="n">
        <f aca="false">B1210*2/27+G1209*25/27</f>
        <v>13590.7565225407</v>
      </c>
      <c r="H1210" s="17" t="n">
        <f aca="false">F1210-G1210</f>
        <v>213.080019382984</v>
      </c>
      <c r="I1210" s="17" t="n">
        <f aca="false">H1210*2/10+I1209*8/10</f>
        <v>210.818110519242</v>
      </c>
      <c r="J1210" s="17" t="n">
        <f aca="false">H1210-I1210</f>
        <v>2.26190886374184</v>
      </c>
      <c r="K1210" s="17" t="n">
        <f aca="false">MAX(B1210-B1209,0)</f>
        <v>179.08</v>
      </c>
      <c r="L1210" s="17" t="n">
        <f aca="false">MAX(B1209-B1210,0)</f>
        <v>0</v>
      </c>
      <c r="M1210" s="17" t="n">
        <f aca="false">(M1209*13+K1210)/14</f>
        <v>84.3224010833022</v>
      </c>
      <c r="N1210" s="17" t="n">
        <f aca="false">(N1209*13+L1210)/14</f>
        <v>56.4526516036755</v>
      </c>
      <c r="O1210" s="17" t="n">
        <f aca="false">IF(N1210=0,100,100-100/(1+M1210/N1210))</f>
        <v>59.8986819566663</v>
      </c>
      <c r="P1210" s="17" t="n">
        <f aca="false">AVERAGE(B1191:B1210)+2*STDEV(B1191:B1210)</f>
        <v>14386.6413838046</v>
      </c>
      <c r="Q1210" s="17" t="n">
        <f aca="false">AVERAGE(B1191:B1210)-2*STDEV(B1191:B1210)</f>
        <v>12882.6596161954</v>
      </c>
      <c r="R1210" s="19" t="n">
        <f aca="false">B1210/B1190-1</f>
        <v>0.0908359682047117</v>
      </c>
      <c r="S1210" s="17" t="n">
        <f aca="false">STDEV(C1191:C1210)*SQRT(252)*100</f>
        <v>16.8225864814349</v>
      </c>
      <c r="T1210" s="19" t="n">
        <f aca="false">B1189/B959-1</f>
        <v>0.456636241549632</v>
      </c>
      <c r="U1210" s="19" t="n">
        <f aca="false">B1210/MAX(B959:B1210)-1</f>
        <v>-0.00715500953930048</v>
      </c>
      <c r="V1210" s="17" t="n">
        <f aca="false">(B1210-AVERAGE(B1191:B1210))/STDEV(B1191:B1210)</f>
        <v>0.81593941258391</v>
      </c>
    </row>
    <row r="1211" customFormat="false" ht="15" hidden="false" customHeight="false" outlineLevel="0" collapsed="false">
      <c r="A1211" s="17" t="s">
        <v>1775</v>
      </c>
      <c r="B1211" s="17" t="n">
        <v>14026.16</v>
      </c>
      <c r="C1211" s="19" t="n">
        <f aca="false">B1211/B1210-1</f>
        <v>0.0060768471549566</v>
      </c>
      <c r="D1211" s="17" t="n">
        <f aca="false">AVERAGE(B1162:B1211)</f>
        <v>13308.9724</v>
      </c>
      <c r="E1211" s="17" t="n">
        <f aca="false">AVERAGE(B1012:B1211)</f>
        <v>12275.3168</v>
      </c>
      <c r="F1211" s="17" t="n">
        <f aca="false">B1211*2/13+F1210*11/13</f>
        <v>13838.0401508585</v>
      </c>
      <c r="G1211" s="17" t="n">
        <f aca="false">B1211*2/27+G1210*25/27</f>
        <v>13623.0086319822</v>
      </c>
      <c r="H1211" s="17" t="n">
        <f aca="false">F1211-G1211</f>
        <v>215.031518876365</v>
      </c>
      <c r="I1211" s="17" t="n">
        <f aca="false">H1211*2/10+I1210*8/10</f>
        <v>211.660792190667</v>
      </c>
      <c r="J1211" s="17" t="n">
        <f aca="false">H1211-I1211</f>
        <v>3.37072668569871</v>
      </c>
      <c r="K1211" s="17" t="n">
        <f aca="false">MAX(B1211-B1210,0)</f>
        <v>84.7199999999994</v>
      </c>
      <c r="L1211" s="17" t="n">
        <f aca="false">MAX(B1210-B1211,0)</f>
        <v>0</v>
      </c>
      <c r="M1211" s="17" t="n">
        <f aca="false">(M1210*13+K1211)/14</f>
        <v>84.3508010059235</v>
      </c>
      <c r="N1211" s="17" t="n">
        <f aca="false">(N1210*13+L1211)/14</f>
        <v>52.4203193462701</v>
      </c>
      <c r="O1211" s="17" t="n">
        <f aca="false">IF(N1211=0,100,100-100/(1+M1211/N1211))</f>
        <v>61.6729619445357</v>
      </c>
      <c r="P1211" s="17" t="n">
        <f aca="false">AVERAGE(B1192:B1211)+2*STDEV(B1192:B1211)</f>
        <v>14391.0993366975</v>
      </c>
      <c r="Q1211" s="17" t="n">
        <f aca="false">AVERAGE(B1192:B1211)-2*STDEV(B1192:B1211)</f>
        <v>12982.9056633025</v>
      </c>
      <c r="R1211" s="19" t="n">
        <f aca="false">B1211/B1191-1</f>
        <v>0.080671108673007</v>
      </c>
      <c r="S1211" s="17" t="n">
        <f aca="false">STDEV(C1192:C1211)*SQRT(252)*100</f>
        <v>16.3200332711018</v>
      </c>
      <c r="T1211" s="19" t="n">
        <f aca="false">B1190/B960-1</f>
        <v>0.446141852028704</v>
      </c>
      <c r="U1211" s="19" t="n">
        <f aca="false">B1211/MAX(B960:B1211)-1</f>
        <v>-0.00112164228370637</v>
      </c>
      <c r="V1211" s="17" t="n">
        <f aca="false">(B1211-AVERAGE(B1192:B1211))/STDEV(B1192:B1211)</f>
        <v>0.963383109604092</v>
      </c>
    </row>
    <row r="1212" customFormat="false" ht="15" hidden="false" customHeight="false" outlineLevel="0" collapsed="false">
      <c r="A1212" s="17" t="s">
        <v>1776</v>
      </c>
      <c r="B1212" s="17" t="n">
        <v>13960.28</v>
      </c>
      <c r="C1212" s="19" t="n">
        <f aca="false">B1212/B1211-1</f>
        <v>-0.00469693772208502</v>
      </c>
      <c r="D1212" s="17" t="n">
        <f aca="false">AVERAGE(B1163:B1212)</f>
        <v>13312.024</v>
      </c>
      <c r="E1212" s="17" t="n">
        <f aca="false">AVERAGE(B1013:B1212)</f>
        <v>12290.93655</v>
      </c>
      <c r="F1212" s="17" t="n">
        <f aca="false">B1212*2/13+F1211*11/13</f>
        <v>13856.8462814957</v>
      </c>
      <c r="G1212" s="17" t="n">
        <f aca="false">B1212*2/27+G1211*25/27</f>
        <v>13647.9916962798</v>
      </c>
      <c r="H1212" s="17" t="n">
        <f aca="false">F1212-G1212</f>
        <v>208.854585215897</v>
      </c>
      <c r="I1212" s="17" t="n">
        <f aca="false">H1212*2/10+I1211*8/10</f>
        <v>211.099550795713</v>
      </c>
      <c r="J1212" s="17" t="n">
        <f aca="false">H1212-I1212</f>
        <v>-2.24496557981578</v>
      </c>
      <c r="K1212" s="17" t="n">
        <f aca="false">MAX(B1212-B1211,0)</f>
        <v>0</v>
      </c>
      <c r="L1212" s="17" t="n">
        <f aca="false">MAX(B1211-B1212,0)</f>
        <v>65.8799999999992</v>
      </c>
      <c r="M1212" s="17" t="n">
        <f aca="false">(M1211*13+K1212)/14</f>
        <v>78.3257437912147</v>
      </c>
      <c r="N1212" s="17" t="n">
        <f aca="false">(N1211*13+L1212)/14</f>
        <v>53.3817251072508</v>
      </c>
      <c r="O1212" s="17" t="n">
        <f aca="false">IF(N1212=0,100,100-100/(1+M1212/N1212))</f>
        <v>59.4694776585501</v>
      </c>
      <c r="P1212" s="17" t="n">
        <f aca="false">AVERAGE(B1193:B1212)+2*STDEV(B1193:B1212)</f>
        <v>14362.4634599298</v>
      </c>
      <c r="Q1212" s="17" t="n">
        <f aca="false">AVERAGE(B1193:B1212)-2*STDEV(B1193:B1212)</f>
        <v>13110.9955400702</v>
      </c>
      <c r="R1212" s="19" t="n">
        <f aca="false">B1212/B1192-1</f>
        <v>0.0767052246921502</v>
      </c>
      <c r="S1212" s="17" t="n">
        <f aca="false">STDEV(C1193:C1212)*SQRT(252)*100</f>
        <v>16.5187085302235</v>
      </c>
      <c r="T1212" s="19" t="n">
        <f aca="false">B1191/B961-1</f>
        <v>0.495703881257491</v>
      </c>
      <c r="U1212" s="19" t="n">
        <f aca="false">B1212/MAX(B961:B1212)-1</f>
        <v>-0.0058133117218383</v>
      </c>
      <c r="V1212" s="17" t="n">
        <f aca="false">(B1212-AVERAGE(B1193:B1212))/STDEV(B1193:B1212)</f>
        <v>0.714522510573236</v>
      </c>
    </row>
    <row r="1213" customFormat="false" ht="15" hidden="false" customHeight="false" outlineLevel="0" collapsed="false">
      <c r="A1213" s="17" t="s">
        <v>1777</v>
      </c>
      <c r="B1213" s="17" t="n">
        <v>13901.62</v>
      </c>
      <c r="C1213" s="19" t="n">
        <f aca="false">B1213/B1212-1</f>
        <v>-0.00420192145143217</v>
      </c>
      <c r="D1213" s="17" t="n">
        <f aca="false">AVERAGE(B1164:B1213)</f>
        <v>13314.581</v>
      </c>
      <c r="E1213" s="17" t="n">
        <f aca="false">AVERAGE(B1014:B1213)</f>
        <v>12307.4336</v>
      </c>
      <c r="F1213" s="17" t="n">
        <f aca="false">B1213*2/13+F1212*11/13</f>
        <v>13863.734545881</v>
      </c>
      <c r="G1213" s="17" t="n">
        <f aca="false">B1213*2/27+G1212*25/27</f>
        <v>13666.7789780368</v>
      </c>
      <c r="H1213" s="17" t="n">
        <f aca="false">F1213-G1213</f>
        <v>196.955567844123</v>
      </c>
      <c r="I1213" s="17" t="n">
        <f aca="false">H1213*2/10+I1212*8/10</f>
        <v>208.270754205395</v>
      </c>
      <c r="J1213" s="17" t="n">
        <f aca="false">H1213-I1213</f>
        <v>-11.3151863612717</v>
      </c>
      <c r="K1213" s="17" t="n">
        <f aca="false">MAX(B1213-B1212,0)</f>
        <v>0</v>
      </c>
      <c r="L1213" s="17" t="n">
        <f aca="false">MAX(B1212-B1213,0)</f>
        <v>58.6599999999999</v>
      </c>
      <c r="M1213" s="17" t="n">
        <f aca="false">(M1212*13+K1213)/14</f>
        <v>72.7310478061279</v>
      </c>
      <c r="N1213" s="17" t="n">
        <f aca="false">(N1212*13+L1213)/14</f>
        <v>53.7587447424471</v>
      </c>
      <c r="O1213" s="17" t="n">
        <f aca="false">IF(N1213=0,100,100-100/(1+M1213/N1213))</f>
        <v>57.4995391649468</v>
      </c>
      <c r="P1213" s="17" t="n">
        <f aca="false">AVERAGE(B1194:B1213)+2*STDEV(B1194:B1213)</f>
        <v>14274.8520964273</v>
      </c>
      <c r="Q1213" s="17" t="n">
        <f aca="false">AVERAGE(B1194:B1213)-2*STDEV(B1194:B1213)</f>
        <v>13299.1159035727</v>
      </c>
      <c r="R1213" s="19" t="n">
        <f aca="false">B1213/B1193-1</f>
        <v>0.0779349173769999</v>
      </c>
      <c r="S1213" s="17" t="n">
        <f aca="false">STDEV(C1194:C1213)*SQRT(252)*100</f>
        <v>16.4405226962457</v>
      </c>
      <c r="T1213" s="19" t="n">
        <f aca="false">B1192/B962-1</f>
        <v>0.44340269583068</v>
      </c>
      <c r="U1213" s="19" t="n">
        <f aca="false">B1213/MAX(B962:B1213)-1</f>
        <v>-0.00999080609404268</v>
      </c>
      <c r="V1213" s="17" t="n">
        <f aca="false">(B1213-AVERAGE(B1194:B1213))/STDEV(B1194:B1213)</f>
        <v>0.469946696000391</v>
      </c>
    </row>
    <row r="1214" customFormat="false" ht="15" hidden="false" customHeight="false" outlineLevel="0" collapsed="false">
      <c r="A1214" s="17" t="s">
        <v>1778</v>
      </c>
      <c r="B1214" s="17" t="n">
        <v>13970.2</v>
      </c>
      <c r="C1214" s="19" t="n">
        <f aca="false">B1214/B1213-1</f>
        <v>0.00493323799672263</v>
      </c>
      <c r="D1214" s="17" t="n">
        <f aca="false">AVERAGE(B1165:B1214)</f>
        <v>13319.9908</v>
      </c>
      <c r="E1214" s="17" t="n">
        <f aca="false">AVERAGE(B1015:B1214)</f>
        <v>12323.837</v>
      </c>
      <c r="F1214" s="17" t="n">
        <f aca="false">B1214*2/13+F1213*11/13</f>
        <v>13880.1138465147</v>
      </c>
      <c r="G1214" s="17" t="n">
        <f aca="false">B1214*2/27+G1213*25/27</f>
        <v>13689.2546092934</v>
      </c>
      <c r="H1214" s="17" t="n">
        <f aca="false">F1214-G1214</f>
        <v>190.85923722129</v>
      </c>
      <c r="I1214" s="17" t="n">
        <f aca="false">H1214*2/10+I1213*8/10</f>
        <v>204.788450808574</v>
      </c>
      <c r="J1214" s="17" t="n">
        <f aca="false">H1214-I1214</f>
        <v>-13.9292135872839</v>
      </c>
      <c r="K1214" s="17" t="n">
        <f aca="false">MAX(B1214-B1213,0)</f>
        <v>68.5799999999999</v>
      </c>
      <c r="L1214" s="17" t="n">
        <f aca="false">MAX(B1213-B1214,0)</f>
        <v>0</v>
      </c>
      <c r="M1214" s="17" t="n">
        <f aca="false">(M1213*13+K1214)/14</f>
        <v>72.4345443914045</v>
      </c>
      <c r="N1214" s="17" t="n">
        <f aca="false">(N1213*13+L1214)/14</f>
        <v>49.9188344037009</v>
      </c>
      <c r="O1214" s="17" t="n">
        <f aca="false">IF(N1214=0,100,100-100/(1+M1214/N1214))</f>
        <v>59.2010985758753</v>
      </c>
      <c r="P1214" s="17" t="n">
        <f aca="false">AVERAGE(B1195:B1214)+2*STDEV(B1195:B1214)</f>
        <v>14198.4881823744</v>
      </c>
      <c r="Q1214" s="17" t="n">
        <f aca="false">AVERAGE(B1195:B1214)-2*STDEV(B1195:B1214)</f>
        <v>13463.3558176256</v>
      </c>
      <c r="R1214" s="19" t="n">
        <f aca="false">B1214/B1194-1</f>
        <v>0.067124777717348</v>
      </c>
      <c r="S1214" s="17" t="n">
        <f aca="false">STDEV(C1195:C1214)*SQRT(252)*100</f>
        <v>15.9004890222054</v>
      </c>
      <c r="T1214" s="19" t="n">
        <f aca="false">B1193/B963-1</f>
        <v>0.432866582004797</v>
      </c>
      <c r="U1214" s="19" t="n">
        <f aca="false">B1214/MAX(B963:B1214)-1</f>
        <v>-0.00510685512156106</v>
      </c>
      <c r="V1214" s="17" t="n">
        <f aca="false">(B1214-AVERAGE(B1195:B1214))/STDEV(B1195:B1214)</f>
        <v>0.757839032417552</v>
      </c>
    </row>
    <row r="1215" customFormat="false" ht="15" hidden="false" customHeight="false" outlineLevel="0" collapsed="false">
      <c r="A1215" s="17" t="s">
        <v>1779</v>
      </c>
      <c r="B1215" s="17" t="n">
        <v>13860.76</v>
      </c>
      <c r="C1215" s="19" t="n">
        <f aca="false">B1215/B1214-1</f>
        <v>-0.00783381769767078</v>
      </c>
      <c r="D1215" s="17" t="n">
        <f aca="false">AVERAGE(B1166:B1215)</f>
        <v>13324.4558</v>
      </c>
      <c r="E1215" s="17" t="n">
        <f aca="false">AVERAGE(B1016:B1215)</f>
        <v>12339.6324</v>
      </c>
      <c r="F1215" s="17" t="n">
        <f aca="false">B1215*2/13+F1214*11/13</f>
        <v>13877.1363316663</v>
      </c>
      <c r="G1215" s="17" t="n">
        <f aca="false">B1215*2/27+G1214*25/27</f>
        <v>13701.9587123087</v>
      </c>
      <c r="H1215" s="17" t="n">
        <f aca="false">F1215-G1215</f>
        <v>175.177619357575</v>
      </c>
      <c r="I1215" s="17" t="n">
        <f aca="false">H1215*2/10+I1214*8/10</f>
        <v>198.866284518374</v>
      </c>
      <c r="J1215" s="17" t="n">
        <f aca="false">H1215-I1215</f>
        <v>-23.6886651607988</v>
      </c>
      <c r="K1215" s="17" t="n">
        <f aca="false">MAX(B1215-B1214,0)</f>
        <v>0</v>
      </c>
      <c r="L1215" s="17" t="n">
        <f aca="false">MAX(B1214-B1215,0)</f>
        <v>109.440000000001</v>
      </c>
      <c r="M1215" s="17" t="n">
        <f aca="false">(M1214*13+K1215)/14</f>
        <v>67.260648363447</v>
      </c>
      <c r="N1215" s="17" t="n">
        <f aca="false">(N1214*13+L1215)/14</f>
        <v>54.170346232008</v>
      </c>
      <c r="O1215" s="17" t="n">
        <f aca="false">IF(N1215=0,100,100-100/(1+M1215/N1215))</f>
        <v>55.3900168466251</v>
      </c>
      <c r="P1215" s="17" t="n">
        <f aca="false">AVERAGE(B1196:B1215)+2*STDEV(B1196:B1215)</f>
        <v>14139.2542727139</v>
      </c>
      <c r="Q1215" s="17" t="n">
        <f aca="false">AVERAGE(B1196:B1215)-2*STDEV(B1196:B1215)</f>
        <v>13575.7137272861</v>
      </c>
      <c r="R1215" s="19" t="n">
        <f aca="false">B1215/B1195-1</f>
        <v>0.0398543983579303</v>
      </c>
      <c r="S1215" s="17" t="n">
        <f aca="false">STDEV(C1196:C1215)*SQRT(252)*100</f>
        <v>15.3425968189166</v>
      </c>
      <c r="T1215" s="19" t="n">
        <f aca="false">B1194/B964-1</f>
        <v>0.501625339233647</v>
      </c>
      <c r="U1215" s="19" t="n">
        <f aca="false">B1215/MAX(B964:B1215)-1</f>
        <v>-0.0129006666472011</v>
      </c>
      <c r="V1215" s="17" t="n">
        <f aca="false">(B1215-AVERAGE(B1196:B1215))/STDEV(B1196:B1215)</f>
        <v>0.0232529852666624</v>
      </c>
    </row>
    <row r="1216" customFormat="false" ht="15" hidden="false" customHeight="false" outlineLevel="0" collapsed="false">
      <c r="A1216" s="17" t="s">
        <v>1780</v>
      </c>
      <c r="B1216" s="17" t="n">
        <v>13799.72</v>
      </c>
      <c r="C1216" s="19" t="n">
        <f aca="false">B1216/B1215-1</f>
        <v>-0.00440379892588871</v>
      </c>
      <c r="D1216" s="17" t="n">
        <f aca="false">AVERAGE(B1167:B1216)</f>
        <v>13328.8346</v>
      </c>
      <c r="E1216" s="17" t="n">
        <f aca="false">AVERAGE(B1017:B1216)</f>
        <v>12355.4987</v>
      </c>
      <c r="F1216" s="17" t="n">
        <f aca="false">B1216*2/13+F1215*11/13</f>
        <v>13865.2261267945</v>
      </c>
      <c r="G1216" s="17" t="n">
        <f aca="false">B1216*2/27+G1215*25/27</f>
        <v>13709.2002891747</v>
      </c>
      <c r="H1216" s="17" t="n">
        <f aca="false">F1216-G1216</f>
        <v>156.025837619818</v>
      </c>
      <c r="I1216" s="17" t="n">
        <f aca="false">H1216*2/10+I1215*8/10</f>
        <v>190.298195138663</v>
      </c>
      <c r="J1216" s="17" t="n">
        <f aca="false">H1216-I1216</f>
        <v>-34.2723575188447</v>
      </c>
      <c r="K1216" s="17" t="n">
        <f aca="false">MAX(B1216-B1215,0)</f>
        <v>0</v>
      </c>
      <c r="L1216" s="17" t="n">
        <f aca="false">MAX(B1215-B1216,0)</f>
        <v>61.0400000000009</v>
      </c>
      <c r="M1216" s="17" t="n">
        <f aca="false">(M1215*13+K1216)/14</f>
        <v>62.4563163374865</v>
      </c>
      <c r="N1216" s="17" t="n">
        <f aca="false">(N1215*13+L1216)/14</f>
        <v>54.6610357868647</v>
      </c>
      <c r="O1216" s="17" t="n">
        <f aca="false">IF(N1216=0,100,100-100/(1+M1216/N1216))</f>
        <v>53.3279784802277</v>
      </c>
      <c r="P1216" s="17" t="n">
        <f aca="false">AVERAGE(B1197:B1216)+2*STDEV(B1197:B1216)</f>
        <v>14123.5143937314</v>
      </c>
      <c r="Q1216" s="17" t="n">
        <f aca="false">AVERAGE(B1197:B1216)-2*STDEV(B1197:B1216)</f>
        <v>13611.6096062686</v>
      </c>
      <c r="R1216" s="19" t="n">
        <f aca="false">B1216/B1196-1</f>
        <v>0.0148225936450226</v>
      </c>
      <c r="S1216" s="17" t="n">
        <f aca="false">STDEV(C1197:C1216)*SQRT(252)*100</f>
        <v>13.8969895050886</v>
      </c>
      <c r="T1216" s="19" t="n">
        <f aca="false">B1195/B965-1</f>
        <v>0.508869597503314</v>
      </c>
      <c r="U1216" s="19" t="n">
        <f aca="false">B1216/MAX(B965:B1216)-1</f>
        <v>-0.0172476536311657</v>
      </c>
      <c r="V1216" s="17" t="n">
        <f aca="false">(B1216-AVERAGE(B1197:B1216))/STDEV(B1197:B1216)</f>
        <v>-0.530114206090922</v>
      </c>
    </row>
    <row r="1217" customFormat="false" ht="15" hidden="false" customHeight="false" outlineLevel="0" collapsed="false">
      <c r="A1217" s="17" t="s">
        <v>1781</v>
      </c>
      <c r="B1217" s="17" t="n">
        <v>13544.67</v>
      </c>
      <c r="C1217" s="19" t="n">
        <f aca="false">B1217/B1216-1</f>
        <v>-0.0184822590603287</v>
      </c>
      <c r="D1217" s="17" t="n">
        <f aca="false">AVERAGE(B1168:B1217)</f>
        <v>13335.2532</v>
      </c>
      <c r="E1217" s="17" t="n">
        <f aca="false">AVERAGE(B1018:B1217)</f>
        <v>12369.99595</v>
      </c>
      <c r="F1217" s="17" t="n">
        <f aca="false">B1217*2/13+F1216*11/13</f>
        <v>13815.9097995954</v>
      </c>
      <c r="G1217" s="17" t="n">
        <f aca="false">B1217*2/27+G1216*25/27</f>
        <v>13697.0128603469</v>
      </c>
      <c r="H1217" s="17" t="n">
        <f aca="false">F1217-G1217</f>
        <v>118.896939248416</v>
      </c>
      <c r="I1217" s="17" t="n">
        <f aca="false">H1217*2/10+I1216*8/10</f>
        <v>176.017943960613</v>
      </c>
      <c r="J1217" s="17" t="n">
        <f aca="false">H1217-I1217</f>
        <v>-57.1210047121975</v>
      </c>
      <c r="K1217" s="17" t="n">
        <f aca="false">MAX(B1217-B1216,0)</f>
        <v>0</v>
      </c>
      <c r="L1217" s="17" t="n">
        <f aca="false">MAX(B1216-B1217,0)</f>
        <v>255.049999999999</v>
      </c>
      <c r="M1217" s="17" t="n">
        <f aca="false">(M1216*13+K1217)/14</f>
        <v>57.9951508848089</v>
      </c>
      <c r="N1217" s="17" t="n">
        <f aca="false">(N1216*13+L1217)/14</f>
        <v>68.97453323066</v>
      </c>
      <c r="O1217" s="17" t="n">
        <f aca="false">IF(N1217=0,100,100-100/(1+M1217/N1217))</f>
        <v>45.6763764427947</v>
      </c>
      <c r="P1217" s="17" t="n">
        <f aca="false">AVERAGE(B1198:B1217)+2*STDEV(B1198:B1217)</f>
        <v>14130.1699486107</v>
      </c>
      <c r="Q1217" s="17" t="n">
        <f aca="false">AVERAGE(B1198:B1217)-2*STDEV(B1198:B1217)</f>
        <v>13601.5750513893</v>
      </c>
      <c r="R1217" s="19" t="n">
        <f aca="false">B1217/B1197-1</f>
        <v>-0.00248850016864943</v>
      </c>
      <c r="S1217" s="17" t="n">
        <f aca="false">STDEV(C1198:C1217)*SQRT(252)*100</f>
        <v>15.4828812980802</v>
      </c>
      <c r="T1217" s="19" t="n">
        <f aca="false">B1196/B966-1</f>
        <v>0.522644564431137</v>
      </c>
      <c r="U1217" s="19" t="n">
        <f aca="false">B1217/MAX(B966:B1217)-1</f>
        <v>-0.0354111370889003</v>
      </c>
      <c r="V1217" s="17" t="n">
        <f aca="false">(B1217-AVERAGE(B1198:B1217))/STDEV(B1198:B1217)</f>
        <v>-2.43061370201244</v>
      </c>
    </row>
    <row r="1218" customFormat="false" ht="15" hidden="false" customHeight="false" outlineLevel="0" collapsed="false">
      <c r="A1218" s="17" t="s">
        <v>1782</v>
      </c>
      <c r="B1218" s="17" t="n">
        <v>13503.37</v>
      </c>
      <c r="C1218" s="19" t="n">
        <f aca="false">B1218/B1217-1</f>
        <v>-0.00304916989487369</v>
      </c>
      <c r="D1218" s="17" t="n">
        <f aca="false">AVERAGE(B1169:B1218)</f>
        <v>13341.4264</v>
      </c>
      <c r="E1218" s="17" t="n">
        <f aca="false">AVERAGE(B1019:B1218)</f>
        <v>12382.7524</v>
      </c>
      <c r="F1218" s="17" t="n">
        <f aca="false">B1218*2/13+F1217*11/13</f>
        <v>13767.8267535038</v>
      </c>
      <c r="G1218" s="17" t="n">
        <f aca="false">B1218*2/27+G1217*25/27</f>
        <v>13682.6689447657</v>
      </c>
      <c r="H1218" s="17" t="n">
        <f aca="false">F1218-G1218</f>
        <v>85.1578087380767</v>
      </c>
      <c r="I1218" s="17" t="n">
        <f aca="false">H1218*2/10+I1217*8/10</f>
        <v>157.845916916106</v>
      </c>
      <c r="J1218" s="17" t="n">
        <f aca="false">H1218-I1218</f>
        <v>-72.6881081780294</v>
      </c>
      <c r="K1218" s="17" t="n">
        <f aca="false">MAX(B1218-B1217,0)</f>
        <v>0</v>
      </c>
      <c r="L1218" s="17" t="n">
        <f aca="false">MAX(B1217-B1218,0)</f>
        <v>41.2999999999993</v>
      </c>
      <c r="M1218" s="17" t="n">
        <f aca="false">(M1217*13+K1218)/14</f>
        <v>53.8526401073225</v>
      </c>
      <c r="N1218" s="17" t="n">
        <f aca="false">(N1217*13+L1218)/14</f>
        <v>66.9977808570414</v>
      </c>
      <c r="O1218" s="17" t="n">
        <f aca="false">IF(N1218=0,100,100-100/(1+M1218/N1218))</f>
        <v>44.5614005127897</v>
      </c>
      <c r="P1218" s="17" t="n">
        <f aca="false">AVERAGE(B1199:B1218)+2*STDEV(B1199:B1218)</f>
        <v>14150.5710568654</v>
      </c>
      <c r="Q1218" s="17" t="n">
        <f aca="false">AVERAGE(B1199:B1218)-2*STDEV(B1199:B1218)</f>
        <v>13569.8409431346</v>
      </c>
      <c r="R1218" s="19" t="n">
        <f aca="false">B1218/B1198-1</f>
        <v>-0.00832286824267259</v>
      </c>
      <c r="S1218" s="17" t="n">
        <f aca="false">STDEV(C1199:C1218)*SQRT(252)*100</f>
        <v>15.4773774634406</v>
      </c>
      <c r="T1218" s="19" t="n">
        <f aca="false">B1197/B967-1</f>
        <v>0.511260053022529</v>
      </c>
      <c r="U1218" s="19" t="n">
        <f aca="false">B1218/MAX(B967:B1218)-1</f>
        <v>-0.0383523324106193</v>
      </c>
      <c r="V1218" s="17" t="n">
        <f aca="false">(B1218-AVERAGE(B1199:B1218))/STDEV(B1199:B1218)</f>
        <v>-2.45784395582742</v>
      </c>
    </row>
    <row r="1219" customFormat="false" ht="15" hidden="false" customHeight="false" outlineLevel="0" collapsed="false">
      <c r="A1219" s="17" t="s">
        <v>1783</v>
      </c>
      <c r="B1219" s="17" t="n">
        <v>13613.73</v>
      </c>
      <c r="C1219" s="19" t="n">
        <f aca="false">B1219/B1218-1</f>
        <v>0.00817277464810617</v>
      </c>
      <c r="D1219" s="17" t="n">
        <f aca="false">AVERAGE(B1170:B1219)</f>
        <v>13347.6572</v>
      </c>
      <c r="E1219" s="17" t="n">
        <f aca="false">AVERAGE(B1020:B1219)</f>
        <v>12396.6557</v>
      </c>
      <c r="F1219" s="17" t="n">
        <f aca="false">B1219*2/13+F1218*11/13</f>
        <v>13744.119560657</v>
      </c>
      <c r="G1219" s="17" t="n">
        <f aca="false">B1219*2/27+G1218*25/27</f>
        <v>13677.5623562645</v>
      </c>
      <c r="H1219" s="17" t="n">
        <f aca="false">F1219-G1219</f>
        <v>66.557204392504</v>
      </c>
      <c r="I1219" s="17" t="n">
        <f aca="false">H1219*2/10+I1218*8/10</f>
        <v>139.588174411386</v>
      </c>
      <c r="J1219" s="17" t="n">
        <f aca="false">H1219-I1219</f>
        <v>-73.0309700188817</v>
      </c>
      <c r="K1219" s="17" t="n">
        <f aca="false">MAX(B1219-B1218,0)</f>
        <v>110.359999999999</v>
      </c>
      <c r="L1219" s="17" t="n">
        <f aca="false">MAX(B1218-B1219,0)</f>
        <v>0</v>
      </c>
      <c r="M1219" s="17" t="n">
        <f aca="false">(M1218*13+K1219)/14</f>
        <v>57.8888800996566</v>
      </c>
      <c r="N1219" s="17" t="n">
        <f aca="false">(N1218*13+L1219)/14</f>
        <v>62.2122250815384</v>
      </c>
      <c r="O1219" s="17" t="n">
        <f aca="false">IF(N1219=0,100,100-100/(1+M1219/N1219))</f>
        <v>48.2001227318603</v>
      </c>
      <c r="P1219" s="17" t="n">
        <f aca="false">AVERAGE(B1200:B1219)+2*STDEV(B1200:B1219)</f>
        <v>14160.7063443946</v>
      </c>
      <c r="Q1219" s="17" t="n">
        <f aca="false">AVERAGE(B1200:B1219)-2*STDEV(B1200:B1219)</f>
        <v>13545.2276556054</v>
      </c>
      <c r="R1219" s="19" t="n">
        <f aca="false">B1219/B1199-1</f>
        <v>-0.0105229418011108</v>
      </c>
      <c r="S1219" s="17" t="n">
        <f aca="false">STDEV(C1200:C1219)*SQRT(252)*100</f>
        <v>15.2894770517209</v>
      </c>
      <c r="T1219" s="19" t="n">
        <f aca="false">B1198/B968-1</f>
        <v>0.4960315890783</v>
      </c>
      <c r="U1219" s="19" t="n">
        <f aca="false">B1219/MAX(B968:B1219)-1</f>
        <v>-0.0304930027325343</v>
      </c>
      <c r="V1219" s="17" t="n">
        <f aca="false">(B1219-AVERAGE(B1200:B1219))/STDEV(B1200:B1219)</f>
        <v>-1.55480281840878</v>
      </c>
    </row>
    <row r="1220" customFormat="false" ht="15" hidden="false" customHeight="false" outlineLevel="0" collapsed="false">
      <c r="A1220" s="17" t="s">
        <v>1784</v>
      </c>
      <c r="B1220" s="17" t="n">
        <v>13719.63</v>
      </c>
      <c r="C1220" s="19" t="n">
        <f aca="false">B1220/B1219-1</f>
        <v>0.00777891143720355</v>
      </c>
      <c r="D1220" s="17" t="n">
        <f aca="false">AVERAGE(B1171:B1220)</f>
        <v>13365.4836</v>
      </c>
      <c r="E1220" s="17" t="n">
        <f aca="false">AVERAGE(B1021:B1220)</f>
        <v>12410.9001</v>
      </c>
      <c r="F1220" s="17" t="n">
        <f aca="false">B1220*2/13+F1219*11/13</f>
        <v>13740.3519359406</v>
      </c>
      <c r="G1220" s="17" t="n">
        <f aca="false">B1220*2/27+G1219*25/27</f>
        <v>13680.6784780227</v>
      </c>
      <c r="H1220" s="17" t="n">
        <f aca="false">F1220-G1220</f>
        <v>59.6734579178537</v>
      </c>
      <c r="I1220" s="17" t="n">
        <f aca="false">H1220*2/10+I1219*8/10</f>
        <v>123.605231112679</v>
      </c>
      <c r="J1220" s="17" t="n">
        <f aca="false">H1220-I1220</f>
        <v>-63.9317731948256</v>
      </c>
      <c r="K1220" s="17" t="n">
        <f aca="false">MAX(B1220-B1219,0)</f>
        <v>105.9</v>
      </c>
      <c r="L1220" s="17" t="n">
        <f aca="false">MAX(B1219-B1220,0)</f>
        <v>0</v>
      </c>
      <c r="M1220" s="17" t="n">
        <f aca="false">(M1219*13+K1220)/14</f>
        <v>61.3182458068239</v>
      </c>
      <c r="N1220" s="17" t="n">
        <f aca="false">(N1219*13+L1220)/14</f>
        <v>57.7684947185714</v>
      </c>
      <c r="O1220" s="17" t="n">
        <f aca="false">IF(N1220=0,100,100-100/(1+M1220/N1220))</f>
        <v>51.4904056793357</v>
      </c>
      <c r="P1220" s="17" t="n">
        <f aca="false">AVERAGE(B1201:B1220)+2*STDEV(B1201:B1220)</f>
        <v>14160.1721826198</v>
      </c>
      <c r="Q1220" s="17" t="n">
        <f aca="false">AVERAGE(B1201:B1220)-2*STDEV(B1201:B1220)</f>
        <v>13533.2188173802</v>
      </c>
      <c r="R1220" s="19" t="n">
        <f aca="false">B1220/B1200-1</f>
        <v>-0.00905954903770734</v>
      </c>
      <c r="S1220" s="17" t="n">
        <f aca="false">STDEV(C1201:C1220)*SQRT(252)*100</f>
        <v>15.3857716042352</v>
      </c>
      <c r="T1220" s="19" t="n">
        <f aca="false">B1199/B969-1</f>
        <v>0.492189558964681</v>
      </c>
      <c r="U1220" s="19" t="n">
        <f aca="false">B1220/MAX(B969:B1220)-1</f>
        <v>-0.0229512936630416</v>
      </c>
      <c r="V1220" s="17" t="n">
        <f aca="false">(B1220-AVERAGE(B1201:B1220))/STDEV(B1201:B1220)</f>
        <v>-0.810685496210316</v>
      </c>
    </row>
    <row r="1221" customFormat="false" ht="15" hidden="false" customHeight="false" outlineLevel="0" collapsed="false">
      <c r="A1221" s="17" t="s">
        <v>1785</v>
      </c>
      <c r="B1221" s="17" t="n">
        <v>13359.08</v>
      </c>
      <c r="C1221" s="19" t="n">
        <f aca="false">B1221/B1220-1</f>
        <v>-0.0262798632324632</v>
      </c>
      <c r="D1221" s="17" t="n">
        <f aca="false">AVERAGE(B1172:B1221)</f>
        <v>13374.4764</v>
      </c>
      <c r="E1221" s="17" t="n">
        <f aca="false">AVERAGE(B1022:B1221)</f>
        <v>12424.79255</v>
      </c>
      <c r="F1221" s="17" t="n">
        <f aca="false">B1221*2/13+F1220*11/13</f>
        <v>13681.6947150266</v>
      </c>
      <c r="G1221" s="17" t="n">
        <f aca="false">B1221*2/27+G1220*25/27</f>
        <v>13656.8563685396</v>
      </c>
      <c r="H1221" s="17" t="n">
        <f aca="false">F1221-G1221</f>
        <v>24.8383464870858</v>
      </c>
      <c r="I1221" s="17" t="n">
        <f aca="false">H1221*2/10+I1220*8/10</f>
        <v>103.851854187561</v>
      </c>
      <c r="J1221" s="17" t="n">
        <f aca="false">H1221-I1221</f>
        <v>-79.0135077004748</v>
      </c>
      <c r="K1221" s="17" t="n">
        <f aca="false">MAX(B1221-B1220,0)</f>
        <v>0</v>
      </c>
      <c r="L1221" s="17" t="n">
        <f aca="false">MAX(B1220-B1221,0)</f>
        <v>360.549999999999</v>
      </c>
      <c r="M1221" s="17" t="n">
        <f aca="false">(M1220*13+K1221)/14</f>
        <v>56.9383711063365</v>
      </c>
      <c r="N1221" s="17" t="n">
        <f aca="false">(N1220*13+L1221)/14</f>
        <v>79.3957450958162</v>
      </c>
      <c r="O1221" s="17" t="n">
        <f aca="false">IF(N1221=0,100,100-100/(1+M1221/N1221))</f>
        <v>41.7638465649418</v>
      </c>
      <c r="P1221" s="17" t="n">
        <f aca="false">AVERAGE(B1202:B1221)+2*STDEV(B1202:B1221)</f>
        <v>14205.6987868783</v>
      </c>
      <c r="Q1221" s="17" t="n">
        <f aca="false">AVERAGE(B1202:B1221)-2*STDEV(B1202:B1221)</f>
        <v>13441.6652131217</v>
      </c>
      <c r="R1221" s="19" t="n">
        <f aca="false">B1221/B1201-1</f>
        <v>-0.0333061974694903</v>
      </c>
      <c r="S1221" s="17" t="n">
        <f aca="false">STDEV(C1202:C1221)*SQRT(252)*100</f>
        <v>17.9234600737441</v>
      </c>
      <c r="T1221" s="19" t="n">
        <f aca="false">B1200/B970-1</f>
        <v>0.488889032274716</v>
      </c>
      <c r="U1221" s="19" t="n">
        <f aca="false">B1221/MAX(B970:B1221)-1</f>
        <v>-0.0486280000370321</v>
      </c>
      <c r="V1221" s="17" t="n">
        <f aca="false">(B1221-AVERAGE(B1202:B1221))/STDEV(B1202:B1221)</f>
        <v>-2.43236431464974</v>
      </c>
    </row>
    <row r="1222" customFormat="false" ht="15" hidden="false" customHeight="false" outlineLevel="0" collapsed="false">
      <c r="A1222" s="17" t="s">
        <v>1786</v>
      </c>
      <c r="B1222" s="17" t="n">
        <v>13351.27</v>
      </c>
      <c r="C1222" s="19" t="n">
        <f aca="false">B1222/B1221-1</f>
        <v>-0.000584621096662352</v>
      </c>
      <c r="D1222" s="17" t="n">
        <f aca="false">AVERAGE(B1173:B1222)</f>
        <v>13375.8428</v>
      </c>
      <c r="E1222" s="17" t="n">
        <f aca="false">AVERAGE(B1023:B1222)</f>
        <v>12439.13325</v>
      </c>
      <c r="F1222" s="17" t="n">
        <f aca="false">B1222*2/13+F1221*11/13</f>
        <v>13630.8601434841</v>
      </c>
      <c r="G1222" s="17" t="n">
        <f aca="false">B1222*2/27+G1221*25/27</f>
        <v>13634.2203412403</v>
      </c>
      <c r="H1222" s="17" t="n">
        <f aca="false">F1222-G1222</f>
        <v>-3.36019775625027</v>
      </c>
      <c r="I1222" s="17" t="n">
        <f aca="false">H1222*2/10+I1221*8/10</f>
        <v>82.4094437987984</v>
      </c>
      <c r="J1222" s="17" t="n">
        <f aca="false">H1222-I1222</f>
        <v>-85.7696415550487</v>
      </c>
      <c r="K1222" s="17" t="n">
        <f aca="false">MAX(B1222-B1221,0)</f>
        <v>0</v>
      </c>
      <c r="L1222" s="17" t="n">
        <f aca="false">MAX(B1221-B1222,0)</f>
        <v>7.80999999999949</v>
      </c>
      <c r="M1222" s="17" t="n">
        <f aca="false">(M1221*13+K1222)/14</f>
        <v>52.871344598741</v>
      </c>
      <c r="N1222" s="17" t="n">
        <f aca="false">(N1221*13+L1222)/14</f>
        <v>74.2824775889722</v>
      </c>
      <c r="O1222" s="17" t="n">
        <f aca="false">IF(N1222=0,100,100-100/(1+M1222/N1222))</f>
        <v>41.580617624446</v>
      </c>
      <c r="P1222" s="17" t="n">
        <f aca="false">AVERAGE(B1203:B1222)+2*STDEV(B1203:B1222)</f>
        <v>14219.8145803211</v>
      </c>
      <c r="Q1222" s="17" t="n">
        <f aca="false">AVERAGE(B1203:B1222)-2*STDEV(B1203:B1222)</f>
        <v>13364.0274196789</v>
      </c>
      <c r="R1222" s="19" t="n">
        <f aca="false">B1222/B1202-1</f>
        <v>-0.0454166842431517</v>
      </c>
      <c r="S1222" s="17" t="n">
        <f aca="false">STDEV(C1203:C1222)*SQRT(252)*100</f>
        <v>17.1854930227361</v>
      </c>
      <c r="T1222" s="19" t="n">
        <f aca="false">B1201/B971-1</f>
        <v>0.516535070151277</v>
      </c>
      <c r="U1222" s="19" t="n">
        <f aca="false">B1222/MAX(B971:B1222)-1</f>
        <v>-0.0491841921789842</v>
      </c>
      <c r="V1222" s="17" t="n">
        <f aca="false">(B1222-AVERAGE(B1203:B1222))/STDEV(B1203:B1222)</f>
        <v>-2.05962893703306</v>
      </c>
    </row>
    <row r="1223" customFormat="false" ht="15" hidden="false" customHeight="false" outlineLevel="0" collapsed="false">
      <c r="A1223" s="17" t="s">
        <v>1787</v>
      </c>
      <c r="B1223" s="17" t="n">
        <v>13001.63</v>
      </c>
      <c r="C1223" s="19" t="n">
        <f aca="false">B1223/B1222-1</f>
        <v>-0.0261877709011953</v>
      </c>
      <c r="D1223" s="17" t="n">
        <f aca="false">AVERAGE(B1174:B1223)</f>
        <v>13374.6764</v>
      </c>
      <c r="E1223" s="17" t="n">
        <f aca="false">AVERAGE(B1024:B1223)</f>
        <v>12450.7695</v>
      </c>
      <c r="F1223" s="17" t="n">
        <f aca="false">B1223*2/13+F1222*11/13</f>
        <v>13534.055506025</v>
      </c>
      <c r="G1223" s="17" t="n">
        <f aca="false">B1223*2/27+G1222*25/27</f>
        <v>13587.3617974447</v>
      </c>
      <c r="H1223" s="17" t="n">
        <f aca="false">F1223-G1223</f>
        <v>-53.3062914197599</v>
      </c>
      <c r="I1223" s="17" t="n">
        <f aca="false">H1223*2/10+I1222*8/10</f>
        <v>55.2662967550868</v>
      </c>
      <c r="J1223" s="17" t="n">
        <f aca="false">H1223-I1223</f>
        <v>-108.572588174847</v>
      </c>
      <c r="K1223" s="17" t="n">
        <f aca="false">MAX(B1223-B1222,0)</f>
        <v>0</v>
      </c>
      <c r="L1223" s="17" t="n">
        <f aca="false">MAX(B1222-B1223,0)</f>
        <v>349.640000000001</v>
      </c>
      <c r="M1223" s="17" t="n">
        <f aca="false">(M1222*13+K1223)/14</f>
        <v>49.0948199845452</v>
      </c>
      <c r="N1223" s="17" t="n">
        <f aca="false">(N1222*13+L1223)/14</f>
        <v>93.9508720469028</v>
      </c>
      <c r="O1223" s="17" t="n">
        <f aca="false">IF(N1223=0,100,100-100/(1+M1223/N1223))</f>
        <v>34.321075516033</v>
      </c>
      <c r="P1223" s="17" t="n">
        <f aca="false">AVERAGE(B1204:B1223)+2*STDEV(B1204:B1223)</f>
        <v>14306.5805090287</v>
      </c>
      <c r="Q1223" s="17" t="n">
        <f aca="false">AVERAGE(B1204:B1223)-2*STDEV(B1204:B1223)</f>
        <v>13197.0334909713</v>
      </c>
      <c r="R1223" s="19" t="n">
        <f aca="false">B1223/B1203-1</f>
        <v>-0.0581197646174164</v>
      </c>
      <c r="S1223" s="17" t="n">
        <f aca="false">STDEV(C1204:C1223)*SQRT(252)*100</f>
        <v>18.8324729893165</v>
      </c>
      <c r="T1223" s="19" t="n">
        <f aca="false">B1202/B972-1</f>
        <v>0.554040630749949</v>
      </c>
      <c r="U1223" s="19" t="n">
        <f aca="false">B1223/MAX(B972:B1223)-1</f>
        <v>-0.0740839387234358</v>
      </c>
      <c r="V1223" s="17" t="n">
        <f aca="false">(B1223-AVERAGE(B1204:B1223))/STDEV(B1204:B1223)</f>
        <v>-2.70444420215174</v>
      </c>
    </row>
    <row r="1224" customFormat="false" ht="15" hidden="false" customHeight="false" outlineLevel="0" collapsed="false">
      <c r="A1224" s="17" t="s">
        <v>1788</v>
      </c>
      <c r="B1224" s="17" t="n">
        <v>13109.15</v>
      </c>
      <c r="C1224" s="19" t="n">
        <f aca="false">B1224/B1223-1</f>
        <v>0.00826973233356121</v>
      </c>
      <c r="D1224" s="17" t="n">
        <f aca="false">AVERAGE(B1175:B1224)</f>
        <v>13383.1928</v>
      </c>
      <c r="E1224" s="17" t="n">
        <f aca="false">AVERAGE(B1025:B1224)</f>
        <v>12463.65275</v>
      </c>
      <c r="F1224" s="17" t="n">
        <f aca="false">B1224*2/13+F1223*11/13</f>
        <v>13468.685428175</v>
      </c>
      <c r="G1224" s="17" t="n">
        <f aca="false">B1224*2/27+G1223*25/27</f>
        <v>13551.9387013377</v>
      </c>
      <c r="H1224" s="17" t="n">
        <f aca="false">F1224-G1224</f>
        <v>-83.2532731627398</v>
      </c>
      <c r="I1224" s="17" t="n">
        <f aca="false">H1224*2/10+I1223*8/10</f>
        <v>27.5623827715215</v>
      </c>
      <c r="J1224" s="17" t="n">
        <f aca="false">H1224-I1224</f>
        <v>-110.815655934261</v>
      </c>
      <c r="K1224" s="17" t="n">
        <f aca="false">MAX(B1224-B1223,0)</f>
        <v>107.52</v>
      </c>
      <c r="L1224" s="17" t="n">
        <f aca="false">MAX(B1223-B1224,0)</f>
        <v>0</v>
      </c>
      <c r="M1224" s="17" t="n">
        <f aca="false">(M1223*13+K1224)/14</f>
        <v>53.2680471285063</v>
      </c>
      <c r="N1224" s="17" t="n">
        <f aca="false">(N1223*13+L1224)/14</f>
        <v>87.2400954721241</v>
      </c>
      <c r="O1224" s="17" t="n">
        <f aca="false">IF(N1224=0,100,100-100/(1+M1224/N1224))</f>
        <v>37.9110036917301</v>
      </c>
      <c r="P1224" s="17" t="n">
        <f aca="false">AVERAGE(B1205:B1224)+2*STDEV(B1205:B1224)</f>
        <v>14314.2483314048</v>
      </c>
      <c r="Q1224" s="17" t="n">
        <f aca="false">AVERAGE(B1205:B1224)-2*STDEV(B1205:B1224)</f>
        <v>13097.6616685952</v>
      </c>
      <c r="R1224" s="19" t="n">
        <f aca="false">B1224/B1204-1</f>
        <v>-0.0653805488161789</v>
      </c>
      <c r="S1224" s="17" t="n">
        <f aca="false">STDEV(C1205:C1224)*SQRT(252)*100</f>
        <v>17.9683953497701</v>
      </c>
      <c r="T1224" s="19" t="n">
        <f aca="false">B1203/B973-1</f>
        <v>0.517843908682467</v>
      </c>
      <c r="U1224" s="19" t="n">
        <f aca="false">B1224/MAX(B973:B1224)-1</f>
        <v>-0.0664268607333333</v>
      </c>
      <c r="V1224" s="17" t="n">
        <f aca="false">(B1224-AVERAGE(B1205:B1224))/STDEV(B1205:B1224)</f>
        <v>-1.96222765954611</v>
      </c>
    </row>
    <row r="1225" customFormat="false" ht="15" hidden="false" customHeight="false" outlineLevel="0" collapsed="false">
      <c r="A1225" s="17" t="s">
        <v>1789</v>
      </c>
      <c r="B1225" s="17" t="n">
        <v>13393.12</v>
      </c>
      <c r="C1225" s="19" t="n">
        <f aca="false">B1225/B1224-1</f>
        <v>0.0216619689300985</v>
      </c>
      <c r="D1225" s="17" t="n">
        <f aca="false">AVERAGE(B1176:B1225)</f>
        <v>13401.7752</v>
      </c>
      <c r="E1225" s="17" t="n">
        <f aca="false">AVERAGE(B1026:B1225)</f>
        <v>12477.30345</v>
      </c>
      <c r="F1225" s="17" t="n">
        <f aca="false">B1225*2/13+F1224*11/13</f>
        <v>13457.0599776865</v>
      </c>
      <c r="G1225" s="17" t="n">
        <f aca="false">B1225*2/27+G1224*25/27</f>
        <v>13540.1743530905</v>
      </c>
      <c r="H1225" s="17" t="n">
        <f aca="false">F1225-G1225</f>
        <v>-83.1143754039604</v>
      </c>
      <c r="I1225" s="17" t="n">
        <f aca="false">H1225*2/10+I1224*8/10</f>
        <v>5.42703113642509</v>
      </c>
      <c r="J1225" s="17" t="n">
        <f aca="false">H1225-I1225</f>
        <v>-88.5414065403855</v>
      </c>
      <c r="K1225" s="17" t="n">
        <f aca="false">MAX(B1225-B1224,0)</f>
        <v>283.970000000001</v>
      </c>
      <c r="L1225" s="17" t="n">
        <f aca="false">MAX(B1224-B1225,0)</f>
        <v>0</v>
      </c>
      <c r="M1225" s="17" t="n">
        <f aca="false">(M1224*13+K1225)/14</f>
        <v>69.7467580478988</v>
      </c>
      <c r="N1225" s="17" t="n">
        <f aca="false">(N1224*13+L1225)/14</f>
        <v>81.0086600812581</v>
      </c>
      <c r="O1225" s="17" t="n">
        <f aca="false">IF(N1225=0,100,100-100/(1+M1225/N1225))</f>
        <v>46.2648433558419</v>
      </c>
      <c r="P1225" s="17" t="n">
        <f aca="false">AVERAGE(B1206:B1225)+2*STDEV(B1206:B1225)</f>
        <v>14275.5387978347</v>
      </c>
      <c r="Q1225" s="17" t="n">
        <f aca="false">AVERAGE(B1206:B1225)-2*STDEV(B1206:B1225)</f>
        <v>13071.4922021653</v>
      </c>
      <c r="R1225" s="19" t="n">
        <f aca="false">B1225/B1205-1</f>
        <v>-0.0462038283965642</v>
      </c>
      <c r="S1225" s="17" t="n">
        <f aca="false">STDEV(C1206:C1225)*SQRT(252)*100</f>
        <v>20.0047655006833</v>
      </c>
      <c r="T1225" s="19" t="n">
        <f aca="false">B1204/B974-1</f>
        <v>0.532474783231942</v>
      </c>
      <c r="U1225" s="19" t="n">
        <f aca="false">B1225/MAX(B974:B1225)-1</f>
        <v>-0.0462038283965642</v>
      </c>
      <c r="V1225" s="17" t="n">
        <f aca="false">(B1225-AVERAGE(B1206:B1225))/STDEV(B1206:B1225)</f>
        <v>-0.931510461500377</v>
      </c>
    </row>
    <row r="1226" customFormat="false" ht="15" hidden="false" customHeight="false" outlineLevel="0" collapsed="false">
      <c r="A1226" s="17" t="s">
        <v>1790</v>
      </c>
      <c r="B1226" s="17" t="n">
        <v>13312.91</v>
      </c>
      <c r="C1226" s="19" t="n">
        <f aca="false">B1226/B1225-1</f>
        <v>-0.00598889579127204</v>
      </c>
      <c r="D1226" s="17" t="n">
        <f aca="false">AVERAGE(B1177:B1226)</f>
        <v>13414.6632</v>
      </c>
      <c r="E1226" s="17" t="n">
        <f aca="false">AVERAGE(B1027:B1226)</f>
        <v>12490.29045</v>
      </c>
      <c r="F1226" s="17" t="n">
        <f aca="false">B1226*2/13+F1225*11/13</f>
        <v>13434.8830580424</v>
      </c>
      <c r="G1226" s="17" t="n">
        <f aca="false">B1226*2/27+G1225*25/27</f>
        <v>13523.3399565653</v>
      </c>
      <c r="H1226" s="17" t="n">
        <f aca="false">F1226-G1226</f>
        <v>-88.4568985228216</v>
      </c>
      <c r="I1226" s="17" t="n">
        <f aca="false">H1226*2/10+I1225*8/10</f>
        <v>-13.3497547954242</v>
      </c>
      <c r="J1226" s="17" t="n">
        <f aca="false">H1226-I1226</f>
        <v>-75.1071437273973</v>
      </c>
      <c r="K1226" s="17" t="n">
        <f aca="false">MAX(B1226-B1225,0)</f>
        <v>0</v>
      </c>
      <c r="L1226" s="17" t="n">
        <f aca="false">MAX(B1225-B1226,0)</f>
        <v>80.210000000001</v>
      </c>
      <c r="M1226" s="17" t="n">
        <f aca="false">(M1225*13+K1226)/14</f>
        <v>64.7648467587632</v>
      </c>
      <c r="N1226" s="17" t="n">
        <f aca="false">(N1225*13+L1226)/14</f>
        <v>80.9516129325968</v>
      </c>
      <c r="O1226" s="17" t="n">
        <f aca="false">IF(N1226=0,100,100-100/(1+M1226/N1226))</f>
        <v>44.4458003549775</v>
      </c>
      <c r="P1226" s="17" t="n">
        <f aca="false">AVERAGE(B1207:B1226)+2*STDEV(B1207:B1226)</f>
        <v>14255.7756538973</v>
      </c>
      <c r="Q1226" s="17" t="n">
        <f aca="false">AVERAGE(B1207:B1226)-2*STDEV(B1207:B1226)</f>
        <v>13031.7793461027</v>
      </c>
      <c r="R1226" s="19" t="n">
        <f aca="false">B1226/B1206-1</f>
        <v>-0.0427648916029788</v>
      </c>
      <c r="S1226" s="17" t="n">
        <f aca="false">STDEV(C1207:C1226)*SQRT(252)*100</f>
        <v>19.8722846492254</v>
      </c>
      <c r="T1226" s="19" t="n">
        <f aca="false">B1205/B975-1</f>
        <v>0.504716602031948</v>
      </c>
      <c r="U1226" s="19" t="n">
        <f aca="false">B1226/MAX(B975:B1226)-1</f>
        <v>-0.0519160142744114</v>
      </c>
      <c r="V1226" s="17" t="n">
        <f aca="false">(B1226-AVERAGE(B1207:B1226))/STDEV(B1207:B1226)</f>
        <v>-1.08126960152737</v>
      </c>
    </row>
    <row r="1227" customFormat="false" ht="15" hidden="false" customHeight="false" outlineLevel="0" collapsed="false">
      <c r="A1227" s="17" t="s">
        <v>1791</v>
      </c>
      <c r="B1227" s="17" t="n">
        <v>13217.68</v>
      </c>
      <c r="C1227" s="19" t="n">
        <f aca="false">B1227/B1226-1</f>
        <v>-0.00715320692470689</v>
      </c>
      <c r="D1227" s="17" t="n">
        <f aca="false">AVERAGE(B1178:B1227)</f>
        <v>13433.0352</v>
      </c>
      <c r="E1227" s="17" t="n">
        <f aca="false">AVERAGE(B1028:B1227)</f>
        <v>12501.84945</v>
      </c>
      <c r="F1227" s="17" t="n">
        <f aca="false">B1227*2/13+F1226*11/13</f>
        <v>13401.467202959</v>
      </c>
      <c r="G1227" s="17" t="n">
        <f aca="false">B1227*2/27+G1226*25/27</f>
        <v>13500.6984783012</v>
      </c>
      <c r="H1227" s="17" t="n">
        <f aca="false">F1227-G1227</f>
        <v>-99.2312753421793</v>
      </c>
      <c r="I1227" s="17" t="n">
        <f aca="false">H1227*2/10+I1226*8/10</f>
        <v>-30.5260589047753</v>
      </c>
      <c r="J1227" s="17" t="n">
        <f aca="false">H1227-I1227</f>
        <v>-68.705216437404</v>
      </c>
      <c r="K1227" s="17" t="n">
        <f aca="false">MAX(B1227-B1226,0)</f>
        <v>0</v>
      </c>
      <c r="L1227" s="17" t="n">
        <f aca="false">MAX(B1226-B1227,0)</f>
        <v>95.2299999999996</v>
      </c>
      <c r="M1227" s="17" t="n">
        <f aca="false">(M1226*13+K1227)/14</f>
        <v>60.1387862759944</v>
      </c>
      <c r="N1227" s="17" t="n">
        <f aca="false">(N1226*13+L1227)/14</f>
        <v>81.9714977231256</v>
      </c>
      <c r="O1227" s="17" t="n">
        <f aca="false">IF(N1227=0,100,100-100/(1+M1227/N1227))</f>
        <v>42.3183914517874</v>
      </c>
      <c r="P1227" s="17" t="n">
        <f aca="false">AVERAGE(B1208:B1227)+2*STDEV(B1208:B1227)</f>
        <v>14249.2653213108</v>
      </c>
      <c r="Q1227" s="17" t="n">
        <f aca="false">AVERAGE(B1208:B1227)-2*STDEV(B1208:B1227)</f>
        <v>12979.1276786892</v>
      </c>
      <c r="R1227" s="19" t="n">
        <f aca="false">B1227/B1207-1</f>
        <v>-0.0428421426140354</v>
      </c>
      <c r="S1227" s="17" t="n">
        <f aca="false">STDEV(C1208:C1227)*SQRT(252)*100</f>
        <v>19.8749601453213</v>
      </c>
      <c r="T1227" s="19" t="n">
        <f aca="false">B1206/B976-1</f>
        <v>0.495683193275503</v>
      </c>
      <c r="U1227" s="19" t="n">
        <f aca="false">B1227/MAX(B976:B1227)-1</f>
        <v>-0.0586978552063073</v>
      </c>
      <c r="V1227" s="17" t="n">
        <f aca="false">(B1227-AVERAGE(B1208:B1227))/STDEV(B1208:B1227)</f>
        <v>-1.24873552816401</v>
      </c>
    </row>
    <row r="1228" customFormat="false" ht="15" hidden="false" customHeight="false" outlineLevel="0" collapsed="false">
      <c r="A1228" s="17" t="s">
        <v>1792</v>
      </c>
      <c r="B1228" s="17" t="n">
        <v>13237.91</v>
      </c>
      <c r="C1228" s="19" t="n">
        <f aca="false">B1228/B1227-1</f>
        <v>0.00153052578062107</v>
      </c>
      <c r="D1228" s="17" t="n">
        <f aca="false">AVERAGE(B1179:B1228)</f>
        <v>13441.9036</v>
      </c>
      <c r="E1228" s="17" t="n">
        <f aca="false">AVERAGE(B1029:B1228)</f>
        <v>12512.7636</v>
      </c>
      <c r="F1228" s="17" t="n">
        <f aca="false">B1228*2/13+F1227*11/13</f>
        <v>13376.3045563499</v>
      </c>
      <c r="G1228" s="17" t="n">
        <f aca="false">B1228*2/27+G1227*25/27</f>
        <v>13481.2326650937</v>
      </c>
      <c r="H1228" s="17" t="n">
        <f aca="false">F1228-G1228</f>
        <v>-104.928108743761</v>
      </c>
      <c r="I1228" s="17" t="n">
        <f aca="false">H1228*2/10+I1227*8/10</f>
        <v>-45.4064688725724</v>
      </c>
      <c r="J1228" s="17" t="n">
        <f aca="false">H1228-I1228</f>
        <v>-59.5216398711887</v>
      </c>
      <c r="K1228" s="17" t="n">
        <f aca="false">MAX(B1228-B1227,0)</f>
        <v>20.2299999999996</v>
      </c>
      <c r="L1228" s="17" t="n">
        <f aca="false">MAX(B1227-B1228,0)</f>
        <v>0</v>
      </c>
      <c r="M1228" s="17" t="n">
        <f aca="false">(M1227*13+K1228)/14</f>
        <v>57.2881586848519</v>
      </c>
      <c r="N1228" s="17" t="n">
        <f aca="false">(N1227*13+L1228)/14</f>
        <v>76.1163907429023</v>
      </c>
      <c r="O1228" s="17" t="n">
        <f aca="false">IF(N1228=0,100,100-100/(1+M1228/N1228))</f>
        <v>42.9431821707674</v>
      </c>
      <c r="P1228" s="17" t="n">
        <f aca="false">AVERAGE(B1209:B1228)+2*STDEV(B1209:B1228)</f>
        <v>14216.7647252168</v>
      </c>
      <c r="Q1228" s="17" t="n">
        <f aca="false">AVERAGE(B1209:B1228)-2*STDEV(B1209:B1228)</f>
        <v>12941.9042747832</v>
      </c>
      <c r="R1228" s="19" t="n">
        <f aca="false">B1228/B1208-1</f>
        <v>-0.050034624672142</v>
      </c>
      <c r="S1228" s="17" t="n">
        <f aca="false">STDEV(C1209:C1228)*SQRT(252)*100</f>
        <v>19.485360886405</v>
      </c>
      <c r="T1228" s="19" t="n">
        <f aca="false">B1207/B977-1</f>
        <v>0.455906260608834</v>
      </c>
      <c r="U1228" s="19" t="n">
        <f aca="false">B1228/MAX(B977:B1228)-1</f>
        <v>-0.0572571680063467</v>
      </c>
      <c r="V1228" s="17" t="n">
        <f aca="false">(B1228-AVERAGE(B1209:B1228))/STDEV(B1209:B1228)</f>
        <v>-1.07125293559417</v>
      </c>
    </row>
    <row r="1229" customFormat="false" ht="15" hidden="false" customHeight="false" outlineLevel="0" collapsed="false">
      <c r="A1229" s="17" t="s">
        <v>1793</v>
      </c>
      <c r="B1229" s="17" t="n">
        <v>13494.09</v>
      </c>
      <c r="C1229" s="19" t="n">
        <f aca="false">B1229/B1228-1</f>
        <v>0.0193519974074459</v>
      </c>
      <c r="D1229" s="17" t="n">
        <f aca="false">AVERAGE(B1180:B1229)</f>
        <v>13456.744</v>
      </c>
      <c r="E1229" s="17" t="n">
        <f aca="false">AVERAGE(B1030:B1229)</f>
        <v>12524.75135</v>
      </c>
      <c r="F1229" s="17" t="n">
        <f aca="false">B1229*2/13+F1228*11/13</f>
        <v>13394.4253938345</v>
      </c>
      <c r="G1229" s="17" t="n">
        <f aca="false">B1229*2/27+G1228*25/27</f>
        <v>13482.1850602719</v>
      </c>
      <c r="H1229" s="17" t="n">
        <f aca="false">F1229-G1229</f>
        <v>-87.7596664373814</v>
      </c>
      <c r="I1229" s="17" t="n">
        <f aca="false">H1229*2/10+I1228*8/10</f>
        <v>-53.8771083855342</v>
      </c>
      <c r="J1229" s="17" t="n">
        <f aca="false">H1229-I1229</f>
        <v>-33.8825580518472</v>
      </c>
      <c r="K1229" s="17" t="n">
        <f aca="false">MAX(B1229-B1228,0)</f>
        <v>256.18</v>
      </c>
      <c r="L1229" s="17" t="n">
        <f aca="false">MAX(B1228-B1229,0)</f>
        <v>0</v>
      </c>
      <c r="M1229" s="17" t="n">
        <f aca="false">(M1228*13+K1229)/14</f>
        <v>71.4947187787911</v>
      </c>
      <c r="N1229" s="17" t="n">
        <f aca="false">(N1228*13+L1229)/14</f>
        <v>70.6795056898379</v>
      </c>
      <c r="O1229" s="17" t="n">
        <f aca="false">IF(N1229=0,100,100-100/(1+M1229/N1229))</f>
        <v>50.2866951066552</v>
      </c>
      <c r="P1229" s="17" t="n">
        <f aca="false">AVERAGE(B1210:B1229)+2*STDEV(B1210:B1229)</f>
        <v>14198.40598856</v>
      </c>
      <c r="Q1229" s="17" t="n">
        <f aca="false">AVERAGE(B1210:B1229)-2*STDEV(B1210:B1229)</f>
        <v>12933.43601144</v>
      </c>
      <c r="R1229" s="19" t="n">
        <f aca="false">B1229/B1209-1</f>
        <v>-0.0194930229989624</v>
      </c>
      <c r="S1229" s="17" t="n">
        <f aca="false">STDEV(C1210:C1229)*SQRT(252)*100</f>
        <v>20.5731589741766</v>
      </c>
      <c r="T1229" s="19" t="n">
        <f aca="false">B1208/B978-1</f>
        <v>0.485942083538157</v>
      </c>
      <c r="U1229" s="19" t="n">
        <f aca="false">B1229/MAX(B978:B1229)-1</f>
        <v>-0.0390132111657174</v>
      </c>
      <c r="V1229" s="17" t="n">
        <f aca="false">(B1229-AVERAGE(B1210:B1229))/STDEV(B1210:B1229)</f>
        <v>-0.227138987641568</v>
      </c>
    </row>
    <row r="1230" customFormat="false" ht="15" hidden="false" customHeight="false" outlineLevel="0" collapsed="false">
      <c r="A1230" s="17" t="s">
        <v>1794</v>
      </c>
      <c r="B1230" s="17" t="n">
        <v>13411.74</v>
      </c>
      <c r="C1230" s="19" t="n">
        <f aca="false">B1230/B1229-1</f>
        <v>-0.00610267161401767</v>
      </c>
      <c r="D1230" s="17" t="n">
        <f aca="false">AVERAGE(B1181:B1230)</f>
        <v>13463.9208</v>
      </c>
      <c r="E1230" s="17" t="n">
        <f aca="false">AVERAGE(B1031:B1230)</f>
        <v>12536.18285</v>
      </c>
      <c r="F1230" s="17" t="n">
        <f aca="false">B1230*2/13+F1229*11/13</f>
        <v>13397.0891793985</v>
      </c>
      <c r="G1230" s="17" t="n">
        <f aca="false">B1230*2/27+G1229*25/27</f>
        <v>13476.9669076592</v>
      </c>
      <c r="H1230" s="17" t="n">
        <f aca="false">F1230-G1230</f>
        <v>-79.8777282607316</v>
      </c>
      <c r="I1230" s="17" t="n">
        <f aca="false">H1230*2/10+I1229*8/10</f>
        <v>-59.0772323605737</v>
      </c>
      <c r="J1230" s="17" t="n">
        <f aca="false">H1230-I1230</f>
        <v>-20.8004959001579</v>
      </c>
      <c r="K1230" s="17" t="n">
        <f aca="false">MAX(B1230-B1229,0)</f>
        <v>0</v>
      </c>
      <c r="L1230" s="17" t="n">
        <f aca="false">MAX(B1229-B1230,0)</f>
        <v>82.3500000000004</v>
      </c>
      <c r="M1230" s="17" t="n">
        <f aca="false">(M1229*13+K1230)/14</f>
        <v>66.3879531517346</v>
      </c>
      <c r="N1230" s="17" t="n">
        <f aca="false">(N1229*13+L1230)/14</f>
        <v>71.5131124262781</v>
      </c>
      <c r="O1230" s="17" t="n">
        <f aca="false">IF(N1230=0,100,100-100/(1+M1230/N1230))</f>
        <v>48.141726007315</v>
      </c>
      <c r="P1230" s="17" t="n">
        <f aca="false">AVERAGE(B1211:B1230)+2*STDEV(B1211:B1230)</f>
        <v>14149.6827396545</v>
      </c>
      <c r="Q1230" s="17" t="n">
        <f aca="false">AVERAGE(B1211:B1230)-2*STDEV(B1211:B1230)</f>
        <v>12929.1892603455</v>
      </c>
      <c r="R1230" s="19" t="n">
        <f aca="false">B1230/B1210-1</f>
        <v>-0.0379946404388644</v>
      </c>
      <c r="S1230" s="17" t="n">
        <f aca="false">STDEV(C1211:C1230)*SQRT(252)*100</f>
        <v>19.968274090962</v>
      </c>
      <c r="T1230" s="19" t="n">
        <f aca="false">B1209/B979-1</f>
        <v>0.461905100812727</v>
      </c>
      <c r="U1230" s="19" t="n">
        <f aca="false">B1230/MAX(B979:B1230)-1</f>
        <v>-0.0448777979633824</v>
      </c>
      <c r="V1230" s="17" t="n">
        <f aca="false">(B1230-AVERAGE(B1211:B1230))/STDEV(B1211:B1230)</f>
        <v>-0.418506127774791</v>
      </c>
    </row>
    <row r="1231" customFormat="false" ht="15" hidden="false" customHeight="false" outlineLevel="0" collapsed="false">
      <c r="A1231" s="17" t="s">
        <v>1795</v>
      </c>
      <c r="B1231" s="17" t="n">
        <v>13641.75</v>
      </c>
      <c r="C1231" s="19" t="n">
        <f aca="false">B1231/B1230-1</f>
        <v>0.0171499000129738</v>
      </c>
      <c r="D1231" s="17" t="n">
        <f aca="false">AVERAGE(B1182:B1231)</f>
        <v>13478.01</v>
      </c>
      <c r="E1231" s="17" t="n">
        <f aca="false">AVERAGE(B1032:B1231)</f>
        <v>12548.0562</v>
      </c>
      <c r="F1231" s="17" t="n">
        <f aca="false">B1231*2/13+F1230*11/13</f>
        <v>13434.7293056449</v>
      </c>
      <c r="G1231" s="17" t="n">
        <f aca="false">B1231*2/27+G1230*25/27</f>
        <v>13489.1730626474</v>
      </c>
      <c r="H1231" s="17" t="n">
        <f aca="false">F1231-G1231</f>
        <v>-54.4437570025493</v>
      </c>
      <c r="I1231" s="17" t="n">
        <f aca="false">H1231*2/10+I1230*8/10</f>
        <v>-58.1505372889688</v>
      </c>
      <c r="J1231" s="17" t="n">
        <f aca="false">H1231-I1231</f>
        <v>3.7067802864195</v>
      </c>
      <c r="K1231" s="17" t="n">
        <f aca="false">MAX(B1231-B1230,0)</f>
        <v>230.01</v>
      </c>
      <c r="L1231" s="17" t="n">
        <f aca="false">MAX(B1230-B1231,0)</f>
        <v>0</v>
      </c>
      <c r="M1231" s="17" t="n">
        <f aca="false">(M1230*13+K1231)/14</f>
        <v>78.075242212325</v>
      </c>
      <c r="N1231" s="17" t="n">
        <f aca="false">(N1230*13+L1231)/14</f>
        <v>66.4050329672582</v>
      </c>
      <c r="O1231" s="17" t="n">
        <f aca="false">IF(N1231=0,100,100-100/(1+M1231/N1231))</f>
        <v>54.0386859834539</v>
      </c>
      <c r="P1231" s="17" t="n">
        <f aca="false">AVERAGE(B1212:B1231)+2*STDEV(B1212:B1231)</f>
        <v>14088.7009292434</v>
      </c>
      <c r="Q1231" s="17" t="n">
        <f aca="false">AVERAGE(B1212:B1231)-2*STDEV(B1212:B1231)</f>
        <v>12951.7300707566</v>
      </c>
      <c r="R1231" s="19" t="n">
        <f aca="false">B1231/B1211-1</f>
        <v>-0.0274066458674362</v>
      </c>
      <c r="S1231" s="17" t="n">
        <f aca="false">STDEV(C1212:C1231)*SQRT(252)*100</f>
        <v>20.9163143792463</v>
      </c>
      <c r="T1231" s="19" t="n">
        <f aca="false">B1210/B980-1</f>
        <v>0.484714557432497</v>
      </c>
      <c r="U1231" s="19" t="n">
        <f aca="false">B1231/MAX(B980:B1231)-1</f>
        <v>-0.0284975476982832</v>
      </c>
      <c r="V1231" s="17" t="n">
        <f aca="false">(B1231-AVERAGE(B1212:B1231))/STDEV(B1212:B1231)</f>
        <v>0.427572964048492</v>
      </c>
    </row>
    <row r="1232" customFormat="false" ht="15" hidden="false" customHeight="false" outlineLevel="0" collapsed="false">
      <c r="A1232" s="17" t="s">
        <v>1796</v>
      </c>
      <c r="B1232" s="17" t="n">
        <v>13657.73</v>
      </c>
      <c r="C1232" s="19" t="n">
        <f aca="false">B1232/B1231-1</f>
        <v>0.00117140396210158</v>
      </c>
      <c r="D1232" s="17" t="n">
        <f aca="false">AVERAGE(B1183:B1232)</f>
        <v>13489.5138</v>
      </c>
      <c r="E1232" s="17" t="n">
        <f aca="false">AVERAGE(B1033:B1232)</f>
        <v>12560.6479</v>
      </c>
      <c r="F1232" s="17" t="n">
        <f aca="false">B1232*2/13+F1231*11/13</f>
        <v>13469.0371047764</v>
      </c>
      <c r="G1232" s="17" t="n">
        <f aca="false">B1232*2/27+G1231*25/27</f>
        <v>13501.6587617106</v>
      </c>
      <c r="H1232" s="17" t="n">
        <f aca="false">F1232-G1232</f>
        <v>-32.621656934145</v>
      </c>
      <c r="I1232" s="17" t="n">
        <f aca="false">H1232*2/10+I1231*8/10</f>
        <v>-53.0447612180041</v>
      </c>
      <c r="J1232" s="17" t="n">
        <f aca="false">H1232-I1232</f>
        <v>20.4231042838591</v>
      </c>
      <c r="K1232" s="17" t="n">
        <f aca="false">MAX(B1232-B1231,0)</f>
        <v>15.9799999999996</v>
      </c>
      <c r="L1232" s="17" t="n">
        <f aca="false">MAX(B1231-B1232,0)</f>
        <v>0</v>
      </c>
      <c r="M1232" s="17" t="n">
        <f aca="false">(M1231*13+K1232)/14</f>
        <v>73.6398677685874</v>
      </c>
      <c r="N1232" s="17" t="n">
        <f aca="false">(N1231*13+L1232)/14</f>
        <v>61.6618163267398</v>
      </c>
      <c r="O1232" s="17" t="n">
        <f aca="false">IF(N1232=0,100,100-100/(1+M1232/N1232))</f>
        <v>54.4264236332079</v>
      </c>
      <c r="P1232" s="17" t="n">
        <f aca="false">AVERAGE(B1213:B1232)+2*STDEV(B1213:B1232)</f>
        <v>14039.3383146653</v>
      </c>
      <c r="Q1232" s="17" t="n">
        <f aca="false">AVERAGE(B1213:B1232)-2*STDEV(B1213:B1232)</f>
        <v>12970.8376853347</v>
      </c>
      <c r="R1232" s="19" t="n">
        <f aca="false">B1232/B1212-1</f>
        <v>-0.0216722014171636</v>
      </c>
      <c r="S1232" s="17" t="n">
        <f aca="false">STDEV(C1213:C1232)*SQRT(252)*100</f>
        <v>20.8938384230528</v>
      </c>
      <c r="T1232" s="19" t="n">
        <f aca="false">B1211/B981-1</f>
        <v>0.485499441328949</v>
      </c>
      <c r="U1232" s="19" t="n">
        <f aca="false">B1232/MAX(B981:B1232)-1</f>
        <v>-0.0273595258764655</v>
      </c>
      <c r="V1232" s="17" t="n">
        <f aca="false">(B1232-AVERAGE(B1213:B1232))/STDEV(B1213:B1232)</f>
        <v>0.571425026097066</v>
      </c>
    </row>
    <row r="1233" customFormat="false" ht="15" hidden="false" customHeight="false" outlineLevel="0" collapsed="false">
      <c r="A1233" s="17" t="s">
        <v>1797</v>
      </c>
      <c r="B1233" s="17" t="n">
        <v>13702.74</v>
      </c>
      <c r="C1233" s="19" t="n">
        <f aca="false">B1233/B1232-1</f>
        <v>0.00329556961515576</v>
      </c>
      <c r="D1233" s="17" t="n">
        <f aca="false">AVERAGE(B1184:B1233)</f>
        <v>13500.523</v>
      </c>
      <c r="E1233" s="17" t="n">
        <f aca="false">AVERAGE(B1034:B1233)</f>
        <v>12573.73575</v>
      </c>
      <c r="F1233" s="17" t="n">
        <f aca="false">B1233*2/13+F1232*11/13</f>
        <v>13504.9913963493</v>
      </c>
      <c r="G1233" s="17" t="n">
        <f aca="false">B1233*2/27+G1232*25/27</f>
        <v>13516.5536682505</v>
      </c>
      <c r="H1233" s="17" t="n">
        <f aca="false">F1233-G1233</f>
        <v>-11.5622719012426</v>
      </c>
      <c r="I1233" s="17" t="n">
        <f aca="false">H1233*2/10+I1232*8/10</f>
        <v>-44.7482633546518</v>
      </c>
      <c r="J1233" s="17" t="n">
        <f aca="false">H1233-I1233</f>
        <v>33.1859914534091</v>
      </c>
      <c r="K1233" s="17" t="n">
        <f aca="false">MAX(B1233-B1232,0)</f>
        <v>45.0100000000002</v>
      </c>
      <c r="L1233" s="17" t="n">
        <f aca="false">MAX(B1232-B1233,0)</f>
        <v>0</v>
      </c>
      <c r="M1233" s="17" t="n">
        <f aca="false">(M1232*13+K1233)/14</f>
        <v>71.5948772136884</v>
      </c>
      <c r="N1233" s="17" t="n">
        <f aca="false">(N1232*13+L1233)/14</f>
        <v>57.2574008748298</v>
      </c>
      <c r="O1233" s="17" t="n">
        <f aca="false">IF(N1233=0,100,100-100/(1+M1233/N1233))</f>
        <v>55.5635323455473</v>
      </c>
      <c r="P1233" s="17" t="n">
        <f aca="false">AVERAGE(B1214:B1233)+2*STDEV(B1214:B1233)</f>
        <v>14005.1723103143</v>
      </c>
      <c r="Q1233" s="17" t="n">
        <f aca="false">AVERAGE(B1214:B1233)-2*STDEV(B1214:B1233)</f>
        <v>12985.1156896857</v>
      </c>
      <c r="R1233" s="19" t="n">
        <f aca="false">B1233/B1213-1</f>
        <v>-0.0143062463223711</v>
      </c>
      <c r="S1233" s="17" t="n">
        <f aca="false">STDEV(C1214:C1233)*SQRT(252)*100</f>
        <v>20.9115243667847</v>
      </c>
      <c r="T1233" s="19" t="n">
        <f aca="false">B1212/B982-1</f>
        <v>0.482500788491947</v>
      </c>
      <c r="U1233" s="19" t="n">
        <f aca="false">B1233/MAX(B982:B1233)-1</f>
        <v>-0.0241541214834734</v>
      </c>
      <c r="V1233" s="17" t="n">
        <f aca="false">(B1233-AVERAGE(B1214:B1233))/STDEV(B1214:B1233)</f>
        <v>0.814056772150755</v>
      </c>
    </row>
    <row r="1234" customFormat="false" ht="15" hidden="false" customHeight="false" outlineLevel="0" collapsed="false">
      <c r="A1234" s="17" t="s">
        <v>1798</v>
      </c>
      <c r="B1234" s="17" t="n">
        <v>13657.85</v>
      </c>
      <c r="C1234" s="19" t="n">
        <f aca="false">B1234/B1233-1</f>
        <v>-0.00327598713833877</v>
      </c>
      <c r="D1234" s="17" t="n">
        <f aca="false">AVERAGE(B1185:B1234)</f>
        <v>13509.6324</v>
      </c>
      <c r="E1234" s="17" t="n">
        <f aca="false">AVERAGE(B1035:B1234)</f>
        <v>12587.6446</v>
      </c>
      <c r="F1234" s="17" t="n">
        <f aca="false">B1234*2/13+F1233*11/13</f>
        <v>13528.5081046032</v>
      </c>
      <c r="G1234" s="17" t="n">
        <f aca="false">B1234*2/27+G1233*25/27</f>
        <v>13527.0200631949</v>
      </c>
      <c r="H1234" s="17" t="n">
        <f aca="false">F1234-G1234</f>
        <v>1.48804140830907</v>
      </c>
      <c r="I1234" s="17" t="n">
        <f aca="false">H1234*2/10+I1233*8/10</f>
        <v>-35.5010024020596</v>
      </c>
      <c r="J1234" s="17" t="n">
        <f aca="false">H1234-I1234</f>
        <v>36.9890438103687</v>
      </c>
      <c r="K1234" s="17" t="n">
        <f aca="false">MAX(B1234-B1233,0)</f>
        <v>0</v>
      </c>
      <c r="L1234" s="17" t="n">
        <f aca="false">MAX(B1233-B1234,0)</f>
        <v>44.8899999999994</v>
      </c>
      <c r="M1234" s="17" t="n">
        <f aca="false">(M1233*13+K1234)/14</f>
        <v>66.4809574127106</v>
      </c>
      <c r="N1234" s="17" t="n">
        <f aca="false">(N1233*13+L1234)/14</f>
        <v>56.3740150980562</v>
      </c>
      <c r="O1234" s="17" t="n">
        <f aca="false">IF(N1234=0,100,100-100/(1+M1234/N1234))</f>
        <v>54.1133631419635</v>
      </c>
      <c r="P1234" s="17" t="n">
        <f aca="false">AVERAGE(B1215:B1234)+2*STDEV(B1215:B1234)</f>
        <v>13945.5351017853</v>
      </c>
      <c r="Q1234" s="17" t="n">
        <f aca="false">AVERAGE(B1215:B1234)-2*STDEV(B1215:B1234)</f>
        <v>13013.5178982147</v>
      </c>
      <c r="R1234" s="19" t="n">
        <f aca="false">B1234/B1214-1</f>
        <v>-0.0223583055360697</v>
      </c>
      <c r="S1234" s="17" t="n">
        <f aca="false">STDEV(C1215:C1234)*SQRT(252)*100</f>
        <v>20.8243197317626</v>
      </c>
      <c r="T1234" s="19" t="n">
        <f aca="false">B1213/B983-1</f>
        <v>0.454824588484364</v>
      </c>
      <c r="U1234" s="19" t="n">
        <f aca="false">B1234/MAX(B983:B1234)-1</f>
        <v>-0.0273509800304944</v>
      </c>
      <c r="V1234" s="17" t="n">
        <f aca="false">(B1234-AVERAGE(B1215:B1234))/STDEV(B1215:B1234)</f>
        <v>0.765322782956501</v>
      </c>
    </row>
    <row r="1235" customFormat="false" ht="15" hidden="false" customHeight="false" outlineLevel="0" collapsed="false">
      <c r="A1235" s="17" t="s">
        <v>1799</v>
      </c>
      <c r="B1235" s="17" t="n">
        <v>13686.51</v>
      </c>
      <c r="C1235" s="19" t="n">
        <f aca="false">B1235/B1234-1</f>
        <v>0.00209842691199569</v>
      </c>
      <c r="D1235" s="17" t="n">
        <f aca="false">AVERAGE(B1186:B1235)</f>
        <v>13527.5798</v>
      </c>
      <c r="E1235" s="17" t="n">
        <f aca="false">AVERAGE(B1036:B1235)</f>
        <v>12600.28855</v>
      </c>
      <c r="F1235" s="17" t="n">
        <f aca="false">B1235*2/13+F1234*11/13</f>
        <v>13552.8160885104</v>
      </c>
      <c r="G1235" s="17" t="n">
        <f aca="false">B1235*2/27+G1234*25/27</f>
        <v>13538.8341325879</v>
      </c>
      <c r="H1235" s="17" t="n">
        <f aca="false">F1235-G1235</f>
        <v>13.9819559225343</v>
      </c>
      <c r="I1235" s="17" t="n">
        <f aca="false">H1235*2/10+I1234*8/10</f>
        <v>-25.6044107371408</v>
      </c>
      <c r="J1235" s="17" t="n">
        <f aca="false">H1235-I1235</f>
        <v>39.5863666596751</v>
      </c>
      <c r="K1235" s="17" t="n">
        <f aca="false">MAX(B1235-B1234,0)</f>
        <v>28.6599999999999</v>
      </c>
      <c r="L1235" s="17" t="n">
        <f aca="false">MAX(B1234-B1235,0)</f>
        <v>0</v>
      </c>
      <c r="M1235" s="17" t="n">
        <f aca="false">(M1234*13+K1235)/14</f>
        <v>63.7794604546598</v>
      </c>
      <c r="N1235" s="17" t="n">
        <f aca="false">(N1234*13+L1235)/14</f>
        <v>52.3472997339093</v>
      </c>
      <c r="O1235" s="17" t="n">
        <f aca="false">IF(N1235=0,100,100-100/(1+M1235/N1235))</f>
        <v>54.9222766148762</v>
      </c>
      <c r="P1235" s="17" t="n">
        <f aca="false">AVERAGE(B1216:B1235)+2*STDEV(B1216:B1235)</f>
        <v>13912.7032728847</v>
      </c>
      <c r="Q1235" s="17" t="n">
        <f aca="false">AVERAGE(B1216:B1235)-2*STDEV(B1216:B1235)</f>
        <v>13028.9247271154</v>
      </c>
      <c r="R1235" s="19" t="n">
        <f aca="false">B1235/B1215-1</f>
        <v>-0.0125714607279832</v>
      </c>
      <c r="S1235" s="17" t="n">
        <f aca="false">STDEV(C1216:C1235)*SQRT(252)*100</f>
        <v>20.6930838519287</v>
      </c>
      <c r="T1235" s="19" t="n">
        <f aca="false">B1214/B984-1</f>
        <v>0.455397446996476</v>
      </c>
      <c r="U1235" s="19" t="n">
        <f aca="false">B1235/MAX(B984:B1235)-1</f>
        <v>-0.0253099471510642</v>
      </c>
      <c r="V1235" s="17" t="n">
        <f aca="false">(B1235-AVERAGE(B1216:B1235))/STDEV(B1216:B1235)</f>
        <v>0.976244562769923</v>
      </c>
    </row>
    <row r="1236" customFormat="false" ht="15" hidden="false" customHeight="false" outlineLevel="0" collapsed="false">
      <c r="A1236" s="17" t="s">
        <v>1800</v>
      </c>
      <c r="B1236" s="17" t="n">
        <v>13654.59</v>
      </c>
      <c r="C1236" s="19" t="n">
        <f aca="false">B1236/B1235-1</f>
        <v>-0.00233222348136963</v>
      </c>
      <c r="D1236" s="17" t="n">
        <f aca="false">AVERAGE(B1187:B1236)</f>
        <v>13543.3318</v>
      </c>
      <c r="E1236" s="17" t="n">
        <f aca="false">AVERAGE(B1037:B1236)</f>
        <v>12612.66965</v>
      </c>
      <c r="F1236" s="17" t="n">
        <f aca="false">B1236*2/13+F1235*11/13</f>
        <v>13568.473613355</v>
      </c>
      <c r="G1236" s="17" t="n">
        <f aca="false">B1236*2/27+G1235*25/27</f>
        <v>13547.4086412851</v>
      </c>
      <c r="H1236" s="17" t="n">
        <f aca="false">F1236-G1236</f>
        <v>21.0649720698893</v>
      </c>
      <c r="I1236" s="17" t="n">
        <f aca="false">H1236*2/10+I1235*8/10</f>
        <v>-16.2705341757348</v>
      </c>
      <c r="J1236" s="17" t="n">
        <f aca="false">H1236-I1236</f>
        <v>37.3355062456241</v>
      </c>
      <c r="K1236" s="17" t="n">
        <f aca="false">MAX(B1236-B1235,0)</f>
        <v>0</v>
      </c>
      <c r="L1236" s="17" t="n">
        <f aca="false">MAX(B1235-B1236,0)</f>
        <v>31.9200000000001</v>
      </c>
      <c r="M1236" s="17" t="n">
        <f aca="false">(M1235*13+K1236)/14</f>
        <v>59.2237847078984</v>
      </c>
      <c r="N1236" s="17" t="n">
        <f aca="false">(N1235*13+L1236)/14</f>
        <v>50.8882068957729</v>
      </c>
      <c r="O1236" s="17" t="n">
        <f aca="false">IF(N1236=0,100,100-100/(1+M1236/N1236))</f>
        <v>53.7850454299873</v>
      </c>
      <c r="P1236" s="17" t="n">
        <f aca="false">AVERAGE(B1217:B1236)+2*STDEV(B1217:B1236)</f>
        <v>13887.0903709234</v>
      </c>
      <c r="Q1236" s="17" t="n">
        <f aca="false">AVERAGE(B1217:B1236)-2*STDEV(B1217:B1236)</f>
        <v>13040.0246290766</v>
      </c>
      <c r="R1236" s="19" t="n">
        <f aca="false">B1236/B1216-1</f>
        <v>-0.0105168800526387</v>
      </c>
      <c r="S1236" s="17" t="n">
        <f aca="false">STDEV(C1217:C1236)*SQRT(252)*100</f>
        <v>20.6549623663682</v>
      </c>
      <c r="T1236" s="19" t="n">
        <f aca="false">B1215/B985-1</f>
        <v>0.43526095776153</v>
      </c>
      <c r="U1236" s="19" t="n">
        <f aca="false">B1236/MAX(B985:B1236)-1</f>
        <v>-0.0275831421793759</v>
      </c>
      <c r="V1236" s="17" t="n">
        <f aca="false">(B1236-AVERAGE(B1217:B1236))/STDEV(B1217:B1236)</f>
        <v>0.902090548879933</v>
      </c>
    </row>
    <row r="1237" customFormat="false" ht="15" hidden="false" customHeight="false" outlineLevel="0" collapsed="false">
      <c r="A1237" s="17" t="s">
        <v>1801</v>
      </c>
      <c r="B1237" s="17" t="n">
        <v>13675.79</v>
      </c>
      <c r="C1237" s="19" t="n">
        <f aca="false">B1237/B1236-1</f>
        <v>0.00155259147290399</v>
      </c>
      <c r="D1237" s="17" t="n">
        <f aca="false">AVERAGE(B1188:B1237)</f>
        <v>13555.1174</v>
      </c>
      <c r="E1237" s="17" t="n">
        <f aca="false">AVERAGE(B1038:B1237)</f>
        <v>12625.22635</v>
      </c>
      <c r="F1237" s="17" t="n">
        <f aca="false">B1237*2/13+F1236*11/13</f>
        <v>13584.983826685</v>
      </c>
      <c r="G1237" s="17" t="n">
        <f aca="false">B1237*2/27+G1236*25/27</f>
        <v>13556.9183715603</v>
      </c>
      <c r="H1237" s="17" t="n">
        <f aca="false">F1237-G1237</f>
        <v>28.0654551247189</v>
      </c>
      <c r="I1237" s="17" t="n">
        <f aca="false">H1237*2/10+I1236*8/10</f>
        <v>-7.40333631564404</v>
      </c>
      <c r="J1237" s="17" t="n">
        <f aca="false">H1237-I1237</f>
        <v>35.468791440363</v>
      </c>
      <c r="K1237" s="17" t="n">
        <f aca="false">MAX(B1237-B1236,0)</f>
        <v>21.2000000000007</v>
      </c>
      <c r="L1237" s="17" t="n">
        <f aca="false">MAX(B1236-B1237,0)</f>
        <v>0</v>
      </c>
      <c r="M1237" s="17" t="n">
        <f aca="false">(M1236*13+K1237)/14</f>
        <v>56.5078000859057</v>
      </c>
      <c r="N1237" s="17" t="n">
        <f aca="false">(N1236*13+L1237)/14</f>
        <v>47.2533349746463</v>
      </c>
      <c r="O1237" s="17" t="n">
        <f aca="false">IF(N1237=0,100,100-100/(1+M1237/N1237))</f>
        <v>54.4595045658757</v>
      </c>
      <c r="P1237" s="17" t="n">
        <f aca="false">AVERAGE(B1218:B1237)+2*STDEV(B1218:B1237)</f>
        <v>13902.891360669</v>
      </c>
      <c r="Q1237" s="17" t="n">
        <f aca="false">AVERAGE(B1218:B1237)-2*STDEV(B1218:B1237)</f>
        <v>13037.335639331</v>
      </c>
      <c r="R1237" s="19" t="n">
        <f aca="false">B1237/B1217-1</f>
        <v>0.00968056069287782</v>
      </c>
      <c r="S1237" s="17" t="n">
        <f aca="false">STDEV(C1218:C1237)*SQRT(252)*100</f>
        <v>19.5284114605153</v>
      </c>
      <c r="T1237" s="19" t="n">
        <f aca="false">B1216/B986-1</f>
        <v>0.421964019458633</v>
      </c>
      <c r="U1237" s="19" t="n">
        <f aca="false">B1237/MAX(B986:B1237)-1</f>
        <v>-0.0260733760578155</v>
      </c>
      <c r="V1237" s="17" t="n">
        <f aca="false">(B1237-AVERAGE(B1218:B1237))/STDEV(B1218:B1237)</f>
        <v>0.95049455479097</v>
      </c>
    </row>
    <row r="1238" customFormat="false" ht="15" hidden="false" customHeight="false" outlineLevel="0" collapsed="false">
      <c r="A1238" s="17" t="s">
        <v>1802</v>
      </c>
      <c r="B1238" s="17" t="n">
        <v>13529.68</v>
      </c>
      <c r="C1238" s="19" t="n">
        <f aca="false">B1238/B1237-1</f>
        <v>-0.0106838434927709</v>
      </c>
      <c r="D1238" s="17" t="n">
        <f aca="false">AVERAGE(B1189:B1238)</f>
        <v>13565.3552</v>
      </c>
      <c r="E1238" s="17" t="n">
        <f aca="false">AVERAGE(B1039:B1238)</f>
        <v>12636.4319</v>
      </c>
      <c r="F1238" s="17" t="n">
        <f aca="false">B1238*2/13+F1237*11/13</f>
        <v>13576.4755456565</v>
      </c>
      <c r="G1238" s="17" t="n">
        <f aca="false">B1238*2/27+G1237*25/27</f>
        <v>13554.9007144077</v>
      </c>
      <c r="H1238" s="17" t="n">
        <f aca="false">F1238-G1238</f>
        <v>21.5748312488722</v>
      </c>
      <c r="I1238" s="17" t="n">
        <f aca="false">H1238*2/10+I1237*8/10</f>
        <v>-1.60770280274079</v>
      </c>
      <c r="J1238" s="17" t="n">
        <f aca="false">H1238-I1238</f>
        <v>23.182534051613</v>
      </c>
      <c r="K1238" s="17" t="n">
        <f aca="false">MAX(B1238-B1237,0)</f>
        <v>0</v>
      </c>
      <c r="L1238" s="17" t="n">
        <f aca="false">MAX(B1237-B1238,0)</f>
        <v>146.110000000001</v>
      </c>
      <c r="M1238" s="17" t="n">
        <f aca="false">(M1237*13+K1238)/14</f>
        <v>52.4715286511982</v>
      </c>
      <c r="N1238" s="17" t="n">
        <f aca="false">(N1237*13+L1238)/14</f>
        <v>54.3145253336002</v>
      </c>
      <c r="O1238" s="17" t="n">
        <f aca="false">IF(N1238=0,100,100-100/(1+M1238/N1238))</f>
        <v>49.1370611546971</v>
      </c>
      <c r="P1238" s="17" t="n">
        <f aca="false">AVERAGE(B1219:B1238)+2*STDEV(B1219:B1238)</f>
        <v>13904.7920486227</v>
      </c>
      <c r="Q1238" s="17" t="n">
        <f aca="false">AVERAGE(B1219:B1238)-2*STDEV(B1219:B1238)</f>
        <v>13038.0659513773</v>
      </c>
      <c r="R1238" s="19" t="n">
        <f aca="false">B1238/B1218-1</f>
        <v>0.00194840250989192</v>
      </c>
      <c r="S1238" s="17" t="n">
        <f aca="false">STDEV(C1219:C1238)*SQRT(252)*100</f>
        <v>19.8997548259608</v>
      </c>
      <c r="T1238" s="19" t="n">
        <f aca="false">B1217/B987-1</f>
        <v>0.406557448549585</v>
      </c>
      <c r="U1238" s="19" t="n">
        <f aca="false">B1238/MAX(B987:B1238)-1</f>
        <v>-0.0364786556814564</v>
      </c>
      <c r="V1238" s="17" t="n">
        <f aca="false">(B1238-AVERAGE(B1219:B1238))/STDEV(B1219:B1238)</f>
        <v>0.268832334390893</v>
      </c>
    </row>
    <row r="1239" customFormat="false" ht="15" hidden="false" customHeight="false" outlineLevel="0" collapsed="false">
      <c r="A1239" s="17" t="s">
        <v>1803</v>
      </c>
      <c r="B1239" s="17" t="n">
        <v>13770.77</v>
      </c>
      <c r="C1239" s="19" t="n">
        <f aca="false">B1239/B1238-1</f>
        <v>0.0178193423643427</v>
      </c>
      <c r="D1239" s="17" t="n">
        <f aca="false">AVERAGE(B1190:B1239)</f>
        <v>13584.793</v>
      </c>
      <c r="E1239" s="17" t="n">
        <f aca="false">AVERAGE(B1040:B1239)</f>
        <v>12648.2906</v>
      </c>
      <c r="F1239" s="17" t="n">
        <f aca="false">B1239*2/13+F1238*11/13</f>
        <v>13606.3670001709</v>
      </c>
      <c r="G1239" s="17" t="n">
        <f aca="false">B1239*2/27+G1238*25/27</f>
        <v>13570.8910318589</v>
      </c>
      <c r="H1239" s="17" t="n">
        <f aca="false">F1239-G1239</f>
        <v>35.4759683119664</v>
      </c>
      <c r="I1239" s="17" t="n">
        <f aca="false">H1239*2/10+I1238*8/10</f>
        <v>5.80903142020066</v>
      </c>
      <c r="J1239" s="17" t="n">
        <f aca="false">H1239-I1239</f>
        <v>29.6669368917658</v>
      </c>
      <c r="K1239" s="17" t="n">
        <f aca="false">MAX(B1239-B1238,0)</f>
        <v>241.09</v>
      </c>
      <c r="L1239" s="17" t="n">
        <f aca="false">MAX(B1238-B1239,0)</f>
        <v>0</v>
      </c>
      <c r="M1239" s="17" t="n">
        <f aca="false">(M1238*13+K1239)/14</f>
        <v>65.944276604684</v>
      </c>
      <c r="N1239" s="17" t="n">
        <f aca="false">(N1238*13+L1239)/14</f>
        <v>50.4349163812002</v>
      </c>
      <c r="O1239" s="17" t="n">
        <f aca="false">IF(N1239=0,100,100-100/(1+M1239/N1239))</f>
        <v>56.6632874079841</v>
      </c>
      <c r="P1239" s="17" t="n">
        <f aca="false">AVERAGE(B1220:B1239)+2*STDEV(B1220:B1239)</f>
        <v>13928.8864780946</v>
      </c>
      <c r="Q1239" s="17" t="n">
        <f aca="false">AVERAGE(B1220:B1239)-2*STDEV(B1220:B1239)</f>
        <v>13029.6755219054</v>
      </c>
      <c r="R1239" s="19" t="n">
        <f aca="false">B1239/B1219-1</f>
        <v>0.0115354131454055</v>
      </c>
      <c r="S1239" s="17" t="n">
        <f aca="false">STDEV(C1220:C1239)*SQRT(252)*100</f>
        <v>20.6929394382701</v>
      </c>
      <c r="T1239" s="19" t="n">
        <f aca="false">B1218/B988-1</f>
        <v>0.374474140379199</v>
      </c>
      <c r="U1239" s="19" t="n">
        <f aca="false">B1239/MAX(B988:B1239)-1</f>
        <v>-0.0193093389716925</v>
      </c>
      <c r="V1239" s="17" t="n">
        <f aca="false">(B1239-AVERAGE(B1220:B1239))/STDEV(B1220:B1239)</f>
        <v>1.29664345388025</v>
      </c>
    </row>
    <row r="1240" customFormat="false" ht="15" hidden="false" customHeight="false" outlineLevel="0" collapsed="false">
      <c r="A1240" s="17" t="s">
        <v>1804</v>
      </c>
      <c r="B1240" s="17" t="n">
        <v>13802.89</v>
      </c>
      <c r="C1240" s="19" t="n">
        <f aca="false">B1240/B1239-1</f>
        <v>0.00233247668794112</v>
      </c>
      <c r="D1240" s="17" t="n">
        <f aca="false">AVERAGE(B1191:B1240)</f>
        <v>13605.2406</v>
      </c>
      <c r="E1240" s="17" t="n">
        <f aca="false">AVERAGE(B1041:B1240)</f>
        <v>12660.71185</v>
      </c>
      <c r="F1240" s="17" t="n">
        <f aca="false">B1240*2/13+F1239*11/13</f>
        <v>13636.6013078369</v>
      </c>
      <c r="G1240" s="17" t="n">
        <f aca="false">B1240*2/27+G1239*25/27</f>
        <v>13588.0761406101</v>
      </c>
      <c r="H1240" s="17" t="n">
        <f aca="false">F1240-G1240</f>
        <v>48.5251672267896</v>
      </c>
      <c r="I1240" s="17" t="n">
        <f aca="false">H1240*2/10+I1239*8/10</f>
        <v>14.3522585815184</v>
      </c>
      <c r="J1240" s="17" t="n">
        <f aca="false">H1240-I1240</f>
        <v>34.1729086452711</v>
      </c>
      <c r="K1240" s="17" t="n">
        <f aca="false">MAX(B1240-B1239,0)</f>
        <v>32.119999999999</v>
      </c>
      <c r="L1240" s="17" t="n">
        <f aca="false">MAX(B1239-B1240,0)</f>
        <v>0</v>
      </c>
      <c r="M1240" s="17" t="n">
        <f aca="false">(M1239*13+K1240)/14</f>
        <v>63.5282568472065</v>
      </c>
      <c r="N1240" s="17" t="n">
        <f aca="false">(N1239*13+L1240)/14</f>
        <v>46.8324223539716</v>
      </c>
      <c r="O1240" s="17" t="n">
        <f aca="false">IF(N1240=0,100,100-100/(1+M1240/N1240))</f>
        <v>57.5642133657042</v>
      </c>
      <c r="P1240" s="17" t="n">
        <f aca="false">AVERAGE(B1221:B1240)+2*STDEV(B1221:B1240)</f>
        <v>13943.832323479</v>
      </c>
      <c r="Q1240" s="17" t="n">
        <f aca="false">AVERAGE(B1221:B1240)-2*STDEV(B1221:B1240)</f>
        <v>13023.055676521</v>
      </c>
      <c r="R1240" s="19" t="n">
        <f aca="false">B1240/B1220-1</f>
        <v>0.00606867677918421</v>
      </c>
      <c r="S1240" s="17" t="n">
        <f aca="false">STDEV(C1221:C1240)*SQRT(252)*100</f>
        <v>20.5339364044542</v>
      </c>
      <c r="T1240" s="19" t="n">
        <f aca="false">B1219/B989-1</f>
        <v>0.374913144648498</v>
      </c>
      <c r="U1240" s="19" t="n">
        <f aca="false">B1240/MAX(B989:B1240)-1</f>
        <v>-0.0170219008667625</v>
      </c>
      <c r="V1240" s="17" t="n">
        <f aca="false">(B1240-AVERAGE(B1221:B1240))/STDEV(B1221:B1240)</f>
        <v>1.38772416114321</v>
      </c>
    </row>
    <row r="1241" customFormat="false" ht="15" hidden="false" customHeight="false" outlineLevel="0" collapsed="false">
      <c r="A1241" s="17" t="s">
        <v>1805</v>
      </c>
      <c r="B1241" s="17" t="n">
        <v>13810.86</v>
      </c>
      <c r="C1241" s="19" t="n">
        <f aca="false">B1241/B1240-1</f>
        <v>0.000577415309402696</v>
      </c>
      <c r="D1241" s="17" t="n">
        <f aca="false">AVERAGE(B1192:B1241)</f>
        <v>13621.8754</v>
      </c>
      <c r="E1241" s="17" t="n">
        <f aca="false">AVERAGE(B1042:B1241)</f>
        <v>12672.3809</v>
      </c>
      <c r="F1241" s="17" t="n">
        <f aca="false">B1241*2/13+F1240*11/13</f>
        <v>13663.4103374005</v>
      </c>
      <c r="G1241" s="17" t="n">
        <f aca="false">B1241*2/27+G1240*25/27</f>
        <v>13604.5786487131</v>
      </c>
      <c r="H1241" s="17" t="n">
        <f aca="false">F1241-G1241</f>
        <v>58.831688687389</v>
      </c>
      <c r="I1241" s="17" t="n">
        <f aca="false">H1241*2/10+I1240*8/10</f>
        <v>23.2481446026926</v>
      </c>
      <c r="J1241" s="17" t="n">
        <f aca="false">H1241-I1241</f>
        <v>35.5835440846965</v>
      </c>
      <c r="K1241" s="17" t="n">
        <f aca="false">MAX(B1241-B1240,0)</f>
        <v>7.97000000000116</v>
      </c>
      <c r="L1241" s="17" t="n">
        <f aca="false">MAX(B1240-B1241,0)</f>
        <v>0</v>
      </c>
      <c r="M1241" s="17" t="n">
        <f aca="false">(M1240*13+K1241)/14</f>
        <v>59.559809929549</v>
      </c>
      <c r="N1241" s="17" t="n">
        <f aca="false">(N1240*13+L1241)/14</f>
        <v>43.4872493286879</v>
      </c>
      <c r="O1241" s="17" t="n">
        <f aca="false">IF(N1241=0,100,100-100/(1+M1241/N1241))</f>
        <v>57.7986507895306</v>
      </c>
      <c r="P1241" s="17" t="n">
        <f aca="false">AVERAGE(B1222:B1241)+2*STDEV(B1222:B1241)</f>
        <v>13984.6994070805</v>
      </c>
      <c r="Q1241" s="17" t="n">
        <f aca="false">AVERAGE(B1222:B1241)-2*STDEV(B1222:B1241)</f>
        <v>13027.3665929195</v>
      </c>
      <c r="R1241" s="19" t="n">
        <f aca="false">B1241/B1221-1</f>
        <v>0.0338181970614744</v>
      </c>
      <c r="S1241" s="17" t="n">
        <f aca="false">STDEV(C1222:C1241)*SQRT(252)*100</f>
        <v>17.9605294861856</v>
      </c>
      <c r="T1241" s="19" t="n">
        <f aca="false">B1220/B990-1</f>
        <v>0.376481990374399</v>
      </c>
      <c r="U1241" s="19" t="n">
        <f aca="false">B1241/MAX(B990:B1241)-1</f>
        <v>-0.0164543142635154</v>
      </c>
      <c r="V1241" s="17" t="n">
        <f aca="false">(B1241-AVERAGE(B1222:B1241))/STDEV(B1222:B1241)</f>
        <v>1.27365110854219</v>
      </c>
    </row>
    <row r="1242" customFormat="false" ht="15" hidden="false" customHeight="false" outlineLevel="0" collapsed="false">
      <c r="A1242" s="17" t="s">
        <v>1806</v>
      </c>
      <c r="B1242" s="17" t="n">
        <v>13814.94</v>
      </c>
      <c r="C1242" s="19" t="n">
        <f aca="false">B1242/B1241-1</f>
        <v>0.000295419691460186</v>
      </c>
      <c r="D1242" s="17" t="n">
        <f aca="false">AVERAGE(B1193:B1242)</f>
        <v>13638.8594</v>
      </c>
      <c r="E1242" s="17" t="n">
        <f aca="false">AVERAGE(B1043:B1242)</f>
        <v>12683.6798</v>
      </c>
      <c r="F1242" s="17" t="n">
        <f aca="false">B1242*2/13+F1241*11/13</f>
        <v>13686.722593185</v>
      </c>
      <c r="G1242" s="17" t="n">
        <f aca="false">B1242*2/27+G1241*25/27</f>
        <v>13620.1609710306</v>
      </c>
      <c r="H1242" s="17" t="n">
        <f aca="false">F1242-G1242</f>
        <v>66.5616221543842</v>
      </c>
      <c r="I1242" s="17" t="n">
        <f aca="false">H1242*2/10+I1241*8/10</f>
        <v>31.9108401130309</v>
      </c>
      <c r="J1242" s="17" t="n">
        <f aca="false">H1242-I1242</f>
        <v>34.6507820413533</v>
      </c>
      <c r="K1242" s="17" t="n">
        <f aca="false">MAX(B1242-B1241,0)</f>
        <v>4.07999999999993</v>
      </c>
      <c r="L1242" s="17" t="n">
        <f aca="false">MAX(B1241-B1242,0)</f>
        <v>0</v>
      </c>
      <c r="M1242" s="17" t="n">
        <f aca="false">(M1241*13+K1242)/14</f>
        <v>55.5969663631527</v>
      </c>
      <c r="N1242" s="17" t="n">
        <f aca="false">(N1241*13+L1242)/14</f>
        <v>40.3810172337816</v>
      </c>
      <c r="O1242" s="17" t="n">
        <f aca="false">IF(N1242=0,100,100-100/(1+M1242/N1242))</f>
        <v>57.9267914156602</v>
      </c>
      <c r="P1242" s="17" t="n">
        <f aca="false">AVERAGE(B1223:B1242)+2*STDEV(B1223:B1242)</f>
        <v>14021.055095488</v>
      </c>
      <c r="Q1242" s="17" t="n">
        <f aca="false">AVERAGE(B1223:B1242)-2*STDEV(B1223:B1242)</f>
        <v>13037.377904512</v>
      </c>
      <c r="R1242" s="19" t="n">
        <f aca="false">B1242/B1222-1</f>
        <v>0.0347285314430763</v>
      </c>
      <c r="S1242" s="17" t="n">
        <f aca="false">STDEV(C1223:C1242)*SQRT(252)*100</f>
        <v>17.9482315149804</v>
      </c>
      <c r="T1242" s="19" t="n">
        <f aca="false">B1221/B991-1</f>
        <v>0.323433317548785</v>
      </c>
      <c r="U1242" s="19" t="n">
        <f aca="false">B1242/MAX(B991:B1242)-1</f>
        <v>-0.0161637555004981</v>
      </c>
      <c r="V1242" s="17" t="n">
        <f aca="false">(B1242-AVERAGE(B1223:B1242))/STDEV(B1223:B1242)</f>
        <v>1.1618587992938</v>
      </c>
    </row>
    <row r="1243" customFormat="false" ht="15" hidden="false" customHeight="false" outlineLevel="0" collapsed="false">
      <c r="A1243" s="17" t="s">
        <v>1807</v>
      </c>
      <c r="B1243" s="17" t="n">
        <v>13960.35</v>
      </c>
      <c r="C1243" s="19" t="n">
        <f aca="false">B1243/B1242-1</f>
        <v>0.0105255614573787</v>
      </c>
      <c r="D1243" s="17" t="n">
        <f aca="false">AVERAGE(B1194:B1243)</f>
        <v>13660.1358</v>
      </c>
      <c r="E1243" s="17" t="n">
        <f aca="false">AVERAGE(B1044:B1243)</f>
        <v>12695.3507</v>
      </c>
      <c r="F1243" s="17" t="n">
        <f aca="false">B1243*2/13+F1242*11/13</f>
        <v>13728.8191173104</v>
      </c>
      <c r="G1243" s="17" t="n">
        <f aca="false">B1243*2/27+G1242*25/27</f>
        <v>13645.3601583617</v>
      </c>
      <c r="H1243" s="17" t="n">
        <f aca="false">F1243-G1243</f>
        <v>83.4589589487005</v>
      </c>
      <c r="I1243" s="17" t="n">
        <f aca="false">H1243*2/10+I1242*8/10</f>
        <v>42.2204638801648</v>
      </c>
      <c r="J1243" s="17" t="n">
        <f aca="false">H1243-I1243</f>
        <v>41.2384950685357</v>
      </c>
      <c r="K1243" s="17" t="n">
        <f aca="false">MAX(B1243-B1242,0)</f>
        <v>145.41</v>
      </c>
      <c r="L1243" s="17" t="n">
        <f aca="false">MAX(B1242-B1243,0)</f>
        <v>0</v>
      </c>
      <c r="M1243" s="17" t="n">
        <f aca="false">(M1242*13+K1243)/14</f>
        <v>62.0121830514989</v>
      </c>
      <c r="N1243" s="17" t="n">
        <f aca="false">(N1242*13+L1243)/14</f>
        <v>37.4966588599401</v>
      </c>
      <c r="O1243" s="17" t="n">
        <f aca="false">IF(N1243=0,100,100-100/(1+M1243/N1243))</f>
        <v>62.3182642469989</v>
      </c>
      <c r="P1243" s="17" t="n">
        <f aca="false">AVERAGE(B1224:B1243)+2*STDEV(B1224:B1243)</f>
        <v>14038.4141786654</v>
      </c>
      <c r="Q1243" s="17" t="n">
        <f aca="false">AVERAGE(B1224:B1243)-2*STDEV(B1224:B1243)</f>
        <v>13115.8908213346</v>
      </c>
      <c r="R1243" s="19" t="n">
        <f aca="false">B1243/B1223-1</f>
        <v>0.0737384466409212</v>
      </c>
      <c r="S1243" s="17" t="n">
        <f aca="false">STDEV(C1224:C1243)*SQRT(252)*100</f>
        <v>14.8225157206722</v>
      </c>
      <c r="T1243" s="19" t="n">
        <f aca="false">B1222/B992-1</f>
        <v>0.392428205513283</v>
      </c>
      <c r="U1243" s="19" t="n">
        <f aca="false">B1243/MAX(B992:B1243)-1</f>
        <v>-0.00580832664502196</v>
      </c>
      <c r="V1243" s="17" t="n">
        <f aca="false">(B1243-AVERAGE(B1224:B1243))/STDEV(B1224:B1243)</f>
        <v>1.66151890661585</v>
      </c>
    </row>
    <row r="1244" customFormat="false" ht="15" hidden="false" customHeight="false" outlineLevel="0" collapsed="false">
      <c r="A1244" s="17" t="s">
        <v>1808</v>
      </c>
      <c r="B1244" s="17" t="n">
        <v>13998.3</v>
      </c>
      <c r="C1244" s="19" t="n">
        <f aca="false">B1244/B1243-1</f>
        <v>0.00271841322029887</v>
      </c>
      <c r="D1244" s="17" t="n">
        <f aca="false">AVERAGE(B1195:B1244)</f>
        <v>13678.273</v>
      </c>
      <c r="E1244" s="17" t="n">
        <f aca="false">AVERAGE(B1045:B1244)</f>
        <v>12706.73315</v>
      </c>
      <c r="F1244" s="17" t="n">
        <f aca="false">B1244*2/13+F1243*11/13</f>
        <v>13770.2777146473</v>
      </c>
      <c r="G1244" s="17" t="n">
        <f aca="false">B1244*2/27+G1243*25/27</f>
        <v>13671.5038503349</v>
      </c>
      <c r="H1244" s="17" t="n">
        <f aca="false">F1244-G1244</f>
        <v>98.7738643123557</v>
      </c>
      <c r="I1244" s="17" t="n">
        <f aca="false">H1244*2/10+I1243*8/10</f>
        <v>53.531143966603</v>
      </c>
      <c r="J1244" s="17" t="n">
        <f aca="false">H1244-I1244</f>
        <v>45.2427203457527</v>
      </c>
      <c r="K1244" s="17" t="n">
        <f aca="false">MAX(B1244-B1243,0)</f>
        <v>37.9499999999989</v>
      </c>
      <c r="L1244" s="17" t="n">
        <f aca="false">MAX(B1243-B1244,0)</f>
        <v>0</v>
      </c>
      <c r="M1244" s="17" t="n">
        <f aca="false">(M1243*13+K1244)/14</f>
        <v>60.2934556906775</v>
      </c>
      <c r="N1244" s="17" t="n">
        <f aca="false">(N1243*13+L1244)/14</f>
        <v>34.8183260842301</v>
      </c>
      <c r="O1244" s="17" t="n">
        <f aca="false">IF(N1244=0,100,100-100/(1+M1244/N1244))</f>
        <v>63.3922050092264</v>
      </c>
      <c r="P1244" s="17" t="n">
        <f aca="false">AVERAGE(B1225:B1244)+2*STDEV(B1225:B1244)</f>
        <v>14063.9555633207</v>
      </c>
      <c r="Q1244" s="17" t="n">
        <f aca="false">AVERAGE(B1225:B1244)-2*STDEV(B1225:B1244)</f>
        <v>13179.2644366793</v>
      </c>
      <c r="R1244" s="19" t="n">
        <f aca="false">B1244/B1224-1</f>
        <v>0.0678266706842168</v>
      </c>
      <c r="S1244" s="17" t="n">
        <f aca="false">STDEV(C1225:C1244)*SQRT(252)*100</f>
        <v>14.7214299937683</v>
      </c>
      <c r="T1244" s="19" t="n">
        <f aca="false">B1223/B993-1</f>
        <v>0.345397970566383</v>
      </c>
      <c r="U1244" s="19" t="n">
        <f aca="false">B1244/MAX(B993:B1244)-1</f>
        <v>-0.00310570285666267</v>
      </c>
      <c r="V1244" s="17" t="n">
        <f aca="false">(B1244-AVERAGE(B1225:B1244))/STDEV(B1225:B1244)</f>
        <v>1.70314808708472</v>
      </c>
    </row>
    <row r="1245" customFormat="false" ht="15" hidden="false" customHeight="false" outlineLevel="0" collapsed="false">
      <c r="A1245" s="17" t="s">
        <v>1809</v>
      </c>
      <c r="B1245" s="17" t="n">
        <v>14128.2</v>
      </c>
      <c r="C1245" s="19" t="n">
        <f aca="false">B1245/B1244-1</f>
        <v>0.00927969824907327</v>
      </c>
      <c r="D1245" s="17" t="n">
        <f aca="false">AVERAGE(B1196:B1245)</f>
        <v>13694.2466</v>
      </c>
      <c r="E1245" s="17" t="n">
        <f aca="false">AVERAGE(B1046:B1245)</f>
        <v>12717.51445</v>
      </c>
      <c r="F1245" s="17" t="n">
        <f aca="false">B1245*2/13+F1244*11/13</f>
        <v>13825.3426816246</v>
      </c>
      <c r="G1245" s="17" t="n">
        <f aca="false">B1245*2/27+G1244*25/27</f>
        <v>13705.3331947545</v>
      </c>
      <c r="H1245" s="17" t="n">
        <f aca="false">F1245-G1245</f>
        <v>120.009486870065</v>
      </c>
      <c r="I1245" s="17" t="n">
        <f aca="false">H1245*2/10+I1244*8/10</f>
        <v>66.8268125472955</v>
      </c>
      <c r="J1245" s="17" t="n">
        <f aca="false">H1245-I1245</f>
        <v>53.1826743227699</v>
      </c>
      <c r="K1245" s="17" t="n">
        <f aca="false">MAX(B1245-B1244,0)</f>
        <v>129.900000000001</v>
      </c>
      <c r="L1245" s="17" t="n">
        <f aca="false">MAX(B1244-B1245,0)</f>
        <v>0</v>
      </c>
      <c r="M1245" s="17" t="n">
        <f aca="false">(M1244*13+K1245)/14</f>
        <v>65.265351712772</v>
      </c>
      <c r="N1245" s="17" t="n">
        <f aca="false">(N1244*13+L1245)/14</f>
        <v>32.3313027924994</v>
      </c>
      <c r="O1245" s="17" t="n">
        <f aca="false">IF(N1245=0,100,100-100/(1+M1245/N1245))</f>
        <v>66.8725296411128</v>
      </c>
      <c r="P1245" s="17" t="n">
        <f aca="false">AVERAGE(B1226:B1245)+2*STDEV(B1226:B1245)</f>
        <v>14141.0841881618</v>
      </c>
      <c r="Q1245" s="17" t="n">
        <f aca="false">AVERAGE(B1226:B1245)-2*STDEV(B1226:B1245)</f>
        <v>13175.6438118382</v>
      </c>
      <c r="R1245" s="19" t="n">
        <f aca="false">B1245/B1225-1</f>
        <v>0.054884896125772</v>
      </c>
      <c r="S1245" s="17" t="n">
        <f aca="false">STDEV(C1226:C1245)*SQRT(252)*100</f>
        <v>13.2596107654152</v>
      </c>
      <c r="T1245" s="19" t="n">
        <f aca="false">B1224/B994-1</f>
        <v>0.340830264020563</v>
      </c>
      <c r="U1245" s="19" t="n">
        <f aca="false">B1245/MAX(B994:B1245)-1</f>
        <v>0</v>
      </c>
      <c r="V1245" s="17" t="n">
        <f aca="false">(B1245-AVERAGE(B1226:B1245))/STDEV(B1226:B1245)</f>
        <v>1.94661839932219</v>
      </c>
    </row>
    <row r="1246" customFormat="false" ht="15" hidden="false" customHeight="false" outlineLevel="0" collapsed="false">
      <c r="A1246" s="17" t="s">
        <v>1810</v>
      </c>
      <c r="B1246" s="17" t="n">
        <v>14030.41</v>
      </c>
      <c r="C1246" s="19" t="n">
        <f aca="false">B1246/B1245-1</f>
        <v>-0.00692161775739308</v>
      </c>
      <c r="D1246" s="17" t="n">
        <f aca="false">AVERAGE(B1197:B1246)</f>
        <v>13702.8916</v>
      </c>
      <c r="E1246" s="17" t="n">
        <f aca="false">AVERAGE(B1047:B1246)</f>
        <v>12728.0357</v>
      </c>
      <c r="F1246" s="17" t="n">
        <f aca="false">B1246*2/13+F1245*11/13</f>
        <v>13856.8914998362</v>
      </c>
      <c r="G1246" s="17" t="n">
        <f aca="false">B1246*2/27+G1245*25/27</f>
        <v>13729.4129581061</v>
      </c>
      <c r="H1246" s="17" t="n">
        <f aca="false">F1246-G1246</f>
        <v>127.478541730152</v>
      </c>
      <c r="I1246" s="17" t="n">
        <f aca="false">H1246*2/10+I1245*8/10</f>
        <v>78.9571583838667</v>
      </c>
      <c r="J1246" s="17" t="n">
        <f aca="false">H1246-I1246</f>
        <v>48.5213833462851</v>
      </c>
      <c r="K1246" s="17" t="n">
        <f aca="false">MAX(B1246-B1245,0)</f>
        <v>0</v>
      </c>
      <c r="L1246" s="17" t="n">
        <f aca="false">MAX(B1245-B1246,0)</f>
        <v>97.7900000000009</v>
      </c>
      <c r="M1246" s="17" t="n">
        <f aca="false">(M1245*13+K1246)/14</f>
        <v>60.6035408761454</v>
      </c>
      <c r="N1246" s="17" t="n">
        <f aca="false">(N1245*13+L1246)/14</f>
        <v>37.0069240216066</v>
      </c>
      <c r="O1246" s="17" t="n">
        <f aca="false">IF(N1246=0,100,100-100/(1+M1246/N1246))</f>
        <v>62.0871347550985</v>
      </c>
      <c r="P1246" s="17" t="n">
        <f aca="false">AVERAGE(B1227:B1246)+2*STDEV(B1227:B1246)</f>
        <v>14175.5045799868</v>
      </c>
      <c r="Q1246" s="17" t="n">
        <f aca="false">AVERAGE(B1227:B1246)-2*STDEV(B1227:B1246)</f>
        <v>13212.9734200132</v>
      </c>
      <c r="R1246" s="19" t="n">
        <f aca="false">B1246/B1226-1</f>
        <v>0.0538950537485794</v>
      </c>
      <c r="S1246" s="17" t="n">
        <f aca="false">STDEV(C1227:C1246)*SQRT(252)*100</f>
        <v>13.3446122266592</v>
      </c>
      <c r="T1246" s="19" t="n">
        <f aca="false">B1225/B995-1</f>
        <v>0.34612744324515</v>
      </c>
      <c r="U1246" s="19" t="n">
        <f aca="false">B1246/MAX(B995:B1246)-1</f>
        <v>-0.00692161775739308</v>
      </c>
      <c r="V1246" s="17" t="n">
        <f aca="false">(B1246-AVERAGE(B1227:B1246))/STDEV(B1227:B1246)</f>
        <v>1.39702905829767</v>
      </c>
    </row>
    <row r="1247" customFormat="false" ht="15" hidden="false" customHeight="false" outlineLevel="0" collapsed="false">
      <c r="A1247" s="17" t="s">
        <v>1811</v>
      </c>
      <c r="B1247" s="17" t="n">
        <v>13983.01</v>
      </c>
      <c r="C1247" s="19" t="n">
        <f aca="false">B1247/B1246-1</f>
        <v>-0.00337837597048118</v>
      </c>
      <c r="D1247" s="17" t="n">
        <f aca="false">AVERAGE(B1198:B1247)</f>
        <v>13710.9826</v>
      </c>
      <c r="E1247" s="17" t="n">
        <f aca="false">AVERAGE(B1048:B1247)</f>
        <v>12737.9715</v>
      </c>
      <c r="F1247" s="17" t="n">
        <f aca="false">B1247*2/13+F1246*11/13</f>
        <v>13876.2943460153</v>
      </c>
      <c r="G1247" s="17" t="n">
        <f aca="false">B1247*2/27+G1246*25/27</f>
        <v>13748.1979241723</v>
      </c>
      <c r="H1247" s="17" t="n">
        <f aca="false">F1247-G1247</f>
        <v>128.096421842976</v>
      </c>
      <c r="I1247" s="17" t="n">
        <f aca="false">H1247*2/10+I1246*8/10</f>
        <v>88.7850110756886</v>
      </c>
      <c r="J1247" s="17" t="n">
        <f aca="false">H1247-I1247</f>
        <v>39.3114107672876</v>
      </c>
      <c r="K1247" s="17" t="n">
        <f aca="false">MAX(B1247-B1246,0)</f>
        <v>0</v>
      </c>
      <c r="L1247" s="17" t="n">
        <f aca="false">MAX(B1246-B1247,0)</f>
        <v>47.3999999999996</v>
      </c>
      <c r="M1247" s="17" t="n">
        <f aca="false">(M1246*13+K1247)/14</f>
        <v>56.2747165278493</v>
      </c>
      <c r="N1247" s="17" t="n">
        <f aca="false">(N1246*13+L1247)/14</f>
        <v>37.7492865914918</v>
      </c>
      <c r="O1247" s="17" t="n">
        <f aca="false">IF(N1247=0,100,100-100/(1+M1247/N1247))</f>
        <v>59.8514365065078</v>
      </c>
      <c r="P1247" s="17" t="n">
        <f aca="false">AVERAGE(B1228:B1247)+2*STDEV(B1228:B1247)</f>
        <v>14174.3133559009</v>
      </c>
      <c r="Q1247" s="17" t="n">
        <f aca="false">AVERAGE(B1228:B1247)-2*STDEV(B1228:B1247)</f>
        <v>13290.6976440991</v>
      </c>
      <c r="R1247" s="19" t="n">
        <f aca="false">B1247/B1227-1</f>
        <v>0.0579019918775459</v>
      </c>
      <c r="S1247" s="17" t="n">
        <f aca="false">STDEV(C1228:C1247)*SQRT(252)*100</f>
        <v>13.0401854441589</v>
      </c>
      <c r="T1247" s="19" t="n">
        <f aca="false">B1226/B996-1</f>
        <v>0.333627515406993</v>
      </c>
      <c r="U1247" s="19" t="n">
        <f aca="false">B1247/MAX(B996:B1247)-1</f>
        <v>-0.0102766099007658</v>
      </c>
      <c r="V1247" s="17" t="n">
        <f aca="false">(B1247-AVERAGE(B1228:B1247))/STDEV(B1228:B1247)</f>
        <v>1.13399749078326</v>
      </c>
    </row>
    <row r="1248" customFormat="false" ht="15" hidden="false" customHeight="false" outlineLevel="0" collapsed="false">
      <c r="A1248" s="17" t="s">
        <v>1812</v>
      </c>
      <c r="B1248" s="17" t="n">
        <v>14163.81</v>
      </c>
      <c r="C1248" s="19" t="n">
        <f aca="false">B1248/B1247-1</f>
        <v>0.0129299771651454</v>
      </c>
      <c r="D1248" s="17" t="n">
        <f aca="false">AVERAGE(B1199:B1248)</f>
        <v>13721.9248</v>
      </c>
      <c r="E1248" s="17" t="n">
        <f aca="false">AVERAGE(B1049:B1248)</f>
        <v>12748.23705</v>
      </c>
      <c r="F1248" s="17" t="n">
        <f aca="false">B1248*2/13+F1247*11/13</f>
        <v>13920.5275235514</v>
      </c>
      <c r="G1248" s="17" t="n">
        <f aca="false">B1248*2/27+G1247*25/27</f>
        <v>13778.9840038632</v>
      </c>
      <c r="H1248" s="17" t="n">
        <f aca="false">F1248-G1248</f>
        <v>141.54351968815</v>
      </c>
      <c r="I1248" s="17" t="n">
        <f aca="false">H1248*2/10+I1247*8/10</f>
        <v>99.3367127981809</v>
      </c>
      <c r="J1248" s="17" t="n">
        <f aca="false">H1248-I1248</f>
        <v>42.206806889969</v>
      </c>
      <c r="K1248" s="17" t="n">
        <f aca="false">MAX(B1248-B1247,0)</f>
        <v>180.799999999999</v>
      </c>
      <c r="L1248" s="17" t="n">
        <f aca="false">MAX(B1247-B1248,0)</f>
        <v>0</v>
      </c>
      <c r="M1248" s="17" t="n">
        <f aca="false">(M1247*13+K1248)/14</f>
        <v>65.1693796330029</v>
      </c>
      <c r="N1248" s="17" t="n">
        <f aca="false">(N1247*13+L1248)/14</f>
        <v>35.0529089778138</v>
      </c>
      <c r="O1248" s="17" t="n">
        <f aca="false">IF(N1248=0,100,100-100/(1+M1248/N1248))</f>
        <v>65.0248368265354</v>
      </c>
      <c r="P1248" s="17" t="n">
        <f aca="false">AVERAGE(B1229:B1248)+2*STDEV(B1229:B1248)</f>
        <v>14195.7333318731</v>
      </c>
      <c r="Q1248" s="17" t="n">
        <f aca="false">AVERAGE(B1229:B1248)-2*STDEV(B1229:B1248)</f>
        <v>13361.8676681269</v>
      </c>
      <c r="R1248" s="19" t="n">
        <f aca="false">B1248/B1228-1</f>
        <v>0.0699430650306581</v>
      </c>
      <c r="S1248" s="17" t="n">
        <f aca="false">STDEV(C1229:C1248)*SQRT(252)*100</f>
        <v>13.5066396328814</v>
      </c>
      <c r="T1248" s="19" t="n">
        <f aca="false">B1227/B997-1</f>
        <v>0.320177186490279</v>
      </c>
      <c r="U1248" s="19" t="n">
        <f aca="false">B1248/MAX(B997:B1248)-1</f>
        <v>0</v>
      </c>
      <c r="V1248" s="17" t="n">
        <f aca="false">(B1248-AVERAGE(B1229:B1248))/STDEV(B1229:B1248)</f>
        <v>1.84686582858135</v>
      </c>
    </row>
    <row r="1249" customFormat="false" ht="15" hidden="false" customHeight="false" outlineLevel="0" collapsed="false">
      <c r="A1249" s="17" t="s">
        <v>1813</v>
      </c>
      <c r="B1249" s="17" t="n">
        <v>14049.58</v>
      </c>
      <c r="C1249" s="19" t="n">
        <f aca="false">B1249/B1248-1</f>
        <v>-0.0080649203851223</v>
      </c>
      <c r="D1249" s="17" t="n">
        <f aca="false">AVERAGE(B1200:B1249)</f>
        <v>13727.7462</v>
      </c>
      <c r="E1249" s="17" t="n">
        <f aca="false">AVERAGE(B1050:B1249)</f>
        <v>12757.02065</v>
      </c>
      <c r="F1249" s="17" t="n">
        <f aca="false">B1249*2/13+F1248*11/13</f>
        <v>13940.3817506973</v>
      </c>
      <c r="G1249" s="17" t="n">
        <f aca="false">B1249*2/27+G1248*25/27</f>
        <v>13799.0281517252</v>
      </c>
      <c r="H1249" s="17" t="n">
        <f aca="false">F1249-G1249</f>
        <v>141.353598972109</v>
      </c>
      <c r="I1249" s="17" t="n">
        <f aca="false">H1249*2/10+I1248*8/10</f>
        <v>107.740090032967</v>
      </c>
      <c r="J1249" s="17" t="n">
        <f aca="false">H1249-I1249</f>
        <v>33.6135089391429</v>
      </c>
      <c r="K1249" s="17" t="n">
        <f aca="false">MAX(B1249-B1248,0)</f>
        <v>0</v>
      </c>
      <c r="L1249" s="17" t="n">
        <f aca="false">MAX(B1248-B1249,0)</f>
        <v>114.23</v>
      </c>
      <c r="M1249" s="17" t="n">
        <f aca="false">(M1248*13+K1249)/14</f>
        <v>60.5144239449313</v>
      </c>
      <c r="N1249" s="17" t="n">
        <f aca="false">(N1248*13+L1249)/14</f>
        <v>40.7084154793985</v>
      </c>
      <c r="O1249" s="17" t="n">
        <f aca="false">IF(N1249=0,100,100-100/(1+M1249/N1249))</f>
        <v>59.783369335504</v>
      </c>
      <c r="P1249" s="17" t="n">
        <f aca="false">AVERAGE(B1230:B1249)+2*STDEV(B1230:B1249)</f>
        <v>14217.6172431102</v>
      </c>
      <c r="Q1249" s="17" t="n">
        <f aca="false">AVERAGE(B1230:B1249)-2*STDEV(B1230:B1249)</f>
        <v>13395.5327568898</v>
      </c>
      <c r="R1249" s="19" t="n">
        <f aca="false">B1249/B1229-1</f>
        <v>0.0411654287173124</v>
      </c>
      <c r="S1249" s="17" t="n">
        <f aca="false">STDEV(C1230:C1249)*SQRT(252)*100</f>
        <v>12.6993928493175</v>
      </c>
      <c r="T1249" s="19" t="n">
        <f aca="false">B1228/B998-1</f>
        <v>0.322648231927615</v>
      </c>
      <c r="U1249" s="19" t="n">
        <f aca="false">B1249/MAX(B998:B1249)-1</f>
        <v>-0.0080649203851223</v>
      </c>
      <c r="V1249" s="17" t="n">
        <f aca="false">(B1249-AVERAGE(B1230:B1249))/STDEV(B1230:B1249)</f>
        <v>1.18238455571516</v>
      </c>
    </row>
    <row r="1250" customFormat="false" ht="15" hidden="false" customHeight="false" outlineLevel="0" collapsed="false">
      <c r="A1250" s="17" t="s">
        <v>1814</v>
      </c>
      <c r="B1250" s="17" t="n">
        <v>14137.23</v>
      </c>
      <c r="C1250" s="19" t="n">
        <f aca="false">B1250/B1249-1</f>
        <v>0.0062386206562759</v>
      </c>
      <c r="D1250" s="17" t="n">
        <f aca="false">AVERAGE(B1201:B1250)</f>
        <v>13733.5896</v>
      </c>
      <c r="E1250" s="17" t="n">
        <f aca="false">AVERAGE(B1051:B1250)</f>
        <v>12765.6041</v>
      </c>
      <c r="F1250" s="17" t="n">
        <f aca="false">B1250*2/13+F1249*11/13</f>
        <v>13970.6660967439</v>
      </c>
      <c r="G1250" s="17" t="n">
        <f aca="false">B1250*2/27+G1249*25/27</f>
        <v>13824.0801404863</v>
      </c>
      <c r="H1250" s="17" t="n">
        <f aca="false">F1250-G1250</f>
        <v>146.585956257581</v>
      </c>
      <c r="I1250" s="17" t="n">
        <f aca="false">H1250*2/10+I1249*8/10</f>
        <v>115.509263277889</v>
      </c>
      <c r="J1250" s="17" t="n">
        <f aca="false">H1250-I1250</f>
        <v>31.0766929796912</v>
      </c>
      <c r="K1250" s="17" t="n">
        <f aca="false">MAX(B1250-B1249,0)</f>
        <v>87.6499999999996</v>
      </c>
      <c r="L1250" s="17" t="n">
        <f aca="false">MAX(B1249-B1250,0)</f>
        <v>0</v>
      </c>
      <c r="M1250" s="17" t="n">
        <f aca="false">(M1249*13+K1250)/14</f>
        <v>62.4526793774361</v>
      </c>
      <c r="N1250" s="17" t="n">
        <f aca="false">(N1249*13+L1250)/14</f>
        <v>37.8006715165843</v>
      </c>
      <c r="O1250" s="17" t="n">
        <f aca="false">IF(N1250=0,100,100-100/(1+M1250/N1250))</f>
        <v>62.2948548058567</v>
      </c>
      <c r="P1250" s="17" t="n">
        <f aca="false">AVERAGE(B1231:B1250)+2*STDEV(B1231:B1250)</f>
        <v>14234.78423181</v>
      </c>
      <c r="Q1250" s="17" t="n">
        <f aca="false">AVERAGE(B1231:B1250)-2*STDEV(B1231:B1250)</f>
        <v>13450.91476819</v>
      </c>
      <c r="R1250" s="19" t="n">
        <f aca="false">B1250/B1230-1</f>
        <v>0.0540936522777804</v>
      </c>
      <c r="S1250" s="17" t="n">
        <f aca="false">STDEV(C1231:C1250)*SQRT(252)*100</f>
        <v>12.4007339615799</v>
      </c>
      <c r="T1250" s="19" t="n">
        <f aca="false">B1229/B999-1</f>
        <v>0.332048413032942</v>
      </c>
      <c r="U1250" s="19" t="n">
        <f aca="false">B1250/MAX(B999:B1250)-1</f>
        <v>-0.00187661370775238</v>
      </c>
      <c r="V1250" s="17" t="n">
        <f aca="false">(B1250-AVERAGE(B1231:B1250))/STDEV(B1231:B1250)</f>
        <v>1.50219144213397</v>
      </c>
    </row>
    <row r="1251" customFormat="false" ht="15" hidden="false" customHeight="false" outlineLevel="0" collapsed="false">
      <c r="A1251" s="17" t="s">
        <v>1815</v>
      </c>
      <c r="B1251" s="17" t="n">
        <v>14270.42</v>
      </c>
      <c r="C1251" s="19" t="n">
        <f aca="false">B1251/B1250-1</f>
        <v>0.00942122325236272</v>
      </c>
      <c r="D1251" s="17" t="n">
        <f aca="false">AVERAGE(B1202:B1251)</f>
        <v>13742.611</v>
      </c>
      <c r="E1251" s="17" t="n">
        <f aca="false">AVERAGE(B1052:B1251)</f>
        <v>12778.09935</v>
      </c>
      <c r="F1251" s="17" t="n">
        <f aca="false">B1251*2/13+F1250*11/13</f>
        <v>14016.7820818602</v>
      </c>
      <c r="G1251" s="17" t="n">
        <f aca="false">B1251*2/27+G1250*25/27</f>
        <v>13857.1423523021</v>
      </c>
      <c r="H1251" s="17" t="n">
        <f aca="false">F1251-G1251</f>
        <v>159.639729558077</v>
      </c>
      <c r="I1251" s="17" t="n">
        <f aca="false">H1251*2/10+I1250*8/10</f>
        <v>124.335356533927</v>
      </c>
      <c r="J1251" s="17" t="n">
        <f aca="false">H1251-I1251</f>
        <v>35.3043730241503</v>
      </c>
      <c r="K1251" s="17" t="n">
        <f aca="false">MAX(B1251-B1250,0)</f>
        <v>133.190000000001</v>
      </c>
      <c r="L1251" s="17" t="n">
        <f aca="false">MAX(B1250-B1251,0)</f>
        <v>0</v>
      </c>
      <c r="M1251" s="17" t="n">
        <f aca="false">(M1250*13+K1251)/14</f>
        <v>67.5053451361907</v>
      </c>
      <c r="N1251" s="17" t="n">
        <f aca="false">(N1250*13+L1251)/14</f>
        <v>35.100623551114</v>
      </c>
      <c r="O1251" s="17" t="n">
        <f aca="false">IF(N1251=0,100,100-100/(1+M1251/N1251))</f>
        <v>65.7908560289661</v>
      </c>
      <c r="P1251" s="17" t="n">
        <f aca="false">AVERAGE(B1232:B1251)+2*STDEV(B1232:B1251)</f>
        <v>14297.8704822016</v>
      </c>
      <c r="Q1251" s="17" t="n">
        <f aca="false">AVERAGE(B1232:B1251)-2*STDEV(B1232:B1251)</f>
        <v>13450.6955177984</v>
      </c>
      <c r="R1251" s="19" t="n">
        <f aca="false">B1251/B1231-1</f>
        <v>0.0460842633826306</v>
      </c>
      <c r="S1251" s="17" t="n">
        <f aca="false">STDEV(C1232:C1251)*SQRT(252)*100</f>
        <v>11.4721999189239</v>
      </c>
      <c r="T1251" s="19" t="n">
        <f aca="false">B1230/B1000-1</f>
        <v>0.313611797269687</v>
      </c>
      <c r="U1251" s="19" t="n">
        <f aca="false">B1251/MAX(B1000:B1251)-1</f>
        <v>0</v>
      </c>
      <c r="V1251" s="17" t="n">
        <f aca="false">(B1251-AVERAGE(B1232:B1251))/STDEV(B1232:B1251)</f>
        <v>1.87039049379397</v>
      </c>
    </row>
    <row r="1252" customFormat="false" ht="15" hidden="false" customHeight="false" outlineLevel="0" collapsed="false">
      <c r="A1252" s="17" t="s">
        <v>1816</v>
      </c>
      <c r="B1252" s="17" t="n">
        <v>14274.24</v>
      </c>
      <c r="C1252" s="19" t="n">
        <f aca="false">B1252/B1251-1</f>
        <v>0.00026768658525822</v>
      </c>
      <c r="D1252" s="17" t="n">
        <f aca="false">AVERAGE(B1203:B1252)</f>
        <v>13748.366</v>
      </c>
      <c r="E1252" s="17" t="n">
        <f aca="false">AVERAGE(B1053:B1252)</f>
        <v>12791.3599</v>
      </c>
      <c r="F1252" s="17" t="n">
        <f aca="false">B1252*2/13+F1251*11/13</f>
        <v>14056.3909923432</v>
      </c>
      <c r="G1252" s="17" t="n">
        <f aca="false">B1252*2/27+G1251*25/27</f>
        <v>13888.0384743538</v>
      </c>
      <c r="H1252" s="17" t="n">
        <f aca="false">F1252-G1252</f>
        <v>168.352517989428</v>
      </c>
      <c r="I1252" s="17" t="n">
        <f aca="false">H1252*2/10+I1251*8/10</f>
        <v>133.138788825027</v>
      </c>
      <c r="J1252" s="17" t="n">
        <f aca="false">H1252-I1252</f>
        <v>35.2137291644006</v>
      </c>
      <c r="K1252" s="17" t="n">
        <f aca="false">MAX(B1252-B1251,0)</f>
        <v>3.81999999999971</v>
      </c>
      <c r="L1252" s="17" t="n">
        <f aca="false">MAX(B1251-B1252,0)</f>
        <v>0</v>
      </c>
      <c r="M1252" s="17" t="n">
        <f aca="false">(M1251*13+K1252)/14</f>
        <v>62.9563919121771</v>
      </c>
      <c r="N1252" s="17" t="n">
        <f aca="false">(N1251*13+L1252)/14</f>
        <v>32.5934361546059</v>
      </c>
      <c r="O1252" s="17" t="n">
        <f aca="false">IF(N1252=0,100,100-100/(1+M1252/N1252))</f>
        <v>65.8885454698828</v>
      </c>
      <c r="P1252" s="17" t="n">
        <f aca="false">AVERAGE(B1233:B1252)+2*STDEV(B1233:B1252)</f>
        <v>14351.4601097275</v>
      </c>
      <c r="Q1252" s="17" t="n">
        <f aca="false">AVERAGE(B1233:B1252)-2*STDEV(B1233:B1252)</f>
        <v>13458.7568902725</v>
      </c>
      <c r="R1252" s="19" t="n">
        <f aca="false">B1252/B1232-1</f>
        <v>0.0451400049642217</v>
      </c>
      <c r="S1252" s="17" t="n">
        <f aca="false">STDEV(C1233:C1252)*SQRT(252)*100</f>
        <v>11.4882558197519</v>
      </c>
      <c r="T1252" s="19" t="n">
        <f aca="false">B1231/B1001-1</f>
        <v>0.363806772171514</v>
      </c>
      <c r="U1252" s="19" t="n">
        <f aca="false">B1252/MAX(B1001:B1252)-1</f>
        <v>0</v>
      </c>
      <c r="V1252" s="17" t="n">
        <f aca="false">(B1252-AVERAGE(B1233:B1252))/STDEV(B1233:B1252)</f>
        <v>1.65399425903436</v>
      </c>
    </row>
    <row r="1253" customFormat="false" ht="15" hidden="false" customHeight="false" outlineLevel="0" collapsed="false">
      <c r="A1253" s="17" t="s">
        <v>1817</v>
      </c>
      <c r="B1253" s="17" t="n">
        <v>14365.96</v>
      </c>
      <c r="C1253" s="19" t="n">
        <f aca="false">B1253/B1252-1</f>
        <v>0.00642556101060365</v>
      </c>
      <c r="D1253" s="17" t="n">
        <f aca="false">AVERAGE(B1204:B1253)</f>
        <v>13759.607</v>
      </c>
      <c r="E1253" s="17" t="n">
        <f aca="false">AVERAGE(B1054:B1253)</f>
        <v>12807.8484</v>
      </c>
      <c r="F1253" s="17" t="n">
        <f aca="false">B1253*2/13+F1252*11/13</f>
        <v>14104.0169935212</v>
      </c>
      <c r="G1253" s="17" t="n">
        <f aca="false">B1253*2/27+G1252*25/27</f>
        <v>13923.4400688461</v>
      </c>
      <c r="H1253" s="17" t="n">
        <f aca="false">F1253-G1253</f>
        <v>180.576924675079</v>
      </c>
      <c r="I1253" s="17" t="n">
        <f aca="false">H1253*2/10+I1252*8/10</f>
        <v>142.626415995037</v>
      </c>
      <c r="J1253" s="17" t="n">
        <f aca="false">H1253-I1253</f>
        <v>37.9505086800413</v>
      </c>
      <c r="K1253" s="17" t="n">
        <f aca="false">MAX(B1253-B1252,0)</f>
        <v>91.7199999999994</v>
      </c>
      <c r="L1253" s="17" t="n">
        <f aca="false">MAX(B1252-B1253,0)</f>
        <v>0</v>
      </c>
      <c r="M1253" s="17" t="n">
        <f aca="false">(M1252*13+K1253)/14</f>
        <v>65.0109353470215</v>
      </c>
      <c r="N1253" s="17" t="n">
        <f aca="false">(N1252*13+L1253)/14</f>
        <v>30.265333572134</v>
      </c>
      <c r="O1253" s="17" t="n">
        <f aca="false">IF(N1253=0,100,100-100/(1+M1253/N1253))</f>
        <v>68.2341322603481</v>
      </c>
      <c r="P1253" s="17" t="n">
        <f aca="false">AVERAGE(B1234:B1253)+2*STDEV(B1234:B1253)</f>
        <v>14418.5719079177</v>
      </c>
      <c r="Q1253" s="17" t="n">
        <f aca="false">AVERAGE(B1234:B1253)-2*STDEV(B1234:B1253)</f>
        <v>13457.9670920823</v>
      </c>
      <c r="R1253" s="19" t="n">
        <f aca="false">B1253/B1233-1</f>
        <v>0.0484005388703281</v>
      </c>
      <c r="S1253" s="17" t="n">
        <f aca="false">STDEV(C1234:C1253)*SQRT(252)*100</f>
        <v>11.5799470515925</v>
      </c>
      <c r="T1253" s="19" t="n">
        <f aca="false">B1232/B1002-1</f>
        <v>0.352005527711316</v>
      </c>
      <c r="U1253" s="19" t="n">
        <f aca="false">B1253/MAX(B1002:B1253)-1</f>
        <v>0</v>
      </c>
      <c r="V1253" s="17" t="n">
        <f aca="false">(B1253-AVERAGE(B1234:B1253))/STDEV(B1234:B1253)</f>
        <v>1.78092173992702</v>
      </c>
    </row>
    <row r="1254" customFormat="false" ht="15" hidden="false" customHeight="false" outlineLevel="0" collapsed="false">
      <c r="A1254" s="17" t="s">
        <v>1818</v>
      </c>
      <c r="B1254" s="17" t="n">
        <v>14345.18</v>
      </c>
      <c r="C1254" s="19" t="n">
        <f aca="false">B1254/B1253-1</f>
        <v>-0.00144647486140836</v>
      </c>
      <c r="D1254" s="17" t="n">
        <f aca="false">AVERAGE(B1205:B1254)</f>
        <v>13765.9868</v>
      </c>
      <c r="E1254" s="17" t="n">
        <f aca="false">AVERAGE(B1055:B1254)</f>
        <v>12822.59505</v>
      </c>
      <c r="F1254" s="17" t="n">
        <f aca="false">B1254*2/13+F1253*11/13</f>
        <v>14141.1189945179</v>
      </c>
      <c r="G1254" s="17" t="n">
        <f aca="false">B1254*2/27+G1253*25/27</f>
        <v>13954.6800637464</v>
      </c>
      <c r="H1254" s="17" t="n">
        <f aca="false">F1254-G1254</f>
        <v>186.43893077153</v>
      </c>
      <c r="I1254" s="17" t="n">
        <f aca="false">H1254*2/10+I1253*8/10</f>
        <v>151.388918950336</v>
      </c>
      <c r="J1254" s="17" t="n">
        <f aca="false">H1254-I1254</f>
        <v>35.0500118211941</v>
      </c>
      <c r="K1254" s="17" t="n">
        <f aca="false">MAX(B1254-B1253,0)</f>
        <v>0</v>
      </c>
      <c r="L1254" s="17" t="n">
        <f aca="false">MAX(B1253-B1254,0)</f>
        <v>20.7799999999988</v>
      </c>
      <c r="M1254" s="17" t="n">
        <f aca="false">(M1253*13+K1254)/14</f>
        <v>60.3672971079486</v>
      </c>
      <c r="N1254" s="17" t="n">
        <f aca="false">(N1253*13+L1254)/14</f>
        <v>29.587809745553</v>
      </c>
      <c r="O1254" s="17" t="n">
        <f aca="false">IF(N1254=0,100,100-100/(1+M1254/N1254))</f>
        <v>67.1082490138788</v>
      </c>
      <c r="P1254" s="17" t="n">
        <f aca="false">AVERAGE(B1235:B1254)+2*STDEV(B1235:B1254)</f>
        <v>14466.6207317223</v>
      </c>
      <c r="Q1254" s="17" t="n">
        <f aca="false">AVERAGE(B1235:B1254)-2*STDEV(B1235:B1254)</f>
        <v>13478.6512682777</v>
      </c>
      <c r="R1254" s="19" t="n">
        <f aca="false">B1254/B1234-1</f>
        <v>0.0503249047251215</v>
      </c>
      <c r="S1254" s="17" t="n">
        <f aca="false">STDEV(C1235:C1254)*SQRT(252)*100</f>
        <v>11.4789623545832</v>
      </c>
      <c r="T1254" s="19" t="n">
        <f aca="false">B1233/B1003-1</f>
        <v>0.391231511489071</v>
      </c>
      <c r="U1254" s="19" t="n">
        <f aca="false">B1254/MAX(B1003:B1254)-1</f>
        <v>-0.00144647486140836</v>
      </c>
      <c r="V1254" s="17" t="n">
        <f aca="false">(B1254-AVERAGE(B1235:B1254))/STDEV(B1235:B1254)</f>
        <v>1.50832192202023</v>
      </c>
    </row>
    <row r="1255" customFormat="false" ht="15" hidden="false" customHeight="false" outlineLevel="0" collapsed="false">
      <c r="A1255" s="17" t="s">
        <v>1819</v>
      </c>
      <c r="B1255" s="17" t="n">
        <v>14524.98</v>
      </c>
      <c r="C1255" s="19" t="n">
        <f aca="false">B1255/B1254-1</f>
        <v>0.0125338266930077</v>
      </c>
      <c r="D1255" s="17" t="n">
        <f aca="false">AVERAGE(B1206:B1255)</f>
        <v>13775.6482</v>
      </c>
      <c r="E1255" s="17" t="n">
        <f aca="false">AVERAGE(B1056:B1255)</f>
        <v>12839.44935</v>
      </c>
      <c r="F1255" s="17" t="n">
        <f aca="false">B1255*2/13+F1254*11/13</f>
        <v>14200.1745338229</v>
      </c>
      <c r="G1255" s="17" t="n">
        <f aca="false">B1255*2/27+G1254*25/27</f>
        <v>13996.9245034689</v>
      </c>
      <c r="H1255" s="17" t="n">
        <f aca="false">F1255-G1255</f>
        <v>203.250030353976</v>
      </c>
      <c r="I1255" s="17" t="n">
        <f aca="false">H1255*2/10+I1254*8/10</f>
        <v>161.761141231064</v>
      </c>
      <c r="J1255" s="17" t="n">
        <f aca="false">H1255-I1255</f>
        <v>41.4888891229123</v>
      </c>
      <c r="K1255" s="17" t="n">
        <f aca="false">MAX(B1255-B1254,0)</f>
        <v>179.799999999999</v>
      </c>
      <c r="L1255" s="17" t="n">
        <f aca="false">MAX(B1254-B1255,0)</f>
        <v>0</v>
      </c>
      <c r="M1255" s="17" t="n">
        <f aca="false">(M1254*13+K1255)/14</f>
        <v>68.8982044573808</v>
      </c>
      <c r="N1255" s="17" t="n">
        <f aca="false">(N1254*13+L1255)/14</f>
        <v>27.4743947637277</v>
      </c>
      <c r="O1255" s="17" t="n">
        <f aca="false">IF(N1255=0,100,100-100/(1+M1255/N1255))</f>
        <v>71.4914872217019</v>
      </c>
      <c r="P1255" s="17" t="n">
        <f aca="false">AVERAGE(B1236:B1255)+2*STDEV(B1236:B1255)</f>
        <v>14547.1131407863</v>
      </c>
      <c r="Q1255" s="17" t="n">
        <f aca="false">AVERAGE(B1236:B1255)-2*STDEV(B1236:B1255)</f>
        <v>13482.0058592137</v>
      </c>
      <c r="R1255" s="19" t="n">
        <f aca="false">B1255/B1235-1</f>
        <v>0.0612625132338338</v>
      </c>
      <c r="S1255" s="17" t="n">
        <f aca="false">STDEV(C1236:C1255)*SQRT(252)*100</f>
        <v>12.017646234867</v>
      </c>
      <c r="T1255" s="19" t="n">
        <f aca="false">B1234/B1004-1</f>
        <v>0.371110392765501</v>
      </c>
      <c r="U1255" s="19" t="n">
        <f aca="false">B1255/MAX(B1004:B1255)-1</f>
        <v>0</v>
      </c>
      <c r="V1255" s="17" t="n">
        <f aca="false">(B1255-AVERAGE(B1236:B1255))/STDEV(B1236:B1255)</f>
        <v>1.9168792058069</v>
      </c>
    </row>
    <row r="1256" customFormat="false" ht="15" hidden="false" customHeight="false" outlineLevel="0" collapsed="false">
      <c r="A1256" s="17" t="s">
        <v>1820</v>
      </c>
      <c r="B1256" s="17" t="n">
        <v>14572.75</v>
      </c>
      <c r="C1256" s="19" t="n">
        <f aca="false">B1256/B1255-1</f>
        <v>0.00328881692091843</v>
      </c>
      <c r="D1256" s="17" t="n">
        <f aca="false">AVERAGE(B1207:B1256)</f>
        <v>13788.9498</v>
      </c>
      <c r="E1256" s="17" t="n">
        <f aca="false">AVERAGE(B1057:B1256)</f>
        <v>12856.8761</v>
      </c>
      <c r="F1256" s="17" t="n">
        <f aca="false">B1256*2/13+F1255*11/13</f>
        <v>14257.4938363117</v>
      </c>
      <c r="G1256" s="17" t="n">
        <f aca="false">B1256*2/27+G1255*25/27</f>
        <v>14039.5782439527</v>
      </c>
      <c r="H1256" s="17" t="n">
        <f aca="false">F1256-G1256</f>
        <v>217.915592358981</v>
      </c>
      <c r="I1256" s="17" t="n">
        <f aca="false">H1256*2/10+I1255*8/10</f>
        <v>172.992031456647</v>
      </c>
      <c r="J1256" s="17" t="n">
        <f aca="false">H1256-I1256</f>
        <v>44.9235609023332</v>
      </c>
      <c r="K1256" s="17" t="n">
        <f aca="false">MAX(B1256-B1255,0)</f>
        <v>47.7700000000004</v>
      </c>
      <c r="L1256" s="17" t="n">
        <f aca="false">MAX(B1255-B1256,0)</f>
        <v>0</v>
      </c>
      <c r="M1256" s="17" t="n">
        <f aca="false">(M1255*13+K1256)/14</f>
        <v>67.3890469961393</v>
      </c>
      <c r="N1256" s="17" t="n">
        <f aca="false">(N1255*13+L1256)/14</f>
        <v>25.51193799489</v>
      </c>
      <c r="O1256" s="17" t="n">
        <f aca="false">IF(N1256=0,100,100-100/(1+M1256/N1256))</f>
        <v>72.5385710416811</v>
      </c>
      <c r="P1256" s="17" t="n">
        <f aca="false">AVERAGE(B1237:B1256)+2*STDEV(B1237:B1256)</f>
        <v>14619.9806832462</v>
      </c>
      <c r="Q1256" s="17" t="n">
        <f aca="false">AVERAGE(B1237:B1256)-2*STDEV(B1237:B1256)</f>
        <v>13500.9543167538</v>
      </c>
      <c r="R1256" s="19" t="n">
        <f aca="false">B1256/B1236-1</f>
        <v>0.0672418578661096</v>
      </c>
      <c r="S1256" s="17" t="n">
        <f aca="false">STDEV(C1237:C1256)*SQRT(252)*100</f>
        <v>11.8510571046283</v>
      </c>
      <c r="T1256" s="19" t="n">
        <f aca="false">B1235/B1005-1</f>
        <v>0.347515223716014</v>
      </c>
      <c r="U1256" s="19" t="n">
        <f aca="false">B1256/MAX(B1005:B1256)-1</f>
        <v>0</v>
      </c>
      <c r="V1256" s="17" t="n">
        <f aca="false">(B1256-AVERAGE(B1237:B1256))/STDEV(B1237:B1256)</f>
        <v>1.83117222378143</v>
      </c>
    </row>
    <row r="1257" customFormat="false" ht="15" hidden="false" customHeight="false" outlineLevel="0" collapsed="false">
      <c r="A1257" s="17" t="s">
        <v>1821</v>
      </c>
      <c r="B1257" s="17" t="n">
        <v>14554.8</v>
      </c>
      <c r="C1257" s="19" t="n">
        <f aca="false">B1257/B1256-1</f>
        <v>-0.00123175104218498</v>
      </c>
      <c r="D1257" s="17" t="n">
        <f aca="false">AVERAGE(B1208:B1257)</f>
        <v>13803.8598</v>
      </c>
      <c r="E1257" s="17" t="n">
        <f aca="false">AVERAGE(B1058:B1257)</f>
        <v>12873.2613</v>
      </c>
      <c r="F1257" s="17" t="n">
        <f aca="false">B1257*2/13+F1256*11/13</f>
        <v>14303.2332461099</v>
      </c>
      <c r="G1257" s="17" t="n">
        <f aca="false">B1257*2/27+G1256*25/27</f>
        <v>14077.7428184747</v>
      </c>
      <c r="H1257" s="17" t="n">
        <f aca="false">F1257-G1257</f>
        <v>225.490427635163</v>
      </c>
      <c r="I1257" s="17" t="n">
        <f aca="false">H1257*2/10+I1256*8/10</f>
        <v>183.49171069235</v>
      </c>
      <c r="J1257" s="17" t="n">
        <f aca="false">H1257-I1257</f>
        <v>41.9987169428122</v>
      </c>
      <c r="K1257" s="17" t="n">
        <f aca="false">MAX(B1257-B1256,0)</f>
        <v>0</v>
      </c>
      <c r="L1257" s="17" t="n">
        <f aca="false">MAX(B1256-B1257,0)</f>
        <v>17.9500000000007</v>
      </c>
      <c r="M1257" s="17" t="n">
        <f aca="false">(M1256*13+K1257)/14</f>
        <v>62.5755436392722</v>
      </c>
      <c r="N1257" s="17" t="n">
        <f aca="false">(N1256*13+L1257)/14</f>
        <v>24.9717995666837</v>
      </c>
      <c r="O1257" s="17" t="n">
        <f aca="false">IF(N1257=0,100,100-100/(1+M1257/N1257))</f>
        <v>71.4762337128412</v>
      </c>
      <c r="P1257" s="17" t="n">
        <f aca="false">AVERAGE(B1238:B1257)+2*STDEV(B1238:B1257)</f>
        <v>14674.6933117426</v>
      </c>
      <c r="Q1257" s="17" t="n">
        <f aca="false">AVERAGE(B1238:B1257)-2*STDEV(B1238:B1257)</f>
        <v>13534.1426882574</v>
      </c>
      <c r="R1257" s="19" t="n">
        <f aca="false">B1257/B1237-1</f>
        <v>0.0642748974647898</v>
      </c>
      <c r="S1257" s="17" t="n">
        <f aca="false">STDEV(C1238:C1257)*SQRT(252)*100</f>
        <v>11.9458916254582</v>
      </c>
      <c r="T1257" s="19" t="n">
        <f aca="false">B1236/B1006-1</f>
        <v>0.328364423474475</v>
      </c>
      <c r="U1257" s="19" t="n">
        <f aca="false">B1257/MAX(B1006:B1257)-1</f>
        <v>-0.00123175104218498</v>
      </c>
      <c r="V1257" s="17" t="n">
        <f aca="false">(B1257-AVERAGE(B1238:B1257))/STDEV(B1238:B1257)</f>
        <v>1.57952480398891</v>
      </c>
    </row>
    <row r="1258" customFormat="false" ht="15" hidden="false" customHeight="false" outlineLevel="0" collapsed="false">
      <c r="A1258" s="17" t="s">
        <v>1822</v>
      </c>
      <c r="B1258" s="17" t="n">
        <v>14560.05</v>
      </c>
      <c r="C1258" s="19" t="n">
        <f aca="false">B1258/B1257-1</f>
        <v>0.000360705746557777</v>
      </c>
      <c r="D1258" s="17" t="n">
        <f aca="false">AVERAGE(B1209:B1258)</f>
        <v>13816.3578</v>
      </c>
      <c r="E1258" s="17" t="n">
        <f aca="false">AVERAGE(B1059:B1258)</f>
        <v>12888.8672</v>
      </c>
      <c r="F1258" s="17" t="n">
        <f aca="false">B1258*2/13+F1257*11/13</f>
        <v>14342.7435159391</v>
      </c>
      <c r="G1258" s="17" t="n">
        <f aca="false">B1258*2/27+G1257*25/27</f>
        <v>14113.4692763655</v>
      </c>
      <c r="H1258" s="17" t="n">
        <f aca="false">F1258-G1258</f>
        <v>229.274239573651</v>
      </c>
      <c r="I1258" s="17" t="n">
        <f aca="false">H1258*2/10+I1257*8/10</f>
        <v>192.648216468611</v>
      </c>
      <c r="J1258" s="17" t="n">
        <f aca="false">H1258-I1258</f>
        <v>36.6260231050407</v>
      </c>
      <c r="K1258" s="17" t="n">
        <f aca="false">MAX(B1258-B1257,0)</f>
        <v>5.25</v>
      </c>
      <c r="L1258" s="17" t="n">
        <f aca="false">MAX(B1257-B1258,0)</f>
        <v>0</v>
      </c>
      <c r="M1258" s="17" t="n">
        <f aca="false">(M1257*13+K1258)/14</f>
        <v>58.4808619507528</v>
      </c>
      <c r="N1258" s="17" t="n">
        <f aca="false">(N1257*13+L1258)/14</f>
        <v>23.1880995976348</v>
      </c>
      <c r="O1258" s="17" t="n">
        <f aca="false">IF(N1258=0,100,100-100/(1+M1258/N1258))</f>
        <v>71.6072065102772</v>
      </c>
      <c r="P1258" s="17" t="n">
        <f aca="false">AVERAGE(B1239:B1258)+2*STDEV(B1239:B1258)</f>
        <v>14692.7810442055</v>
      </c>
      <c r="Q1258" s="17" t="n">
        <f aca="false">AVERAGE(B1239:B1258)-2*STDEV(B1239:B1258)</f>
        <v>13619.0919557945</v>
      </c>
      <c r="R1258" s="19" t="n">
        <f aca="false">B1258/B1238-1</f>
        <v>0.0761562727278102</v>
      </c>
      <c r="S1258" s="17" t="n">
        <f aca="false">STDEV(C1239:C1258)*SQRT(252)*100</f>
        <v>10.8423048820964</v>
      </c>
      <c r="T1258" s="19" t="n">
        <f aca="false">B1237/B1007-1</f>
        <v>0.322368541920288</v>
      </c>
      <c r="U1258" s="19" t="n">
        <f aca="false">B1258/MAX(B1007:B1258)-1</f>
        <v>-0.000871489595306363</v>
      </c>
      <c r="V1258" s="17" t="n">
        <f aca="false">(B1258-AVERAGE(B1239:B1258))/STDEV(B1239:B1258)</f>
        <v>1.50551404261024</v>
      </c>
    </row>
    <row r="1259" customFormat="false" ht="15" hidden="false" customHeight="false" outlineLevel="0" collapsed="false">
      <c r="A1259" s="17" t="s">
        <v>1823</v>
      </c>
      <c r="B1259" s="17" t="n">
        <v>14727.63</v>
      </c>
      <c r="C1259" s="19" t="n">
        <f aca="false">B1259/B1258-1</f>
        <v>0.011509575859973</v>
      </c>
      <c r="D1259" s="17" t="n">
        <f aca="false">AVERAGE(B1210:B1259)</f>
        <v>13835.6632</v>
      </c>
      <c r="E1259" s="17" t="n">
        <f aca="false">AVERAGE(B1060:B1259)</f>
        <v>12906.26735</v>
      </c>
      <c r="F1259" s="17" t="n">
        <f aca="false">B1259*2/13+F1258*11/13</f>
        <v>14401.9568211793</v>
      </c>
      <c r="G1259" s="17" t="n">
        <f aca="false">B1259*2/27+G1258*25/27</f>
        <v>14158.9626633014</v>
      </c>
      <c r="H1259" s="17" t="n">
        <f aca="false">F1259-G1259</f>
        <v>242.994157877896</v>
      </c>
      <c r="I1259" s="17" t="n">
        <f aca="false">H1259*2/10+I1258*8/10</f>
        <v>202.717404750468</v>
      </c>
      <c r="J1259" s="17" t="n">
        <f aca="false">H1259-I1259</f>
        <v>40.2767531274284</v>
      </c>
      <c r="K1259" s="17" t="n">
        <f aca="false">MAX(B1259-B1258,0)</f>
        <v>167.58</v>
      </c>
      <c r="L1259" s="17" t="n">
        <f aca="false">MAX(B1258-B1259,0)</f>
        <v>0</v>
      </c>
      <c r="M1259" s="17" t="n">
        <f aca="false">(M1258*13+K1259)/14</f>
        <v>66.273657525699</v>
      </c>
      <c r="N1259" s="17" t="n">
        <f aca="false">(N1258*13+L1259)/14</f>
        <v>21.5318067692323</v>
      </c>
      <c r="O1259" s="17" t="n">
        <f aca="false">IF(N1259=0,100,100-100/(1+M1259/N1259))</f>
        <v>75.4778282398135</v>
      </c>
      <c r="P1259" s="17" t="n">
        <f aca="false">AVERAGE(B1240:B1259)+2*STDEV(B1240:B1259)</f>
        <v>14766.0420307948</v>
      </c>
      <c r="Q1259" s="17" t="n">
        <f aca="false">AVERAGE(B1240:B1259)-2*STDEV(B1240:B1259)</f>
        <v>13641.5169692052</v>
      </c>
      <c r="R1259" s="19" t="n">
        <f aca="false">B1259/B1239-1</f>
        <v>0.0694848581451872</v>
      </c>
      <c r="S1259" s="17" t="n">
        <f aca="false">STDEV(C1240:C1259)*SQRT(252)*100</f>
        <v>9.94672945338144</v>
      </c>
      <c r="T1259" s="19" t="n">
        <f aca="false">B1238/B1008-1</f>
        <v>0.275896213337156</v>
      </c>
      <c r="U1259" s="19" t="n">
        <f aca="false">B1259/MAX(B1008:B1259)-1</f>
        <v>0</v>
      </c>
      <c r="V1259" s="17" t="n">
        <f aca="false">(B1259-AVERAGE(B1240:B1259))/STDEV(B1240:B1259)</f>
        <v>1.86336620816431</v>
      </c>
    </row>
    <row r="1260" customFormat="false" ht="15" hidden="false" customHeight="false" outlineLevel="0" collapsed="false">
      <c r="A1260" s="17" t="s">
        <v>1824</v>
      </c>
      <c r="B1260" s="17" t="n">
        <v>14786.36</v>
      </c>
      <c r="C1260" s="19" t="n">
        <f aca="false">B1260/B1259-1</f>
        <v>0.00398774276648739</v>
      </c>
      <c r="D1260" s="17" t="n">
        <f aca="false">AVERAGE(B1211:B1260)</f>
        <v>13852.5616</v>
      </c>
      <c r="E1260" s="17" t="n">
        <f aca="false">AVERAGE(B1061:B1260)</f>
        <v>12924.7944</v>
      </c>
      <c r="F1260" s="17" t="n">
        <f aca="false">B1260*2/13+F1259*11/13</f>
        <v>14461.0957717671</v>
      </c>
      <c r="G1260" s="17" t="n">
        <f aca="false">B1260*2/27+G1259*25/27</f>
        <v>14205.4365400939</v>
      </c>
      <c r="H1260" s="17" t="n">
        <f aca="false">F1260-G1260</f>
        <v>255.659231673211</v>
      </c>
      <c r="I1260" s="17" t="n">
        <f aca="false">H1260*2/10+I1259*8/10</f>
        <v>213.305770135016</v>
      </c>
      <c r="J1260" s="17" t="n">
        <f aca="false">H1260-I1260</f>
        <v>42.3534615381948</v>
      </c>
      <c r="K1260" s="17" t="n">
        <f aca="false">MAX(B1260-B1259,0)</f>
        <v>58.7300000000014</v>
      </c>
      <c r="L1260" s="17" t="n">
        <f aca="false">MAX(B1259-B1260,0)</f>
        <v>0</v>
      </c>
      <c r="M1260" s="17" t="n">
        <f aca="false">(M1259*13+K1260)/14</f>
        <v>65.734824845292</v>
      </c>
      <c r="N1260" s="17" t="n">
        <f aca="false">(N1259*13+L1260)/14</f>
        <v>19.99382057143</v>
      </c>
      <c r="O1260" s="17" t="n">
        <f aca="false">IF(N1260=0,100,100-100/(1+M1260/N1260))</f>
        <v>76.6777831677601</v>
      </c>
      <c r="P1260" s="17" t="n">
        <f aca="false">AVERAGE(B1241:B1260)+2*STDEV(B1241:B1260)</f>
        <v>14839.1069163807</v>
      </c>
      <c r="Q1260" s="17" t="n">
        <f aca="false">AVERAGE(B1241:B1260)-2*STDEV(B1241:B1260)</f>
        <v>13666.7990836193</v>
      </c>
      <c r="R1260" s="19" t="n">
        <f aca="false">B1260/B1240-1</f>
        <v>0.0712510206195949</v>
      </c>
      <c r="S1260" s="17" t="n">
        <f aca="false">STDEV(C1241:C1260)*SQRT(252)*100</f>
        <v>9.94089279929962</v>
      </c>
      <c r="T1260" s="19" t="n">
        <f aca="false">B1239/B1009-1</f>
        <v>0.308509779067105</v>
      </c>
      <c r="U1260" s="19" t="n">
        <f aca="false">B1260/MAX(B1009:B1260)-1</f>
        <v>0</v>
      </c>
      <c r="V1260" s="17" t="n">
        <f aca="false">(B1260-AVERAGE(B1241:B1260))/STDEV(B1241:B1260)</f>
        <v>1.82002366645818</v>
      </c>
    </row>
    <row r="1261" customFormat="false" ht="15" hidden="false" customHeight="false" outlineLevel="0" collapsed="false">
      <c r="A1261" s="17" t="s">
        <v>1825</v>
      </c>
      <c r="B1261" s="17" t="n">
        <v>14810.54</v>
      </c>
      <c r="C1261" s="19" t="n">
        <f aca="false">B1261/B1260-1</f>
        <v>0.00163529090323777</v>
      </c>
      <c r="D1261" s="17" t="n">
        <f aca="false">AVERAGE(B1212:B1261)</f>
        <v>13868.2492</v>
      </c>
      <c r="E1261" s="17" t="n">
        <f aca="false">AVERAGE(B1062:B1261)</f>
        <v>12944.1622</v>
      </c>
      <c r="F1261" s="17" t="n">
        <f aca="false">B1261*2/13+F1260*11/13</f>
        <v>14514.8564222644</v>
      </c>
      <c r="G1261" s="17" t="n">
        <f aca="false">B1261*2/27+G1260*25/27</f>
        <v>14250.2590186054</v>
      </c>
      <c r="H1261" s="17" t="n">
        <f aca="false">F1261-G1261</f>
        <v>264.597403659018</v>
      </c>
      <c r="I1261" s="17" t="n">
        <f aca="false">H1261*2/10+I1260*8/10</f>
        <v>223.564096839817</v>
      </c>
      <c r="J1261" s="17" t="n">
        <f aca="false">H1261-I1261</f>
        <v>41.0333068192011</v>
      </c>
      <c r="K1261" s="17" t="n">
        <f aca="false">MAX(B1261-B1260,0)</f>
        <v>24.1800000000003</v>
      </c>
      <c r="L1261" s="17" t="n">
        <f aca="false">MAX(B1260-B1261,0)</f>
        <v>0</v>
      </c>
      <c r="M1261" s="17" t="n">
        <f aca="false">(M1260*13+K1261)/14</f>
        <v>62.7666230706283</v>
      </c>
      <c r="N1261" s="17" t="n">
        <f aca="false">(N1260*13+L1261)/14</f>
        <v>18.5656905306136</v>
      </c>
      <c r="O1261" s="17" t="n">
        <f aca="false">IF(N1261=0,100,100-100/(1+M1261/N1261))</f>
        <v>77.1730451175434</v>
      </c>
      <c r="P1261" s="17" t="n">
        <f aca="false">AVERAGE(B1242:B1261)+2*STDEV(B1242:B1261)</f>
        <v>14900.735945575</v>
      </c>
      <c r="Q1261" s="17" t="n">
        <f aca="false">AVERAGE(B1242:B1261)-2*STDEV(B1242:B1261)</f>
        <v>13705.138054425</v>
      </c>
      <c r="R1261" s="19" t="n">
        <f aca="false">B1261/B1241-1</f>
        <v>0.0723836169507186</v>
      </c>
      <c r="S1261" s="17" t="n">
        <f aca="false">STDEV(C1242:C1261)*SQRT(252)*100</f>
        <v>9.90715981305787</v>
      </c>
      <c r="T1261" s="19" t="n">
        <f aca="false">B1240/B1010-1</f>
        <v>0.294016893697207</v>
      </c>
      <c r="U1261" s="19" t="n">
        <f aca="false">B1261/MAX(B1010:B1261)-1</f>
        <v>0</v>
      </c>
      <c r="V1261" s="17" t="n">
        <f aca="false">(B1261-AVERAGE(B1242:B1261))/STDEV(B1242:B1261)</f>
        <v>1.69823986394555</v>
      </c>
    </row>
    <row r="1262" customFormat="false" ht="15" hidden="false" customHeight="false" outlineLevel="0" collapsed="false">
      <c r="A1262" s="17" t="s">
        <v>1826</v>
      </c>
      <c r="B1262" s="17" t="n">
        <v>14722.14</v>
      </c>
      <c r="C1262" s="19" t="n">
        <f aca="false">B1262/B1261-1</f>
        <v>-0.00596872227481249</v>
      </c>
      <c r="D1262" s="17" t="n">
        <f aca="false">AVERAGE(B1213:B1262)</f>
        <v>13883.4864</v>
      </c>
      <c r="E1262" s="17" t="n">
        <f aca="false">AVERAGE(B1063:B1262)</f>
        <v>12962.8718</v>
      </c>
      <c r="F1262" s="17" t="n">
        <f aca="false">B1262*2/13+F1261*11/13</f>
        <v>14546.7462034545</v>
      </c>
      <c r="G1262" s="17" t="n">
        <f aca="false">B1262*2/27+G1261*25/27</f>
        <v>14285.2131653754</v>
      </c>
      <c r="H1262" s="17" t="n">
        <f aca="false">F1262-G1262</f>
        <v>261.533038079135</v>
      </c>
      <c r="I1262" s="17" t="n">
        <f aca="false">H1262*2/10+I1261*8/10</f>
        <v>231.15788508768</v>
      </c>
      <c r="J1262" s="17" t="n">
        <f aca="false">H1262-I1262</f>
        <v>30.3751529914544</v>
      </c>
      <c r="K1262" s="17" t="n">
        <f aca="false">MAX(B1262-B1261,0)</f>
        <v>0</v>
      </c>
      <c r="L1262" s="17" t="n">
        <f aca="false">MAX(B1261-B1262,0)</f>
        <v>88.4000000000015</v>
      </c>
      <c r="M1262" s="17" t="n">
        <f aca="false">(M1261*13+K1262)/14</f>
        <v>58.2832928512977</v>
      </c>
      <c r="N1262" s="17" t="n">
        <f aca="false">(N1261*13+L1262)/14</f>
        <v>23.5538554927127</v>
      </c>
      <c r="O1262" s="17" t="n">
        <f aca="false">IF(N1262=0,100,100-100/(1+M1262/N1262))</f>
        <v>71.2186262970677</v>
      </c>
      <c r="P1262" s="17" t="n">
        <f aca="false">AVERAGE(B1243:B1262)+2*STDEV(B1243:B1262)</f>
        <v>14927.573589335</v>
      </c>
      <c r="Q1262" s="17" t="n">
        <f aca="false">AVERAGE(B1243:B1262)-2*STDEV(B1243:B1262)</f>
        <v>13769.020410665</v>
      </c>
      <c r="R1262" s="19" t="n">
        <f aca="false">B1262/B1242-1</f>
        <v>0.0656680376462004</v>
      </c>
      <c r="S1262" s="17" t="n">
        <f aca="false">STDEV(C1243:C1262)*SQRT(252)*100</f>
        <v>10.4140300498678</v>
      </c>
      <c r="T1262" s="19" t="n">
        <f aca="false">B1241/B1011-1</f>
        <v>0.284182846579925</v>
      </c>
      <c r="U1262" s="19" t="n">
        <f aca="false">B1262/MAX(B1011:B1262)-1</f>
        <v>-0.00596872227481249</v>
      </c>
      <c r="V1262" s="17" t="n">
        <f aca="false">(B1262-AVERAGE(B1243:B1262))/STDEV(B1243:B1262)</f>
        <v>1.2907236607962</v>
      </c>
    </row>
    <row r="1263" customFormat="false" ht="15" hidden="false" customHeight="false" outlineLevel="0" collapsed="false">
      <c r="A1263" s="17" t="s">
        <v>1827</v>
      </c>
      <c r="B1263" s="17" t="n">
        <v>14826.09</v>
      </c>
      <c r="C1263" s="19" t="n">
        <f aca="false">B1263/B1262-1</f>
        <v>0.00706079415085048</v>
      </c>
      <c r="D1263" s="17" t="n">
        <f aca="false">AVERAGE(B1214:B1263)</f>
        <v>13901.9758</v>
      </c>
      <c r="E1263" s="17" t="n">
        <f aca="false">AVERAGE(B1064:B1263)</f>
        <v>12981.0704</v>
      </c>
      <c r="F1263" s="17" t="n">
        <f aca="false">B1263*2/13+F1262*11/13</f>
        <v>14589.7221721538</v>
      </c>
      <c r="G1263" s="17" t="n">
        <f aca="false">B1263*2/27+G1262*25/27</f>
        <v>14325.2781160883</v>
      </c>
      <c r="H1263" s="17" t="n">
        <f aca="false">F1263-G1263</f>
        <v>264.444056065502</v>
      </c>
      <c r="I1263" s="17" t="n">
        <f aca="false">H1263*2/10+I1262*8/10</f>
        <v>237.815119283245</v>
      </c>
      <c r="J1263" s="17" t="n">
        <f aca="false">H1263-I1263</f>
        <v>26.6289367822574</v>
      </c>
      <c r="K1263" s="17" t="n">
        <f aca="false">MAX(B1263-B1262,0)</f>
        <v>103.950000000001</v>
      </c>
      <c r="L1263" s="17" t="n">
        <f aca="false">MAX(B1262-B1263,0)</f>
        <v>0</v>
      </c>
      <c r="M1263" s="17" t="n">
        <f aca="false">(M1262*13+K1263)/14</f>
        <v>61.5452005047765</v>
      </c>
      <c r="N1263" s="17" t="n">
        <f aca="false">(N1262*13+L1263)/14</f>
        <v>21.8714372432333</v>
      </c>
      <c r="O1263" s="17" t="n">
        <f aca="false">IF(N1263=0,100,100-100/(1+M1263/N1263))</f>
        <v>73.7804857235988</v>
      </c>
      <c r="P1263" s="17" t="n">
        <f aca="false">AVERAGE(B1244:B1263)+2*STDEV(B1244:B1263)</f>
        <v>14978.1394187807</v>
      </c>
      <c r="Q1263" s="17" t="n">
        <f aca="false">AVERAGE(B1244:B1263)-2*STDEV(B1244:B1263)</f>
        <v>13805.0285812193</v>
      </c>
      <c r="R1263" s="19" t="n">
        <f aca="false">B1263/B1243-1</f>
        <v>0.0620142045149297</v>
      </c>
      <c r="S1263" s="17" t="n">
        <f aca="false">STDEV(C1244:C1263)*SQRT(252)*100</f>
        <v>10.1605588050157</v>
      </c>
      <c r="T1263" s="19" t="n">
        <f aca="false">B1242/B1012-1</f>
        <v>0.274872581399791</v>
      </c>
      <c r="U1263" s="19" t="n">
        <f aca="false">B1263/MAX(B1012:B1263)-1</f>
        <v>0</v>
      </c>
      <c r="V1263" s="17" t="n">
        <f aca="false">(B1263-AVERAGE(B1244:B1263))/STDEV(B1244:B1263)</f>
        <v>1.48155139680816</v>
      </c>
    </row>
    <row r="1264" customFormat="false" ht="15" hidden="false" customHeight="false" outlineLevel="0" collapsed="false">
      <c r="A1264" s="17" t="s">
        <v>1828</v>
      </c>
      <c r="B1264" s="17" t="n">
        <v>14877.89</v>
      </c>
      <c r="C1264" s="19" t="n">
        <f aca="false">B1264/B1263-1</f>
        <v>0.00349384092501803</v>
      </c>
      <c r="D1264" s="17" t="n">
        <f aca="false">AVERAGE(B1215:B1264)</f>
        <v>13920.1296</v>
      </c>
      <c r="E1264" s="17" t="n">
        <f aca="false">AVERAGE(B1065:B1264)</f>
        <v>13001.2932</v>
      </c>
      <c r="F1264" s="17" t="n">
        <f aca="false">B1264*2/13+F1263*11/13</f>
        <v>14634.0556841302</v>
      </c>
      <c r="G1264" s="17" t="n">
        <f aca="false">B1264*2/27+G1263*25/27</f>
        <v>14366.2123297114</v>
      </c>
      <c r="H1264" s="17" t="n">
        <f aca="false">F1264-G1264</f>
        <v>267.84335441875</v>
      </c>
      <c r="I1264" s="17" t="n">
        <f aca="false">H1264*2/10+I1263*8/10</f>
        <v>243.820766310346</v>
      </c>
      <c r="J1264" s="17" t="n">
        <f aca="false">H1264-I1264</f>
        <v>24.0225881084043</v>
      </c>
      <c r="K1264" s="17" t="n">
        <f aca="false">MAX(B1264-B1263,0)</f>
        <v>51.7999999999993</v>
      </c>
      <c r="L1264" s="17" t="n">
        <f aca="false">MAX(B1263-B1264,0)</f>
        <v>0</v>
      </c>
      <c r="M1264" s="17" t="n">
        <f aca="false">(M1263*13+K1264)/14</f>
        <v>60.8491147544353</v>
      </c>
      <c r="N1264" s="17" t="n">
        <f aca="false">(N1263*13+L1264)/14</f>
        <v>20.3091917258595</v>
      </c>
      <c r="O1264" s="17" t="n">
        <f aca="false">IF(N1264=0,100,100-100/(1+M1264/N1264))</f>
        <v>74.975831055826</v>
      </c>
      <c r="P1264" s="17" t="n">
        <f aca="false">AVERAGE(B1245:B1264)+2*STDEV(B1245:B1264)</f>
        <v>15029.8099089753</v>
      </c>
      <c r="Q1264" s="17" t="n">
        <f aca="false">AVERAGE(B1245:B1264)-2*STDEV(B1245:B1264)</f>
        <v>13841.3170910247</v>
      </c>
      <c r="R1264" s="19" t="n">
        <f aca="false">B1264/B1244-1</f>
        <v>0.0628354871662988</v>
      </c>
      <c r="S1264" s="17" t="n">
        <f aca="false">STDEV(C1245:C1264)*SQRT(252)*100</f>
        <v>10.1611098153366</v>
      </c>
      <c r="T1264" s="19" t="n">
        <f aca="false">B1243/B1013-1</f>
        <v>0.316739623154041</v>
      </c>
      <c r="U1264" s="19" t="n">
        <f aca="false">B1264/MAX(B1013:B1264)-1</f>
        <v>0</v>
      </c>
      <c r="V1264" s="17" t="n">
        <f aca="false">(B1264-AVERAGE(B1245:B1264))/STDEV(B1245:B1264)</f>
        <v>1.48869725864312</v>
      </c>
    </row>
    <row r="1265" customFormat="false" ht="15" hidden="false" customHeight="false" outlineLevel="0" collapsed="false">
      <c r="A1265" s="17" t="s">
        <v>1829</v>
      </c>
      <c r="B1265" s="17" t="n">
        <v>14874.54</v>
      </c>
      <c r="C1265" s="19" t="n">
        <f aca="false">B1265/B1264-1</f>
        <v>-0.00022516633743086</v>
      </c>
      <c r="D1265" s="17" t="n">
        <f aca="false">AVERAGE(B1216:B1265)</f>
        <v>13940.4052</v>
      </c>
      <c r="E1265" s="17" t="n">
        <f aca="false">AVERAGE(B1066:B1265)</f>
        <v>13021.18355</v>
      </c>
      <c r="F1265" s="17" t="n">
        <f aca="false">B1265*2/13+F1264*11/13</f>
        <v>14671.0532711871</v>
      </c>
      <c r="G1265" s="17" t="n">
        <f aca="false">B1265*2/27+G1264*25/27</f>
        <v>14403.8662312143</v>
      </c>
      <c r="H1265" s="17" t="n">
        <f aca="false">F1265-G1265</f>
        <v>267.187039972789</v>
      </c>
      <c r="I1265" s="17" t="n">
        <f aca="false">H1265*2/10+I1264*8/10</f>
        <v>248.494021042834</v>
      </c>
      <c r="J1265" s="17" t="n">
        <f aca="false">H1265-I1265</f>
        <v>18.6930189299543</v>
      </c>
      <c r="K1265" s="17" t="n">
        <f aca="false">MAX(B1265-B1264,0)</f>
        <v>0</v>
      </c>
      <c r="L1265" s="17" t="n">
        <f aca="false">MAX(B1264-B1265,0)</f>
        <v>3.34999999999855</v>
      </c>
      <c r="M1265" s="17" t="n">
        <f aca="false">(M1264*13+K1265)/14</f>
        <v>56.5027494148328</v>
      </c>
      <c r="N1265" s="17" t="n">
        <f aca="false">(N1264*13+L1265)/14</f>
        <v>19.097820888298</v>
      </c>
      <c r="O1265" s="17" t="n">
        <f aca="false">IF(N1265=0,100,100-100/(1+M1265/N1265))</f>
        <v>74.7385227231453</v>
      </c>
      <c r="P1265" s="17" t="n">
        <f aca="false">AVERAGE(B1246:B1265)+2*STDEV(B1246:B1265)</f>
        <v>15079.4651842245</v>
      </c>
      <c r="Q1265" s="17" t="n">
        <f aca="false">AVERAGE(B1246:B1265)-2*STDEV(B1246:B1265)</f>
        <v>13866.2958157755</v>
      </c>
      <c r="R1265" s="19" t="n">
        <f aca="false">B1265/B1245-1</f>
        <v>0.0528262623688793</v>
      </c>
      <c r="S1265" s="17" t="n">
        <f aca="false">STDEV(C1246:C1265)*SQRT(252)*100</f>
        <v>9.94874661131406</v>
      </c>
      <c r="T1265" s="19" t="n">
        <f aca="false">B1244/B1014-1</f>
        <v>0.309534946377386</v>
      </c>
      <c r="U1265" s="19" t="n">
        <f aca="false">B1265/MAX(B1014:B1265)-1</f>
        <v>-0.00022516633743086</v>
      </c>
      <c r="V1265" s="17" t="n">
        <f aca="false">(B1265-AVERAGE(B1246:B1265))/STDEV(B1246:B1265)</f>
        <v>1.32433116247728</v>
      </c>
    </row>
    <row r="1266" customFormat="false" ht="15" hidden="false" customHeight="false" outlineLevel="0" collapsed="false">
      <c r="A1266" s="17" t="s">
        <v>1830</v>
      </c>
      <c r="B1266" s="17" t="n">
        <v>14900.44</v>
      </c>
      <c r="C1266" s="19" t="n">
        <f aca="false">B1266/B1265-1</f>
        <v>0.00174123031703832</v>
      </c>
      <c r="D1266" s="17" t="n">
        <f aca="false">AVERAGE(B1217:B1266)</f>
        <v>13962.4196</v>
      </c>
      <c r="E1266" s="17" t="n">
        <f aca="false">AVERAGE(B1067:B1266)</f>
        <v>13039.9301</v>
      </c>
      <c r="F1266" s="17" t="n">
        <f aca="false">B1266*2/13+F1265*11/13</f>
        <v>14706.3435371583</v>
      </c>
      <c r="G1266" s="17" t="n">
        <f aca="false">B1266*2/27+G1265*25/27</f>
        <v>14440.6494733465</v>
      </c>
      <c r="H1266" s="17" t="n">
        <f aca="false">F1266-G1266</f>
        <v>265.694063811736</v>
      </c>
      <c r="I1266" s="17" t="n">
        <f aca="false">H1266*2/10+I1265*8/10</f>
        <v>251.934029596615</v>
      </c>
      <c r="J1266" s="17" t="n">
        <f aca="false">H1266-I1266</f>
        <v>13.7600342151211</v>
      </c>
      <c r="K1266" s="17" t="n">
        <f aca="false">MAX(B1266-B1265,0)</f>
        <v>25.8999999999996</v>
      </c>
      <c r="L1266" s="17" t="n">
        <f aca="false">MAX(B1265-B1266,0)</f>
        <v>0</v>
      </c>
      <c r="M1266" s="17" t="n">
        <f aca="false">(M1265*13+K1266)/14</f>
        <v>54.3168387423447</v>
      </c>
      <c r="N1266" s="17" t="n">
        <f aca="false">(N1265*13+L1266)/14</f>
        <v>17.7336908248481</v>
      </c>
      <c r="O1266" s="17" t="n">
        <f aca="false">IF(N1266=0,100,100-100/(1+M1266/N1266))</f>
        <v>75.3871471432975</v>
      </c>
      <c r="P1266" s="17" t="n">
        <f aca="false">AVERAGE(B1247:B1266)+2*STDEV(B1247:B1266)</f>
        <v>15114.0825100286</v>
      </c>
      <c r="Q1266" s="17" t="n">
        <f aca="false">AVERAGE(B1247:B1266)-2*STDEV(B1247:B1266)</f>
        <v>13918.6814899714</v>
      </c>
      <c r="R1266" s="19" t="n">
        <f aca="false">B1266/B1246-1</f>
        <v>0.0620103047594476</v>
      </c>
      <c r="S1266" s="17" t="n">
        <f aca="false">STDEV(C1247:C1266)*SQRT(252)*100</f>
        <v>9.3039102699123</v>
      </c>
      <c r="T1266" s="19" t="n">
        <f aca="false">B1245/B1015-1</f>
        <v>0.320185241943321</v>
      </c>
      <c r="U1266" s="19" t="n">
        <f aca="false">B1266/MAX(B1015:B1266)-1</f>
        <v>0</v>
      </c>
      <c r="V1266" s="17" t="n">
        <f aca="false">(B1266-AVERAGE(B1247:B1266))/STDEV(B1247:B1266)</f>
        <v>1.28511852861439</v>
      </c>
    </row>
    <row r="1267" customFormat="false" ht="15" hidden="false" customHeight="false" outlineLevel="0" collapsed="false">
      <c r="A1267" s="17" t="s">
        <v>1831</v>
      </c>
      <c r="B1267" s="17" t="n">
        <v>14794.69</v>
      </c>
      <c r="C1267" s="19" t="n">
        <f aca="false">B1267/B1266-1</f>
        <v>-0.00709710585727674</v>
      </c>
      <c r="D1267" s="17" t="n">
        <f aca="false">AVERAGE(B1218:B1267)</f>
        <v>13987.42</v>
      </c>
      <c r="E1267" s="17" t="n">
        <f aca="false">AVERAGE(B1068:B1267)</f>
        <v>13057.0813</v>
      </c>
      <c r="F1267" s="17" t="n">
        <f aca="false">B1267*2/13+F1266*11/13</f>
        <v>14719.9353006724</v>
      </c>
      <c r="G1267" s="17" t="n">
        <f aca="false">B1267*2/27+G1266*25/27</f>
        <v>14466.8746975431</v>
      </c>
      <c r="H1267" s="17" t="n">
        <f aca="false">F1267-G1267</f>
        <v>253.060603129296</v>
      </c>
      <c r="I1267" s="17" t="n">
        <f aca="false">H1267*2/10+I1266*8/10</f>
        <v>252.159344303151</v>
      </c>
      <c r="J1267" s="17" t="n">
        <f aca="false">H1267-I1267</f>
        <v>0.901258826144698</v>
      </c>
      <c r="K1267" s="17" t="n">
        <f aca="false">MAX(B1267-B1266,0)</f>
        <v>0</v>
      </c>
      <c r="L1267" s="17" t="n">
        <f aca="false">MAX(B1266-B1267,0)</f>
        <v>105.75</v>
      </c>
      <c r="M1267" s="17" t="n">
        <f aca="false">(M1266*13+K1267)/14</f>
        <v>50.4370645464629</v>
      </c>
      <c r="N1267" s="17" t="n">
        <f aca="false">(N1266*13+L1267)/14</f>
        <v>24.0205700516447</v>
      </c>
      <c r="O1267" s="17" t="n">
        <f aca="false">IF(N1267=0,100,100-100/(1+M1267/N1267))</f>
        <v>67.7392786095099</v>
      </c>
      <c r="P1267" s="17" t="n">
        <f aca="false">AVERAGE(B1248:B1267)+2*STDEV(B1248:B1267)</f>
        <v>15110.7941046032</v>
      </c>
      <c r="Q1267" s="17" t="n">
        <f aca="false">AVERAGE(B1248:B1267)-2*STDEV(B1248:B1267)</f>
        <v>14003.1378953968</v>
      </c>
      <c r="R1267" s="19" t="n">
        <f aca="false">B1267/B1247-1</f>
        <v>0.0580475877511351</v>
      </c>
      <c r="S1267" s="17" t="n">
        <f aca="false">STDEV(C1248:C1267)*SQRT(252)*100</f>
        <v>9.72757285726624</v>
      </c>
      <c r="T1267" s="19" t="n">
        <f aca="false">B1246/B1016-1</f>
        <v>0.320327747904759</v>
      </c>
      <c r="U1267" s="19" t="n">
        <f aca="false">B1267/MAX(B1016:B1267)-1</f>
        <v>-0.00709710585727674</v>
      </c>
      <c r="V1267" s="17" t="n">
        <f aca="false">(B1267-AVERAGE(B1248:B1267))/STDEV(B1248:B1267)</f>
        <v>0.858475754567577</v>
      </c>
    </row>
    <row r="1268" customFormat="false" ht="15" hidden="false" customHeight="false" outlineLevel="0" collapsed="false">
      <c r="A1268" s="17" t="s">
        <v>1832</v>
      </c>
      <c r="B1268" s="17" t="n">
        <v>14681.38</v>
      </c>
      <c r="C1268" s="19" t="n">
        <f aca="false">B1268/B1267-1</f>
        <v>-0.00765882894470926</v>
      </c>
      <c r="D1268" s="17" t="n">
        <f aca="false">AVERAGE(B1219:B1268)</f>
        <v>14010.9802</v>
      </c>
      <c r="E1268" s="17" t="n">
        <f aca="false">AVERAGE(B1069:B1268)</f>
        <v>13073.87345</v>
      </c>
      <c r="F1268" s="17" t="n">
        <f aca="false">B1268*2/13+F1267*11/13</f>
        <v>14714.0037159536</v>
      </c>
      <c r="G1268" s="17" t="n">
        <f aca="false">B1268*2/27+G1267*25/27</f>
        <v>14482.7639792066</v>
      </c>
      <c r="H1268" s="17" t="n">
        <f aca="false">F1268-G1268</f>
        <v>231.239736746995</v>
      </c>
      <c r="I1268" s="17" t="n">
        <f aca="false">H1268*2/10+I1267*8/10</f>
        <v>247.97542279192</v>
      </c>
      <c r="J1268" s="17" t="n">
        <f aca="false">H1268-I1268</f>
        <v>-16.7356860449248</v>
      </c>
      <c r="K1268" s="17" t="n">
        <f aca="false">MAX(B1268-B1267,0)</f>
        <v>0</v>
      </c>
      <c r="L1268" s="17" t="n">
        <f aca="false">MAX(B1267-B1268,0)</f>
        <v>113.310000000001</v>
      </c>
      <c r="M1268" s="17" t="n">
        <f aca="false">(M1267*13+K1268)/14</f>
        <v>46.8344170788584</v>
      </c>
      <c r="N1268" s="17" t="n">
        <f aca="false">(N1267*13+L1268)/14</f>
        <v>30.3983864765273</v>
      </c>
      <c r="O1268" s="17" t="n">
        <f aca="false">IF(N1268=0,100,100-100/(1+M1268/N1268))</f>
        <v>60.6405761837614</v>
      </c>
      <c r="P1268" s="17" t="n">
        <f aca="false">AVERAGE(B1249:B1268)+2*STDEV(B1249:B1268)</f>
        <v>15106.8894403579</v>
      </c>
      <c r="Q1268" s="17" t="n">
        <f aca="false">AVERAGE(B1249:B1268)-2*STDEV(B1249:B1268)</f>
        <v>14058.7995596421</v>
      </c>
      <c r="R1268" s="19" t="n">
        <f aca="false">B1268/B1248-1</f>
        <v>0.0365417214718355</v>
      </c>
      <c r="S1268" s="17" t="n">
        <f aca="false">STDEV(C1249:C1268)*SQRT(252)*100</f>
        <v>9.64093389222581</v>
      </c>
      <c r="T1268" s="19" t="n">
        <f aca="false">B1247/B1017-1</f>
        <v>0.313548240430916</v>
      </c>
      <c r="U1268" s="19" t="n">
        <f aca="false">B1268/MAX(B1017:B1268)-1</f>
        <v>-0.0147015792822226</v>
      </c>
      <c r="V1268" s="17" t="n">
        <f aca="false">(B1268-AVERAGE(B1249:B1268))/STDEV(B1249:B1268)</f>
        <v>0.376057442450255</v>
      </c>
    </row>
    <row r="1269" customFormat="false" ht="15" hidden="false" customHeight="false" outlineLevel="0" collapsed="false">
      <c r="A1269" s="17" t="s">
        <v>1833</v>
      </c>
      <c r="B1269" s="17" t="n">
        <v>14549.09</v>
      </c>
      <c r="C1269" s="19" t="n">
        <f aca="false">B1269/B1268-1</f>
        <v>-0.00901073332343416</v>
      </c>
      <c r="D1269" s="17" t="n">
        <f aca="false">AVERAGE(B1220:B1269)</f>
        <v>14029.6874</v>
      </c>
      <c r="E1269" s="17" t="n">
        <f aca="false">AVERAGE(B1070:B1269)</f>
        <v>13089.5286</v>
      </c>
      <c r="F1269" s="17" t="n">
        <f aca="false">B1269*2/13+F1268*11/13</f>
        <v>14688.6323750376</v>
      </c>
      <c r="G1269" s="17" t="n">
        <f aca="false">B1269*2/27+G1268*25/27</f>
        <v>14487.6770177839</v>
      </c>
      <c r="H1269" s="17" t="n">
        <f aca="false">F1269-G1269</f>
        <v>200.95535725377</v>
      </c>
      <c r="I1269" s="17" t="n">
        <f aca="false">H1269*2/10+I1268*8/10</f>
        <v>238.57140968429</v>
      </c>
      <c r="J1269" s="17" t="n">
        <f aca="false">H1269-I1269</f>
        <v>-37.6160524305199</v>
      </c>
      <c r="K1269" s="17" t="n">
        <f aca="false">MAX(B1269-B1268,0)</f>
        <v>0</v>
      </c>
      <c r="L1269" s="17" t="n">
        <f aca="false">MAX(B1268-B1269,0)</f>
        <v>132.289999999999</v>
      </c>
      <c r="M1269" s="17" t="n">
        <f aca="false">(M1268*13+K1269)/14</f>
        <v>43.4891015732257</v>
      </c>
      <c r="N1269" s="17" t="n">
        <f aca="false">(N1268*13+L1269)/14</f>
        <v>37.676358871061</v>
      </c>
      <c r="O1269" s="17" t="n">
        <f aca="false">IF(N1269=0,100,100-100/(1+M1269/N1269))</f>
        <v>53.5807982055093</v>
      </c>
      <c r="P1269" s="17" t="n">
        <f aca="false">AVERAGE(B1250:B1269)+2*STDEV(B1250:B1269)</f>
        <v>15068.6550658259</v>
      </c>
      <c r="Q1269" s="17" t="n">
        <f aca="false">AVERAGE(B1250:B1269)-2*STDEV(B1250:B1269)</f>
        <v>14146.9849341741</v>
      </c>
      <c r="R1269" s="19" t="n">
        <f aca="false">B1269/B1249-1</f>
        <v>0.0355533759728048</v>
      </c>
      <c r="S1269" s="17" t="n">
        <f aca="false">STDEV(C1250:C1269)*SQRT(252)*100</f>
        <v>9.77439183752499</v>
      </c>
      <c r="T1269" s="19" t="n">
        <f aca="false">B1248/B1018-1</f>
        <v>0.29325297112512</v>
      </c>
      <c r="U1269" s="19" t="n">
        <f aca="false">B1269/MAX(B1018:B1269)-1</f>
        <v>-0.0235798405953113</v>
      </c>
      <c r="V1269" s="17" t="n">
        <f aca="false">(B1269-AVERAGE(B1250:B1269))/STDEV(B1250:B1269)</f>
        <v>-0.254885117714512</v>
      </c>
    </row>
    <row r="1270" customFormat="false" ht="15" hidden="false" customHeight="false" outlineLevel="0" collapsed="false">
      <c r="A1270" s="17" t="s">
        <v>1834</v>
      </c>
      <c r="B1270" s="17" t="n">
        <v>14728.21</v>
      </c>
      <c r="C1270" s="19" t="n">
        <f aca="false">B1270/B1269-1</f>
        <v>0.0123114229137353</v>
      </c>
      <c r="D1270" s="17" t="n">
        <f aca="false">AVERAGE(B1221:B1270)</f>
        <v>14049.859</v>
      </c>
      <c r="E1270" s="17" t="n">
        <f aca="false">AVERAGE(B1071:B1270)</f>
        <v>13105.25365</v>
      </c>
      <c r="F1270" s="17" t="n">
        <f aca="false">B1270*2/13+F1269*11/13</f>
        <v>14694.7212404165</v>
      </c>
      <c r="G1270" s="17" t="n">
        <f aca="false">B1270*2/27+G1269*25/27</f>
        <v>14505.4942757258</v>
      </c>
      <c r="H1270" s="17" t="n">
        <f aca="false">F1270-G1270</f>
        <v>189.226964690657</v>
      </c>
      <c r="I1270" s="17" t="n">
        <f aca="false">H1270*2/10+I1269*8/10</f>
        <v>228.702520685563</v>
      </c>
      <c r="J1270" s="17" t="n">
        <f aca="false">H1270-I1270</f>
        <v>-39.4755559949061</v>
      </c>
      <c r="K1270" s="17" t="n">
        <f aca="false">MAX(B1270-B1269,0)</f>
        <v>179.119999999999</v>
      </c>
      <c r="L1270" s="17" t="n">
        <f aca="false">MAX(B1269-B1270,0)</f>
        <v>0</v>
      </c>
      <c r="M1270" s="17" t="n">
        <f aca="false">(M1269*13+K1270)/14</f>
        <v>53.1770228894238</v>
      </c>
      <c r="N1270" s="17" t="n">
        <f aca="false">(N1269*13+L1270)/14</f>
        <v>34.9851903802709</v>
      </c>
      <c r="O1270" s="17" t="n">
        <f aca="false">IF(N1270=0,100,100-100/(1+M1270/N1270))</f>
        <v>60.3172503470975</v>
      </c>
      <c r="P1270" s="17" t="n">
        <f aca="false">AVERAGE(B1251:B1270)+2*STDEV(B1251:B1270)</f>
        <v>15043.7208014259</v>
      </c>
      <c r="Q1270" s="17" t="n">
        <f aca="false">AVERAGE(B1251:B1270)-2*STDEV(B1251:B1270)</f>
        <v>14231.0171985741</v>
      </c>
      <c r="R1270" s="19" t="n">
        <f aca="false">B1270/B1250-1</f>
        <v>0.0418030972121131</v>
      </c>
      <c r="S1270" s="17" t="n">
        <f aca="false">STDEV(C1251:C1270)*SQRT(252)*100</f>
        <v>10.3629093248314</v>
      </c>
      <c r="T1270" s="19" t="n">
        <f aca="false">B1249/B1019-1</f>
        <v>0.296915832723319</v>
      </c>
      <c r="U1270" s="19" t="n">
        <f aca="false">B1270/MAX(B1019:B1270)-1</f>
        <v>-0.0115587190713832</v>
      </c>
      <c r="V1270" s="17" t="n">
        <f aca="false">(B1270-AVERAGE(B1251:B1270))/STDEV(B1251:B1270)</f>
        <v>0.44710519151743</v>
      </c>
    </row>
    <row r="1271" customFormat="false" ht="15" hidden="false" customHeight="false" outlineLevel="0" collapsed="false">
      <c r="A1271" s="17" t="s">
        <v>1835</v>
      </c>
      <c r="B1271" s="17" t="n">
        <v>14842.63</v>
      </c>
      <c r="C1271" s="19" t="n">
        <f aca="false">B1271/B1270-1</f>
        <v>0.00776876483971911</v>
      </c>
      <c r="D1271" s="17" t="n">
        <f aca="false">AVERAGE(B1222:B1271)</f>
        <v>14079.53</v>
      </c>
      <c r="E1271" s="17" t="n">
        <f aca="false">AVERAGE(B1072:B1271)</f>
        <v>13123.18835</v>
      </c>
      <c r="F1271" s="17" t="n">
        <f aca="false">B1271*2/13+F1270*11/13</f>
        <v>14717.4764341985</v>
      </c>
      <c r="G1271" s="17" t="n">
        <f aca="false">B1271*2/27+G1270*25/27</f>
        <v>14530.4672923387</v>
      </c>
      <c r="H1271" s="17" t="n">
        <f aca="false">F1271-G1271</f>
        <v>187.009141859839</v>
      </c>
      <c r="I1271" s="17" t="n">
        <f aca="false">H1271*2/10+I1270*8/10</f>
        <v>220.363844920418</v>
      </c>
      <c r="J1271" s="17" t="n">
        <f aca="false">H1271-I1271</f>
        <v>-33.3547030605797</v>
      </c>
      <c r="K1271" s="17" t="n">
        <f aca="false">MAX(B1271-B1270,0)</f>
        <v>114.42</v>
      </c>
      <c r="L1271" s="17" t="n">
        <f aca="false">MAX(B1270-B1271,0)</f>
        <v>0</v>
      </c>
      <c r="M1271" s="17" t="n">
        <f aca="false">(M1270*13+K1271)/14</f>
        <v>57.5515212544649</v>
      </c>
      <c r="N1271" s="17" t="n">
        <f aca="false">(N1270*13+L1271)/14</f>
        <v>32.4862482102516</v>
      </c>
      <c r="O1271" s="17" t="n">
        <f aca="false">IF(N1271=0,100,100-100/(1+M1271/N1271))</f>
        <v>63.9193103034587</v>
      </c>
      <c r="P1271" s="17" t="n">
        <f aca="false">AVERAGE(B1252:B1271)+2*STDEV(B1252:B1271)</f>
        <v>15043.070241919</v>
      </c>
      <c r="Q1271" s="17" t="n">
        <f aca="false">AVERAGE(B1252:B1271)-2*STDEV(B1252:B1271)</f>
        <v>14288.888758081</v>
      </c>
      <c r="R1271" s="19" t="n">
        <f aca="false">B1271/B1251-1</f>
        <v>0.0400976285210946</v>
      </c>
      <c r="S1271" s="17" t="n">
        <f aca="false">STDEV(C1252:C1271)*SQRT(252)*100</f>
        <v>10.2230922934291</v>
      </c>
      <c r="T1271" s="19" t="n">
        <f aca="false">B1250/B1020-1</f>
        <v>0.300483407308603</v>
      </c>
      <c r="U1271" s="19" t="n">
        <f aca="false">B1271/MAX(B1020:B1271)-1</f>
        <v>-0.00387975120197803</v>
      </c>
      <c r="V1271" s="17" t="n">
        <f aca="false">(B1271-AVERAGE(B1252:B1271))/STDEV(B1252:B1271)</f>
        <v>0.93691242113776</v>
      </c>
    </row>
    <row r="1272" customFormat="false" ht="15" hidden="false" customHeight="false" outlineLevel="0" collapsed="false">
      <c r="A1272" s="17" t="s">
        <v>1836</v>
      </c>
      <c r="B1272" s="17" t="n">
        <v>14940.17</v>
      </c>
      <c r="C1272" s="19" t="n">
        <f aca="false">B1272/B1271-1</f>
        <v>0.0065716116348653</v>
      </c>
      <c r="D1272" s="17" t="n">
        <f aca="false">AVERAGE(B1223:B1272)</f>
        <v>14111.308</v>
      </c>
      <c r="E1272" s="17" t="n">
        <f aca="false">AVERAGE(B1073:B1272)</f>
        <v>13140.3439</v>
      </c>
      <c r="F1272" s="17" t="n">
        <f aca="false">B1272*2/13+F1271*11/13</f>
        <v>14751.7369827834</v>
      </c>
      <c r="G1272" s="17" t="n">
        <f aca="false">B1272*2/27+G1271*25/27</f>
        <v>14560.8156410544</v>
      </c>
      <c r="H1272" s="17" t="n">
        <f aca="false">F1272-G1272</f>
        <v>190.921341729025</v>
      </c>
      <c r="I1272" s="17" t="n">
        <f aca="false">H1272*2/10+I1271*8/10</f>
        <v>214.47534428214</v>
      </c>
      <c r="J1272" s="17" t="n">
        <f aca="false">H1272-I1272</f>
        <v>-23.5540025531147</v>
      </c>
      <c r="K1272" s="17" t="n">
        <f aca="false">MAX(B1272-B1271,0)</f>
        <v>97.5400000000009</v>
      </c>
      <c r="L1272" s="17" t="n">
        <f aca="false">MAX(B1271-B1272,0)</f>
        <v>0</v>
      </c>
      <c r="M1272" s="17" t="n">
        <f aca="false">(M1271*13+K1272)/14</f>
        <v>60.4078411648604</v>
      </c>
      <c r="N1272" s="17" t="n">
        <f aca="false">(N1271*13+L1272)/14</f>
        <v>30.1658019095193</v>
      </c>
      <c r="O1272" s="17" t="n">
        <f aca="false">IF(N1272=0,100,100-100/(1+M1272/N1272))</f>
        <v>66.6947238892147</v>
      </c>
      <c r="P1272" s="17" t="n">
        <f aca="false">AVERAGE(B1253:B1272)+2*STDEV(B1253:B1272)</f>
        <v>15047.1977206212</v>
      </c>
      <c r="Q1272" s="17" t="n">
        <f aca="false">AVERAGE(B1253:B1272)-2*STDEV(B1253:B1272)</f>
        <v>14351.3542793788</v>
      </c>
      <c r="R1272" s="19" t="n">
        <f aca="false">B1272/B1252-1</f>
        <v>0.0466525713453045</v>
      </c>
      <c r="S1272" s="17" t="n">
        <f aca="false">STDEV(C1253:C1272)*SQRT(252)*100</f>
        <v>10.3268201089699</v>
      </c>
      <c r="T1272" s="19" t="n">
        <f aca="false">B1251/B1021-1</f>
        <v>0.348735751030897</v>
      </c>
      <c r="U1272" s="19" t="n">
        <f aca="false">B1272/MAX(B1021:B1272)-1</f>
        <v>0</v>
      </c>
      <c r="V1272" s="17" t="n">
        <f aca="false">(B1272-AVERAGE(B1253:B1272))/STDEV(B1253:B1272)</f>
        <v>1.38475976475345</v>
      </c>
    </row>
    <row r="1273" customFormat="false" ht="15" hidden="false" customHeight="false" outlineLevel="0" collapsed="false">
      <c r="A1273" s="17" t="s">
        <v>1837</v>
      </c>
      <c r="B1273" s="17" t="n">
        <v>15111.79</v>
      </c>
      <c r="C1273" s="19" t="n">
        <f aca="false">B1273/B1272-1</f>
        <v>0.011487151752624</v>
      </c>
      <c r="D1273" s="17" t="n">
        <f aca="false">AVERAGE(B1224:B1273)</f>
        <v>14153.5112</v>
      </c>
      <c r="E1273" s="17" t="n">
        <f aca="false">AVERAGE(B1074:B1273)</f>
        <v>13159.4465</v>
      </c>
      <c r="F1273" s="17" t="n">
        <f aca="false">B1273*2/13+F1272*11/13</f>
        <v>14807.1297546629</v>
      </c>
      <c r="G1273" s="17" t="n">
        <f aca="false">B1273*2/27+G1272*25/27</f>
        <v>14601.6285565318</v>
      </c>
      <c r="H1273" s="17" t="n">
        <f aca="false">F1273-G1273</f>
        <v>205.501198131051</v>
      </c>
      <c r="I1273" s="17" t="n">
        <f aca="false">H1273*2/10+I1272*8/10</f>
        <v>212.680515051922</v>
      </c>
      <c r="J1273" s="17" t="n">
        <f aca="false">H1273-I1273</f>
        <v>-7.17931692087095</v>
      </c>
      <c r="K1273" s="17" t="n">
        <f aca="false">MAX(B1273-B1272,0)</f>
        <v>171.620000000001</v>
      </c>
      <c r="L1273" s="17" t="n">
        <f aca="false">MAX(B1272-B1273,0)</f>
        <v>0</v>
      </c>
      <c r="M1273" s="17" t="n">
        <f aca="false">(M1272*13+K1273)/14</f>
        <v>68.3515667959418</v>
      </c>
      <c r="N1273" s="17" t="n">
        <f aca="false">(N1272*13+L1273)/14</f>
        <v>28.0111017731251</v>
      </c>
      <c r="O1273" s="17" t="n">
        <f aca="false">IF(N1273=0,100,100-100/(1+M1273/N1273))</f>
        <v>70.9315835799541</v>
      </c>
      <c r="P1273" s="17" t="n">
        <f aca="false">AVERAGE(B1254:B1273)+2*STDEV(B1254:B1273)</f>
        <v>15093.8202816178</v>
      </c>
      <c r="Q1273" s="17" t="n">
        <f aca="false">AVERAGE(B1254:B1273)-2*STDEV(B1254:B1273)</f>
        <v>14379.3147183822</v>
      </c>
      <c r="R1273" s="19" t="n">
        <f aca="false">B1273/B1253-1</f>
        <v>0.0519164747778778</v>
      </c>
      <c r="S1273" s="17" t="n">
        <f aca="false">STDEV(C1254:C1273)*SQRT(252)*100</f>
        <v>10.7427701901135</v>
      </c>
      <c r="T1273" s="19" t="n">
        <f aca="false">B1252/B1022-1</f>
        <v>0.361639128771655</v>
      </c>
      <c r="U1273" s="19" t="n">
        <f aca="false">B1273/MAX(B1022:B1273)-1</f>
        <v>0</v>
      </c>
      <c r="V1273" s="17" t="n">
        <f aca="false">(B1273-AVERAGE(B1254:B1273))/STDEV(B1254:B1273)</f>
        <v>2.10059945958032</v>
      </c>
    </row>
    <row r="1274" customFormat="false" ht="15" hidden="false" customHeight="false" outlineLevel="0" collapsed="false">
      <c r="A1274" s="17" t="s">
        <v>1838</v>
      </c>
      <c r="B1274" s="17" t="n">
        <v>15125.95</v>
      </c>
      <c r="C1274" s="19" t="n">
        <f aca="false">B1274/B1273-1</f>
        <v>0.0009370167266749</v>
      </c>
      <c r="D1274" s="17" t="n">
        <f aca="false">AVERAGE(B1225:B1274)</f>
        <v>14193.8472</v>
      </c>
      <c r="E1274" s="17" t="n">
        <f aca="false">AVERAGE(B1075:B1274)</f>
        <v>13177.5603</v>
      </c>
      <c r="F1274" s="17" t="n">
        <f aca="false">B1274*2/13+F1273*11/13</f>
        <v>14856.1790231763</v>
      </c>
      <c r="G1274" s="17" t="n">
        <f aca="false">B1274*2/27+G1273*25/27</f>
        <v>14640.4671819739</v>
      </c>
      <c r="H1274" s="17" t="n">
        <f aca="false">F1274-G1274</f>
        <v>215.71184120237</v>
      </c>
      <c r="I1274" s="17" t="n">
        <f aca="false">H1274*2/10+I1273*8/10</f>
        <v>213.286780282011</v>
      </c>
      <c r="J1274" s="17" t="n">
        <f aca="false">H1274-I1274</f>
        <v>2.42506092035865</v>
      </c>
      <c r="K1274" s="17" t="n">
        <f aca="false">MAX(B1274-B1273,0)</f>
        <v>14.1599999999999</v>
      </c>
      <c r="L1274" s="17" t="n">
        <f aca="false">MAX(B1273-B1274,0)</f>
        <v>0</v>
      </c>
      <c r="M1274" s="17" t="n">
        <f aca="false">(M1273*13+K1274)/14</f>
        <v>64.4807405962317</v>
      </c>
      <c r="N1274" s="17" t="n">
        <f aca="false">(N1273*13+L1274)/14</f>
        <v>26.0103087893304</v>
      </c>
      <c r="O1274" s="17" t="n">
        <f aca="false">IF(N1274=0,100,100-100/(1+M1274/N1274))</f>
        <v>71.2564845186994</v>
      </c>
      <c r="P1274" s="17" t="n">
        <f aca="false">AVERAGE(B1255:B1274)+2*STDEV(B1255:B1274)</f>
        <v>15123.288501529</v>
      </c>
      <c r="Q1274" s="17" t="n">
        <f aca="false">AVERAGE(B1255:B1274)-2*STDEV(B1255:B1274)</f>
        <v>14427.923498471</v>
      </c>
      <c r="R1274" s="19" t="n">
        <f aca="false">B1274/B1254-1</f>
        <v>0.0544273407513882</v>
      </c>
      <c r="S1274" s="17" t="n">
        <f aca="false">STDEV(C1255:C1274)*SQRT(252)*100</f>
        <v>10.6579829132204</v>
      </c>
      <c r="T1274" s="19" t="n">
        <f aca="false">B1253/B1023-1</f>
        <v>0.345835542673205</v>
      </c>
      <c r="U1274" s="19" t="n">
        <f aca="false">B1274/MAX(B1023:B1274)-1</f>
        <v>0</v>
      </c>
      <c r="V1274" s="17" t="n">
        <f aca="false">(B1274-AVERAGE(B1255:B1274))/STDEV(B1255:B1274)</f>
        <v>2.01530993627393</v>
      </c>
    </row>
    <row r="1275" customFormat="false" ht="15" hidden="false" customHeight="false" outlineLevel="0" collapsed="false">
      <c r="A1275" s="17" t="s">
        <v>1839</v>
      </c>
      <c r="B1275" s="17" t="n">
        <v>14956.97</v>
      </c>
      <c r="C1275" s="19" t="n">
        <f aca="false">B1275/B1274-1</f>
        <v>-0.0111715297221002</v>
      </c>
      <c r="D1275" s="17" t="n">
        <f aca="false">AVERAGE(B1226:B1275)</f>
        <v>14225.1242</v>
      </c>
      <c r="E1275" s="17" t="n">
        <f aca="false">AVERAGE(B1076:B1275)</f>
        <v>13194.59045</v>
      </c>
      <c r="F1275" s="17" t="n">
        <f aca="false">B1275*2/13+F1274*11/13</f>
        <v>14871.685327303</v>
      </c>
      <c r="G1275" s="17" t="n">
        <f aca="false">B1275*2/27+G1274*25/27</f>
        <v>14663.911835161</v>
      </c>
      <c r="H1275" s="17" t="n">
        <f aca="false">F1275-G1275</f>
        <v>207.77349214198</v>
      </c>
      <c r="I1275" s="17" t="n">
        <f aca="false">H1275*2/10+I1274*8/10</f>
        <v>212.184122654005</v>
      </c>
      <c r="J1275" s="17" t="n">
        <f aca="false">H1275-I1275</f>
        <v>-4.41063051202545</v>
      </c>
      <c r="K1275" s="17" t="n">
        <f aca="false">MAX(B1275-B1274,0)</f>
        <v>0</v>
      </c>
      <c r="L1275" s="17" t="n">
        <f aca="false">MAX(B1274-B1275,0)</f>
        <v>168.980000000001</v>
      </c>
      <c r="M1275" s="17" t="n">
        <f aca="false">(M1274*13+K1275)/14</f>
        <v>59.8749734107866</v>
      </c>
      <c r="N1275" s="17" t="n">
        <f aca="false">(N1274*13+L1275)/14</f>
        <v>36.2224295900926</v>
      </c>
      <c r="O1275" s="17" t="n">
        <f aca="false">IF(N1275=0,100,100-100/(1+M1275/N1275))</f>
        <v>62.3065468379398</v>
      </c>
      <c r="P1275" s="17" t="n">
        <f aca="false">AVERAGE(B1256:B1275)+2*STDEV(B1256:B1275)</f>
        <v>15132.7940856835</v>
      </c>
      <c r="Q1275" s="17" t="n">
        <f aca="false">AVERAGE(B1256:B1275)-2*STDEV(B1256:B1275)</f>
        <v>14461.6169143165</v>
      </c>
      <c r="R1275" s="19" t="n">
        <f aca="false">B1275/B1255-1</f>
        <v>0.0297411769241678</v>
      </c>
      <c r="S1275" s="17" t="n">
        <f aca="false">STDEV(C1256:C1275)*SQRT(252)*100</f>
        <v>11.06355536428</v>
      </c>
      <c r="T1275" s="19" t="n">
        <f aca="false">B1254/B1024-1</f>
        <v>0.361991929741277</v>
      </c>
      <c r="U1275" s="19" t="n">
        <f aca="false">B1275/MAX(B1024:B1275)-1</f>
        <v>-0.0111715297221002</v>
      </c>
      <c r="V1275" s="17" t="n">
        <f aca="false">(B1275-AVERAGE(B1256:B1275))/STDEV(B1256:B1275)</f>
        <v>0.952145018130476</v>
      </c>
    </row>
    <row r="1276" customFormat="false" ht="15" hidden="false" customHeight="false" outlineLevel="0" collapsed="false">
      <c r="A1276" s="17" t="s">
        <v>1840</v>
      </c>
      <c r="B1276" s="17" t="n">
        <v>15018.1</v>
      </c>
      <c r="C1276" s="19" t="n">
        <f aca="false">B1276/B1275-1</f>
        <v>0.00408705773963591</v>
      </c>
      <c r="D1276" s="17" t="n">
        <f aca="false">AVERAGE(B1227:B1276)</f>
        <v>14259.228</v>
      </c>
      <c r="E1276" s="17" t="n">
        <f aca="false">AVERAGE(B1077:B1276)</f>
        <v>13211.0517</v>
      </c>
      <c r="F1276" s="17" t="n">
        <f aca="false">B1276*2/13+F1275*11/13</f>
        <v>14894.2106615641</v>
      </c>
      <c r="G1276" s="17" t="n">
        <f aca="false">B1276*2/27+G1275*25/27</f>
        <v>14690.1479955195</v>
      </c>
      <c r="H1276" s="17" t="n">
        <f aca="false">F1276-G1276</f>
        <v>204.062666044612</v>
      </c>
      <c r="I1276" s="17" t="n">
        <f aca="false">H1276*2/10+I1275*8/10</f>
        <v>210.559831332127</v>
      </c>
      <c r="J1276" s="17" t="n">
        <f aca="false">H1276-I1276</f>
        <v>-6.49716528751421</v>
      </c>
      <c r="K1276" s="17" t="n">
        <f aca="false">MAX(B1276-B1275,0)</f>
        <v>61.130000000001</v>
      </c>
      <c r="L1276" s="17" t="n">
        <f aca="false">MAX(B1275-B1276,0)</f>
        <v>0</v>
      </c>
      <c r="M1276" s="17" t="n">
        <f aca="false">(M1275*13+K1276)/14</f>
        <v>59.964618167159</v>
      </c>
      <c r="N1276" s="17" t="n">
        <f aca="false">(N1275*13+L1276)/14</f>
        <v>33.6351131908003</v>
      </c>
      <c r="O1276" s="17" t="n">
        <f aca="false">IF(N1276=0,100,100-100/(1+M1276/N1276))</f>
        <v>64.0649468723714</v>
      </c>
      <c r="P1276" s="17" t="n">
        <f aca="false">AVERAGE(B1257:B1276)+2*STDEV(B1257:B1276)</f>
        <v>15151.4339511025</v>
      </c>
      <c r="Q1276" s="17" t="n">
        <f aca="false">AVERAGE(B1257:B1276)-2*STDEV(B1257:B1276)</f>
        <v>14487.5120488976</v>
      </c>
      <c r="R1276" s="19" t="n">
        <f aca="false">B1276/B1256-1</f>
        <v>0.0305604638795012</v>
      </c>
      <c r="S1276" s="17" t="n">
        <f aca="false">STDEV(C1257:C1276)*SQRT(252)*100</f>
        <v>11.0843825281145</v>
      </c>
      <c r="T1276" s="19" t="n">
        <f aca="false">B1255/B1025-1</f>
        <v>0.362187681117286</v>
      </c>
      <c r="U1276" s="19" t="n">
        <f aca="false">B1276/MAX(B1025:B1276)-1</f>
        <v>-0.00713013066947865</v>
      </c>
      <c r="V1276" s="17" t="n">
        <f aca="false">(B1276-AVERAGE(B1257:B1276))/STDEV(B1257:B1276)</f>
        <v>1.19668894392762</v>
      </c>
    </row>
    <row r="1277" customFormat="false" ht="15" hidden="false" customHeight="false" outlineLevel="0" collapsed="false">
      <c r="A1277" s="17" t="s">
        <v>1841</v>
      </c>
      <c r="B1277" s="17" t="n">
        <v>15048.36</v>
      </c>
      <c r="C1277" s="19" t="n">
        <f aca="false">B1277/B1276-1</f>
        <v>0.0020149020182314</v>
      </c>
      <c r="D1277" s="17" t="n">
        <f aca="false">AVERAGE(B1228:B1277)</f>
        <v>14295.8416</v>
      </c>
      <c r="E1277" s="17" t="n">
        <f aca="false">AVERAGE(B1078:B1277)</f>
        <v>13225.85295</v>
      </c>
      <c r="F1277" s="17" t="n">
        <f aca="false">B1277*2/13+F1276*11/13</f>
        <v>14917.9259444004</v>
      </c>
      <c r="G1277" s="17" t="n">
        <f aca="false">B1277*2/27+G1276*25/27</f>
        <v>14716.6822180736</v>
      </c>
      <c r="H1277" s="17" t="n">
        <f aca="false">F1277-G1277</f>
        <v>201.243726326795</v>
      </c>
      <c r="I1277" s="17" t="n">
        <f aca="false">H1277*2/10+I1276*8/10</f>
        <v>208.69661033106</v>
      </c>
      <c r="J1277" s="17" t="n">
        <f aca="false">H1277-I1277</f>
        <v>-7.45288400426543</v>
      </c>
      <c r="K1277" s="17" t="n">
        <f aca="false">MAX(B1277-B1276,0)</f>
        <v>30.2600000000002</v>
      </c>
      <c r="L1277" s="17" t="n">
        <f aca="false">MAX(B1276-B1277,0)</f>
        <v>0</v>
      </c>
      <c r="M1277" s="17" t="n">
        <f aca="false">(M1276*13+K1277)/14</f>
        <v>57.8428597266477</v>
      </c>
      <c r="N1277" s="17" t="n">
        <f aca="false">(N1276*13+L1277)/14</f>
        <v>31.2326051057431</v>
      </c>
      <c r="O1277" s="17" t="n">
        <f aca="false">IF(N1277=0,100,100-100/(1+M1277/N1277))</f>
        <v>64.9369159459206</v>
      </c>
      <c r="P1277" s="17" t="n">
        <f aca="false">AVERAGE(B1258:B1277)+2*STDEV(B1258:B1277)</f>
        <v>15166.5101443292</v>
      </c>
      <c r="Q1277" s="17" t="n">
        <f aca="false">AVERAGE(B1258:B1277)-2*STDEV(B1258:B1277)</f>
        <v>14521.7918556708</v>
      </c>
      <c r="R1277" s="19" t="n">
        <f aca="false">B1277/B1257-1</f>
        <v>0.0339104625278259</v>
      </c>
      <c r="S1277" s="17" t="n">
        <f aca="false">STDEV(C1258:C1277)*SQRT(252)*100</f>
        <v>11.0369245705666</v>
      </c>
      <c r="T1277" s="19" t="n">
        <f aca="false">B1256/B1026-1</f>
        <v>0.359967934330704</v>
      </c>
      <c r="U1277" s="19" t="n">
        <f aca="false">B1277/MAX(B1026:B1277)-1</f>
        <v>-0.00512959516592348</v>
      </c>
      <c r="V1277" s="17" t="n">
        <f aca="false">(B1277-AVERAGE(B1258:B1277))/STDEV(B1258:B1277)</f>
        <v>1.26696576531099</v>
      </c>
    </row>
    <row r="1278" customFormat="false" ht="15" hidden="false" customHeight="false" outlineLevel="0" collapsed="false">
      <c r="A1278" s="17" t="s">
        <v>1842</v>
      </c>
      <c r="B1278" s="17" t="n">
        <v>14959.9</v>
      </c>
      <c r="C1278" s="19" t="n">
        <f aca="false">B1278/B1277-1</f>
        <v>-0.00587838143159791</v>
      </c>
      <c r="D1278" s="17" t="n">
        <f aca="false">AVERAGE(B1229:B1278)</f>
        <v>14330.2814</v>
      </c>
      <c r="E1278" s="17" t="n">
        <f aca="false">AVERAGE(B1079:B1278)</f>
        <v>13240.2366</v>
      </c>
      <c r="F1278" s="17" t="n">
        <f aca="false">B1278*2/13+F1277*11/13</f>
        <v>14924.3834914157</v>
      </c>
      <c r="G1278" s="17" t="n">
        <f aca="false">B1278*2/27+G1277*25/27</f>
        <v>14734.6983500681</v>
      </c>
      <c r="H1278" s="17" t="n">
        <f aca="false">F1278-G1278</f>
        <v>189.685141347572</v>
      </c>
      <c r="I1278" s="17" t="n">
        <f aca="false">H1278*2/10+I1277*8/10</f>
        <v>204.894316534363</v>
      </c>
      <c r="J1278" s="17" t="n">
        <f aca="false">H1278-I1278</f>
        <v>-15.2091751867902</v>
      </c>
      <c r="K1278" s="17" t="n">
        <f aca="false">MAX(B1278-B1277,0)</f>
        <v>0</v>
      </c>
      <c r="L1278" s="17" t="n">
        <f aca="false">MAX(B1277-B1278,0)</f>
        <v>88.460000000001</v>
      </c>
      <c r="M1278" s="17" t="n">
        <f aca="false">(M1277*13+K1278)/14</f>
        <v>53.71122688903</v>
      </c>
      <c r="N1278" s="17" t="n">
        <f aca="false">(N1277*13+L1278)/14</f>
        <v>35.3202761696187</v>
      </c>
      <c r="O1278" s="17" t="n">
        <f aca="false">IF(N1278=0,100,100-100/(1+M1278/N1278))</f>
        <v>60.3283388955572</v>
      </c>
      <c r="P1278" s="17" t="n">
        <f aca="false">AVERAGE(B1259:B1278)+2*STDEV(B1259:B1278)</f>
        <v>15160.8938600335</v>
      </c>
      <c r="Q1278" s="17" t="n">
        <f aca="false">AVERAGE(B1259:B1278)-2*STDEV(B1259:B1278)</f>
        <v>14567.3931399665</v>
      </c>
      <c r="R1278" s="19" t="n">
        <f aca="false">B1278/B1258-1</f>
        <v>0.0274621309679568</v>
      </c>
      <c r="S1278" s="17" t="n">
        <f aca="false">STDEV(C1259:C1278)*SQRT(252)*100</f>
        <v>11.3543509849737</v>
      </c>
      <c r="T1278" s="19" t="n">
        <f aca="false">B1257/B1027-1</f>
        <v>0.334582812207727</v>
      </c>
      <c r="U1278" s="19" t="n">
        <f aca="false">B1278/MAX(B1027:B1278)-1</f>
        <v>-0.0109778228805464</v>
      </c>
      <c r="V1278" s="17" t="n">
        <f aca="false">(B1278-AVERAGE(B1259:B1278))/STDEV(B1259:B1278)</f>
        <v>0.645367372017314</v>
      </c>
    </row>
    <row r="1279" customFormat="false" ht="15" hidden="false" customHeight="false" outlineLevel="0" collapsed="false">
      <c r="A1279" s="17" t="s">
        <v>1843</v>
      </c>
      <c r="B1279" s="17" t="n">
        <v>14963.62</v>
      </c>
      <c r="C1279" s="19" t="n">
        <f aca="false">B1279/B1278-1</f>
        <v>0.000248664763802031</v>
      </c>
      <c r="D1279" s="17" t="n">
        <f aca="false">AVERAGE(B1230:B1279)</f>
        <v>14359.672</v>
      </c>
      <c r="E1279" s="17" t="n">
        <f aca="false">AVERAGE(B1080:B1279)</f>
        <v>13255.1279</v>
      </c>
      <c r="F1279" s="17" t="n">
        <f aca="false">B1279*2/13+F1278*11/13</f>
        <v>14930.4198773517</v>
      </c>
      <c r="G1279" s="17" t="n">
        <f aca="false">B1279*2/27+G1278*25/27</f>
        <v>14751.6555093223</v>
      </c>
      <c r="H1279" s="17" t="n">
        <f aca="false">F1279-G1279</f>
        <v>178.764368029408</v>
      </c>
      <c r="I1279" s="17" t="n">
        <f aca="false">H1279*2/10+I1278*8/10</f>
        <v>199.668326833372</v>
      </c>
      <c r="J1279" s="17" t="n">
        <f aca="false">H1279-I1279</f>
        <v>-20.9039588039639</v>
      </c>
      <c r="K1279" s="17" t="n">
        <f aca="false">MAX(B1279-B1278,0)</f>
        <v>3.72000000000116</v>
      </c>
      <c r="L1279" s="17" t="n">
        <f aca="false">MAX(B1278-B1279,0)</f>
        <v>0</v>
      </c>
      <c r="M1279" s="17" t="n">
        <f aca="false">(M1278*13+K1279)/14</f>
        <v>50.1404249683851</v>
      </c>
      <c r="N1279" s="17" t="n">
        <f aca="false">(N1278*13+L1279)/14</f>
        <v>32.7973993003602</v>
      </c>
      <c r="O1279" s="17" t="n">
        <f aca="false">IF(N1279=0,100,100-100/(1+M1279/N1279))</f>
        <v>60.4554380470772</v>
      </c>
      <c r="P1279" s="17" t="n">
        <f aca="false">AVERAGE(B1260:B1279)+2*STDEV(B1260:B1279)</f>
        <v>15168.5766891855</v>
      </c>
      <c r="Q1279" s="17" t="n">
        <f aca="false">AVERAGE(B1260:B1279)-2*STDEV(B1260:B1279)</f>
        <v>14583.3093108145</v>
      </c>
      <c r="R1279" s="19" t="n">
        <f aca="false">B1279/B1259-1</f>
        <v>0.0160236236244393</v>
      </c>
      <c r="S1279" s="17" t="n">
        <f aca="false">STDEV(C1260:C1279)*SQRT(252)*100</f>
        <v>10.707025591087</v>
      </c>
      <c r="T1279" s="19" t="n">
        <f aca="false">B1258/B1028-1</f>
        <v>0.31704610007345</v>
      </c>
      <c r="U1279" s="19" t="n">
        <f aca="false">B1279/MAX(B1028:B1279)-1</f>
        <v>-0.0107318879144781</v>
      </c>
      <c r="V1279" s="17" t="n">
        <f aca="false">(B1279-AVERAGE(B1260:B1279))/STDEV(B1260:B1279)</f>
        <v>0.599226973791271</v>
      </c>
    </row>
    <row r="1280" customFormat="false" ht="15" hidden="false" customHeight="false" outlineLevel="0" collapsed="false">
      <c r="A1280" s="17" t="s">
        <v>1844</v>
      </c>
      <c r="B1280" s="17" t="n">
        <v>15061.42</v>
      </c>
      <c r="C1280" s="19" t="n">
        <f aca="false">B1280/B1279-1</f>
        <v>0.00653585161879278</v>
      </c>
      <c r="D1280" s="17" t="n">
        <f aca="false">AVERAGE(B1231:B1280)</f>
        <v>14392.6656</v>
      </c>
      <c r="E1280" s="17" t="n">
        <f aca="false">AVERAGE(B1081:B1280)</f>
        <v>13270.94215</v>
      </c>
      <c r="F1280" s="17" t="n">
        <f aca="false">B1280*2/13+F1279*11/13</f>
        <v>14950.5737423746</v>
      </c>
      <c r="G1280" s="17" t="n">
        <f aca="false">B1280*2/27+G1279*25/27</f>
        <v>14774.6010271503</v>
      </c>
      <c r="H1280" s="17" t="n">
        <f aca="false">F1280-G1280</f>
        <v>175.972715224239</v>
      </c>
      <c r="I1280" s="17" t="n">
        <f aca="false">H1280*2/10+I1279*8/10</f>
        <v>194.929204511545</v>
      </c>
      <c r="J1280" s="17" t="n">
        <f aca="false">H1280-I1280</f>
        <v>-18.9564892873058</v>
      </c>
      <c r="K1280" s="17" t="n">
        <f aca="false">MAX(B1280-B1279,0)</f>
        <v>97.7999999999993</v>
      </c>
      <c r="L1280" s="17" t="n">
        <f aca="false">MAX(B1279-B1280,0)</f>
        <v>0</v>
      </c>
      <c r="M1280" s="17" t="n">
        <f aca="false">(M1279*13+K1280)/14</f>
        <v>53.5446803277861</v>
      </c>
      <c r="N1280" s="17" t="n">
        <f aca="false">(N1279*13+L1280)/14</f>
        <v>30.4547279217631</v>
      </c>
      <c r="O1280" s="17" t="n">
        <f aca="false">IF(N1280=0,100,100-100/(1+M1280/N1280))</f>
        <v>63.7441161117626</v>
      </c>
      <c r="P1280" s="17" t="n">
        <f aca="false">AVERAGE(B1261:B1280)+2*STDEV(B1261:B1280)</f>
        <v>15190.3470355808</v>
      </c>
      <c r="Q1280" s="17" t="n">
        <f aca="false">AVERAGE(B1261:B1280)-2*STDEV(B1261:B1280)</f>
        <v>14589.0449644192</v>
      </c>
      <c r="R1280" s="19" t="n">
        <f aca="false">B1280/B1260-1</f>
        <v>0.0186022793980398</v>
      </c>
      <c r="S1280" s="17" t="n">
        <f aca="false">STDEV(C1261:C1280)*SQRT(252)*100</f>
        <v>10.8444378342908</v>
      </c>
      <c r="T1280" s="19" t="n">
        <f aca="false">B1259/B1029-1</f>
        <v>0.327227225783893</v>
      </c>
      <c r="U1280" s="19" t="n">
        <f aca="false">B1280/MAX(B1029:B1280)-1</f>
        <v>-0.00426617832268394</v>
      </c>
      <c r="V1280" s="17" t="n">
        <f aca="false">(B1280-AVERAGE(B1261:B1280))/STDEV(B1261:B1280)</f>
        <v>1.14234763680943</v>
      </c>
    </row>
    <row r="1281" customFormat="false" ht="15" hidden="false" customHeight="false" outlineLevel="0" collapsed="false">
      <c r="A1281" s="17" t="s">
        <v>1845</v>
      </c>
      <c r="B1281" s="17" t="n">
        <v>15083.39</v>
      </c>
      <c r="C1281" s="19" t="n">
        <f aca="false">B1281/B1280-1</f>
        <v>0.00145869380177954</v>
      </c>
      <c r="D1281" s="17" t="n">
        <f aca="false">AVERAGE(B1232:B1281)</f>
        <v>14421.4984</v>
      </c>
      <c r="E1281" s="17" t="n">
        <f aca="false">AVERAGE(B1082:B1281)</f>
        <v>13287.09825</v>
      </c>
      <c r="F1281" s="17" t="n">
        <f aca="false">B1281*2/13+F1280*11/13</f>
        <v>14971.0070127785</v>
      </c>
      <c r="G1281" s="17" t="n">
        <f aca="false">B1281*2/27+G1280*25/27</f>
        <v>14797.4742843984</v>
      </c>
      <c r="H1281" s="17" t="n">
        <f aca="false">F1281-G1281</f>
        <v>173.532728380029</v>
      </c>
      <c r="I1281" s="17" t="n">
        <f aca="false">H1281*2/10+I1280*8/10</f>
        <v>190.649909285242</v>
      </c>
      <c r="J1281" s="17" t="n">
        <f aca="false">H1281-I1281</f>
        <v>-17.1171809052131</v>
      </c>
      <c r="K1281" s="17" t="n">
        <f aca="false">MAX(B1281-B1280,0)</f>
        <v>21.9699999999993</v>
      </c>
      <c r="L1281" s="17" t="n">
        <f aca="false">MAX(B1280-B1281,0)</f>
        <v>0</v>
      </c>
      <c r="M1281" s="17" t="n">
        <f aca="false">(M1280*13+K1281)/14</f>
        <v>51.2893460186585</v>
      </c>
      <c r="N1281" s="17" t="n">
        <f aca="false">(N1280*13+L1281)/14</f>
        <v>28.2793902130657</v>
      </c>
      <c r="O1281" s="17" t="n">
        <f aca="false">IF(N1281=0,100,100-100/(1+M1281/N1281))</f>
        <v>64.4591688239097</v>
      </c>
      <c r="P1281" s="17" t="n">
        <f aca="false">AVERAGE(B1262:B1281)+2*STDEV(B1262:B1281)</f>
        <v>15213.4782993283</v>
      </c>
      <c r="Q1281" s="17" t="n">
        <f aca="false">AVERAGE(B1262:B1281)-2*STDEV(B1262:B1281)</f>
        <v>14593.1987006718</v>
      </c>
      <c r="R1281" s="19" t="n">
        <f aca="false">B1281/B1261-1</f>
        <v>0.0184226908674496</v>
      </c>
      <c r="S1281" s="17" t="n">
        <f aca="false">STDEV(C1262:C1281)*SQRT(252)*100</f>
        <v>10.8431261850037</v>
      </c>
      <c r="T1281" s="19" t="n">
        <f aca="false">B1260/B1030-1</f>
        <v>0.329058446227745</v>
      </c>
      <c r="U1281" s="19" t="n">
        <f aca="false">B1281/MAX(B1030:B1281)-1</f>
        <v>-0.00281370756878085</v>
      </c>
      <c r="V1281" s="17" t="n">
        <f aca="false">(B1281-AVERAGE(B1262:B1281))/STDEV(B1262:B1281)</f>
        <v>1.16109896498276</v>
      </c>
    </row>
    <row r="1282" customFormat="false" ht="15" hidden="false" customHeight="false" outlineLevel="0" collapsed="false">
      <c r="A1282" s="17" t="s">
        <v>1846</v>
      </c>
      <c r="B1282" s="17" t="n">
        <v>15181.64</v>
      </c>
      <c r="C1282" s="19" t="n">
        <f aca="false">B1282/B1281-1</f>
        <v>0.0065137876830077</v>
      </c>
      <c r="D1282" s="17" t="n">
        <f aca="false">AVERAGE(B1233:B1282)</f>
        <v>14451.9766</v>
      </c>
      <c r="E1282" s="17" t="n">
        <f aca="false">AVERAGE(B1083:B1282)</f>
        <v>13304.8347</v>
      </c>
      <c r="F1282" s="17" t="n">
        <f aca="false">B1282*2/13+F1281*11/13</f>
        <v>15003.4120877356</v>
      </c>
      <c r="G1282" s="17" t="n">
        <f aca="false">B1282*2/27+G1281*25/27</f>
        <v>14825.9310040726</v>
      </c>
      <c r="H1282" s="17" t="n">
        <f aca="false">F1282-G1282</f>
        <v>177.481083662997</v>
      </c>
      <c r="I1282" s="17" t="n">
        <f aca="false">H1282*2/10+I1281*8/10</f>
        <v>188.016144160793</v>
      </c>
      <c r="J1282" s="17" t="n">
        <f aca="false">H1282-I1282</f>
        <v>-10.5350604977962</v>
      </c>
      <c r="K1282" s="17" t="n">
        <f aca="false">MAX(B1282-B1281,0)</f>
        <v>98.25</v>
      </c>
      <c r="L1282" s="17" t="n">
        <f aca="false">MAX(B1281-B1282,0)</f>
        <v>0</v>
      </c>
      <c r="M1282" s="17" t="n">
        <f aca="false">(M1281*13+K1282)/14</f>
        <v>54.6436784458971</v>
      </c>
      <c r="N1282" s="17" t="n">
        <f aca="false">(N1281*13+L1282)/14</f>
        <v>26.2594337692753</v>
      </c>
      <c r="O1282" s="17" t="n">
        <f aca="false">IF(N1282=0,100,100-100/(1+M1282/N1282))</f>
        <v>67.5421216189621</v>
      </c>
      <c r="P1282" s="17" t="n">
        <f aca="false">AVERAGE(B1263:B1282)+2*STDEV(B1263:B1282)</f>
        <v>15247.8062740385</v>
      </c>
      <c r="Q1282" s="17" t="n">
        <f aca="false">AVERAGE(B1263:B1282)-2*STDEV(B1263:B1282)</f>
        <v>14604.8207259615</v>
      </c>
      <c r="R1282" s="19" t="n">
        <f aca="false">B1282/B1262-1</f>
        <v>0.0312114950679725</v>
      </c>
      <c r="S1282" s="17" t="n">
        <f aca="false">STDEV(C1263:C1282)*SQRT(252)*100</f>
        <v>10.6932449858068</v>
      </c>
      <c r="T1282" s="19" t="n">
        <f aca="false">B1261/B1031-1</f>
        <v>0.314496746273214</v>
      </c>
      <c r="U1282" s="19" t="n">
        <f aca="false">B1282/MAX(B1031:B1282)-1</f>
        <v>0</v>
      </c>
      <c r="V1282" s="17" t="n">
        <f aca="false">(B1282-AVERAGE(B1263:B1282))/STDEV(B1263:B1282)</f>
        <v>1.588380956702</v>
      </c>
    </row>
    <row r="1283" customFormat="false" ht="15" hidden="false" customHeight="false" outlineLevel="0" collapsed="false">
      <c r="A1283" s="17" t="s">
        <v>1847</v>
      </c>
      <c r="B1283" s="17" t="n">
        <v>15109.36</v>
      </c>
      <c r="C1283" s="19" t="n">
        <f aca="false">B1283/B1282-1</f>
        <v>-0.00476101396160089</v>
      </c>
      <c r="D1283" s="17" t="n">
        <f aca="false">AVERAGE(B1234:B1283)</f>
        <v>14480.109</v>
      </c>
      <c r="E1283" s="17" t="n">
        <f aca="false">AVERAGE(B1084:B1283)</f>
        <v>13321.9923</v>
      </c>
      <c r="F1283" s="17" t="n">
        <f aca="false">B1283*2/13+F1282*11/13</f>
        <v>15019.7117665455</v>
      </c>
      <c r="G1283" s="17" t="n">
        <f aca="false">B1283*2/27+G1282*25/27</f>
        <v>14846.9257445117</v>
      </c>
      <c r="H1283" s="17" t="n">
        <f aca="false">F1283-G1283</f>
        <v>172.786022033837</v>
      </c>
      <c r="I1283" s="17" t="n">
        <f aca="false">H1283*2/10+I1282*8/10</f>
        <v>184.970119735402</v>
      </c>
      <c r="J1283" s="17" t="n">
        <f aca="false">H1283-I1283</f>
        <v>-12.1840977015647</v>
      </c>
      <c r="K1283" s="17" t="n">
        <f aca="false">MAX(B1283-B1282,0)</f>
        <v>0</v>
      </c>
      <c r="L1283" s="17" t="n">
        <f aca="false">MAX(B1282-B1283,0)</f>
        <v>72.2799999999988</v>
      </c>
      <c r="M1283" s="17" t="n">
        <f aca="false">(M1282*13+K1283)/14</f>
        <v>50.7405585569045</v>
      </c>
      <c r="N1283" s="17" t="n">
        <f aca="false">(N1282*13+L1283)/14</f>
        <v>29.5466170714698</v>
      </c>
      <c r="O1283" s="17" t="n">
        <f aca="false">IF(N1283=0,100,100-100/(1+M1283/N1283))</f>
        <v>63.1988336366042</v>
      </c>
      <c r="P1283" s="17" t="n">
        <f aca="false">AVERAGE(B1264:B1283)+2*STDEV(B1264:B1283)</f>
        <v>15268.2759738335</v>
      </c>
      <c r="Q1283" s="17" t="n">
        <f aca="false">AVERAGE(B1264:B1283)-2*STDEV(B1264:B1283)</f>
        <v>14612.6780261665</v>
      </c>
      <c r="R1283" s="19" t="n">
        <f aca="false">B1283/B1263-1</f>
        <v>0.0191061837611939</v>
      </c>
      <c r="S1283" s="17" t="n">
        <f aca="false">STDEV(C1264:C1283)*SQRT(252)*100</f>
        <v>10.7099501869707</v>
      </c>
      <c r="T1283" s="19" t="n">
        <f aca="false">B1262/B1032-1</f>
        <v>0.321628922230032</v>
      </c>
      <c r="U1283" s="19" t="n">
        <f aca="false">B1283/MAX(B1032:B1283)-1</f>
        <v>-0.00476101396160089</v>
      </c>
      <c r="V1283" s="17" t="n">
        <f aca="false">(B1283-AVERAGE(B1264:B1283))/STDEV(B1264:B1283)</f>
        <v>1.03040591021354</v>
      </c>
    </row>
    <row r="1284" customFormat="false" ht="15" hidden="false" customHeight="false" outlineLevel="0" collapsed="false">
      <c r="A1284" s="17" t="s">
        <v>1848</v>
      </c>
      <c r="B1284" s="17" t="n">
        <v>15133.11</v>
      </c>
      <c r="C1284" s="19" t="n">
        <f aca="false">B1284/B1283-1</f>
        <v>0.00157187332885056</v>
      </c>
      <c r="D1284" s="17" t="n">
        <f aca="false">AVERAGE(B1235:B1284)</f>
        <v>14509.6142</v>
      </c>
      <c r="E1284" s="17" t="n">
        <f aca="false">AVERAGE(B1085:B1284)</f>
        <v>13339.331</v>
      </c>
      <c r="F1284" s="17" t="n">
        <f aca="false">B1284*2/13+F1283*11/13</f>
        <v>15037.1576486154</v>
      </c>
      <c r="G1284" s="17" t="n">
        <f aca="false">B1284*2/27+G1283*25/27</f>
        <v>14868.1245782516</v>
      </c>
      <c r="H1284" s="17" t="n">
        <f aca="false">F1284-G1284</f>
        <v>169.033070363881</v>
      </c>
      <c r="I1284" s="17" t="n">
        <f aca="false">H1284*2/10+I1283*8/10</f>
        <v>181.782709861098</v>
      </c>
      <c r="J1284" s="17" t="n">
        <f aca="false">H1284-I1284</f>
        <v>-12.7496394972165</v>
      </c>
      <c r="K1284" s="17" t="n">
        <f aca="false">MAX(B1284-B1283,0)</f>
        <v>23.75</v>
      </c>
      <c r="L1284" s="17" t="n">
        <f aca="false">MAX(B1283-B1284,0)</f>
        <v>0</v>
      </c>
      <c r="M1284" s="17" t="n">
        <f aca="false">(M1283*13+K1284)/14</f>
        <v>48.8126615171256</v>
      </c>
      <c r="N1284" s="17" t="n">
        <f aca="false">(N1283*13+L1284)/14</f>
        <v>27.4361444235077</v>
      </c>
      <c r="O1284" s="17" t="n">
        <f aca="false">IF(N1284=0,100,100-100/(1+M1284/N1284))</f>
        <v>64.0176077709738</v>
      </c>
      <c r="P1284" s="17" t="n">
        <f aca="false">AVERAGE(B1265:B1284)+2*STDEV(B1265:B1284)</f>
        <v>15290.512297902</v>
      </c>
      <c r="Q1284" s="17" t="n">
        <f aca="false">AVERAGE(B1265:B1284)-2*STDEV(B1265:B1284)</f>
        <v>14615.963702098</v>
      </c>
      <c r="R1284" s="19" t="n">
        <f aca="false">B1284/B1264-1</f>
        <v>0.0171543142206321</v>
      </c>
      <c r="S1284" s="17" t="n">
        <f aca="false">STDEV(C1265:C1284)*SQRT(252)*100</f>
        <v>10.6715000815618</v>
      </c>
      <c r="T1284" s="19" t="n">
        <f aca="false">B1263/B1033-1</f>
        <v>0.337470692826542</v>
      </c>
      <c r="U1284" s="19" t="n">
        <f aca="false">B1284/MAX(B1033:B1284)-1</f>
        <v>-0.00319662434361501</v>
      </c>
      <c r="V1284" s="17" t="n">
        <f aca="false">(B1284-AVERAGE(B1265:B1284))/STDEV(B1265:B1284)</f>
        <v>1.06662144799591</v>
      </c>
    </row>
    <row r="1285" customFormat="false" ht="15" hidden="false" customHeight="false" outlineLevel="0" collapsed="false">
      <c r="A1285" s="17" t="s">
        <v>1849</v>
      </c>
      <c r="B1285" s="17" t="n">
        <v>15053.58</v>
      </c>
      <c r="C1285" s="19" t="n">
        <f aca="false">B1285/B1284-1</f>
        <v>-0.00525536390074488</v>
      </c>
      <c r="D1285" s="17" t="n">
        <f aca="false">AVERAGE(B1236:B1285)</f>
        <v>14536.9556</v>
      </c>
      <c r="E1285" s="17" t="n">
        <f aca="false">AVERAGE(B1086:B1285)</f>
        <v>13356.28435</v>
      </c>
      <c r="F1285" s="17" t="n">
        <f aca="false">B1285*2/13+F1284*11/13</f>
        <v>15039.6841642131</v>
      </c>
      <c r="G1285" s="17" t="n">
        <f aca="false">B1285*2/27+G1284*25/27</f>
        <v>14881.8620168996</v>
      </c>
      <c r="H1285" s="17" t="n">
        <f aca="false">F1285-G1285</f>
        <v>157.822147313475</v>
      </c>
      <c r="I1285" s="17" t="n">
        <f aca="false">H1285*2/10+I1284*8/10</f>
        <v>176.990597351573</v>
      </c>
      <c r="J1285" s="17" t="n">
        <f aca="false">H1285-I1285</f>
        <v>-19.1684500380985</v>
      </c>
      <c r="K1285" s="17" t="n">
        <f aca="false">MAX(B1285-B1284,0)</f>
        <v>0</v>
      </c>
      <c r="L1285" s="17" t="n">
        <f aca="false">MAX(B1284-B1285,0)</f>
        <v>79.5300000000007</v>
      </c>
      <c r="M1285" s="17" t="n">
        <f aca="false">(M1284*13+K1285)/14</f>
        <v>45.3260428373309</v>
      </c>
      <c r="N1285" s="17" t="n">
        <f aca="false">(N1284*13+L1285)/14</f>
        <v>31.1571341075429</v>
      </c>
      <c r="O1285" s="17" t="n">
        <f aca="false">IF(N1285=0,100,100-100/(1+M1285/N1285))</f>
        <v>59.2627616266518</v>
      </c>
      <c r="P1285" s="17" t="n">
        <f aca="false">AVERAGE(B1266:B1285)+2*STDEV(B1266:B1285)</f>
        <v>15300.1727612546</v>
      </c>
      <c r="Q1285" s="17" t="n">
        <f aca="false">AVERAGE(B1266:B1285)-2*STDEV(B1266:B1285)</f>
        <v>14624.2072387454</v>
      </c>
      <c r="R1285" s="19" t="n">
        <f aca="false">B1285/B1265-1</f>
        <v>0.0120366747475889</v>
      </c>
      <c r="S1285" s="17" t="n">
        <f aca="false">STDEV(C1266:C1285)*SQRT(252)*100</f>
        <v>10.887304857231</v>
      </c>
      <c r="T1285" s="19" t="n">
        <f aca="false">B1264/B1034-1</f>
        <v>0.367945987892697</v>
      </c>
      <c r="U1285" s="19" t="n">
        <f aca="false">B1285/MAX(B1034:B1285)-1</f>
        <v>-0.00843518882018013</v>
      </c>
      <c r="V1285" s="17" t="n">
        <f aca="false">(B1285-AVERAGE(B1266:B1285))/STDEV(B1266:B1285)</f>
        <v>0.540796812599362</v>
      </c>
    </row>
    <row r="1286" customFormat="false" ht="15" hidden="false" customHeight="false" outlineLevel="0" collapsed="false">
      <c r="A1286" s="17" t="s">
        <v>1850</v>
      </c>
      <c r="B1286" s="17" t="n">
        <v>15027.76</v>
      </c>
      <c r="C1286" s="19" t="n">
        <f aca="false">B1286/B1285-1</f>
        <v>-0.00171520661530344</v>
      </c>
      <c r="D1286" s="17" t="n">
        <f aca="false">AVERAGE(B1237:B1286)</f>
        <v>14564.419</v>
      </c>
      <c r="E1286" s="17" t="n">
        <f aca="false">AVERAGE(B1087:B1286)</f>
        <v>13372.9603</v>
      </c>
      <c r="F1286" s="17" t="n">
        <f aca="false">B1286*2/13+F1285*11/13</f>
        <v>15037.8496774111</v>
      </c>
      <c r="G1286" s="17" t="n">
        <f aca="false">B1286*2/27+G1285*25/27</f>
        <v>14892.669274907</v>
      </c>
      <c r="H1286" s="17" t="n">
        <f aca="false">F1286-G1286</f>
        <v>145.180402504024</v>
      </c>
      <c r="I1286" s="17" t="n">
        <f aca="false">H1286*2/10+I1285*8/10</f>
        <v>170.628558382063</v>
      </c>
      <c r="J1286" s="17" t="n">
        <f aca="false">H1286-I1286</f>
        <v>-25.4481558780394</v>
      </c>
      <c r="K1286" s="17" t="n">
        <f aca="false">MAX(B1286-B1285,0)</f>
        <v>0</v>
      </c>
      <c r="L1286" s="17" t="n">
        <f aca="false">MAX(B1285-B1286,0)</f>
        <v>25.8199999999997</v>
      </c>
      <c r="M1286" s="17" t="n">
        <f aca="false">(M1285*13+K1286)/14</f>
        <v>42.0884683489501</v>
      </c>
      <c r="N1286" s="17" t="n">
        <f aca="false">(N1285*13+L1286)/14</f>
        <v>30.7759102427184</v>
      </c>
      <c r="O1286" s="17" t="n">
        <f aca="false">IF(N1286=0,100,100-100/(1+M1286/N1286))</f>
        <v>57.7627493192711</v>
      </c>
      <c r="P1286" s="17" t="n">
        <f aca="false">AVERAGE(B1267:B1286)+2*STDEV(B1267:B1286)</f>
        <v>15306.4377890702</v>
      </c>
      <c r="Q1286" s="17" t="n">
        <f aca="false">AVERAGE(B1267:B1286)-2*STDEV(B1267:B1286)</f>
        <v>14630.6742109298</v>
      </c>
      <c r="R1286" s="19" t="n">
        <f aca="false">B1286/B1266-1</f>
        <v>0.0085447141158248</v>
      </c>
      <c r="S1286" s="17" t="n">
        <f aca="false">STDEV(C1267:C1286)*SQRT(252)*100</f>
        <v>10.9092344936601</v>
      </c>
      <c r="T1286" s="19" t="n">
        <f aca="false">B1265/B1035-1</f>
        <v>0.333116443144299</v>
      </c>
      <c r="U1286" s="19" t="n">
        <f aca="false">B1286/MAX(B1035:B1286)-1</f>
        <v>-0.0101359273438179</v>
      </c>
      <c r="V1286" s="17" t="n">
        <f aca="false">(B1286-AVERAGE(B1267:B1286))/STDEV(B1267:B1286)</f>
        <v>0.350442089009439</v>
      </c>
    </row>
    <row r="1287" customFormat="false" ht="15" hidden="false" customHeight="false" outlineLevel="0" collapsed="false">
      <c r="A1287" s="17" t="s">
        <v>1851</v>
      </c>
      <c r="B1287" s="17" t="n">
        <v>15088.98</v>
      </c>
      <c r="C1287" s="19" t="n">
        <f aca="false">B1287/B1286-1</f>
        <v>0.00407379409838859</v>
      </c>
      <c r="D1287" s="17" t="n">
        <f aca="false">AVERAGE(B1238:B1287)</f>
        <v>14592.6828</v>
      </c>
      <c r="E1287" s="17" t="n">
        <f aca="false">AVERAGE(B1088:B1287)</f>
        <v>13390.8826</v>
      </c>
      <c r="F1287" s="17" t="n">
        <f aca="false">B1287*2/13+F1286*11/13</f>
        <v>15045.7158808863</v>
      </c>
      <c r="G1287" s="17" t="n">
        <f aca="false">B1287*2/27+G1286*25/27</f>
        <v>14907.2108100991</v>
      </c>
      <c r="H1287" s="17" t="n">
        <f aca="false">F1287-G1287</f>
        <v>138.505070787176</v>
      </c>
      <c r="I1287" s="17" t="n">
        <f aca="false">H1287*2/10+I1286*8/10</f>
        <v>164.203860863086</v>
      </c>
      <c r="J1287" s="17" t="n">
        <f aca="false">H1287-I1287</f>
        <v>-25.6987900759097</v>
      </c>
      <c r="K1287" s="17" t="n">
        <f aca="false">MAX(B1287-B1286,0)</f>
        <v>61.2199999999993</v>
      </c>
      <c r="L1287" s="17" t="n">
        <f aca="false">MAX(B1286-B1287,0)</f>
        <v>0</v>
      </c>
      <c r="M1287" s="17" t="n">
        <f aca="false">(M1286*13+K1287)/14</f>
        <v>43.4550063240251</v>
      </c>
      <c r="N1287" s="17" t="n">
        <f aca="false">(N1286*13+L1287)/14</f>
        <v>28.5776309396671</v>
      </c>
      <c r="O1287" s="17" t="n">
        <f aca="false">IF(N1287=0,100,100-100/(1+M1287/N1287))</f>
        <v>60.3268295799694</v>
      </c>
      <c r="P1287" s="17" t="n">
        <f aca="false">AVERAGE(B1268:B1287)+2*STDEV(B1268:B1287)</f>
        <v>15314.8446449812</v>
      </c>
      <c r="Q1287" s="17" t="n">
        <f aca="false">AVERAGE(B1268:B1287)-2*STDEV(B1268:B1287)</f>
        <v>14651.6963550188</v>
      </c>
      <c r="R1287" s="19" t="n">
        <f aca="false">B1287/B1267-1</f>
        <v>0.0198915962416244</v>
      </c>
      <c r="S1287" s="17" t="n">
        <f aca="false">STDEV(C1268:C1287)*SQRT(252)*100</f>
        <v>10.6008086372061</v>
      </c>
      <c r="T1287" s="19" t="n">
        <f aca="false">B1266/B1036-1</f>
        <v>0.33297072829044</v>
      </c>
      <c r="U1287" s="19" t="n">
        <f aca="false">B1287/MAX(B1036:B1287)-1</f>
        <v>-0.00610342492642424</v>
      </c>
      <c r="V1287" s="17" t="n">
        <f aca="false">(B1287-AVERAGE(B1268:B1287))/STDEV(B1268:B1287)</f>
        <v>0.637622092072354</v>
      </c>
    </row>
    <row r="1288" customFormat="false" ht="15" hidden="false" customHeight="false" outlineLevel="0" collapsed="false">
      <c r="A1288" s="17" t="s">
        <v>1852</v>
      </c>
      <c r="B1288" s="17" t="n">
        <v>15136.68</v>
      </c>
      <c r="C1288" s="19" t="n">
        <f aca="false">B1288/B1287-1</f>
        <v>0.00316124747994895</v>
      </c>
      <c r="D1288" s="17" t="n">
        <f aca="false">AVERAGE(B1239:B1288)</f>
        <v>14624.8228</v>
      </c>
      <c r="E1288" s="17" t="n">
        <f aca="false">AVERAGE(B1089:B1288)</f>
        <v>13408.57125</v>
      </c>
      <c r="F1288" s="17" t="n">
        <f aca="false">B1288*2/13+F1287*11/13</f>
        <v>15059.7103607499</v>
      </c>
      <c r="G1288" s="17" t="n">
        <f aca="false">B1288*2/27+G1287*25/27</f>
        <v>14924.2085278695</v>
      </c>
      <c r="H1288" s="17" t="n">
        <f aca="false">F1288-G1288</f>
        <v>135.501832880389</v>
      </c>
      <c r="I1288" s="17" t="n">
        <f aca="false">H1288*2/10+I1287*8/10</f>
        <v>158.463455266546</v>
      </c>
      <c r="J1288" s="17" t="n">
        <f aca="false">H1288-I1288</f>
        <v>-22.9616223861574</v>
      </c>
      <c r="K1288" s="17" t="n">
        <f aca="false">MAX(B1288-B1287,0)</f>
        <v>47.7000000000007</v>
      </c>
      <c r="L1288" s="17" t="n">
        <f aca="false">MAX(B1287-B1288,0)</f>
        <v>0</v>
      </c>
      <c r="M1288" s="17" t="n">
        <f aca="false">(M1287*13+K1288)/14</f>
        <v>43.7582201580233</v>
      </c>
      <c r="N1288" s="17" t="n">
        <f aca="false">(N1287*13+L1288)/14</f>
        <v>26.5363715868337</v>
      </c>
      <c r="O1288" s="17" t="n">
        <f aca="false">IF(N1288=0,100,100-100/(1+M1288/N1288))</f>
        <v>62.2497678297204</v>
      </c>
      <c r="P1288" s="17" t="n">
        <f aca="false">AVERAGE(B1269:B1288)+2*STDEV(B1269:B1288)</f>
        <v>15311.8573989422</v>
      </c>
      <c r="Q1288" s="17" t="n">
        <f aca="false">AVERAGE(B1269:B1288)-2*STDEV(B1269:B1288)</f>
        <v>14700.2136010578</v>
      </c>
      <c r="R1288" s="19" t="n">
        <f aca="false">B1288/B1268-1</f>
        <v>0.0310120710723381</v>
      </c>
      <c r="S1288" s="17" t="n">
        <f aca="false">STDEV(C1269:C1288)*SQRT(252)*100</f>
        <v>10.1122497268442</v>
      </c>
      <c r="T1288" s="19" t="n">
        <f aca="false">B1267/B1037-1</f>
        <v>0.325160666221802</v>
      </c>
      <c r="U1288" s="19" t="n">
        <f aca="false">B1288/MAX(B1037:B1288)-1</f>
        <v>-0.002961471883143</v>
      </c>
      <c r="V1288" s="17" t="n">
        <f aca="false">(B1288-AVERAGE(B1269:B1288))/STDEV(B1269:B1288)</f>
        <v>0.854382897051314</v>
      </c>
    </row>
    <row r="1289" customFormat="false" ht="15" hidden="false" customHeight="false" outlineLevel="0" collapsed="false">
      <c r="A1289" s="17" t="s">
        <v>1853</v>
      </c>
      <c r="B1289" s="17" t="n">
        <v>15140.77</v>
      </c>
      <c r="C1289" s="19" t="n">
        <f aca="false">B1289/B1288-1</f>
        <v>0.000270204562691445</v>
      </c>
      <c r="D1289" s="17" t="n">
        <f aca="false">AVERAGE(B1240:B1289)</f>
        <v>14652.2228</v>
      </c>
      <c r="E1289" s="17" t="n">
        <f aca="false">AVERAGE(B1090:B1289)</f>
        <v>13428.5613</v>
      </c>
      <c r="F1289" s="17" t="n">
        <f aca="false">B1289*2/13+F1288*11/13</f>
        <v>15072.1810744807</v>
      </c>
      <c r="G1289" s="17" t="n">
        <f aca="false">B1289*2/27+G1288*25/27</f>
        <v>14940.2501183977</v>
      </c>
      <c r="H1289" s="17" t="n">
        <f aca="false">F1289-G1289</f>
        <v>131.930956082986</v>
      </c>
      <c r="I1289" s="17" t="n">
        <f aca="false">H1289*2/10+I1288*8/10</f>
        <v>153.156955429834</v>
      </c>
      <c r="J1289" s="17" t="n">
        <f aca="false">H1289-I1289</f>
        <v>-21.2259993468482</v>
      </c>
      <c r="K1289" s="17" t="n">
        <f aca="false">MAX(B1289-B1288,0)</f>
        <v>4.09000000000015</v>
      </c>
      <c r="L1289" s="17" t="n">
        <f aca="false">MAX(B1288-B1289,0)</f>
        <v>0</v>
      </c>
      <c r="M1289" s="17" t="n">
        <f aca="false">(M1288*13+K1289)/14</f>
        <v>40.9247758610217</v>
      </c>
      <c r="N1289" s="17" t="n">
        <f aca="false">(N1288*13+L1289)/14</f>
        <v>24.6409164734885</v>
      </c>
      <c r="O1289" s="17" t="n">
        <f aca="false">IF(N1289=0,100,100-100/(1+M1289/N1289))</f>
        <v>62.4179725766141</v>
      </c>
      <c r="P1289" s="17" t="n">
        <f aca="false">AVERAGE(B1270:B1289)+2*STDEV(B1270:B1289)</f>
        <v>15258.5678514865</v>
      </c>
      <c r="Q1289" s="17" t="n">
        <f aca="false">AVERAGE(B1270:B1289)-2*STDEV(B1270:B1289)</f>
        <v>14812.6711485136</v>
      </c>
      <c r="R1289" s="19" t="n">
        <f aca="false">B1289/B1269-1</f>
        <v>0.040667835582844</v>
      </c>
      <c r="S1289" s="17" t="n">
        <f aca="false">STDEV(C1270:C1289)*SQRT(252)*100</f>
        <v>9.33367750285684</v>
      </c>
      <c r="T1289" s="19" t="n">
        <f aca="false">B1268/B1038-1</f>
        <v>0.30055268293504</v>
      </c>
      <c r="U1289" s="19" t="n">
        <f aca="false">B1289/MAX(B1038:B1289)-1</f>
        <v>-0.00269206752366669</v>
      </c>
      <c r="V1289" s="17" t="n">
        <f aca="false">(B1289-AVERAGE(B1270:B1289))/STDEV(B1270:B1289)</f>
        <v>0.943272280767588</v>
      </c>
    </row>
    <row r="1290" customFormat="false" ht="15" hidden="false" customHeight="false" outlineLevel="0" collapsed="false">
      <c r="A1290" s="17" t="s">
        <v>1854</v>
      </c>
      <c r="B1290" s="17" t="n">
        <v>15002.83</v>
      </c>
      <c r="C1290" s="19" t="n">
        <f aca="false">B1290/B1289-1</f>
        <v>-0.00911050098508859</v>
      </c>
      <c r="D1290" s="17" t="n">
        <f aca="false">AVERAGE(B1241:B1290)</f>
        <v>14676.2216</v>
      </c>
      <c r="E1290" s="17" t="n">
        <f aca="false">AVERAGE(B1091:B1290)</f>
        <v>13446.82175</v>
      </c>
      <c r="F1290" s="17" t="n">
        <f aca="false">B1290*2/13+F1289*11/13</f>
        <v>15061.5116784068</v>
      </c>
      <c r="G1290" s="17" t="n">
        <f aca="false">B1290*2/27+G1289*25/27</f>
        <v>14944.8856651831</v>
      </c>
      <c r="H1290" s="17" t="n">
        <f aca="false">F1290-G1290</f>
        <v>116.626013223677</v>
      </c>
      <c r="I1290" s="17" t="n">
        <f aca="false">H1290*2/10+I1289*8/10</f>
        <v>145.850766988603</v>
      </c>
      <c r="J1290" s="17" t="n">
        <f aca="false">H1290-I1290</f>
        <v>-29.2247537649261</v>
      </c>
      <c r="K1290" s="17" t="n">
        <f aca="false">MAX(B1290-B1289,0)</f>
        <v>0</v>
      </c>
      <c r="L1290" s="17" t="n">
        <f aca="false">MAX(B1289-B1290,0)</f>
        <v>137.940000000001</v>
      </c>
      <c r="M1290" s="17" t="n">
        <f aca="false">(M1289*13+K1290)/14</f>
        <v>38.0015775852344</v>
      </c>
      <c r="N1290" s="17" t="n">
        <f aca="false">(N1289*13+L1290)/14</f>
        <v>32.7337081539536</v>
      </c>
      <c r="O1290" s="17" t="n">
        <f aca="false">IF(N1290=0,100,100-100/(1+M1290/N1290))</f>
        <v>53.7236503509043</v>
      </c>
      <c r="P1290" s="17" t="n">
        <f aca="false">AVERAGE(B1271:B1290)+2*STDEV(B1271:B1290)</f>
        <v>15220.3580952114</v>
      </c>
      <c r="Q1290" s="17" t="n">
        <f aca="false">AVERAGE(B1271:B1290)-2*STDEV(B1271:B1290)</f>
        <v>14878.3429047886</v>
      </c>
      <c r="R1290" s="19" t="n">
        <f aca="false">B1290/B1270-1</f>
        <v>0.0186458503782878</v>
      </c>
      <c r="S1290" s="17" t="n">
        <f aca="false">STDEV(C1271:C1290)*SQRT(252)*100</f>
        <v>9.29570737692385</v>
      </c>
      <c r="T1290" s="19" t="n">
        <f aca="false">B1269/B1039-1</f>
        <v>0.276344566160454</v>
      </c>
      <c r="U1290" s="19" t="n">
        <f aca="false">B1290/MAX(B1039:B1290)-1</f>
        <v>-0.0117780424249291</v>
      </c>
      <c r="V1290" s="17" t="n">
        <f aca="false">(B1290-AVERAGE(B1271:B1290))/STDEV(B1271:B1290)</f>
        <v>-0.544075249318378</v>
      </c>
    </row>
    <row r="1291" customFormat="false" ht="15" hidden="false" customHeight="false" outlineLevel="0" collapsed="false">
      <c r="A1291" s="17" t="s">
        <v>1855</v>
      </c>
      <c r="B1291" s="17" t="n">
        <v>14857.92</v>
      </c>
      <c r="C1291" s="19" t="n">
        <f aca="false">B1291/B1290-1</f>
        <v>-0.00965884436469655</v>
      </c>
      <c r="D1291" s="17" t="n">
        <f aca="false">AVERAGE(B1242:B1291)</f>
        <v>14697.1628</v>
      </c>
      <c r="E1291" s="17" t="n">
        <f aca="false">AVERAGE(B1092:B1291)</f>
        <v>13465.8466</v>
      </c>
      <c r="F1291" s="17" t="n">
        <f aca="false">B1291*2/13+F1290*11/13</f>
        <v>15030.1898817288</v>
      </c>
      <c r="G1291" s="17" t="n">
        <f aca="false">B1291*2/27+G1290*25/27</f>
        <v>14938.4437640584</v>
      </c>
      <c r="H1291" s="17" t="n">
        <f aca="false">F1291-G1291</f>
        <v>91.7461176703873</v>
      </c>
      <c r="I1291" s="17" t="n">
        <f aca="false">H1291*2/10+I1290*8/10</f>
        <v>135.02983712496</v>
      </c>
      <c r="J1291" s="17" t="n">
        <f aca="false">H1291-I1291</f>
        <v>-43.2837194545724</v>
      </c>
      <c r="K1291" s="17" t="n">
        <f aca="false">MAX(B1291-B1290,0)</f>
        <v>0</v>
      </c>
      <c r="L1291" s="17" t="n">
        <f aca="false">MAX(B1290-B1291,0)</f>
        <v>144.91</v>
      </c>
      <c r="M1291" s="17" t="n">
        <f aca="false">(M1290*13+K1291)/14</f>
        <v>35.2871791862891</v>
      </c>
      <c r="N1291" s="17" t="n">
        <f aca="false">(N1290*13+L1291)/14</f>
        <v>40.7463004286712</v>
      </c>
      <c r="O1291" s="17" t="n">
        <f aca="false">IF(N1291=0,100,100-100/(1+M1291/N1291))</f>
        <v>46.410054314213</v>
      </c>
      <c r="P1291" s="17" t="n">
        <f aca="false">AVERAGE(B1272:B1291)+2*STDEV(B1272:B1291)</f>
        <v>15217.3259733871</v>
      </c>
      <c r="Q1291" s="17" t="n">
        <f aca="false">AVERAGE(B1272:B1291)-2*STDEV(B1272:B1291)</f>
        <v>14882.9040266129</v>
      </c>
      <c r="R1291" s="19" t="n">
        <f aca="false">B1291/B1271-1</f>
        <v>0.00103014088473552</v>
      </c>
      <c r="S1291" s="17" t="n">
        <f aca="false">STDEV(C1272:C1291)*SQRT(252)*100</f>
        <v>9.64947517542959</v>
      </c>
      <c r="T1291" s="19" t="n">
        <f aca="false">B1270/B1040-1</f>
        <v>0.301234954022745</v>
      </c>
      <c r="U1291" s="19" t="n">
        <f aca="false">B1291/MAX(B1040:B1291)-1</f>
        <v>-0.0213231245109223</v>
      </c>
      <c r="V1291" s="17" t="n">
        <f aca="false">(B1291-AVERAGE(B1272:B1291))/STDEV(B1272:B1291)</f>
        <v>-2.29883238051717</v>
      </c>
    </row>
    <row r="1292" customFormat="false" ht="15" hidden="false" customHeight="false" outlineLevel="0" collapsed="false">
      <c r="A1292" s="17" t="s">
        <v>1856</v>
      </c>
      <c r="B1292" s="17" t="n">
        <v>14933.94</v>
      </c>
      <c r="C1292" s="19" t="n">
        <f aca="false">B1292/B1291-1</f>
        <v>0.00511646313885117</v>
      </c>
      <c r="D1292" s="17" t="n">
        <f aca="false">AVERAGE(B1243:B1292)</f>
        <v>14719.5428</v>
      </c>
      <c r="E1292" s="17" t="n">
        <f aca="false">AVERAGE(B1093:B1292)</f>
        <v>13485.0925</v>
      </c>
      <c r="F1292" s="17" t="n">
        <f aca="false">B1292*2/13+F1291*11/13</f>
        <v>15015.3822076167</v>
      </c>
      <c r="G1292" s="17" t="n">
        <f aca="false">B1292*2/27+G1291*25/27</f>
        <v>14938.1101519059</v>
      </c>
      <c r="H1292" s="17" t="n">
        <f aca="false">F1292-G1292</f>
        <v>77.2720557107405</v>
      </c>
      <c r="I1292" s="17" t="n">
        <f aca="false">H1292*2/10+I1291*8/10</f>
        <v>123.478280842116</v>
      </c>
      <c r="J1292" s="17" t="n">
        <f aca="false">H1292-I1292</f>
        <v>-46.2062251313754</v>
      </c>
      <c r="K1292" s="17" t="n">
        <f aca="false">MAX(B1292-B1291,0)</f>
        <v>76.0200000000004</v>
      </c>
      <c r="L1292" s="17" t="n">
        <f aca="false">MAX(B1291-B1292,0)</f>
        <v>0</v>
      </c>
      <c r="M1292" s="17" t="n">
        <f aca="false">(M1291*13+K1292)/14</f>
        <v>38.1966663872685</v>
      </c>
      <c r="N1292" s="17" t="n">
        <f aca="false">(N1291*13+L1292)/14</f>
        <v>37.8358503980518</v>
      </c>
      <c r="O1292" s="17" t="n">
        <f aca="false">IF(N1292=0,100,100-100/(1+M1292/N1292))</f>
        <v>50.2372774205512</v>
      </c>
      <c r="P1292" s="17" t="n">
        <f aca="false">AVERAGE(B1273:B1292)+2*STDEV(B1273:B1292)</f>
        <v>15217.8977452786</v>
      </c>
      <c r="Q1292" s="17" t="n">
        <f aca="false">AVERAGE(B1273:B1292)-2*STDEV(B1273:B1292)</f>
        <v>14881.7092547214</v>
      </c>
      <c r="R1292" s="19" t="n">
        <f aca="false">B1292/B1272-1</f>
        <v>-0.000416996593746943</v>
      </c>
      <c r="S1292" s="17" t="n">
        <f aca="false">STDEV(C1273:C1292)*SQRT(252)*100</f>
        <v>9.53253376267172</v>
      </c>
      <c r="T1292" s="19" t="n">
        <f aca="false">B1271/B1041-1</f>
        <v>0.293244344147669</v>
      </c>
      <c r="U1292" s="19" t="n">
        <f aca="false">B1292/MAX(B1041:B1292)-1</f>
        <v>-0.0163157603526364</v>
      </c>
      <c r="V1292" s="17" t="n">
        <f aca="false">(B1292-AVERAGE(B1273:B1292))/STDEV(B1273:B1292)</f>
        <v>-1.37855403446979</v>
      </c>
    </row>
    <row r="1293" customFormat="false" ht="15" hidden="false" customHeight="false" outlineLevel="0" collapsed="false">
      <c r="A1293" s="17" t="s">
        <v>1857</v>
      </c>
      <c r="B1293" s="17" t="n">
        <v>15092.57</v>
      </c>
      <c r="C1293" s="19" t="n">
        <f aca="false">B1293/B1292-1</f>
        <v>0.0106221131195117</v>
      </c>
      <c r="D1293" s="17" t="n">
        <f aca="false">AVERAGE(B1244:B1293)</f>
        <v>14742.1872</v>
      </c>
      <c r="E1293" s="17" t="n">
        <f aca="false">AVERAGE(B1094:B1293)</f>
        <v>13504.1558</v>
      </c>
      <c r="F1293" s="17" t="n">
        <f aca="false">B1293*2/13+F1292*11/13</f>
        <v>15027.2572525987</v>
      </c>
      <c r="G1293" s="17" t="n">
        <f aca="false">B1293*2/27+G1292*25/27</f>
        <v>14949.5516221351</v>
      </c>
      <c r="H1293" s="17" t="n">
        <f aca="false">F1293-G1293</f>
        <v>77.7056304636008</v>
      </c>
      <c r="I1293" s="17" t="n">
        <f aca="false">H1293*2/10+I1292*8/10</f>
        <v>114.323750766413</v>
      </c>
      <c r="J1293" s="17" t="n">
        <f aca="false">H1293-I1293</f>
        <v>-36.618120302812</v>
      </c>
      <c r="K1293" s="17" t="n">
        <f aca="false">MAX(B1293-B1292,0)</f>
        <v>158.629999999999</v>
      </c>
      <c r="L1293" s="17" t="n">
        <f aca="false">MAX(B1292-B1293,0)</f>
        <v>0</v>
      </c>
      <c r="M1293" s="17" t="n">
        <f aca="false">(M1292*13+K1293)/14</f>
        <v>46.7990473596064</v>
      </c>
      <c r="N1293" s="17" t="n">
        <f aca="false">(N1292*13+L1293)/14</f>
        <v>35.1332896553338</v>
      </c>
      <c r="O1293" s="17" t="n">
        <f aca="false">IF(N1293=0,100,100-100/(1+M1293/N1293))</f>
        <v>57.1191413117786</v>
      </c>
      <c r="P1293" s="17" t="n">
        <f aca="false">AVERAGE(B1274:B1293)+2*STDEV(B1274:B1293)</f>
        <v>15215.659534707</v>
      </c>
      <c r="Q1293" s="17" t="n">
        <f aca="false">AVERAGE(B1274:B1293)-2*STDEV(B1274:B1293)</f>
        <v>14882.025465293</v>
      </c>
      <c r="R1293" s="19" t="n">
        <f aca="false">B1293/B1273-1</f>
        <v>-0.00127185462476653</v>
      </c>
      <c r="S1293" s="17" t="n">
        <f aca="false">STDEV(C1274:C1293)*SQRT(252)*100</f>
        <v>9.39823170916123</v>
      </c>
      <c r="T1293" s="19" t="n">
        <f aca="false">B1272/B1042-1</f>
        <v>0.292943585376576</v>
      </c>
      <c r="U1293" s="19" t="n">
        <f aca="false">B1293/MAX(B1042:B1293)-1</f>
        <v>-0.00586695508522139</v>
      </c>
      <c r="V1293" s="17" t="n">
        <f aca="false">(B1293-AVERAGE(B1274:B1293))/STDEV(B1274:B1293)</f>
        <v>0.524257011003901</v>
      </c>
    </row>
    <row r="1294" customFormat="false" ht="15" hidden="false" customHeight="false" outlineLevel="0" collapsed="false">
      <c r="A1294" s="17" t="s">
        <v>1858</v>
      </c>
      <c r="B1294" s="17" t="n">
        <v>15312.82</v>
      </c>
      <c r="C1294" s="19" t="n">
        <f aca="false">B1294/B1293-1</f>
        <v>0.0145932733788878</v>
      </c>
      <c r="D1294" s="17" t="n">
        <f aca="false">AVERAGE(B1245:B1294)</f>
        <v>14768.4776</v>
      </c>
      <c r="E1294" s="17" t="n">
        <f aca="false">AVERAGE(B1095:B1294)</f>
        <v>13521.8348</v>
      </c>
      <c r="F1294" s="17" t="n">
        <f aca="false">B1294*2/13+F1293*11/13</f>
        <v>15071.1899829681</v>
      </c>
      <c r="G1294" s="17" t="n">
        <f aca="false">B1294*2/27+G1293*25/27</f>
        <v>14976.4603908659</v>
      </c>
      <c r="H1294" s="17" t="n">
        <f aca="false">F1294-G1294</f>
        <v>94.729592102296</v>
      </c>
      <c r="I1294" s="17" t="n">
        <f aca="false">H1294*2/10+I1293*8/10</f>
        <v>110.404919033589</v>
      </c>
      <c r="J1294" s="17" t="n">
        <f aca="false">H1294-I1294</f>
        <v>-15.6753269312934</v>
      </c>
      <c r="K1294" s="17" t="n">
        <f aca="false">MAX(B1294-B1293,0)</f>
        <v>220.25</v>
      </c>
      <c r="L1294" s="17" t="n">
        <f aca="false">MAX(B1293-B1294,0)</f>
        <v>0</v>
      </c>
      <c r="M1294" s="17" t="n">
        <f aca="false">(M1293*13+K1294)/14</f>
        <v>59.1884011196345</v>
      </c>
      <c r="N1294" s="17" t="n">
        <f aca="false">(N1293*13+L1294)/14</f>
        <v>32.6237689656671</v>
      </c>
      <c r="O1294" s="17" t="n">
        <f aca="false">IF(N1294=0,100,100-100/(1+M1294/N1294))</f>
        <v>64.466836002943</v>
      </c>
      <c r="P1294" s="17" t="n">
        <f aca="false">AVERAGE(B1275:B1294)+2*STDEV(B1275:B1294)</f>
        <v>15260.3715159995</v>
      </c>
      <c r="Q1294" s="17" t="n">
        <f aca="false">AVERAGE(B1275:B1294)-2*STDEV(B1275:B1294)</f>
        <v>14856.0004840005</v>
      </c>
      <c r="R1294" s="19" t="n">
        <f aca="false">B1294/B1274-1</f>
        <v>0.0123542653519282</v>
      </c>
      <c r="S1294" s="17" t="n">
        <f aca="false">STDEV(C1275:C1294)*SQRT(252)*100</f>
        <v>10.7419445624082</v>
      </c>
      <c r="T1294" s="19" t="n">
        <f aca="false">B1273/B1043-1</f>
        <v>0.299808105334775</v>
      </c>
      <c r="U1294" s="19" t="n">
        <f aca="false">B1294/MAX(B1043:B1294)-1</f>
        <v>0</v>
      </c>
      <c r="V1294" s="17" t="n">
        <f aca="false">(B1294-AVERAGE(B1275:B1294))/STDEV(B1275:B1294)</f>
        <v>2.51881544274994</v>
      </c>
    </row>
    <row r="1295" customFormat="false" ht="15" hidden="false" customHeight="false" outlineLevel="0" collapsed="false">
      <c r="A1295" s="17" t="s">
        <v>1859</v>
      </c>
      <c r="B1295" s="17" t="n">
        <v>15357.68</v>
      </c>
      <c r="C1295" s="19" t="n">
        <f aca="false">B1295/B1294-1</f>
        <v>0.00292957143099715</v>
      </c>
      <c r="D1295" s="17" t="n">
        <f aca="false">AVERAGE(B1246:B1295)</f>
        <v>14793.0672</v>
      </c>
      <c r="E1295" s="17" t="n">
        <f aca="false">AVERAGE(B1096:B1295)</f>
        <v>13538.23285</v>
      </c>
      <c r="F1295" s="17" t="n">
        <f aca="false">B1295*2/13+F1294*11/13</f>
        <v>15115.2653702038</v>
      </c>
      <c r="G1295" s="17" t="n">
        <f aca="false">B1295*2/27+G1294*25/27</f>
        <v>15004.6988804313</v>
      </c>
      <c r="H1295" s="17" t="n">
        <f aca="false">F1295-G1295</f>
        <v>110.566489772475</v>
      </c>
      <c r="I1295" s="17" t="n">
        <f aca="false">H1295*2/10+I1294*8/10</f>
        <v>110.437233181366</v>
      </c>
      <c r="J1295" s="17" t="n">
        <f aca="false">H1295-I1295</f>
        <v>0.129256591108117</v>
      </c>
      <c r="K1295" s="17" t="n">
        <f aca="false">MAX(B1295-B1294,0)</f>
        <v>44.8600000000006</v>
      </c>
      <c r="L1295" s="17" t="n">
        <f aca="false">MAX(B1294-B1295,0)</f>
        <v>0</v>
      </c>
      <c r="M1295" s="17" t="n">
        <f aca="false">(M1294*13+K1295)/14</f>
        <v>58.1649438968035</v>
      </c>
      <c r="N1295" s="17" t="n">
        <f aca="false">(N1294*13+L1295)/14</f>
        <v>30.2934997538338</v>
      </c>
      <c r="O1295" s="17" t="n">
        <f aca="false">IF(N1295=0,100,100-100/(1+M1295/N1295))</f>
        <v>65.7539761003748</v>
      </c>
      <c r="P1295" s="17" t="n">
        <f aca="false">AVERAGE(B1276:B1295)+2*STDEV(B1276:B1295)</f>
        <v>15314.6861277565</v>
      </c>
      <c r="Q1295" s="17" t="n">
        <f aca="false">AVERAGE(B1276:B1295)-2*STDEV(B1276:B1295)</f>
        <v>14841.7568722435</v>
      </c>
      <c r="R1295" s="19" t="n">
        <f aca="false">B1295/B1275-1</f>
        <v>0.0267908540299273</v>
      </c>
      <c r="S1295" s="17" t="n">
        <f aca="false">STDEV(C1276:C1295)*SQRT(252)*100</f>
        <v>9.81212489263578</v>
      </c>
      <c r="T1295" s="19" t="n">
        <f aca="false">B1274/B1044-1</f>
        <v>0.290410781270128</v>
      </c>
      <c r="U1295" s="19" t="n">
        <f aca="false">B1295/MAX(B1044:B1295)-1</f>
        <v>0</v>
      </c>
      <c r="V1295" s="17" t="n">
        <f aca="false">(B1295-AVERAGE(B1276:B1295))/STDEV(B1276:B1295)</f>
        <v>2.36363893112863</v>
      </c>
    </row>
    <row r="1296" customFormat="false" ht="15" hidden="false" customHeight="false" outlineLevel="0" collapsed="false">
      <c r="A1296" s="17" t="s">
        <v>1860</v>
      </c>
      <c r="B1296" s="17" t="n">
        <v>15368.92</v>
      </c>
      <c r="C1296" s="19" t="n">
        <f aca="false">B1296/B1295-1</f>
        <v>0.000731881377916466</v>
      </c>
      <c r="D1296" s="17" t="n">
        <f aca="false">AVERAGE(B1247:B1296)</f>
        <v>14819.8374</v>
      </c>
      <c r="E1296" s="17" t="n">
        <f aca="false">AVERAGE(B1097:B1296)</f>
        <v>13554.6207</v>
      </c>
      <c r="F1296" s="17" t="n">
        <f aca="false">B1296*2/13+F1295*11/13</f>
        <v>15154.2891594032</v>
      </c>
      <c r="G1296" s="17" t="n">
        <f aca="false">B1296*2/27+G1295*25/27</f>
        <v>15031.6782226216</v>
      </c>
      <c r="H1296" s="17" t="n">
        <f aca="false">F1296-G1296</f>
        <v>122.610936781617</v>
      </c>
      <c r="I1296" s="17" t="n">
        <f aca="false">H1296*2/10+I1295*8/10</f>
        <v>112.871973901417</v>
      </c>
      <c r="J1296" s="17" t="n">
        <f aca="false">H1296-I1296</f>
        <v>9.73896288020046</v>
      </c>
      <c r="K1296" s="17" t="n">
        <f aca="false">MAX(B1296-B1295,0)</f>
        <v>11.2399999999998</v>
      </c>
      <c r="L1296" s="17" t="n">
        <f aca="false">MAX(B1295-B1296,0)</f>
        <v>0</v>
      </c>
      <c r="M1296" s="17" t="n">
        <f aca="false">(M1295*13+K1296)/14</f>
        <v>54.813162189889</v>
      </c>
      <c r="N1296" s="17" t="n">
        <f aca="false">(N1295*13+L1296)/14</f>
        <v>28.1296783428456</v>
      </c>
      <c r="O1296" s="17" t="n">
        <f aca="false">IF(N1296=0,100,100-100/(1+M1296/N1296))</f>
        <v>66.0854654094661</v>
      </c>
      <c r="P1296" s="17" t="n">
        <f aca="false">AVERAGE(B1277:B1296)+2*STDEV(B1277:B1296)</f>
        <v>15363.4370904914</v>
      </c>
      <c r="Q1296" s="17" t="n">
        <f aca="false">AVERAGE(B1277:B1296)-2*STDEV(B1277:B1296)</f>
        <v>14828.0879095086</v>
      </c>
      <c r="R1296" s="19" t="n">
        <f aca="false">B1296/B1276-1</f>
        <v>0.0233598124929253</v>
      </c>
      <c r="S1296" s="17" t="n">
        <f aca="false">STDEV(C1277:C1296)*SQRT(252)*100</f>
        <v>9.75971916883898</v>
      </c>
      <c r="T1296" s="19" t="n">
        <f aca="false">B1275/B1045-1</f>
        <v>0.249335529580001</v>
      </c>
      <c r="U1296" s="19" t="n">
        <f aca="false">B1296/MAX(B1045:B1296)-1</f>
        <v>0</v>
      </c>
      <c r="V1296" s="17" t="n">
        <f aca="false">(B1296-AVERAGE(B1277:B1296))/STDEV(B1277:B1296)</f>
        <v>2.0409669778408</v>
      </c>
    </row>
    <row r="1297" customFormat="false" ht="15" hidden="false" customHeight="false" outlineLevel="0" collapsed="false">
      <c r="A1297" s="17" t="s">
        <v>1861</v>
      </c>
      <c r="B1297" s="17" t="n">
        <v>15278.52</v>
      </c>
      <c r="C1297" s="19" t="n">
        <f aca="false">B1297/B1296-1</f>
        <v>-0.00588200081723367</v>
      </c>
      <c r="D1297" s="17" t="n">
        <f aca="false">AVERAGE(B1248:B1297)</f>
        <v>14845.7476</v>
      </c>
      <c r="E1297" s="17" t="n">
        <f aca="false">AVERAGE(B1098:B1297)</f>
        <v>13571.86135</v>
      </c>
      <c r="F1297" s="17" t="n">
        <f aca="false">B1297*2/13+F1296*11/13</f>
        <v>15173.4015964181</v>
      </c>
      <c r="G1297" s="17" t="n">
        <f aca="false">B1297*2/27+G1296*25/27</f>
        <v>15049.9627987237</v>
      </c>
      <c r="H1297" s="17" t="n">
        <f aca="false">F1297-G1297</f>
        <v>123.438797694402</v>
      </c>
      <c r="I1297" s="17" t="n">
        <f aca="false">H1297*2/10+I1296*8/10</f>
        <v>114.985338660014</v>
      </c>
      <c r="J1297" s="17" t="n">
        <f aca="false">H1297-I1297</f>
        <v>8.4534590343881</v>
      </c>
      <c r="K1297" s="17" t="n">
        <f aca="false">MAX(B1297-B1296,0)</f>
        <v>0</v>
      </c>
      <c r="L1297" s="17" t="n">
        <f aca="false">MAX(B1296-B1297,0)</f>
        <v>90.3999999999996</v>
      </c>
      <c r="M1297" s="17" t="n">
        <f aca="false">(M1296*13+K1297)/14</f>
        <v>50.8979363191826</v>
      </c>
      <c r="N1297" s="17" t="n">
        <f aca="false">(N1296*13+L1297)/14</f>
        <v>32.5775584612138</v>
      </c>
      <c r="O1297" s="17" t="n">
        <f aca="false">IF(N1297=0,100,100-100/(1+M1297/N1297))</f>
        <v>60.9735065998502</v>
      </c>
      <c r="P1297" s="17" t="n">
        <f aca="false">AVERAGE(B1278:B1297)+2*STDEV(B1278:B1297)</f>
        <v>15385.9291804469</v>
      </c>
      <c r="Q1297" s="17" t="n">
        <f aca="false">AVERAGE(B1278:B1297)-2*STDEV(B1278:B1297)</f>
        <v>14828.6118195531</v>
      </c>
      <c r="R1297" s="19" t="n">
        <f aca="false">B1297/B1277-1</f>
        <v>0.0152946899196988</v>
      </c>
      <c r="S1297" s="17" t="n">
        <f aca="false">STDEV(C1278:C1297)*SQRT(252)*100</f>
        <v>10.06709235464</v>
      </c>
      <c r="T1297" s="19" t="n">
        <f aca="false">B1276/B1046-1</f>
        <v>0.259256961167719</v>
      </c>
      <c r="U1297" s="19" t="n">
        <f aca="false">B1297/MAX(B1046:B1297)-1</f>
        <v>-0.00588200081723367</v>
      </c>
      <c r="V1297" s="17" t="n">
        <f aca="false">(B1297-AVERAGE(B1278:B1297))/STDEV(B1278:B1297)</f>
        <v>1.22909862147732</v>
      </c>
    </row>
    <row r="1298" customFormat="false" ht="15" hidden="false" customHeight="false" outlineLevel="0" collapsed="false">
      <c r="A1298" s="17" t="s">
        <v>1862</v>
      </c>
      <c r="B1298" s="17" t="n">
        <v>15432.95</v>
      </c>
      <c r="C1298" s="19" t="n">
        <f aca="false">B1298/B1297-1</f>
        <v>0.0101076544063168</v>
      </c>
      <c r="D1298" s="17" t="n">
        <f aca="false">AVERAGE(B1249:B1298)</f>
        <v>14871.1304</v>
      </c>
      <c r="E1298" s="17" t="n">
        <f aca="false">AVERAGE(B1099:B1298)</f>
        <v>13590.90465</v>
      </c>
      <c r="F1298" s="17" t="n">
        <f aca="false">B1298*2/13+F1297*11/13</f>
        <v>15213.3321200461</v>
      </c>
      <c r="G1298" s="17" t="n">
        <f aca="false">B1298*2/27+G1297*25/27</f>
        <v>15078.3322210405</v>
      </c>
      <c r="H1298" s="17" t="n">
        <f aca="false">F1298-G1298</f>
        <v>134.999899005619</v>
      </c>
      <c r="I1298" s="17" t="n">
        <f aca="false">H1298*2/10+I1297*8/10</f>
        <v>118.988250729135</v>
      </c>
      <c r="J1298" s="17" t="n">
        <f aca="false">H1298-I1298</f>
        <v>16.0116482764845</v>
      </c>
      <c r="K1298" s="17" t="n">
        <f aca="false">MAX(B1298-B1297,0)</f>
        <v>154.43</v>
      </c>
      <c r="L1298" s="17" t="n">
        <f aca="false">MAX(B1297-B1298,0)</f>
        <v>0</v>
      </c>
      <c r="M1298" s="17" t="n">
        <f aca="false">(M1297*13+K1298)/14</f>
        <v>58.2930837249553</v>
      </c>
      <c r="N1298" s="17" t="n">
        <f aca="false">(N1297*13+L1298)/14</f>
        <v>30.2505899996985</v>
      </c>
      <c r="O1298" s="17" t="n">
        <f aca="false">IF(N1298=0,100,100-100/(1+M1298/N1298))</f>
        <v>65.8354022064079</v>
      </c>
      <c r="P1298" s="17" t="n">
        <f aca="false">AVERAGE(B1279:B1298)+2*STDEV(B1279:B1298)</f>
        <v>15435.9686025339</v>
      </c>
      <c r="Q1298" s="17" t="n">
        <f aca="false">AVERAGE(B1279:B1298)-2*STDEV(B1279:B1298)</f>
        <v>14825.8773974661</v>
      </c>
      <c r="R1298" s="19" t="n">
        <f aca="false">B1298/B1278-1</f>
        <v>0.0316212006764751</v>
      </c>
      <c r="S1298" s="17" t="n">
        <f aca="false">STDEV(C1279:C1298)*SQRT(252)*100</f>
        <v>10.2624727447732</v>
      </c>
      <c r="T1298" s="19" t="n">
        <f aca="false">B1277/B1047-1</f>
        <v>0.254463835409746</v>
      </c>
      <c r="U1298" s="19" t="n">
        <f aca="false">B1298/MAX(B1047:B1298)-1</f>
        <v>0</v>
      </c>
      <c r="V1298" s="17" t="n">
        <f aca="false">(B1298-AVERAGE(B1279:B1298))/STDEV(B1279:B1298)</f>
        <v>1.98020884412813</v>
      </c>
    </row>
    <row r="1299" customFormat="false" ht="15" hidden="false" customHeight="false" outlineLevel="0" collapsed="false">
      <c r="A1299" s="17" t="s">
        <v>1863</v>
      </c>
      <c r="B1299" s="17" t="n">
        <v>15605.09</v>
      </c>
      <c r="C1299" s="19" t="n">
        <f aca="false">B1299/B1298-1</f>
        <v>0.0111540567422301</v>
      </c>
      <c r="D1299" s="17" t="n">
        <f aca="false">AVERAGE(B1250:B1299)</f>
        <v>14902.2406</v>
      </c>
      <c r="E1299" s="17" t="n">
        <f aca="false">AVERAGE(B1100:B1299)</f>
        <v>13609.46545</v>
      </c>
      <c r="F1299" s="17" t="n">
        <f aca="false">B1299*2/13+F1298*11/13</f>
        <v>15273.6025631159</v>
      </c>
      <c r="G1299" s="17" t="n">
        <f aca="false">B1299*2/27+G1298*25/27</f>
        <v>15117.3513157782</v>
      </c>
      <c r="H1299" s="17" t="n">
        <f aca="false">F1299-G1299</f>
        <v>156.251247337706</v>
      </c>
      <c r="I1299" s="17" t="n">
        <f aca="false">H1299*2/10+I1298*8/10</f>
        <v>126.440850050849</v>
      </c>
      <c r="J1299" s="17" t="n">
        <f aca="false">H1299-I1299</f>
        <v>29.8103972868574</v>
      </c>
      <c r="K1299" s="17" t="n">
        <f aca="false">MAX(B1299-B1298,0)</f>
        <v>172.139999999999</v>
      </c>
      <c r="L1299" s="17" t="n">
        <f aca="false">MAX(B1298-B1299,0)</f>
        <v>0</v>
      </c>
      <c r="M1299" s="17" t="n">
        <f aca="false">(M1298*13+K1299)/14</f>
        <v>66.4250063160299</v>
      </c>
      <c r="N1299" s="17" t="n">
        <f aca="false">(N1298*13+L1299)/14</f>
        <v>28.0898335711486</v>
      </c>
      <c r="O1299" s="17" t="n">
        <f aca="false">IF(N1299=0,100,100-100/(1+M1299/N1299))</f>
        <v>70.2799754994251</v>
      </c>
      <c r="P1299" s="17" t="n">
        <f aca="false">AVERAGE(B1280:B1299)+2*STDEV(B1280:B1299)</f>
        <v>15523.7765774214</v>
      </c>
      <c r="Q1299" s="17" t="n">
        <f aca="false">AVERAGE(B1280:B1299)-2*STDEV(B1280:B1299)</f>
        <v>14802.2164225786</v>
      </c>
      <c r="R1299" s="19" t="n">
        <f aca="false">B1299/B1279-1</f>
        <v>0.042868637401912</v>
      </c>
      <c r="S1299" s="17" t="n">
        <f aca="false">STDEV(C1280:C1299)*SQRT(252)*100</f>
        <v>10.7916105508784</v>
      </c>
      <c r="T1299" s="19" t="n">
        <f aca="false">B1278/B1048-1</f>
        <v>0.235263031864384</v>
      </c>
      <c r="U1299" s="19" t="n">
        <f aca="false">B1299/MAX(B1048:B1299)-1</f>
        <v>0</v>
      </c>
      <c r="V1299" s="17" t="n">
        <f aca="false">(B1299-AVERAGE(B1280:B1299))/STDEV(B1280:B1299)</f>
        <v>2.45076448322612</v>
      </c>
    </row>
    <row r="1300" customFormat="false" ht="15" hidden="false" customHeight="false" outlineLevel="0" collapsed="false">
      <c r="A1300" s="17" t="s">
        <v>1864</v>
      </c>
      <c r="B1300" s="17" t="n">
        <v>15582.51</v>
      </c>
      <c r="C1300" s="19" t="n">
        <f aca="false">B1300/B1299-1</f>
        <v>-0.0014469637791259</v>
      </c>
      <c r="D1300" s="17" t="n">
        <f aca="false">AVERAGE(B1251:B1300)</f>
        <v>14931.1462</v>
      </c>
      <c r="E1300" s="17" t="n">
        <f aca="false">AVERAGE(B1101:B1300)</f>
        <v>13628.2423</v>
      </c>
      <c r="F1300" s="17" t="n">
        <f aca="false">B1300*2/13+F1299*11/13</f>
        <v>15321.126784175</v>
      </c>
      <c r="G1300" s="17" t="n">
        <f aca="false">B1300*2/27+G1299*25/27</f>
        <v>15151.8075146095</v>
      </c>
      <c r="H1300" s="17" t="n">
        <f aca="false">F1300-G1300</f>
        <v>169.319269565551</v>
      </c>
      <c r="I1300" s="17" t="n">
        <f aca="false">H1300*2/10+I1299*8/10</f>
        <v>135.016533953789</v>
      </c>
      <c r="J1300" s="17" t="n">
        <f aca="false">H1300-I1300</f>
        <v>34.3027356117613</v>
      </c>
      <c r="K1300" s="17" t="n">
        <f aca="false">MAX(B1300-B1299,0)</f>
        <v>0</v>
      </c>
      <c r="L1300" s="17" t="n">
        <f aca="false">MAX(B1299-B1300,0)</f>
        <v>22.5799999999999</v>
      </c>
      <c r="M1300" s="17" t="n">
        <f aca="false">(M1299*13+K1300)/14</f>
        <v>61.680363007742</v>
      </c>
      <c r="N1300" s="17" t="n">
        <f aca="false">(N1299*13+L1300)/14</f>
        <v>27.6962740303523</v>
      </c>
      <c r="O1300" s="17" t="n">
        <f aca="false">IF(N1300=0,100,100-100/(1+M1300/N1300))</f>
        <v>69.011729521052</v>
      </c>
      <c r="P1300" s="17" t="n">
        <f aca="false">AVERAGE(B1281:B1300)+2*STDEV(B1281:B1300)</f>
        <v>15591.7701282376</v>
      </c>
      <c r="Q1300" s="17" t="n">
        <f aca="false">AVERAGE(B1281:B1300)-2*STDEV(B1281:B1300)</f>
        <v>14786.3318717624</v>
      </c>
      <c r="R1300" s="19" t="n">
        <f aca="false">B1300/B1280-1</f>
        <v>0.0345976674178132</v>
      </c>
      <c r="S1300" s="17" t="n">
        <f aca="false">STDEV(C1281:C1300)*SQRT(252)*100</f>
        <v>10.7304972150648</v>
      </c>
      <c r="T1300" s="19" t="n">
        <f aca="false">B1279/B1049-1</f>
        <v>0.217261076755125</v>
      </c>
      <c r="U1300" s="19" t="n">
        <f aca="false">B1300/MAX(B1049:B1300)-1</f>
        <v>-0.0014469637791259</v>
      </c>
      <c r="V1300" s="17" t="n">
        <f aca="false">(B1300-AVERAGE(B1281:B1300))/STDEV(B1281:B1300)</f>
        <v>1.95401197714105</v>
      </c>
    </row>
    <row r="1301" customFormat="false" ht="15" hidden="false" customHeight="false" outlineLevel="0" collapsed="false">
      <c r="A1301" s="17" t="s">
        <v>1865</v>
      </c>
      <c r="B1301" s="17" t="n">
        <v>15611.57</v>
      </c>
      <c r="C1301" s="19" t="n">
        <f aca="false">B1301/B1300-1</f>
        <v>0.00186491136537059</v>
      </c>
      <c r="D1301" s="17" t="n">
        <f aca="false">AVERAGE(B1252:B1301)</f>
        <v>14957.9692</v>
      </c>
      <c r="E1301" s="17" t="n">
        <f aca="false">AVERAGE(B1102:B1301)</f>
        <v>13646.61095</v>
      </c>
      <c r="F1301" s="17" t="n">
        <f aca="false">B1301*2/13+F1300*11/13</f>
        <v>15365.8103558404</v>
      </c>
      <c r="G1301" s="17" t="n">
        <f aca="false">B1301*2/27+G1300*25/27</f>
        <v>15185.8639950088</v>
      </c>
      <c r="H1301" s="17" t="n">
        <f aca="false">F1301-G1301</f>
        <v>179.946360831635</v>
      </c>
      <c r="I1301" s="17" t="n">
        <f aca="false">H1301*2/10+I1300*8/10</f>
        <v>144.002499329358</v>
      </c>
      <c r="J1301" s="17" t="n">
        <f aca="false">H1301-I1301</f>
        <v>35.9438615022762</v>
      </c>
      <c r="K1301" s="17" t="n">
        <f aca="false">MAX(B1301-B1300,0)</f>
        <v>29.0599999999995</v>
      </c>
      <c r="L1301" s="17" t="n">
        <f aca="false">MAX(B1300-B1301,0)</f>
        <v>0</v>
      </c>
      <c r="M1301" s="17" t="n">
        <f aca="false">(M1300*13+K1301)/14</f>
        <v>59.3503370786176</v>
      </c>
      <c r="N1301" s="17" t="n">
        <f aca="false">(N1300*13+L1301)/14</f>
        <v>25.71796874247</v>
      </c>
      <c r="O1301" s="17" t="n">
        <f aca="false">IF(N1301=0,100,100-100/(1+M1301/N1301))</f>
        <v>69.7678606688617</v>
      </c>
      <c r="P1301" s="17" t="n">
        <f aca="false">AVERAGE(B1282:B1301)+2*STDEV(B1282:B1301)</f>
        <v>15656.4581883242</v>
      </c>
      <c r="Q1301" s="17" t="n">
        <f aca="false">AVERAGE(B1282:B1301)-2*STDEV(B1282:B1301)</f>
        <v>14774.4618116758</v>
      </c>
      <c r="R1301" s="19" t="n">
        <f aca="false">B1301/B1281-1</f>
        <v>0.0350173270067273</v>
      </c>
      <c r="S1301" s="17" t="n">
        <f aca="false">STDEV(C1282:C1301)*SQRT(252)*100</f>
        <v>10.7301352544776</v>
      </c>
      <c r="T1301" s="19" t="n">
        <f aca="false">B1280/B1050-1</f>
        <v>0.212621995501001</v>
      </c>
      <c r="U1301" s="19" t="n">
        <f aca="false">B1301/MAX(B1050:B1301)-1</f>
        <v>0</v>
      </c>
      <c r="V1301" s="17" t="n">
        <f aca="false">(B1301-AVERAGE(B1282:B1301))/STDEV(B1282:B1301)</f>
        <v>1.79642461346694</v>
      </c>
    </row>
    <row r="1302" customFormat="false" ht="15" hidden="false" customHeight="false" outlineLevel="0" collapsed="false">
      <c r="A1302" s="17" t="s">
        <v>1866</v>
      </c>
      <c r="B1302" s="17" t="n">
        <v>15604.25</v>
      </c>
      <c r="C1302" s="19" t="n">
        <f aca="false">B1302/B1301-1</f>
        <v>-0.000468883014328458</v>
      </c>
      <c r="D1302" s="17" t="n">
        <f aca="false">AVERAGE(B1253:B1302)</f>
        <v>14984.5694</v>
      </c>
      <c r="E1302" s="17" t="n">
        <f aca="false">AVERAGE(B1103:B1302)</f>
        <v>13664.5653</v>
      </c>
      <c r="F1302" s="17" t="n">
        <f aca="false">B1302*2/13+F1301*11/13</f>
        <v>15402.4933780188</v>
      </c>
      <c r="G1302" s="17" t="n">
        <f aca="false">B1302*2/27+G1301*25/27</f>
        <v>15216.855550934</v>
      </c>
      <c r="H1302" s="17" t="n">
        <f aca="false">F1302-G1302</f>
        <v>185.637827084758</v>
      </c>
      <c r="I1302" s="17" t="n">
        <f aca="false">H1302*2/10+I1301*8/10</f>
        <v>152.329564880438</v>
      </c>
      <c r="J1302" s="17" t="n">
        <f aca="false">H1302-I1302</f>
        <v>33.3082622043197</v>
      </c>
      <c r="K1302" s="17" t="n">
        <f aca="false">MAX(B1302-B1301,0)</f>
        <v>0</v>
      </c>
      <c r="L1302" s="17" t="n">
        <f aca="false">MAX(B1301-B1302,0)</f>
        <v>7.31999999999971</v>
      </c>
      <c r="M1302" s="17" t="n">
        <f aca="false">(M1301*13+K1302)/14</f>
        <v>55.1110272872877</v>
      </c>
      <c r="N1302" s="17" t="n">
        <f aca="false">(N1301*13+L1302)/14</f>
        <v>24.4038281180078</v>
      </c>
      <c r="O1302" s="17" t="n">
        <f aca="false">IF(N1302=0,100,100-100/(1+M1302/N1302))</f>
        <v>69.3090957738413</v>
      </c>
      <c r="P1302" s="17" t="n">
        <f aca="false">AVERAGE(B1283:B1302)+2*STDEV(B1283:B1302)</f>
        <v>15710.068353891</v>
      </c>
      <c r="Q1302" s="17" t="n">
        <f aca="false">AVERAGE(B1283:B1302)-2*STDEV(B1283:B1302)</f>
        <v>14763.112646109</v>
      </c>
      <c r="R1302" s="19" t="n">
        <f aca="false">B1302/B1282-1</f>
        <v>0.0278369135350331</v>
      </c>
      <c r="S1302" s="17" t="n">
        <f aca="false">STDEV(C1283:C1302)*SQRT(252)*100</f>
        <v>10.6039870637561</v>
      </c>
      <c r="T1302" s="19" t="n">
        <f aca="false">B1281/B1051-1</f>
        <v>0.281362322312526</v>
      </c>
      <c r="U1302" s="19" t="n">
        <f aca="false">B1302/MAX(B1051:B1302)-1</f>
        <v>-0.000468883014328458</v>
      </c>
      <c r="V1302" s="17" t="n">
        <f aca="false">(B1302-AVERAGE(B1283:B1302))/STDEV(B1283:B1302)</f>
        <v>1.5530166700663</v>
      </c>
    </row>
    <row r="1303" customFormat="false" ht="15" hidden="false" customHeight="false" outlineLevel="0" collapsed="false">
      <c r="A1303" s="17" t="s">
        <v>1867</v>
      </c>
      <c r="B1303" s="17" t="n">
        <v>15652.86</v>
      </c>
      <c r="C1303" s="19" t="n">
        <f aca="false">B1303/B1302-1</f>
        <v>0.00311517695499619</v>
      </c>
      <c r="D1303" s="17" t="n">
        <f aca="false">AVERAGE(B1254:B1303)</f>
        <v>15010.3074</v>
      </c>
      <c r="E1303" s="17" t="n">
        <f aca="false">AVERAGE(B1104:B1303)</f>
        <v>13682.94215</v>
      </c>
      <c r="F1303" s="17" t="n">
        <f aca="false">B1303*2/13+F1302*11/13</f>
        <v>15441.0113198621</v>
      </c>
      <c r="G1303" s="17" t="n">
        <f aca="false">B1303*2/27+G1302*25/27</f>
        <v>15249.1521767908</v>
      </c>
      <c r="H1303" s="17" t="n">
        <f aca="false">F1303-G1303</f>
        <v>191.85914307128</v>
      </c>
      <c r="I1303" s="17" t="n">
        <f aca="false">H1303*2/10+I1302*8/10</f>
        <v>160.235480518607</v>
      </c>
      <c r="J1303" s="17" t="n">
        <f aca="false">H1303-I1303</f>
        <v>31.6236625526736</v>
      </c>
      <c r="K1303" s="17" t="n">
        <f aca="false">MAX(B1303-B1302,0)</f>
        <v>48.6100000000006</v>
      </c>
      <c r="L1303" s="17" t="n">
        <f aca="false">MAX(B1302-B1303,0)</f>
        <v>0</v>
      </c>
      <c r="M1303" s="17" t="n">
        <f aca="false">(M1302*13+K1303)/14</f>
        <v>54.6466681953386</v>
      </c>
      <c r="N1303" s="17" t="n">
        <f aca="false">(N1302*13+L1303)/14</f>
        <v>22.6606975381501</v>
      </c>
      <c r="O1303" s="17" t="n">
        <f aca="false">IF(N1303=0,100,100-100/(1+M1303/N1303))</f>
        <v>70.6875310998552</v>
      </c>
      <c r="P1303" s="17" t="n">
        <f aca="false">AVERAGE(B1284:B1303)+2*STDEV(B1284:B1303)</f>
        <v>15767.8925005183</v>
      </c>
      <c r="Q1303" s="17" t="n">
        <f aca="false">AVERAGE(B1284:B1303)-2*STDEV(B1284:B1303)</f>
        <v>14759.6384994817</v>
      </c>
      <c r="R1303" s="19" t="n">
        <f aca="false">B1303/B1283-1</f>
        <v>0.0359710801781148</v>
      </c>
      <c r="S1303" s="17" t="n">
        <f aca="false">STDEV(C1284:C1303)*SQRT(252)*100</f>
        <v>10.3633740209396</v>
      </c>
      <c r="T1303" s="19" t="n">
        <f aca="false">B1282/B1052-1</f>
        <v>0.306270021071869</v>
      </c>
      <c r="U1303" s="19" t="n">
        <f aca="false">B1303/MAX(B1052:B1303)-1</f>
        <v>0</v>
      </c>
      <c r="V1303" s="17" t="n">
        <f aca="false">(B1303-AVERAGE(B1284:B1303))/STDEV(B1284:B1303)</f>
        <v>1.54363682008687</v>
      </c>
    </row>
    <row r="1304" customFormat="false" ht="15" hidden="false" customHeight="false" outlineLevel="0" collapsed="false">
      <c r="A1304" s="17" t="s">
        <v>1868</v>
      </c>
      <c r="B1304" s="17" t="n">
        <v>15675.76</v>
      </c>
      <c r="C1304" s="19" t="n">
        <f aca="false">B1304/B1303-1</f>
        <v>0.00146299142776463</v>
      </c>
      <c r="D1304" s="17" t="n">
        <f aca="false">AVERAGE(B1255:B1304)</f>
        <v>15036.919</v>
      </c>
      <c r="E1304" s="17" t="n">
        <f aca="false">AVERAGE(B1105:B1304)</f>
        <v>13701.8474</v>
      </c>
      <c r="F1304" s="17" t="n">
        <f aca="false">B1304*2/13+F1303*11/13</f>
        <v>15477.1265014217</v>
      </c>
      <c r="G1304" s="17" t="n">
        <f aca="false">B1304*2/27+G1303*25/27</f>
        <v>15280.7527562878</v>
      </c>
      <c r="H1304" s="17" t="n">
        <f aca="false">F1304-G1304</f>
        <v>196.373745133984</v>
      </c>
      <c r="I1304" s="17" t="n">
        <f aca="false">H1304*2/10+I1303*8/10</f>
        <v>167.463133441682</v>
      </c>
      <c r="J1304" s="17" t="n">
        <f aca="false">H1304-I1304</f>
        <v>28.9106116923017</v>
      </c>
      <c r="K1304" s="17" t="n">
        <f aca="false">MAX(B1304-B1303,0)</f>
        <v>22.8999999999996</v>
      </c>
      <c r="L1304" s="17" t="n">
        <f aca="false">MAX(B1303-B1304,0)</f>
        <v>0</v>
      </c>
      <c r="M1304" s="17" t="n">
        <f aca="false">(M1303*13+K1304)/14</f>
        <v>52.3790490385287</v>
      </c>
      <c r="N1304" s="17" t="n">
        <f aca="false">(N1303*13+L1304)/14</f>
        <v>21.0420762854251</v>
      </c>
      <c r="O1304" s="17" t="n">
        <f aca="false">IF(N1304=0,100,100-100/(1+M1304/N1304))</f>
        <v>71.3405696349902</v>
      </c>
      <c r="P1304" s="17" t="n">
        <f aca="false">AVERAGE(B1285:B1304)+2*STDEV(B1285:B1304)</f>
        <v>15823.0494055071</v>
      </c>
      <c r="Q1304" s="17" t="n">
        <f aca="false">AVERAGE(B1285:B1304)-2*STDEV(B1285:B1304)</f>
        <v>14758.7465944929</v>
      </c>
      <c r="R1304" s="19" t="n">
        <f aca="false">B1304/B1284-1</f>
        <v>0.0358584587041262</v>
      </c>
      <c r="S1304" s="17" t="n">
        <f aca="false">STDEV(C1285:C1304)*SQRT(252)*100</f>
        <v>10.3637482595961</v>
      </c>
      <c r="T1304" s="19" t="n">
        <f aca="false">B1283/B1053-1</f>
        <v>0.365107071933619</v>
      </c>
      <c r="U1304" s="19" t="n">
        <f aca="false">B1304/MAX(B1053:B1304)-1</f>
        <v>0</v>
      </c>
      <c r="V1304" s="17" t="n">
        <f aca="false">(B1304-AVERAGE(B1285:B1304))/STDEV(B1285:B1304)</f>
        <v>1.44643797241603</v>
      </c>
    </row>
    <row r="1305" customFormat="false" ht="15" hidden="false" customHeight="false" outlineLevel="0" collapsed="false">
      <c r="A1305" s="17" t="s">
        <v>1869</v>
      </c>
      <c r="B1305" s="17" t="n">
        <v>15620.85</v>
      </c>
      <c r="C1305" s="19" t="n">
        <f aca="false">B1305/B1304-1</f>
        <v>-0.00350286046737125</v>
      </c>
      <c r="D1305" s="17" t="n">
        <f aca="false">AVERAGE(B1256:B1305)</f>
        <v>15058.8364</v>
      </c>
      <c r="E1305" s="17" t="n">
        <f aca="false">AVERAGE(B1106:B1305)</f>
        <v>13720.0245</v>
      </c>
      <c r="F1305" s="17" t="n">
        <f aca="false">B1305*2/13+F1304*11/13</f>
        <v>15499.2378088953</v>
      </c>
      <c r="G1305" s="17" t="n">
        <f aca="false">B1305*2/27+G1304*25/27</f>
        <v>15305.9451447109</v>
      </c>
      <c r="H1305" s="17" t="n">
        <f aca="false">F1305-G1305</f>
        <v>193.292664184433</v>
      </c>
      <c r="I1305" s="17" t="n">
        <f aca="false">H1305*2/10+I1304*8/10</f>
        <v>172.629039590232</v>
      </c>
      <c r="J1305" s="17" t="n">
        <f aca="false">H1305-I1305</f>
        <v>20.6636245942009</v>
      </c>
      <c r="K1305" s="17" t="n">
        <f aca="false">MAX(B1305-B1304,0)</f>
        <v>0</v>
      </c>
      <c r="L1305" s="17" t="n">
        <f aca="false">MAX(B1304-B1305,0)</f>
        <v>54.9099999999999</v>
      </c>
      <c r="M1305" s="17" t="n">
        <f aca="false">(M1304*13+K1305)/14</f>
        <v>48.6376883929195</v>
      </c>
      <c r="N1305" s="17" t="n">
        <f aca="false">(N1304*13+L1305)/14</f>
        <v>23.461213693609</v>
      </c>
      <c r="O1305" s="17" t="n">
        <f aca="false">IF(N1305=0,100,100-100/(1+M1305/N1305))</f>
        <v>67.4596796696677</v>
      </c>
      <c r="P1305" s="17" t="n">
        <f aca="false">AVERAGE(B1286:B1305)+2*STDEV(B1286:B1305)</f>
        <v>15858.576472682</v>
      </c>
      <c r="Q1305" s="17" t="n">
        <f aca="false">AVERAGE(B1286:B1305)-2*STDEV(B1286:B1305)</f>
        <v>14779.946527318</v>
      </c>
      <c r="R1305" s="19" t="n">
        <f aca="false">B1305/B1285-1</f>
        <v>0.0376833949133695</v>
      </c>
      <c r="S1305" s="17" t="n">
        <f aca="false">STDEV(C1286:C1305)*SQRT(252)*100</f>
        <v>10.2236085418667</v>
      </c>
      <c r="T1305" s="19" t="n">
        <f aca="false">B1284/B1054-1</f>
        <v>0.327949209580681</v>
      </c>
      <c r="U1305" s="19" t="n">
        <f aca="false">B1305/MAX(B1054:B1305)-1</f>
        <v>-0.00350286046737125</v>
      </c>
      <c r="V1305" s="17" t="n">
        <f aca="false">(B1305-AVERAGE(B1286:B1305))/STDEV(B1286:B1305)</f>
        <v>1.11841322891604</v>
      </c>
    </row>
    <row r="1306" customFormat="false" ht="15" hidden="false" customHeight="false" outlineLevel="0" collapsed="false">
      <c r="A1306" s="17" t="s">
        <v>1870</v>
      </c>
      <c r="B1306" s="17" t="n">
        <v>15561.05</v>
      </c>
      <c r="C1306" s="19" t="n">
        <f aca="false">B1306/B1305-1</f>
        <v>-0.00382821677437539</v>
      </c>
      <c r="D1306" s="17" t="n">
        <f aca="false">AVERAGE(B1257:B1306)</f>
        <v>15078.6024</v>
      </c>
      <c r="E1306" s="17" t="n">
        <f aca="false">AVERAGE(B1107:B1306)</f>
        <v>13738.29755</v>
      </c>
      <c r="F1306" s="17" t="n">
        <f aca="false">B1306*2/13+F1305*11/13</f>
        <v>15508.7473767576</v>
      </c>
      <c r="G1306" s="17" t="n">
        <f aca="false">B1306*2/27+G1305*25/27</f>
        <v>15324.8418006582</v>
      </c>
      <c r="H1306" s="17" t="n">
        <f aca="false">F1306-G1306</f>
        <v>183.905576099351</v>
      </c>
      <c r="I1306" s="17" t="n">
        <f aca="false">H1306*2/10+I1305*8/10</f>
        <v>174.884346892056</v>
      </c>
      <c r="J1306" s="17" t="n">
        <f aca="false">H1306-I1306</f>
        <v>9.02122920729454</v>
      </c>
      <c r="K1306" s="17" t="n">
        <f aca="false">MAX(B1306-B1305,0)</f>
        <v>0</v>
      </c>
      <c r="L1306" s="17" t="n">
        <f aca="false">MAX(B1305-B1306,0)</f>
        <v>59.8000000000011</v>
      </c>
      <c r="M1306" s="17" t="n">
        <f aca="false">(M1305*13+K1306)/14</f>
        <v>45.1635677934253</v>
      </c>
      <c r="N1306" s="17" t="n">
        <f aca="false">(N1305*13+L1306)/14</f>
        <v>26.0568412869227</v>
      </c>
      <c r="O1306" s="17" t="n">
        <f aca="false">IF(N1306=0,100,100-100/(1+M1306/N1306))</f>
        <v>63.4138000281261</v>
      </c>
      <c r="P1306" s="17" t="n">
        <f aca="false">AVERAGE(B1287:B1306)+2*STDEV(B1287:B1306)</f>
        <v>15877.2315780226</v>
      </c>
      <c r="Q1306" s="17" t="n">
        <f aca="false">AVERAGE(B1287:B1306)-2*STDEV(B1287:B1306)</f>
        <v>14814.6204219774</v>
      </c>
      <c r="R1306" s="19" t="n">
        <f aca="false">B1306/B1286-1</f>
        <v>0.0354869920733363</v>
      </c>
      <c r="S1306" s="17" t="n">
        <f aca="false">STDEV(C1287:C1306)*SQRT(252)*100</f>
        <v>10.3486601231179</v>
      </c>
      <c r="T1306" s="19" t="n">
        <f aca="false">B1285/B1055-1</f>
        <v>0.349598175382728</v>
      </c>
      <c r="U1306" s="19" t="n">
        <f aca="false">B1306/MAX(B1055:B1306)-1</f>
        <v>-0.00731766753254715</v>
      </c>
      <c r="V1306" s="17" t="n">
        <f aca="false">(B1306-AVERAGE(B1287:B1306))/STDEV(B1287:B1306)</f>
        <v>0.809793869662179</v>
      </c>
    </row>
    <row r="1307" customFormat="false" ht="15" hidden="false" customHeight="false" outlineLevel="0" collapsed="false">
      <c r="A1307" s="17" t="s">
        <v>1871</v>
      </c>
      <c r="B1307" s="17" t="n">
        <v>15440.75</v>
      </c>
      <c r="C1307" s="19" t="n">
        <f aca="false">B1307/B1306-1</f>
        <v>-0.00773084078516551</v>
      </c>
      <c r="D1307" s="17" t="n">
        <f aca="false">AVERAGE(B1258:B1307)</f>
        <v>15096.3214</v>
      </c>
      <c r="E1307" s="17" t="n">
        <f aca="false">AVERAGE(B1108:B1307)</f>
        <v>13755.9716</v>
      </c>
      <c r="F1307" s="17" t="n">
        <f aca="false">B1307*2/13+F1306*11/13</f>
        <v>15498.2862418718</v>
      </c>
      <c r="G1307" s="17" t="n">
        <f aca="false">B1307*2/27+G1306*25/27</f>
        <v>15333.4275932021</v>
      </c>
      <c r="H1307" s="17" t="n">
        <f aca="false">F1307-G1307</f>
        <v>164.858648669735</v>
      </c>
      <c r="I1307" s="17" t="n">
        <f aca="false">H1307*2/10+I1306*8/10</f>
        <v>172.879207247592</v>
      </c>
      <c r="J1307" s="17" t="n">
        <f aca="false">H1307-I1307</f>
        <v>-8.02055857785686</v>
      </c>
      <c r="K1307" s="17" t="n">
        <f aca="false">MAX(B1307-B1306,0)</f>
        <v>0</v>
      </c>
      <c r="L1307" s="17" t="n">
        <f aca="false">MAX(B1306-B1307,0)</f>
        <v>120.299999999999</v>
      </c>
      <c r="M1307" s="17" t="n">
        <f aca="false">(M1306*13+K1307)/14</f>
        <v>41.9375986653235</v>
      </c>
      <c r="N1307" s="17" t="n">
        <f aca="false">(N1306*13+L1307)/14</f>
        <v>32.7884954807139</v>
      </c>
      <c r="O1307" s="17" t="n">
        <f aca="false">IF(N1307=0,100,100-100/(1+M1307/N1307))</f>
        <v>56.1217592657321</v>
      </c>
      <c r="P1307" s="17" t="n">
        <f aca="false">AVERAGE(B1288:B1307)+2*STDEV(B1288:B1307)</f>
        <v>15882.1442572592</v>
      </c>
      <c r="Q1307" s="17" t="n">
        <f aca="false">AVERAGE(B1288:B1307)-2*STDEV(B1288:B1307)</f>
        <v>14844.8847427408</v>
      </c>
      <c r="R1307" s="19" t="n">
        <f aca="false">B1307/B1287-1</f>
        <v>0.0233130403778121</v>
      </c>
      <c r="S1307" s="17" t="n">
        <f aca="false">STDEV(C1288:C1307)*SQRT(252)*100</f>
        <v>10.8362344882063</v>
      </c>
      <c r="T1307" s="19" t="n">
        <f aca="false">B1286/B1056-1</f>
        <v>0.355390803975684</v>
      </c>
      <c r="U1307" s="19" t="n">
        <f aca="false">B1307/MAX(B1056:B1307)-1</f>
        <v>-0.0149919365950997</v>
      </c>
      <c r="V1307" s="17" t="n">
        <f aca="false">(B1307-AVERAGE(B1288:B1307))/STDEV(B1288:B1307)</f>
        <v>0.297844460017747</v>
      </c>
    </row>
    <row r="1308" customFormat="false" ht="15" hidden="false" customHeight="false" outlineLevel="0" collapsed="false">
      <c r="A1308" s="17" t="s">
        <v>1872</v>
      </c>
      <c r="B1308" s="17" t="n">
        <v>15434.5</v>
      </c>
      <c r="C1308" s="19" t="n">
        <f aca="false">B1308/B1307-1</f>
        <v>-0.000404773084208943</v>
      </c>
      <c r="D1308" s="17" t="n">
        <f aca="false">AVERAGE(B1259:B1308)</f>
        <v>15113.8104</v>
      </c>
      <c r="E1308" s="17" t="n">
        <f aca="false">AVERAGE(B1109:B1308)</f>
        <v>13772.74505</v>
      </c>
      <c r="F1308" s="17" t="n">
        <f aca="false">B1308*2/13+F1307*11/13</f>
        <v>15488.4729738915</v>
      </c>
      <c r="G1308" s="17" t="n">
        <f aca="false">B1308*2/27+G1307*25/27</f>
        <v>15340.9144381501</v>
      </c>
      <c r="H1308" s="17" t="n">
        <f aca="false">F1308-G1308</f>
        <v>147.558535741462</v>
      </c>
      <c r="I1308" s="17" t="n">
        <f aca="false">H1308*2/10+I1307*8/10</f>
        <v>167.815072946366</v>
      </c>
      <c r="J1308" s="17" t="n">
        <f aca="false">H1308-I1308</f>
        <v>-20.2565372049038</v>
      </c>
      <c r="K1308" s="17" t="n">
        <f aca="false">MAX(B1308-B1307,0)</f>
        <v>0</v>
      </c>
      <c r="L1308" s="17" t="n">
        <f aca="false">MAX(B1307-B1308,0)</f>
        <v>6.25</v>
      </c>
      <c r="M1308" s="17" t="n">
        <f aca="false">(M1307*13+K1308)/14</f>
        <v>38.9420559035146</v>
      </c>
      <c r="N1308" s="17" t="n">
        <f aca="false">(N1307*13+L1308)/14</f>
        <v>30.8928886606629</v>
      </c>
      <c r="O1308" s="17" t="n">
        <f aca="false">IF(N1308=0,100,100-100/(1+M1308/N1308))</f>
        <v>55.7629939374081</v>
      </c>
      <c r="P1308" s="17" t="n">
        <f aca="false">AVERAGE(B1289:B1308)+2*STDEV(B1289:B1308)</f>
        <v>15886.6097963623</v>
      </c>
      <c r="Q1308" s="17" t="n">
        <f aca="false">AVERAGE(B1289:B1308)-2*STDEV(B1289:B1308)</f>
        <v>14870.2012036377</v>
      </c>
      <c r="R1308" s="19" t="n">
        <f aca="false">B1308/B1288-1</f>
        <v>0.0196753845625328</v>
      </c>
      <c r="S1308" s="17" t="n">
        <f aca="false">STDEV(C1289:C1308)*SQRT(252)*100</f>
        <v>10.8234661263069</v>
      </c>
      <c r="T1308" s="19" t="n">
        <f aca="false">B1287/B1057-1</f>
        <v>0.3379412223704</v>
      </c>
      <c r="U1308" s="19" t="n">
        <f aca="false">B1308/MAX(B1057:B1308)-1</f>
        <v>-0.0153906413468948</v>
      </c>
      <c r="V1308" s="17" t="n">
        <f aca="false">(B1308-AVERAGE(B1289:B1308))/STDEV(B1289:B1308)</f>
        <v>0.220755709471674</v>
      </c>
    </row>
    <row r="1309" customFormat="false" ht="15" hidden="false" customHeight="false" outlineLevel="0" collapsed="false">
      <c r="A1309" s="17" t="s">
        <v>1873</v>
      </c>
      <c r="B1309" s="17" t="n">
        <v>15382.9</v>
      </c>
      <c r="C1309" s="19" t="n">
        <f aca="false">B1309/B1308-1</f>
        <v>-0.00334315980433442</v>
      </c>
      <c r="D1309" s="17" t="n">
        <f aca="false">AVERAGE(B1260:B1309)</f>
        <v>15126.9158</v>
      </c>
      <c r="E1309" s="17" t="n">
        <f aca="false">AVERAGE(B1110:B1309)</f>
        <v>13788.89845</v>
      </c>
      <c r="F1309" s="17" t="n">
        <f aca="false">B1309*2/13+F1308*11/13</f>
        <v>15472.2309779082</v>
      </c>
      <c r="G1309" s="17" t="n">
        <f aca="false">B1309*2/27+G1308*25/27</f>
        <v>15344.0244797686</v>
      </c>
      <c r="H1309" s="17" t="n">
        <f aca="false">F1309-G1309</f>
        <v>128.206498139636</v>
      </c>
      <c r="I1309" s="17" t="n">
        <f aca="false">H1309*2/10+I1308*8/10</f>
        <v>159.89335798502</v>
      </c>
      <c r="J1309" s="17" t="n">
        <f aca="false">H1309-I1309</f>
        <v>-31.6868598453838</v>
      </c>
      <c r="K1309" s="17" t="n">
        <f aca="false">MAX(B1309-B1308,0)</f>
        <v>0</v>
      </c>
      <c r="L1309" s="17" t="n">
        <f aca="false">MAX(B1308-B1309,0)</f>
        <v>51.6000000000004</v>
      </c>
      <c r="M1309" s="17" t="n">
        <f aca="false">(M1308*13+K1309)/14</f>
        <v>36.160480481835</v>
      </c>
      <c r="N1309" s="17" t="n">
        <f aca="false">(N1308*13+L1309)/14</f>
        <v>32.3719680420442</v>
      </c>
      <c r="O1309" s="17" t="n">
        <f aca="false">IF(N1309=0,100,100-100/(1+M1309/N1309))</f>
        <v>52.7640282241417</v>
      </c>
      <c r="P1309" s="17" t="n">
        <f aca="false">AVERAGE(B1290:B1309)+2*STDEV(B1290:B1309)</f>
        <v>15886.2641357164</v>
      </c>
      <c r="Q1309" s="17" t="n">
        <f aca="false">AVERAGE(B1290:B1309)-2*STDEV(B1290:B1309)</f>
        <v>14894.7598642836</v>
      </c>
      <c r="R1309" s="19" t="n">
        <f aca="false">B1309/B1289-1</f>
        <v>0.0159919211506416</v>
      </c>
      <c r="S1309" s="17" t="n">
        <f aca="false">STDEV(C1290:C1309)*SQRT(252)*100</f>
        <v>10.9310971939951</v>
      </c>
      <c r="T1309" s="19" t="n">
        <f aca="false">B1288/B1058-1</f>
        <v>0.32326707096068</v>
      </c>
      <c r="U1309" s="19" t="n">
        <f aca="false">B1309/MAX(B1058:B1309)-1</f>
        <v>-0.0186823477777155</v>
      </c>
      <c r="V1309" s="17" t="n">
        <f aca="false">(B1309-AVERAGE(B1290:B1309))/STDEV(B1290:B1309)</f>
        <v>-0.0307088944316873</v>
      </c>
    </row>
    <row r="1310" customFormat="false" ht="15" hidden="false" customHeight="false" outlineLevel="0" collapsed="false">
      <c r="A1310" s="17" t="s">
        <v>1874</v>
      </c>
      <c r="B1310" s="17" t="n">
        <v>15503.53</v>
      </c>
      <c r="C1310" s="19" t="n">
        <f aca="false">B1310/B1309-1</f>
        <v>0.00784182436341663</v>
      </c>
      <c r="D1310" s="17" t="n">
        <f aca="false">AVERAGE(B1261:B1310)</f>
        <v>15141.2592</v>
      </c>
      <c r="E1310" s="17" t="n">
        <f aca="false">AVERAGE(B1111:B1310)</f>
        <v>13805.12505</v>
      </c>
      <c r="F1310" s="17" t="n">
        <f aca="false">B1310*2/13+F1309*11/13</f>
        <v>15477.0462120762</v>
      </c>
      <c r="G1310" s="17" t="n">
        <f aca="false">B1310*2/27+G1309*25/27</f>
        <v>15355.8397034894</v>
      </c>
      <c r="H1310" s="17" t="n">
        <f aca="false">F1310-G1310</f>
        <v>121.206508586758</v>
      </c>
      <c r="I1310" s="17" t="n">
        <f aca="false">H1310*2/10+I1309*8/10</f>
        <v>152.155988105368</v>
      </c>
      <c r="J1310" s="17" t="n">
        <f aca="false">H1310-I1310</f>
        <v>-30.9494795186095</v>
      </c>
      <c r="K1310" s="17" t="n">
        <f aca="false">MAX(B1310-B1309,0)</f>
        <v>120.630000000001</v>
      </c>
      <c r="L1310" s="17" t="n">
        <f aca="false">MAX(B1309-B1310,0)</f>
        <v>0</v>
      </c>
      <c r="M1310" s="17" t="n">
        <f aca="false">(M1309*13+K1310)/14</f>
        <v>42.1940175902754</v>
      </c>
      <c r="N1310" s="17" t="n">
        <f aca="false">(N1309*13+L1310)/14</f>
        <v>30.0596846104696</v>
      </c>
      <c r="O1310" s="17" t="n">
        <f aca="false">IF(N1310=0,100,100-100/(1+M1310/N1310))</f>
        <v>58.3970319929715</v>
      </c>
      <c r="P1310" s="17" t="n">
        <f aca="false">AVERAGE(B1291:B1310)+2*STDEV(B1291:B1310)</f>
        <v>15878.3415016323</v>
      </c>
      <c r="Q1310" s="17" t="n">
        <f aca="false">AVERAGE(B1291:B1310)-2*STDEV(B1291:B1310)</f>
        <v>14952.7524983677</v>
      </c>
      <c r="R1310" s="19" t="n">
        <f aca="false">B1310/B1290-1</f>
        <v>0.0333737034946073</v>
      </c>
      <c r="S1310" s="17" t="n">
        <f aca="false">STDEV(C1291:C1310)*SQRT(252)*100</f>
        <v>10.5385452933855</v>
      </c>
      <c r="T1310" s="19" t="n">
        <f aca="false">B1289/B1059-1</f>
        <v>0.34613339734699</v>
      </c>
      <c r="U1310" s="19" t="n">
        <f aca="false">B1310/MAX(B1059:B1310)-1</f>
        <v>-0.0109870271042679</v>
      </c>
      <c r="V1310" s="17" t="n">
        <f aca="false">(B1310-AVERAGE(B1291:B1310))/STDEV(B1291:B1310)</f>
        <v>0.380224914901482</v>
      </c>
    </row>
    <row r="1311" customFormat="false" ht="15" hidden="false" customHeight="false" outlineLevel="0" collapsed="false">
      <c r="A1311" s="17" t="s">
        <v>1875</v>
      </c>
      <c r="B1311" s="17" t="n">
        <v>15515.91</v>
      </c>
      <c r="C1311" s="19" t="n">
        <f aca="false">B1311/B1310-1</f>
        <v>0.000798527819148243</v>
      </c>
      <c r="D1311" s="17" t="n">
        <f aca="false">AVERAGE(B1262:B1311)</f>
        <v>15155.3666</v>
      </c>
      <c r="E1311" s="17" t="n">
        <f aca="false">AVERAGE(B1112:B1311)</f>
        <v>13821.363</v>
      </c>
      <c r="F1311" s="17" t="n">
        <f aca="false">B1311*2/13+F1310*11/13</f>
        <v>15483.0252563722</v>
      </c>
      <c r="G1311" s="17" t="n">
        <f aca="false">B1311*2/27+G1310*25/27</f>
        <v>15367.6967624902</v>
      </c>
      <c r="H1311" s="17" t="n">
        <f aca="false">F1311-G1311</f>
        <v>115.328493881951</v>
      </c>
      <c r="I1311" s="17" t="n">
        <f aca="false">H1311*2/10+I1310*8/10</f>
        <v>144.790489260684</v>
      </c>
      <c r="J1311" s="17" t="n">
        <f aca="false">H1311-I1311</f>
        <v>-29.4619953787335</v>
      </c>
      <c r="K1311" s="17" t="n">
        <f aca="false">MAX(B1311-B1310,0)</f>
        <v>12.3799999999992</v>
      </c>
      <c r="L1311" s="17" t="n">
        <f aca="false">MAX(B1310-B1311,0)</f>
        <v>0</v>
      </c>
      <c r="M1311" s="17" t="n">
        <f aca="false">(M1310*13+K1311)/14</f>
        <v>40.0644449052557</v>
      </c>
      <c r="N1311" s="17" t="n">
        <f aca="false">(N1310*13+L1311)/14</f>
        <v>27.9125642811503</v>
      </c>
      <c r="O1311" s="17" t="n">
        <f aca="false">IF(N1311=0,100,100-100/(1+M1311/N1311))</f>
        <v>58.9382283580487</v>
      </c>
      <c r="P1311" s="17" t="n">
        <f aca="false">AVERAGE(B1292:B1311)+2*STDEV(B1292:B1311)</f>
        <v>15830.9111897097</v>
      </c>
      <c r="Q1311" s="17" t="n">
        <f aca="false">AVERAGE(B1292:B1311)-2*STDEV(B1292:B1311)</f>
        <v>15065.9818102903</v>
      </c>
      <c r="R1311" s="19" t="n">
        <f aca="false">B1311/B1291-1</f>
        <v>0.0442854719906958</v>
      </c>
      <c r="S1311" s="17" t="n">
        <f aca="false">STDEV(C1292:C1311)*SQRT(252)*100</f>
        <v>9.66600870971619</v>
      </c>
      <c r="T1311" s="19" t="n">
        <f aca="false">B1290/B1060-1</f>
        <v>0.353929942829812</v>
      </c>
      <c r="U1311" s="19" t="n">
        <f aca="false">B1311/MAX(B1060:B1311)-1</f>
        <v>-0.0101972727319122</v>
      </c>
      <c r="V1311" s="17" t="n">
        <f aca="false">(B1311-AVERAGE(B1292:B1311))/STDEV(B1292:B1311)</f>
        <v>0.352782893768344</v>
      </c>
    </row>
    <row r="1312" customFormat="false" ht="15" hidden="false" customHeight="false" outlineLevel="0" collapsed="false">
      <c r="A1312" s="17" t="s">
        <v>1876</v>
      </c>
      <c r="B1312" s="17" t="n">
        <v>15333.47</v>
      </c>
      <c r="C1312" s="19" t="n">
        <f aca="false">B1312/B1311-1</f>
        <v>-0.0117582533025778</v>
      </c>
      <c r="D1312" s="17" t="n">
        <f aca="false">AVERAGE(B1263:B1312)</f>
        <v>15167.5932</v>
      </c>
      <c r="E1312" s="17" t="n">
        <f aca="false">AVERAGE(B1113:B1312)</f>
        <v>13835.7537</v>
      </c>
      <c r="F1312" s="17" t="n">
        <f aca="false">B1312*2/13+F1311*11/13</f>
        <v>15460.0167553918</v>
      </c>
      <c r="G1312" s="17" t="n">
        <f aca="false">B1312*2/27+G1311*25/27</f>
        <v>15365.1614467502</v>
      </c>
      <c r="H1312" s="17" t="n">
        <f aca="false">F1312-G1312</f>
        <v>94.8553086416341</v>
      </c>
      <c r="I1312" s="17" t="n">
        <f aca="false">H1312*2/10+I1311*8/10</f>
        <v>134.803453136874</v>
      </c>
      <c r="J1312" s="17" t="n">
        <f aca="false">H1312-I1312</f>
        <v>-39.94814449524</v>
      </c>
      <c r="K1312" s="17" t="n">
        <f aca="false">MAX(B1312-B1311,0)</f>
        <v>0</v>
      </c>
      <c r="L1312" s="17" t="n">
        <f aca="false">MAX(B1311-B1312,0)</f>
        <v>182.440000000001</v>
      </c>
      <c r="M1312" s="17" t="n">
        <f aca="false">(M1311*13+K1312)/14</f>
        <v>37.2026988405946</v>
      </c>
      <c r="N1312" s="17" t="n">
        <f aca="false">(N1311*13+L1312)/14</f>
        <v>38.9502382610682</v>
      </c>
      <c r="O1312" s="17" t="n">
        <f aca="false">IF(N1312=0,100,100-100/(1+M1312/N1312))</f>
        <v>48.852611936595</v>
      </c>
      <c r="P1312" s="17" t="n">
        <f aca="false">AVERAGE(B1293:B1312)+2*STDEV(B1293:B1312)</f>
        <v>15771.1641020449</v>
      </c>
      <c r="Q1312" s="17" t="n">
        <f aca="false">AVERAGE(B1293:B1312)-2*STDEV(B1293:B1312)</f>
        <v>15165.6818979551</v>
      </c>
      <c r="R1312" s="19" t="n">
        <f aca="false">B1312/B1292-1</f>
        <v>0.0267531542245381</v>
      </c>
      <c r="S1312" s="17" t="n">
        <f aca="false">STDEV(C1293:C1312)*SQRT(252)*100</f>
        <v>10.7794218126457</v>
      </c>
      <c r="T1312" s="19" t="n">
        <f aca="false">B1291/B1061-1</f>
        <v>0.358502987113445</v>
      </c>
      <c r="U1312" s="19" t="n">
        <f aca="false">B1312/MAX(B1061:B1312)-1</f>
        <v>-0.0218356239187127</v>
      </c>
      <c r="V1312" s="17" t="n">
        <f aca="false">(B1312-AVERAGE(B1293:B1312))/STDEV(B1293:B1312)</f>
        <v>-0.891540653637314</v>
      </c>
    </row>
    <row r="1313" customFormat="false" ht="15" hidden="false" customHeight="false" outlineLevel="0" collapsed="false">
      <c r="A1313" s="17" t="s">
        <v>1877</v>
      </c>
      <c r="B1313" s="17" t="n">
        <v>15012.19</v>
      </c>
      <c r="C1313" s="19" t="n">
        <f aca="false">B1313/B1312-1</f>
        <v>-0.0209528567245378</v>
      </c>
      <c r="D1313" s="17" t="n">
        <f aca="false">AVERAGE(B1264:B1313)</f>
        <v>15171.3152</v>
      </c>
      <c r="E1313" s="17" t="n">
        <f aca="false">AVERAGE(B1114:B1313)</f>
        <v>13848.5326</v>
      </c>
      <c r="F1313" s="17" t="n">
        <f aca="false">B1313*2/13+F1312*11/13</f>
        <v>15391.1203314854</v>
      </c>
      <c r="G1313" s="17" t="n">
        <f aca="false">B1313*2/27+G1312*25/27</f>
        <v>15339.0154136576</v>
      </c>
      <c r="H1313" s="17" t="n">
        <f aca="false">F1313-G1313</f>
        <v>52.1049178278063</v>
      </c>
      <c r="I1313" s="17" t="n">
        <f aca="false">H1313*2/10+I1312*8/10</f>
        <v>118.263746075061</v>
      </c>
      <c r="J1313" s="17" t="n">
        <f aca="false">H1313-I1313</f>
        <v>-66.1588282472543</v>
      </c>
      <c r="K1313" s="17" t="n">
        <f aca="false">MAX(B1313-B1312,0)</f>
        <v>0</v>
      </c>
      <c r="L1313" s="17" t="n">
        <f aca="false">MAX(B1312-B1313,0)</f>
        <v>321.279999999999</v>
      </c>
      <c r="M1313" s="17" t="n">
        <f aca="false">(M1312*13+K1313)/14</f>
        <v>34.5453632091235</v>
      </c>
      <c r="N1313" s="17" t="n">
        <f aca="false">(N1312*13+L1313)/14</f>
        <v>59.116649813849</v>
      </c>
      <c r="O1313" s="17" t="n">
        <f aca="false">IF(N1313=0,100,100-100/(1+M1313/N1313))</f>
        <v>36.8830031452032</v>
      </c>
      <c r="P1313" s="17" t="n">
        <f aca="false">AVERAGE(B1294:B1313)+2*STDEV(B1294:B1313)</f>
        <v>15789.4652431624</v>
      </c>
      <c r="Q1313" s="17" t="n">
        <f aca="false">AVERAGE(B1294:B1313)-2*STDEV(B1294:B1313)</f>
        <v>15139.3427568376</v>
      </c>
      <c r="R1313" s="19" t="n">
        <f aca="false">B1313/B1293-1</f>
        <v>-0.00532579938340516</v>
      </c>
      <c r="S1313" s="17" t="n">
        <f aca="false">STDEV(C1294:C1313)*SQRT(252)*100</f>
        <v>12.8099470749234</v>
      </c>
      <c r="T1313" s="19" t="n">
        <f aca="false">B1292/B1062-1</f>
        <v>0.360076574057715</v>
      </c>
      <c r="U1313" s="19" t="n">
        <f aca="false">B1313/MAX(B1062:B1313)-1</f>
        <v>-0.0423309619437909</v>
      </c>
      <c r="V1313" s="17" t="n">
        <f aca="false">(B1313-AVERAGE(B1294:B1313))/STDEV(B1294:B1313)</f>
        <v>-2.78233108075581</v>
      </c>
    </row>
    <row r="1314" customFormat="false" ht="15" hidden="false" customHeight="false" outlineLevel="0" collapsed="false">
      <c r="A1314" s="17" t="s">
        <v>1878</v>
      </c>
      <c r="B1314" s="17" t="n">
        <v>15027.77</v>
      </c>
      <c r="C1314" s="19" t="n">
        <f aca="false">B1314/B1313-1</f>
        <v>0.0010378232622954</v>
      </c>
      <c r="D1314" s="17" t="n">
        <f aca="false">AVERAGE(B1265:B1314)</f>
        <v>15174.3128</v>
      </c>
      <c r="E1314" s="17" t="n">
        <f aca="false">AVERAGE(B1115:B1314)</f>
        <v>13861.3358</v>
      </c>
      <c r="F1314" s="17" t="n">
        <f aca="false">B1314*2/13+F1313*11/13</f>
        <v>15335.2202804876</v>
      </c>
      <c r="G1314" s="17" t="n">
        <f aca="false">B1314*2/27+G1313*25/27</f>
        <v>15315.9601978311</v>
      </c>
      <c r="H1314" s="17" t="n">
        <f aca="false">F1314-G1314</f>
        <v>19.2600826565431</v>
      </c>
      <c r="I1314" s="17" t="n">
        <f aca="false">H1314*2/10+I1313*8/10</f>
        <v>98.4630133913571</v>
      </c>
      <c r="J1314" s="17" t="n">
        <f aca="false">H1314-I1314</f>
        <v>-79.202930734814</v>
      </c>
      <c r="K1314" s="17" t="n">
        <f aca="false">MAX(B1314-B1313,0)</f>
        <v>15.5799999999999</v>
      </c>
      <c r="L1314" s="17" t="n">
        <f aca="false">MAX(B1313-B1314,0)</f>
        <v>0</v>
      </c>
      <c r="M1314" s="17" t="n">
        <f aca="false">(M1313*13+K1314)/14</f>
        <v>33.1906944084719</v>
      </c>
      <c r="N1314" s="17" t="n">
        <f aca="false">(N1313*13+L1314)/14</f>
        <v>54.8940319700026</v>
      </c>
      <c r="O1314" s="17" t="n">
        <f aca="false">IF(N1314=0,100,100-100/(1+M1314/N1314))</f>
        <v>37.6804194927746</v>
      </c>
      <c r="P1314" s="17" t="n">
        <f aca="false">AVERAGE(B1295:B1314)+2*STDEV(B1295:B1314)</f>
        <v>15824.4625785809</v>
      </c>
      <c r="Q1314" s="17" t="n">
        <f aca="false">AVERAGE(B1295:B1314)-2*STDEV(B1295:B1314)</f>
        <v>15075.8404214191</v>
      </c>
      <c r="R1314" s="19" t="n">
        <f aca="false">B1314/B1294-1</f>
        <v>-0.0186151211860388</v>
      </c>
      <c r="S1314" s="17" t="n">
        <f aca="false">STDEV(C1295:C1314)*SQRT(252)*100</f>
        <v>11.572594053178</v>
      </c>
      <c r="T1314" s="19" t="n">
        <f aca="false">B1293/B1063-1</f>
        <v>0.349192812324284</v>
      </c>
      <c r="U1314" s="19" t="n">
        <f aca="false">B1314/MAX(B1063:B1314)-1</f>
        <v>-0.041337070738516</v>
      </c>
      <c r="V1314" s="17" t="n">
        <f aca="false">(B1314-AVERAGE(B1295:B1314))/STDEV(B1295:B1314)</f>
        <v>-2.25684744144529</v>
      </c>
    </row>
    <row r="1315" customFormat="false" ht="15" hidden="false" customHeight="false" outlineLevel="0" collapsed="false">
      <c r="A1315" s="17" t="s">
        <v>1879</v>
      </c>
      <c r="B1315" s="17" t="n">
        <v>15176.51</v>
      </c>
      <c r="C1315" s="19" t="n">
        <f aca="false">B1315/B1314-1</f>
        <v>0.00989767610230929</v>
      </c>
      <c r="D1315" s="17" t="n">
        <f aca="false">AVERAGE(B1266:B1315)</f>
        <v>15180.3522</v>
      </c>
      <c r="E1315" s="17" t="n">
        <f aca="false">AVERAGE(B1116:B1315)</f>
        <v>13874.57595</v>
      </c>
      <c r="F1315" s="17" t="n">
        <f aca="false">B1315*2/13+F1314*11/13</f>
        <v>15310.8033142588</v>
      </c>
      <c r="G1315" s="17" t="n">
        <f aca="false">B1315*2/27+G1314*25/27</f>
        <v>15305.6305535473</v>
      </c>
      <c r="H1315" s="17" t="n">
        <f aca="false">F1315-G1315</f>
        <v>5.1727607114608</v>
      </c>
      <c r="I1315" s="17" t="n">
        <f aca="false">H1315*2/10+I1314*8/10</f>
        <v>79.8049628553778</v>
      </c>
      <c r="J1315" s="17" t="n">
        <f aca="false">H1315-I1315</f>
        <v>-74.632202143917</v>
      </c>
      <c r="K1315" s="17" t="n">
        <f aca="false">MAX(B1315-B1314,0)</f>
        <v>148.74</v>
      </c>
      <c r="L1315" s="17" t="n">
        <f aca="false">MAX(B1314-B1315,0)</f>
        <v>0</v>
      </c>
      <c r="M1315" s="17" t="n">
        <f aca="false">(M1314*13+K1315)/14</f>
        <v>41.4442162364381</v>
      </c>
      <c r="N1315" s="17" t="n">
        <f aca="false">(N1314*13+L1315)/14</f>
        <v>50.973029686431</v>
      </c>
      <c r="O1315" s="17" t="n">
        <f aca="false">IF(N1315=0,100,100-100/(1+M1315/N1315))</f>
        <v>44.8446778764942</v>
      </c>
      <c r="P1315" s="17" t="n">
        <f aca="false">AVERAGE(B1296:B1315)+2*STDEV(B1296:B1315)</f>
        <v>15833.1736269446</v>
      </c>
      <c r="Q1315" s="17" t="n">
        <f aca="false">AVERAGE(B1296:B1315)-2*STDEV(B1296:B1315)</f>
        <v>15049.0123730554</v>
      </c>
      <c r="R1315" s="19" t="n">
        <f aca="false">B1315/B1295-1</f>
        <v>-0.0117967036687833</v>
      </c>
      <c r="S1315" s="17" t="n">
        <f aca="false">STDEV(C1296:C1315)*SQRT(252)*100</f>
        <v>12.1304025303549</v>
      </c>
      <c r="T1315" s="19" t="n">
        <f aca="false">B1294/B1064-1</f>
        <v>0.413491511843542</v>
      </c>
      <c r="U1315" s="19" t="n">
        <f aca="false">B1315/MAX(B1064:B1315)-1</f>
        <v>-0.0318485355733948</v>
      </c>
      <c r="V1315" s="17" t="n">
        <f aca="false">(B1315-AVERAGE(B1296:B1315))/STDEV(B1296:B1315)</f>
        <v>-1.3496356709172</v>
      </c>
    </row>
    <row r="1316" customFormat="false" ht="15" hidden="false" customHeight="false" outlineLevel="0" collapsed="false">
      <c r="A1316" s="17" t="s">
        <v>1880</v>
      </c>
      <c r="B1316" s="17" t="n">
        <v>15316.58</v>
      </c>
      <c r="C1316" s="19" t="n">
        <f aca="false">B1316/B1315-1</f>
        <v>0.00922939463684336</v>
      </c>
      <c r="D1316" s="17" t="n">
        <f aca="false">AVERAGE(B1267:B1316)</f>
        <v>15188.675</v>
      </c>
      <c r="E1316" s="17" t="n">
        <f aca="false">AVERAGE(B1117:B1316)</f>
        <v>13888.1765</v>
      </c>
      <c r="F1316" s="17" t="n">
        <f aca="false">B1316*2/13+F1315*11/13</f>
        <v>15311.692035142</v>
      </c>
      <c r="G1316" s="17" t="n">
        <f aca="false">B1316*2/27+G1315*25/27</f>
        <v>15306.4416236549</v>
      </c>
      <c r="H1316" s="17" t="n">
        <f aca="false">F1316-G1316</f>
        <v>5.2504114871208</v>
      </c>
      <c r="I1316" s="17" t="n">
        <f aca="false">H1316*2/10+I1315*8/10</f>
        <v>64.8940525817264</v>
      </c>
      <c r="J1316" s="17" t="n">
        <f aca="false">H1316-I1316</f>
        <v>-59.6436410946056</v>
      </c>
      <c r="K1316" s="17" t="n">
        <f aca="false">MAX(B1316-B1315,0)</f>
        <v>140.07</v>
      </c>
      <c r="L1316" s="17" t="n">
        <f aca="false">MAX(B1315-B1316,0)</f>
        <v>0</v>
      </c>
      <c r="M1316" s="17" t="n">
        <f aca="false">(M1315*13+K1316)/14</f>
        <v>48.4889150766925</v>
      </c>
      <c r="N1316" s="17" t="n">
        <f aca="false">(N1315*13+L1316)/14</f>
        <v>47.3320989945431</v>
      </c>
      <c r="O1316" s="17" t="n">
        <f aca="false">IF(N1316=0,100,100-100/(1+M1316/N1316))</f>
        <v>50.6036338131892</v>
      </c>
      <c r="P1316" s="17" t="n">
        <f aca="false">AVERAGE(B1297:B1316)+2*STDEV(B1297:B1316)</f>
        <v>15833.2742448316</v>
      </c>
      <c r="Q1316" s="17" t="n">
        <f aca="false">AVERAGE(B1297:B1316)-2*STDEV(B1297:B1316)</f>
        <v>15043.6777551684</v>
      </c>
      <c r="R1316" s="19" t="n">
        <f aca="false">B1316/B1296-1</f>
        <v>-0.0034055743669692</v>
      </c>
      <c r="S1316" s="17" t="n">
        <f aca="false">STDEV(C1297:C1316)*SQRT(252)*100</f>
        <v>12.6162125373862</v>
      </c>
      <c r="T1316" s="19" t="n">
        <f aca="false">B1295/B1065-1</f>
        <v>0.409417912406495</v>
      </c>
      <c r="U1316" s="19" t="n">
        <f aca="false">B1316/MAX(B1065:B1316)-1</f>
        <v>-0.0229130836399639</v>
      </c>
      <c r="V1316" s="17" t="n">
        <f aca="false">(B1316-AVERAGE(B1297:B1316))/STDEV(B1297:B1316)</f>
        <v>-0.617510344059395</v>
      </c>
    </row>
    <row r="1317" customFormat="false" ht="15" hidden="false" customHeight="false" outlineLevel="0" collapsed="false">
      <c r="A1317" s="17" t="s">
        <v>1881</v>
      </c>
      <c r="B1317" s="17" t="n">
        <v>15329.68</v>
      </c>
      <c r="C1317" s="19" t="n">
        <f aca="false">B1317/B1316-1</f>
        <v>0.000855282314981665</v>
      </c>
      <c r="D1317" s="17" t="n">
        <f aca="false">AVERAGE(B1268:B1317)</f>
        <v>15199.3748</v>
      </c>
      <c r="E1317" s="17" t="n">
        <f aca="false">AVERAGE(B1118:B1317)</f>
        <v>13901.6463</v>
      </c>
      <c r="F1317" s="17" t="n">
        <f aca="false">B1317*2/13+F1316*11/13</f>
        <v>15314.459414351</v>
      </c>
      <c r="G1317" s="17" t="n">
        <f aca="false">B1317*2/27+G1316*25/27</f>
        <v>15308.1629848657</v>
      </c>
      <c r="H1317" s="17" t="n">
        <f aca="false">F1317-G1317</f>
        <v>6.29642948528999</v>
      </c>
      <c r="I1317" s="17" t="n">
        <f aca="false">H1317*2/10+I1316*8/10</f>
        <v>53.1745279624391</v>
      </c>
      <c r="J1317" s="17" t="n">
        <f aca="false">H1317-I1317</f>
        <v>-46.8780984771491</v>
      </c>
      <c r="K1317" s="17" t="n">
        <f aca="false">MAX(B1317-B1316,0)</f>
        <v>13.1000000000004</v>
      </c>
      <c r="L1317" s="17" t="n">
        <f aca="false">MAX(B1316-B1317,0)</f>
        <v>0</v>
      </c>
      <c r="M1317" s="17" t="n">
        <f aca="false">(M1316*13+K1317)/14</f>
        <v>45.9611354283574</v>
      </c>
      <c r="N1317" s="17" t="n">
        <f aca="false">(N1316*13+L1317)/14</f>
        <v>43.9512347806471</v>
      </c>
      <c r="O1317" s="17" t="n">
        <f aca="false">IF(N1317=0,100,100-100/(1+M1317/N1317))</f>
        <v>51.1176997353302</v>
      </c>
      <c r="P1317" s="17" t="n">
        <f aca="false">AVERAGE(B1298:B1317)+2*STDEV(B1298:B1317)</f>
        <v>15832.113918466</v>
      </c>
      <c r="Q1317" s="17" t="n">
        <f aca="false">AVERAGE(B1298:B1317)-2*STDEV(B1298:B1317)</f>
        <v>15049.954081534</v>
      </c>
      <c r="R1317" s="19" t="n">
        <f aca="false">B1317/B1297-1</f>
        <v>0.00334849186963138</v>
      </c>
      <c r="S1317" s="17" t="n">
        <f aca="false">STDEV(C1298:C1317)*SQRT(252)*100</f>
        <v>12.4349118448316</v>
      </c>
      <c r="T1317" s="19" t="n">
        <f aca="false">B1296/B1066-1</f>
        <v>0.378238797323679</v>
      </c>
      <c r="U1317" s="19" t="n">
        <f aca="false">B1317/MAX(B1066:B1317)-1</f>
        <v>-0.0220773984802013</v>
      </c>
      <c r="V1317" s="17" t="n">
        <f aca="false">(B1317-AVERAGE(B1298:B1317))/STDEV(B1298:B1317)</f>
        <v>-0.569469281045082</v>
      </c>
    </row>
    <row r="1318" customFormat="false" ht="15" hidden="false" customHeight="false" outlineLevel="0" collapsed="false">
      <c r="A1318" s="17" t="s">
        <v>1882</v>
      </c>
      <c r="B1318" s="17" t="n">
        <v>15204.82</v>
      </c>
      <c r="C1318" s="19" t="n">
        <f aca="false">B1318/B1317-1</f>
        <v>-0.00814498410925735</v>
      </c>
      <c r="D1318" s="17" t="n">
        <f aca="false">AVERAGE(B1269:B1318)</f>
        <v>15209.8436</v>
      </c>
      <c r="E1318" s="17" t="n">
        <f aca="false">AVERAGE(B1119:B1318)</f>
        <v>13915.8472</v>
      </c>
      <c r="F1318" s="17" t="n">
        <f aca="false">B1318*2/13+F1317*11/13</f>
        <v>15297.5918121431</v>
      </c>
      <c r="G1318" s="17" t="n">
        <f aca="false">B1318*2/27+G1317*25/27</f>
        <v>15300.5079489497</v>
      </c>
      <c r="H1318" s="17" t="n">
        <f aca="false">F1318-G1318</f>
        <v>-2.91613680657429</v>
      </c>
      <c r="I1318" s="17" t="n">
        <f aca="false">H1318*2/10+I1317*8/10</f>
        <v>41.9563950086365</v>
      </c>
      <c r="J1318" s="17" t="n">
        <f aca="false">H1318-I1318</f>
        <v>-44.8725318152107</v>
      </c>
      <c r="K1318" s="17" t="n">
        <f aca="false">MAX(B1318-B1317,0)</f>
        <v>0</v>
      </c>
      <c r="L1318" s="17" t="n">
        <f aca="false">MAX(B1317-B1318,0)</f>
        <v>124.860000000001</v>
      </c>
      <c r="M1318" s="17" t="n">
        <f aca="false">(M1317*13+K1318)/14</f>
        <v>42.6781971834747</v>
      </c>
      <c r="N1318" s="17" t="n">
        <f aca="false">(N1317*13+L1318)/14</f>
        <v>49.7304322963152</v>
      </c>
      <c r="O1318" s="17" t="n">
        <f aca="false">IF(N1318=0,100,100-100/(1+M1318/N1318))</f>
        <v>46.1842118249449</v>
      </c>
      <c r="P1318" s="17" t="n">
        <f aca="false">AVERAGE(B1299:B1318)+2*STDEV(B1299:B1318)</f>
        <v>15834.7554655862</v>
      </c>
      <c r="Q1318" s="17" t="n">
        <f aca="false">AVERAGE(B1299:B1318)-2*STDEV(B1299:B1318)</f>
        <v>15024.4995344138</v>
      </c>
      <c r="R1318" s="19" t="n">
        <f aca="false">B1318/B1298-1</f>
        <v>-0.0147820086244044</v>
      </c>
      <c r="S1318" s="17" t="n">
        <f aca="false">STDEV(C1299:C1318)*SQRT(252)*100</f>
        <v>12.190870590034</v>
      </c>
      <c r="T1318" s="19" t="n">
        <f aca="false">B1297/B1067-1</f>
        <v>0.3444134999934</v>
      </c>
      <c r="U1318" s="19" t="n">
        <f aca="false">B1318/MAX(B1067:B1318)-1</f>
        <v>-0.0300425625296636</v>
      </c>
      <c r="V1318" s="17" t="n">
        <f aca="false">(B1318-AVERAGE(B1299:B1318))/STDEV(B1299:B1318)</f>
        <v>-1.10980983341756</v>
      </c>
    </row>
    <row r="1319" customFormat="false" ht="15" hidden="false" customHeight="false" outlineLevel="0" collapsed="false">
      <c r="A1319" s="17" t="s">
        <v>1883</v>
      </c>
      <c r="B1319" s="17" t="n">
        <v>14770.3</v>
      </c>
      <c r="C1319" s="19" t="n">
        <f aca="false">B1319/B1318-1</f>
        <v>-0.0285777799408345</v>
      </c>
      <c r="D1319" s="17" t="n">
        <f aca="false">AVERAGE(B1270:B1319)</f>
        <v>15214.2678</v>
      </c>
      <c r="E1319" s="17" t="n">
        <f aca="false">AVERAGE(B1120:B1319)</f>
        <v>13927.69</v>
      </c>
      <c r="F1319" s="17" t="n">
        <f aca="false">B1319*2/13+F1318*11/13</f>
        <v>15216.4699948903</v>
      </c>
      <c r="G1319" s="17" t="n">
        <f aca="false">B1319*2/27+G1318*25/27</f>
        <v>15261.2332860645</v>
      </c>
      <c r="H1319" s="17" t="n">
        <f aca="false">F1319-G1319</f>
        <v>-44.7632911742003</v>
      </c>
      <c r="I1319" s="17" t="n">
        <f aca="false">H1319*2/10+I1318*8/10</f>
        <v>24.6124577720691</v>
      </c>
      <c r="J1319" s="17" t="n">
        <f aca="false">H1319-I1319</f>
        <v>-69.3757489462694</v>
      </c>
      <c r="K1319" s="17" t="n">
        <f aca="false">MAX(B1319-B1318,0)</f>
        <v>0</v>
      </c>
      <c r="L1319" s="17" t="n">
        <f aca="false">MAX(B1318-B1319,0)</f>
        <v>434.52</v>
      </c>
      <c r="M1319" s="17" t="n">
        <f aca="false">(M1318*13+K1319)/14</f>
        <v>39.6297545275122</v>
      </c>
      <c r="N1319" s="17" t="n">
        <f aca="false">(N1318*13+L1319)/14</f>
        <v>77.215401418007</v>
      </c>
      <c r="O1319" s="17" t="n">
        <f aca="false">IF(N1319=0,100,100-100/(1+M1319/N1319))</f>
        <v>33.9164719382892</v>
      </c>
      <c r="P1319" s="17" t="n">
        <f aca="false">AVERAGE(B1300:B1319)+2*STDEV(B1300:B1319)</f>
        <v>15879.6502706617</v>
      </c>
      <c r="Q1319" s="17" t="n">
        <f aca="false">AVERAGE(B1300:B1319)-2*STDEV(B1300:B1319)</f>
        <v>14896.1257293383</v>
      </c>
      <c r="R1319" s="19" t="n">
        <f aca="false">B1319/B1299-1</f>
        <v>-0.0534947251185352</v>
      </c>
      <c r="S1319" s="17" t="n">
        <f aca="false">STDEV(C1300:C1319)*SQRT(252)*100</f>
        <v>14.9136829461981</v>
      </c>
      <c r="T1319" s="19" t="n">
        <f aca="false">B1298/B1068-1</f>
        <v>0.362979612203534</v>
      </c>
      <c r="U1319" s="19" t="n">
        <f aca="false">B1319/MAX(B1068:B1319)-1</f>
        <v>-0.0577617927296668</v>
      </c>
      <c r="V1319" s="17" t="n">
        <f aca="false">(B1319-AVERAGE(B1300:B1319))/STDEV(B1300:B1319)</f>
        <v>-2.51173396921663</v>
      </c>
    </row>
    <row r="1320" customFormat="false" ht="15" hidden="false" customHeight="false" outlineLevel="0" collapsed="false">
      <c r="A1320" s="17" t="s">
        <v>1884</v>
      </c>
      <c r="B1320" s="17" t="n">
        <v>14752.89</v>
      </c>
      <c r="C1320" s="19" t="n">
        <f aca="false">B1320/B1319-1</f>
        <v>-0.00117871674915204</v>
      </c>
      <c r="D1320" s="17" t="n">
        <f aca="false">AVERAGE(B1271:B1320)</f>
        <v>15214.7614</v>
      </c>
      <c r="E1320" s="17" t="n">
        <f aca="false">AVERAGE(B1121:B1320)</f>
        <v>13939.5774</v>
      </c>
      <c r="F1320" s="17" t="n">
        <f aca="false">B1320*2/13+F1319*11/13</f>
        <v>15145.1499956764</v>
      </c>
      <c r="G1320" s="17" t="n">
        <f aca="false">B1320*2/27+G1319*25/27</f>
        <v>15223.5782278375</v>
      </c>
      <c r="H1320" s="17" t="n">
        <f aca="false">F1320-G1320</f>
        <v>-78.4282321610972</v>
      </c>
      <c r="I1320" s="17" t="n">
        <f aca="false">H1320*2/10+I1319*8/10</f>
        <v>4.00431978543585</v>
      </c>
      <c r="J1320" s="17" t="n">
        <f aca="false">H1320-I1320</f>
        <v>-82.432551946533</v>
      </c>
      <c r="K1320" s="17" t="n">
        <f aca="false">MAX(B1320-B1319,0)</f>
        <v>0</v>
      </c>
      <c r="L1320" s="17" t="n">
        <f aca="false">MAX(B1319-B1320,0)</f>
        <v>17.4099999999999</v>
      </c>
      <c r="M1320" s="17" t="n">
        <f aca="false">(M1319*13+K1320)/14</f>
        <v>36.7990577755471</v>
      </c>
      <c r="N1320" s="17" t="n">
        <f aca="false">(N1319*13+L1320)/14</f>
        <v>72.9435870310065</v>
      </c>
      <c r="O1320" s="17" t="n">
        <f aca="false">IF(N1320=0,100,100-100/(1+M1320/N1320))</f>
        <v>33.5321404367589</v>
      </c>
      <c r="P1320" s="17" t="n">
        <f aca="false">AVERAGE(B1301:B1320)+2*STDEV(B1301:B1320)</f>
        <v>15904.5287357153</v>
      </c>
      <c r="Q1320" s="17" t="n">
        <f aca="false">AVERAGE(B1301:B1320)-2*STDEV(B1301:B1320)</f>
        <v>14788.2852642847</v>
      </c>
      <c r="R1320" s="19" t="n">
        <f aca="false">B1320/B1300-1</f>
        <v>-0.0532404599772438</v>
      </c>
      <c r="S1320" s="17" t="n">
        <f aca="false">STDEV(C1301:C1320)*SQRT(252)*100</f>
        <v>14.916982461456</v>
      </c>
      <c r="T1320" s="19" t="n">
        <f aca="false">B1299/B1069-1</f>
        <v>0.36670239953197</v>
      </c>
      <c r="U1320" s="19" t="n">
        <f aca="false">B1320/MAX(B1069:B1320)-1</f>
        <v>-0.0588724246862673</v>
      </c>
      <c r="V1320" s="17" t="n">
        <f aca="false">(B1320-AVERAGE(B1301:B1320))/STDEV(B1301:B1320)</f>
        <v>-2.12683707521014</v>
      </c>
    </row>
    <row r="1321" customFormat="false" ht="15" hidden="false" customHeight="false" outlineLevel="0" collapsed="false">
      <c r="A1321" s="17" t="s">
        <v>1885</v>
      </c>
      <c r="B1321" s="17" t="n">
        <v>14689.62</v>
      </c>
      <c r="C1321" s="19" t="n">
        <f aca="false">B1321/B1320-1</f>
        <v>-0.00428865124053646</v>
      </c>
      <c r="D1321" s="17" t="n">
        <f aca="false">AVERAGE(B1272:B1321)</f>
        <v>15211.7012</v>
      </c>
      <c r="E1321" s="17" t="n">
        <f aca="false">AVERAGE(B1122:B1321)</f>
        <v>13950.71445</v>
      </c>
      <c r="F1321" s="17" t="n">
        <f aca="false">B1321*2/13+F1320*11/13</f>
        <v>15075.0684578801</v>
      </c>
      <c r="G1321" s="17" t="n">
        <f aca="false">B1321*2/27+G1320*25/27</f>
        <v>15184.0257665162</v>
      </c>
      <c r="H1321" s="17" t="n">
        <f aca="false">F1321-G1321</f>
        <v>-108.957308636172</v>
      </c>
      <c r="I1321" s="17" t="n">
        <f aca="false">H1321*2/10+I1320*8/10</f>
        <v>-18.5880058988858</v>
      </c>
      <c r="J1321" s="17" t="n">
        <f aca="false">H1321-I1321</f>
        <v>-90.3693027372867</v>
      </c>
      <c r="K1321" s="17" t="n">
        <f aca="false">MAX(B1321-B1320,0)</f>
        <v>0</v>
      </c>
      <c r="L1321" s="17" t="n">
        <f aca="false">MAX(B1320-B1321,0)</f>
        <v>63.2699999999986</v>
      </c>
      <c r="M1321" s="17" t="n">
        <f aca="false">(M1320*13+K1321)/14</f>
        <v>34.1705536487223</v>
      </c>
      <c r="N1321" s="17" t="n">
        <f aca="false">(N1320*13+L1321)/14</f>
        <v>72.2526165287917</v>
      </c>
      <c r="O1321" s="17" t="n">
        <f aca="false">IF(N1321=0,100,100-100/(1+M1321/N1321))</f>
        <v>32.1081899662694</v>
      </c>
      <c r="P1321" s="17" t="n">
        <f aca="false">AVERAGE(B1302:B1321)+2*STDEV(B1302:B1321)</f>
        <v>15915.5856550453</v>
      </c>
      <c r="Q1321" s="17" t="n">
        <f aca="false">AVERAGE(B1302:B1321)-2*STDEV(B1302:B1321)</f>
        <v>14685.0333449547</v>
      </c>
      <c r="R1321" s="19" t="n">
        <f aca="false">B1321/B1301-1</f>
        <v>-0.0590555594344451</v>
      </c>
      <c r="S1321" s="17" t="n">
        <f aca="false">STDEV(C1302:C1321)*SQRT(252)*100</f>
        <v>14.8274570687373</v>
      </c>
      <c r="T1321" s="19" t="n">
        <f aca="false">B1300/B1070-1</f>
        <v>0.345268146971476</v>
      </c>
      <c r="U1321" s="19" t="n">
        <f aca="false">B1321/MAX(B1070:B1321)-1</f>
        <v>-0.0629085926296397</v>
      </c>
      <c r="V1321" s="17" t="n">
        <f aca="false">(B1321-AVERAGE(B1302:B1321))/STDEV(B1302:B1321)</f>
        <v>-1.98509074337524</v>
      </c>
    </row>
    <row r="1322" customFormat="false" ht="15" hidden="false" customHeight="false" outlineLevel="0" collapsed="false">
      <c r="A1322" s="17" t="s">
        <v>1886</v>
      </c>
      <c r="B1322" s="17" t="n">
        <v>14791.87</v>
      </c>
      <c r="C1322" s="19" t="n">
        <f aca="false">B1322/B1321-1</f>
        <v>0.00696069741763239</v>
      </c>
      <c r="D1322" s="17" t="n">
        <f aca="false">AVERAGE(B1273:B1322)</f>
        <v>15208.7352</v>
      </c>
      <c r="E1322" s="17" t="n">
        <f aca="false">AVERAGE(B1123:B1322)</f>
        <v>13961.6942</v>
      </c>
      <c r="F1322" s="17" t="n">
        <f aca="false">B1322*2/13+F1321*11/13</f>
        <v>15031.49946436</v>
      </c>
      <c r="G1322" s="17" t="n">
        <f aca="false">B1322*2/27+G1321*25/27</f>
        <v>15154.9771912187</v>
      </c>
      <c r="H1322" s="17" t="n">
        <f aca="false">F1322-G1322</f>
        <v>-123.477726858682</v>
      </c>
      <c r="I1322" s="17" t="n">
        <f aca="false">H1322*2/10+I1321*8/10</f>
        <v>-39.5659500908451</v>
      </c>
      <c r="J1322" s="17" t="n">
        <f aca="false">H1322-I1322</f>
        <v>-83.9117767678371</v>
      </c>
      <c r="K1322" s="17" t="n">
        <f aca="false">MAX(B1322-B1321,0)</f>
        <v>102.25</v>
      </c>
      <c r="L1322" s="17" t="n">
        <f aca="false">MAX(B1321-B1322,0)</f>
        <v>0</v>
      </c>
      <c r="M1322" s="17" t="n">
        <f aca="false">(M1321*13+K1322)/14</f>
        <v>39.0333712452421</v>
      </c>
      <c r="N1322" s="17" t="n">
        <f aca="false">(N1321*13+L1322)/14</f>
        <v>67.0917153481637</v>
      </c>
      <c r="O1322" s="17" t="n">
        <f aca="false">IF(N1322=0,100,100-100/(1+M1322/N1322))</f>
        <v>36.7805318216508</v>
      </c>
      <c r="P1322" s="17" t="n">
        <f aca="false">AVERAGE(B1303:B1322)+2*STDEV(B1303:B1322)</f>
        <v>15897.3367280169</v>
      </c>
      <c r="Q1322" s="17" t="n">
        <f aca="false">AVERAGE(B1303:B1322)-2*STDEV(B1303:B1322)</f>
        <v>14622.0442719831</v>
      </c>
      <c r="R1322" s="19" t="n">
        <f aca="false">B1322/B1302-1</f>
        <v>-0.0520614576157136</v>
      </c>
      <c r="S1322" s="17" t="n">
        <f aca="false">STDEV(C1303:C1322)*SQRT(252)*100</f>
        <v>15.2246851761338</v>
      </c>
      <c r="T1322" s="19" t="n">
        <f aca="false">B1301/B1071-1</f>
        <v>0.386993600570023</v>
      </c>
      <c r="U1322" s="19" t="n">
        <f aca="false">B1322/MAX(B1071:B1322)-1</f>
        <v>-0.0563857828902713</v>
      </c>
      <c r="V1322" s="17" t="n">
        <f aca="false">(B1322-AVERAGE(B1303:B1322))/STDEV(B1303:B1322)</f>
        <v>-1.46733558341565</v>
      </c>
    </row>
    <row r="1323" customFormat="false" ht="15" hidden="false" customHeight="false" outlineLevel="0" collapsed="false">
      <c r="A1323" s="17" t="s">
        <v>1887</v>
      </c>
      <c r="B1323" s="17" t="n">
        <v>14472.12</v>
      </c>
      <c r="C1323" s="19" t="n">
        <f aca="false">B1323/B1322-1</f>
        <v>-0.021616604256257</v>
      </c>
      <c r="D1323" s="17" t="n">
        <f aca="false">AVERAGE(B1274:B1323)</f>
        <v>15195.9418</v>
      </c>
      <c r="E1323" s="17" t="n">
        <f aca="false">AVERAGE(B1124:B1323)</f>
        <v>13970.714</v>
      </c>
      <c r="F1323" s="17" t="n">
        <f aca="false">B1323*2/13+F1322*11/13</f>
        <v>14945.4410852277</v>
      </c>
      <c r="G1323" s="17" t="n">
        <f aca="false">B1323*2/27+G1322*25/27</f>
        <v>15104.3951770544</v>
      </c>
      <c r="H1323" s="17" t="n">
        <f aca="false">F1323-G1323</f>
        <v>-158.954091826647</v>
      </c>
      <c r="I1323" s="17" t="n">
        <f aca="false">H1323*2/10+I1322*8/10</f>
        <v>-63.4435784380054</v>
      </c>
      <c r="J1323" s="17" t="n">
        <f aca="false">H1323-I1323</f>
        <v>-95.5105133886412</v>
      </c>
      <c r="K1323" s="17" t="n">
        <f aca="false">MAX(B1323-B1322,0)</f>
        <v>0</v>
      </c>
      <c r="L1323" s="17" t="n">
        <f aca="false">MAX(B1322-B1323,0)</f>
        <v>319.75</v>
      </c>
      <c r="M1323" s="17" t="n">
        <f aca="false">(M1322*13+K1323)/14</f>
        <v>36.2452732991534</v>
      </c>
      <c r="N1323" s="17" t="n">
        <f aca="false">(N1322*13+L1323)/14</f>
        <v>85.1387356804377</v>
      </c>
      <c r="O1323" s="17" t="n">
        <f aca="false">IF(N1323=0,100,100-100/(1+M1323/N1323))</f>
        <v>29.8600067701236</v>
      </c>
      <c r="P1323" s="17" t="n">
        <f aca="false">AVERAGE(B1304:B1323)+2*STDEV(B1304:B1323)</f>
        <v>15900.6223822941</v>
      </c>
      <c r="Q1323" s="17" t="n">
        <f aca="false">AVERAGE(B1304:B1323)-2*STDEV(B1304:B1323)</f>
        <v>14500.6846177059</v>
      </c>
      <c r="R1323" s="19" t="n">
        <f aca="false">B1323/B1303-1</f>
        <v>-0.0754328601929615</v>
      </c>
      <c r="S1323" s="17" t="n">
        <f aca="false">STDEV(C1304:C1323)*SQRT(252)*100</f>
        <v>16.4681042084979</v>
      </c>
      <c r="T1323" s="19" t="n">
        <f aca="false">B1302/B1072-1</f>
        <v>0.355823151499775</v>
      </c>
      <c r="U1323" s="19" t="n">
        <f aca="false">B1323/MAX(B1072:B1323)-1</f>
        <v>-0.07678351799211</v>
      </c>
      <c r="V1323" s="17" t="n">
        <f aca="false">(B1323-AVERAGE(B1304:B1323))/STDEV(B1304:B1323)</f>
        <v>-2.08161682162875</v>
      </c>
    </row>
    <row r="1324" customFormat="false" ht="15" hidden="false" customHeight="false" outlineLevel="0" collapsed="false">
      <c r="A1324" s="17" t="s">
        <v>1888</v>
      </c>
      <c r="B1324" s="17" t="n">
        <v>14674.15</v>
      </c>
      <c r="C1324" s="19" t="n">
        <f aca="false">B1324/B1323-1</f>
        <v>0.0139599450529708</v>
      </c>
      <c r="D1324" s="17" t="n">
        <f aca="false">AVERAGE(B1275:B1324)</f>
        <v>15186.9058</v>
      </c>
      <c r="E1324" s="17" t="n">
        <f aca="false">AVERAGE(B1125:B1324)</f>
        <v>13980.32445</v>
      </c>
      <c r="F1324" s="17" t="n">
        <f aca="false">B1324*2/13+F1323*11/13</f>
        <v>14903.7039951927</v>
      </c>
      <c r="G1324" s="17" t="n">
        <f aca="false">B1324*2/27+G1323*25/27</f>
        <v>15072.5251639392</v>
      </c>
      <c r="H1324" s="17" t="n">
        <f aca="false">F1324-G1324</f>
        <v>-168.821168746545</v>
      </c>
      <c r="I1324" s="17" t="n">
        <f aca="false">H1324*2/10+I1323*8/10</f>
        <v>-84.5190964997132</v>
      </c>
      <c r="J1324" s="17" t="n">
        <f aca="false">H1324-I1324</f>
        <v>-84.3020722468313</v>
      </c>
      <c r="K1324" s="17" t="n">
        <f aca="false">MAX(B1324-B1323,0)</f>
        <v>202.029999999999</v>
      </c>
      <c r="L1324" s="17" t="n">
        <f aca="false">MAX(B1323-B1324,0)</f>
        <v>0</v>
      </c>
      <c r="M1324" s="17" t="n">
        <f aca="false">(M1323*13+K1324)/14</f>
        <v>48.0870394920709</v>
      </c>
      <c r="N1324" s="17" t="n">
        <f aca="false">(N1323*13+L1324)/14</f>
        <v>79.0573974175493</v>
      </c>
      <c r="O1324" s="17" t="n">
        <f aca="false">IF(N1324=0,100,100-100/(1+M1324/N1324))</f>
        <v>37.8207970878453</v>
      </c>
      <c r="P1324" s="17" t="n">
        <f aca="false">AVERAGE(B1305:B1324)+2*STDEV(B1305:B1324)</f>
        <v>15850.7401516852</v>
      </c>
      <c r="Q1324" s="17" t="n">
        <f aca="false">AVERAGE(B1305:B1324)-2*STDEV(B1305:B1324)</f>
        <v>14450.4058483148</v>
      </c>
      <c r="R1324" s="19" t="n">
        <f aca="false">B1324/B1304-1</f>
        <v>-0.063895466631283</v>
      </c>
      <c r="S1324" s="17" t="n">
        <f aca="false">STDEV(C1305:C1324)*SQRT(252)*100</f>
        <v>17.5649988769116</v>
      </c>
      <c r="T1324" s="19" t="n">
        <f aca="false">B1303/B1073-1</f>
        <v>0.386279842745767</v>
      </c>
      <c r="U1324" s="19" t="n">
        <f aca="false">B1324/MAX(B1073:B1324)-1</f>
        <v>-0.063895466631283</v>
      </c>
      <c r="V1324" s="17" t="n">
        <f aca="false">(B1324-AVERAGE(B1305:B1324))/STDEV(B1305:B1324)</f>
        <v>-1.36088360858783</v>
      </c>
    </row>
    <row r="1325" customFormat="false" ht="15" hidden="false" customHeight="false" outlineLevel="0" collapsed="false">
      <c r="A1325" s="17" t="s">
        <v>1889</v>
      </c>
      <c r="B1325" s="17" t="n">
        <v>14766.75</v>
      </c>
      <c r="C1325" s="19" t="n">
        <f aca="false">B1325/B1324-1</f>
        <v>0.00631041661697607</v>
      </c>
      <c r="D1325" s="17" t="n">
        <f aca="false">AVERAGE(B1276:B1325)</f>
        <v>15183.1014</v>
      </c>
      <c r="E1325" s="17" t="n">
        <f aca="false">AVERAGE(B1126:B1325)</f>
        <v>13990.4673</v>
      </c>
      <c r="F1325" s="17" t="n">
        <f aca="false">B1325*2/13+F1324*11/13</f>
        <v>14882.6341497784</v>
      </c>
      <c r="G1325" s="17" t="n">
        <f aca="false">B1325*2/27+G1324*25/27</f>
        <v>15049.8751517956</v>
      </c>
      <c r="H1325" s="17" t="n">
        <f aca="false">F1325-G1325</f>
        <v>-167.241002017161</v>
      </c>
      <c r="I1325" s="17" t="n">
        <f aca="false">H1325*2/10+I1324*8/10</f>
        <v>-101.063477603203</v>
      </c>
      <c r="J1325" s="17" t="n">
        <f aca="false">H1325-I1325</f>
        <v>-66.1775244139582</v>
      </c>
      <c r="K1325" s="17" t="n">
        <f aca="false">MAX(B1325-B1324,0)</f>
        <v>92.6000000000004</v>
      </c>
      <c r="L1325" s="17" t="n">
        <f aca="false">MAX(B1324-B1325,0)</f>
        <v>0</v>
      </c>
      <c r="M1325" s="17" t="n">
        <f aca="false">(M1324*13+K1325)/14</f>
        <v>51.2665366712087</v>
      </c>
      <c r="N1325" s="17" t="n">
        <f aca="false">(N1324*13+L1325)/14</f>
        <v>73.4104404591529</v>
      </c>
      <c r="O1325" s="17" t="n">
        <f aca="false">IF(N1325=0,100,100-100/(1+M1325/N1325))</f>
        <v>41.1194896212512</v>
      </c>
      <c r="P1325" s="17" t="n">
        <f aca="false">AVERAGE(B1306:B1325)+2*STDEV(B1306:B1325)</f>
        <v>15791.2492204989</v>
      </c>
      <c r="Q1325" s="17" t="n">
        <f aca="false">AVERAGE(B1306:B1325)-2*STDEV(B1306:B1325)</f>
        <v>14424.4867795011</v>
      </c>
      <c r="R1325" s="19" t="n">
        <f aca="false">B1325/B1305-1</f>
        <v>-0.0546769221905339</v>
      </c>
      <c r="S1325" s="17" t="n">
        <f aca="false">STDEV(C1306:C1325)*SQRT(252)*100</f>
        <v>17.8877562779146</v>
      </c>
      <c r="T1325" s="19" t="n">
        <f aca="false">B1304/B1074-1</f>
        <v>0.362731555333781</v>
      </c>
      <c r="U1325" s="19" t="n">
        <f aca="false">B1325/MAX(B1074:B1325)-1</f>
        <v>-0.0579882570286864</v>
      </c>
      <c r="V1325" s="17" t="n">
        <f aca="false">(B1325-AVERAGE(B1306:B1325))/STDEV(B1306:B1325)</f>
        <v>-0.998324185001693</v>
      </c>
    </row>
    <row r="1326" customFormat="false" ht="15" hidden="false" customHeight="false" outlineLevel="0" collapsed="false">
      <c r="A1326" s="17" t="s">
        <v>1890</v>
      </c>
      <c r="B1326" s="17" t="n">
        <v>14897.13</v>
      </c>
      <c r="C1326" s="19" t="n">
        <f aca="false">B1326/B1325-1</f>
        <v>0.00882929554573608</v>
      </c>
      <c r="D1326" s="17" t="n">
        <f aca="false">AVERAGE(B1277:B1326)</f>
        <v>15180.682</v>
      </c>
      <c r="E1326" s="17" t="n">
        <f aca="false">AVERAGE(B1127:B1326)</f>
        <v>14001.50165</v>
      </c>
      <c r="F1326" s="17" t="n">
        <f aca="false">B1326*2/13+F1325*11/13</f>
        <v>14884.8642805818</v>
      </c>
      <c r="G1326" s="17" t="n">
        <f aca="false">B1326*2/27+G1325*25/27</f>
        <v>15038.560696107</v>
      </c>
      <c r="H1326" s="17" t="n">
        <f aca="false">F1326-G1326</f>
        <v>-153.696415525283</v>
      </c>
      <c r="I1326" s="17" t="n">
        <f aca="false">H1326*2/10+I1325*8/10</f>
        <v>-111.590065187619</v>
      </c>
      <c r="J1326" s="17" t="n">
        <f aca="false">H1326-I1326</f>
        <v>-42.1063503376639</v>
      </c>
      <c r="K1326" s="17" t="n">
        <f aca="false">MAX(B1326-B1325,0)</f>
        <v>130.379999999999</v>
      </c>
      <c r="L1326" s="17" t="n">
        <f aca="false">MAX(B1325-B1326,0)</f>
        <v>0</v>
      </c>
      <c r="M1326" s="17" t="n">
        <f aca="false">(M1325*13+K1326)/14</f>
        <v>56.9174983375509</v>
      </c>
      <c r="N1326" s="17" t="n">
        <f aca="false">(N1325*13+L1326)/14</f>
        <v>68.1668375692134</v>
      </c>
      <c r="O1326" s="17" t="n">
        <f aca="false">IF(N1326=0,100,100-100/(1+M1326/N1326))</f>
        <v>45.5032981747421</v>
      </c>
      <c r="P1326" s="17" t="n">
        <f aca="false">AVERAGE(B1307:B1326)+2*STDEV(B1307:B1326)</f>
        <v>15729.258101565</v>
      </c>
      <c r="Q1326" s="17" t="n">
        <f aca="false">AVERAGE(B1307:B1326)-2*STDEV(B1307:B1326)</f>
        <v>14420.085898435</v>
      </c>
      <c r="R1326" s="19" t="n">
        <f aca="false">B1326/B1306-1</f>
        <v>-0.0426655013639825</v>
      </c>
      <c r="S1326" s="17" t="n">
        <f aca="false">STDEV(C1307:C1326)*SQRT(252)*100</f>
        <v>18.3446782036142</v>
      </c>
      <c r="T1326" s="19" t="n">
        <f aca="false">B1305/B1075-1</f>
        <v>0.352344484518143</v>
      </c>
      <c r="U1326" s="19" t="n">
        <f aca="false">B1326/MAX(B1075:B1326)-1</f>
        <v>-0.0496709569424386</v>
      </c>
      <c r="V1326" s="17" t="n">
        <f aca="false">(B1326-AVERAGE(B1307:B1326))/STDEV(B1307:B1326)</f>
        <v>-0.542455758151666</v>
      </c>
    </row>
    <row r="1327" customFormat="false" ht="15" hidden="false" customHeight="false" outlineLevel="0" collapsed="false">
      <c r="A1327" s="17" t="s">
        <v>1891</v>
      </c>
      <c r="B1327" s="17" t="n">
        <v>14820.75</v>
      </c>
      <c r="C1327" s="19" t="n">
        <f aca="false">B1327/B1326-1</f>
        <v>-0.00512716207752761</v>
      </c>
      <c r="D1327" s="17" t="n">
        <f aca="false">AVERAGE(B1278:B1327)</f>
        <v>15176.1298</v>
      </c>
      <c r="E1327" s="17" t="n">
        <f aca="false">AVERAGE(B1128:B1327)</f>
        <v>14012.0176</v>
      </c>
      <c r="F1327" s="17" t="n">
        <f aca="false">B1327*2/13+F1326*11/13</f>
        <v>14875.0005451076</v>
      </c>
      <c r="G1327" s="17" t="n">
        <f aca="false">B1327*2/27+G1326*25/27</f>
        <v>15022.4265704695</v>
      </c>
      <c r="H1327" s="17" t="n">
        <f aca="false">F1327-G1327</f>
        <v>-147.426025361841</v>
      </c>
      <c r="I1327" s="17" t="n">
        <f aca="false">H1327*2/10+I1326*8/10</f>
        <v>-118.757257222463</v>
      </c>
      <c r="J1327" s="17" t="n">
        <f aca="false">H1327-I1327</f>
        <v>-28.668768139378</v>
      </c>
      <c r="K1327" s="17" t="n">
        <f aca="false">MAX(B1327-B1326,0)</f>
        <v>0</v>
      </c>
      <c r="L1327" s="17" t="n">
        <f aca="false">MAX(B1326-B1327,0)</f>
        <v>76.3799999999992</v>
      </c>
      <c r="M1327" s="17" t="n">
        <f aca="false">(M1326*13+K1327)/14</f>
        <v>52.8519627420116</v>
      </c>
      <c r="N1327" s="17" t="n">
        <f aca="false">(N1326*13+L1327)/14</f>
        <v>68.7534920285553</v>
      </c>
      <c r="O1327" s="17" t="n">
        <f aca="false">IF(N1327=0,100,100-100/(1+M1327/N1327))</f>
        <v>43.4618355251641</v>
      </c>
      <c r="P1327" s="17" t="n">
        <f aca="false">AVERAGE(B1308:B1327)+2*STDEV(B1308:B1327)</f>
        <v>15683.8261526062</v>
      </c>
      <c r="Q1327" s="17" t="n">
        <f aca="false">AVERAGE(B1308:B1327)-2*STDEV(B1308:B1327)</f>
        <v>14403.5178473938</v>
      </c>
      <c r="R1327" s="19" t="n">
        <f aca="false">B1327/B1307-1</f>
        <v>-0.0401534899535321</v>
      </c>
      <c r="S1327" s="17" t="n">
        <f aca="false">STDEV(C1308:C1327)*SQRT(252)*100</f>
        <v>18.2620348184439</v>
      </c>
      <c r="T1327" s="19" t="n">
        <f aca="false">B1306/B1076-1</f>
        <v>0.327072237833505</v>
      </c>
      <c r="U1327" s="19" t="n">
        <f aca="false">B1327/MAX(B1076:B1327)-1</f>
        <v>-0.0545434479731765</v>
      </c>
      <c r="V1327" s="17" t="n">
        <f aca="false">(B1327-AVERAGE(B1308:B1327))/STDEV(B1308:B1327)</f>
        <v>-0.69646349740119</v>
      </c>
    </row>
    <row r="1328" customFormat="false" ht="15" hidden="false" customHeight="false" outlineLevel="0" collapsed="false">
      <c r="A1328" s="17" t="s">
        <v>1892</v>
      </c>
      <c r="B1328" s="17" t="n">
        <v>14713.73</v>
      </c>
      <c r="C1328" s="19" t="n">
        <f aca="false">B1328/B1327-1</f>
        <v>-0.00722095710406023</v>
      </c>
      <c r="D1328" s="17" t="n">
        <f aca="false">AVERAGE(B1279:B1328)</f>
        <v>15171.2064</v>
      </c>
      <c r="E1328" s="17" t="n">
        <f aca="false">AVERAGE(B1129:B1328)</f>
        <v>14022.32055</v>
      </c>
      <c r="F1328" s="17" t="n">
        <f aca="false">B1328*2/13+F1327*11/13</f>
        <v>14850.1896920142</v>
      </c>
      <c r="G1328" s="17" t="n">
        <f aca="false">B1328*2/27+G1327*25/27</f>
        <v>14999.5601578421</v>
      </c>
      <c r="H1328" s="17" t="n">
        <f aca="false">F1328-G1328</f>
        <v>-149.370465827955</v>
      </c>
      <c r="I1328" s="17" t="n">
        <f aca="false">H1328*2/10+I1327*8/10</f>
        <v>-124.879898943562</v>
      </c>
      <c r="J1328" s="17" t="n">
        <f aca="false">H1328-I1328</f>
        <v>-24.4905668843933</v>
      </c>
      <c r="K1328" s="17" t="n">
        <f aca="false">MAX(B1328-B1327,0)</f>
        <v>0</v>
      </c>
      <c r="L1328" s="17" t="n">
        <f aca="false">MAX(B1327-B1328,0)</f>
        <v>107.02</v>
      </c>
      <c r="M1328" s="17" t="n">
        <f aca="false">(M1327*13+K1328)/14</f>
        <v>49.0768225461536</v>
      </c>
      <c r="N1328" s="17" t="n">
        <f aca="false">(N1327*13+L1328)/14</f>
        <v>71.4868140265157</v>
      </c>
      <c r="O1328" s="17" t="n">
        <f aca="false">IF(N1328=0,100,100-100/(1+M1328/N1328))</f>
        <v>40.7061564674791</v>
      </c>
      <c r="P1328" s="17" t="n">
        <f aca="false">AVERAGE(B1309:B1328)+2*STDEV(B1309:B1328)</f>
        <v>15636.1952817233</v>
      </c>
      <c r="Q1328" s="17" t="n">
        <f aca="false">AVERAGE(B1309:B1328)-2*STDEV(B1309:B1328)</f>
        <v>14379.0717182767</v>
      </c>
      <c r="R1328" s="19" t="n">
        <f aca="false">B1328/B1308-1</f>
        <v>-0.0466986296932198</v>
      </c>
      <c r="S1328" s="17" t="n">
        <f aca="false">STDEV(C1309:C1328)*SQRT(252)*100</f>
        <v>18.3439708644948</v>
      </c>
      <c r="T1328" s="19" t="n">
        <f aca="false">B1307/B1077-1</f>
        <v>0.277350222656809</v>
      </c>
      <c r="U1328" s="19" t="n">
        <f aca="false">B1328/MAX(B1077:B1328)-1</f>
        <v>-0.0613705491791148</v>
      </c>
      <c r="V1328" s="17" t="n">
        <f aca="false">(B1328-AVERAGE(B1309:B1328))/STDEV(B1309:B1328)</f>
        <v>-0.935161852170593</v>
      </c>
    </row>
    <row r="1329" customFormat="false" ht="15" hidden="false" customHeight="false" outlineLevel="0" collapsed="false">
      <c r="A1329" s="17" t="s">
        <v>1893</v>
      </c>
      <c r="B1329" s="17" t="n">
        <v>14662.11</v>
      </c>
      <c r="C1329" s="19" t="n">
        <f aca="false">B1329/B1328-1</f>
        <v>-0.00350828783727841</v>
      </c>
      <c r="D1329" s="17" t="n">
        <f aca="false">AVERAGE(B1280:B1329)</f>
        <v>15165.1762</v>
      </c>
      <c r="E1329" s="17" t="n">
        <f aca="false">AVERAGE(B1130:B1329)</f>
        <v>14032.07605</v>
      </c>
      <c r="F1329" s="17" t="n">
        <f aca="false">B1329*2/13+F1328*11/13</f>
        <v>14821.2543547812</v>
      </c>
      <c r="G1329" s="17" t="n">
        <f aca="false">B1329*2/27+G1328*25/27</f>
        <v>14974.5638498538</v>
      </c>
      <c r="H1329" s="17" t="n">
        <f aca="false">F1329-G1329</f>
        <v>-153.309495072595</v>
      </c>
      <c r="I1329" s="17" t="n">
        <f aca="false">H1329*2/10+I1328*8/10</f>
        <v>-130.565818169368</v>
      </c>
      <c r="J1329" s="17" t="n">
        <f aca="false">H1329-I1329</f>
        <v>-22.7436769032271</v>
      </c>
      <c r="K1329" s="17" t="n">
        <f aca="false">MAX(B1329-B1328,0)</f>
        <v>0</v>
      </c>
      <c r="L1329" s="17" t="n">
        <f aca="false">MAX(B1328-B1329,0)</f>
        <v>51.619999999999</v>
      </c>
      <c r="M1329" s="17" t="n">
        <f aca="false">(M1328*13+K1329)/14</f>
        <v>45.5713352214283</v>
      </c>
      <c r="N1329" s="17" t="n">
        <f aca="false">(N1328*13+L1329)/14</f>
        <v>70.0677558817645</v>
      </c>
      <c r="O1329" s="17" t="n">
        <f aca="false">IF(N1329=0,100,100-100/(1+M1329/N1329))</f>
        <v>39.4082440346767</v>
      </c>
      <c r="P1329" s="17" t="n">
        <f aca="false">AVERAGE(B1310:B1329)+2*STDEV(B1310:B1329)</f>
        <v>15592.1644880749</v>
      </c>
      <c r="Q1329" s="17" t="n">
        <f aca="false">AVERAGE(B1310:B1329)-2*STDEV(B1310:B1329)</f>
        <v>14351.0235119251</v>
      </c>
      <c r="R1329" s="19" t="n">
        <f aca="false">B1329/B1309-1</f>
        <v>-0.0468565745080576</v>
      </c>
      <c r="S1329" s="17" t="n">
        <f aca="false">STDEV(C1310:C1329)*SQRT(252)*100</f>
        <v>18.3452807645544</v>
      </c>
      <c r="T1329" s="19" t="n">
        <f aca="false">B1308/B1078-1</f>
        <v>0.277355197353012</v>
      </c>
      <c r="U1329" s="19" t="n">
        <f aca="false">B1329/MAX(B1078:B1329)-1</f>
        <v>-0.064663531465141</v>
      </c>
      <c r="V1329" s="17" t="n">
        <f aca="false">(B1329-AVERAGE(B1310:B1329))/STDEV(B1310:B1329)</f>
        <v>-0.997417717881117</v>
      </c>
    </row>
    <row r="1330" customFormat="false" ht="15" hidden="false" customHeight="false" outlineLevel="0" collapsed="false">
      <c r="A1330" s="17" t="s">
        <v>1894</v>
      </c>
      <c r="B1330" s="17" t="n">
        <v>14774.6</v>
      </c>
      <c r="C1330" s="19" t="n">
        <f aca="false">B1330/B1329-1</f>
        <v>0.00767215632674967</v>
      </c>
      <c r="D1330" s="17" t="n">
        <f aca="false">AVERAGE(B1281:B1330)</f>
        <v>15159.4398</v>
      </c>
      <c r="E1330" s="17" t="n">
        <f aca="false">AVERAGE(B1131:B1330)</f>
        <v>14041.75475</v>
      </c>
      <c r="F1330" s="17" t="n">
        <f aca="false">B1330*2/13+F1329*11/13</f>
        <v>14814.0767617379</v>
      </c>
      <c r="G1330" s="17" t="n">
        <f aca="false">B1330*2/27+G1329*25/27</f>
        <v>14959.7517128276</v>
      </c>
      <c r="H1330" s="17" t="n">
        <f aca="false">F1330-G1330</f>
        <v>-145.674951089652</v>
      </c>
      <c r="I1330" s="17" t="n">
        <f aca="false">H1330*2/10+I1329*8/10</f>
        <v>-133.587644753425</v>
      </c>
      <c r="J1330" s="17" t="n">
        <f aca="false">H1330-I1330</f>
        <v>-12.0873063362266</v>
      </c>
      <c r="K1330" s="17" t="n">
        <f aca="false">MAX(B1330-B1329,0)</f>
        <v>112.49</v>
      </c>
      <c r="L1330" s="17" t="n">
        <f aca="false">MAX(B1329-B1330,0)</f>
        <v>0</v>
      </c>
      <c r="M1330" s="17" t="n">
        <f aca="false">(M1329*13+K1330)/14</f>
        <v>50.3512398484692</v>
      </c>
      <c r="N1330" s="17" t="n">
        <f aca="false">(N1329*13+L1330)/14</f>
        <v>65.0629161759241</v>
      </c>
      <c r="O1330" s="17" t="n">
        <f aca="false">IF(N1330=0,100,100-100/(1+M1330/N1330))</f>
        <v>43.626571975995</v>
      </c>
      <c r="P1330" s="17" t="n">
        <f aca="false">AVERAGE(B1311:B1330)+2*STDEV(B1311:B1330)</f>
        <v>15507.9605955161</v>
      </c>
      <c r="Q1330" s="17" t="n">
        <f aca="false">AVERAGE(B1311:B1330)-2*STDEV(B1311:B1330)</f>
        <v>14362.3344044839</v>
      </c>
      <c r="R1330" s="19" t="n">
        <f aca="false">B1330/B1310-1</f>
        <v>-0.0470170341851178</v>
      </c>
      <c r="S1330" s="17" t="n">
        <f aca="false">STDEV(C1311:C1330)*SQRT(252)*100</f>
        <v>18.3328948446804</v>
      </c>
      <c r="T1330" s="19" t="n">
        <f aca="false">B1309/B1079-1</f>
        <v>0.283474171822957</v>
      </c>
      <c r="U1330" s="19" t="n">
        <f aca="false">B1330/MAX(B1079:B1330)-1</f>
        <v>-0.0574874838604317</v>
      </c>
      <c r="V1330" s="17" t="n">
        <f aca="false">(B1330-AVERAGE(B1311:B1330))/STDEV(B1311:B1330)</f>
        <v>-0.560558064250778</v>
      </c>
    </row>
    <row r="1331" customFormat="false" ht="15" hidden="false" customHeight="false" outlineLevel="0" collapsed="false">
      <c r="A1331" s="17" t="s">
        <v>1895</v>
      </c>
      <c r="B1331" s="17" t="n">
        <v>15052.42</v>
      </c>
      <c r="C1331" s="19" t="n">
        <f aca="false">B1331/B1330-1</f>
        <v>0.0188038931680046</v>
      </c>
      <c r="D1331" s="17" t="n">
        <f aca="false">AVERAGE(B1282:B1331)</f>
        <v>15158.8204</v>
      </c>
      <c r="E1331" s="17" t="n">
        <f aca="false">AVERAGE(B1132:B1331)</f>
        <v>14052.7994</v>
      </c>
      <c r="F1331" s="17" t="n">
        <f aca="false">B1331*2/13+F1330*11/13</f>
        <v>14850.7449522398</v>
      </c>
      <c r="G1331" s="17" t="n">
        <f aca="false">B1331*2/27+G1330*25/27</f>
        <v>14966.6160303959</v>
      </c>
      <c r="H1331" s="17" t="n">
        <f aca="false">F1331-G1331</f>
        <v>-115.871078156124</v>
      </c>
      <c r="I1331" s="17" t="n">
        <f aca="false">H1331*2/10+I1330*8/10</f>
        <v>-130.044331433965</v>
      </c>
      <c r="J1331" s="17" t="n">
        <f aca="false">H1331-I1331</f>
        <v>14.1732532778408</v>
      </c>
      <c r="K1331" s="17" t="n">
        <f aca="false">MAX(B1331-B1330,0)</f>
        <v>277.82</v>
      </c>
      <c r="L1331" s="17" t="n">
        <f aca="false">MAX(B1330-B1331,0)</f>
        <v>0</v>
      </c>
      <c r="M1331" s="17" t="n">
        <f aca="false">(M1330*13+K1331)/14</f>
        <v>66.5990084307213</v>
      </c>
      <c r="N1331" s="17" t="n">
        <f aca="false">(N1330*13+L1331)/14</f>
        <v>60.415565020501</v>
      </c>
      <c r="O1331" s="17" t="n">
        <f aca="false">IF(N1331=0,100,100-100/(1+M1331/N1331))</f>
        <v>52.4341472172069</v>
      </c>
      <c r="P1331" s="17" t="n">
        <f aca="false">AVERAGE(B1312:B1331)+2*STDEV(B1312:B1331)</f>
        <v>15419.6554764441</v>
      </c>
      <c r="Q1331" s="17" t="n">
        <f aca="false">AVERAGE(B1312:B1331)-2*STDEV(B1312:B1331)</f>
        <v>14404.2905235559</v>
      </c>
      <c r="R1331" s="19" t="n">
        <f aca="false">B1331/B1311-1</f>
        <v>-0.0298719185661686</v>
      </c>
      <c r="S1331" s="17" t="n">
        <f aca="false">STDEV(C1312:C1331)*SQRT(252)*100</f>
        <v>19.7974490075455</v>
      </c>
      <c r="T1331" s="19" t="n">
        <f aca="false">B1310/B1080-1</f>
        <v>0.302974222952842</v>
      </c>
      <c r="U1331" s="19" t="n">
        <f aca="false">B1331/MAX(B1080:B1331)-1</f>
        <v>-0.039764579197436</v>
      </c>
      <c r="V1331" s="17" t="n">
        <f aca="false">(B1331-AVERAGE(B1312:B1331))/STDEV(B1312:B1331)</f>
        <v>0.553286774771951</v>
      </c>
    </row>
    <row r="1332" customFormat="false" ht="15" hidden="false" customHeight="false" outlineLevel="0" collapsed="false">
      <c r="A1332" s="17" t="s">
        <v>1896</v>
      </c>
      <c r="B1332" s="17" t="n">
        <v>15146.92</v>
      </c>
      <c r="C1332" s="19" t="n">
        <f aca="false">B1332/B1331-1</f>
        <v>0.00627806027203603</v>
      </c>
      <c r="D1332" s="17" t="n">
        <f aca="false">AVERAGE(B1283:B1332)</f>
        <v>15158.126</v>
      </c>
      <c r="E1332" s="17" t="n">
        <f aca="false">AVERAGE(B1133:B1332)</f>
        <v>14064.3072</v>
      </c>
      <c r="F1332" s="17" t="n">
        <f aca="false">B1332*2/13+F1331*11/13</f>
        <v>14896.3103442029</v>
      </c>
      <c r="G1332" s="17" t="n">
        <f aca="false">B1332*2/27+G1331*25/27</f>
        <v>14979.9718799962</v>
      </c>
      <c r="H1332" s="17" t="n">
        <f aca="false">F1332-G1332</f>
        <v>-83.6615357933188</v>
      </c>
      <c r="I1332" s="17" t="n">
        <f aca="false">H1332*2/10+I1331*8/10</f>
        <v>-120.767772305836</v>
      </c>
      <c r="J1332" s="17" t="n">
        <f aca="false">H1332-I1332</f>
        <v>37.1062365125168</v>
      </c>
      <c r="K1332" s="17" t="n">
        <f aca="false">MAX(B1332-B1331,0)</f>
        <v>94.5</v>
      </c>
      <c r="L1332" s="17" t="n">
        <f aca="false">MAX(B1331-B1332,0)</f>
        <v>0</v>
      </c>
      <c r="M1332" s="17" t="n">
        <f aca="false">(M1331*13+K1332)/14</f>
        <v>68.5919363999555</v>
      </c>
      <c r="N1332" s="17" t="n">
        <f aca="false">(N1331*13+L1332)/14</f>
        <v>56.1001675190366</v>
      </c>
      <c r="O1332" s="17" t="n">
        <f aca="false">IF(N1332=0,100,100-100/(1+M1332/N1332))</f>
        <v>55.009045676635</v>
      </c>
      <c r="P1332" s="17" t="n">
        <f aca="false">AVERAGE(B1313:B1332)+2*STDEV(B1313:B1332)</f>
        <v>15383.8878477221</v>
      </c>
      <c r="Q1332" s="17" t="n">
        <f aca="false">AVERAGE(B1313:B1332)-2*STDEV(B1313:B1332)</f>
        <v>14421.4031522779</v>
      </c>
      <c r="R1332" s="19" t="n">
        <f aca="false">B1332/B1312-1</f>
        <v>-0.0121661959099929</v>
      </c>
      <c r="S1332" s="17" t="n">
        <f aca="false">STDEV(C1313:C1332)*SQRT(252)*100</f>
        <v>19.584835027873</v>
      </c>
      <c r="T1332" s="19" t="n">
        <f aca="false">B1311/B1081-1</f>
        <v>0.30911976456632</v>
      </c>
      <c r="U1332" s="19" t="n">
        <f aca="false">B1332/MAX(B1081:B1332)-1</f>
        <v>-0.0337361633502937</v>
      </c>
      <c r="V1332" s="17" t="n">
        <f aca="false">(B1332-AVERAGE(B1313:B1332))/STDEV(B1313:B1332)</f>
        <v>1.01518289550476</v>
      </c>
    </row>
    <row r="1333" customFormat="false" ht="15" hidden="false" customHeight="false" outlineLevel="0" collapsed="false">
      <c r="A1333" s="17" t="s">
        <v>1897</v>
      </c>
      <c r="B1333" s="17" t="n">
        <v>15300.89</v>
      </c>
      <c r="C1333" s="19" t="n">
        <f aca="false">B1333/B1332-1</f>
        <v>0.010165102872399</v>
      </c>
      <c r="D1333" s="17" t="n">
        <f aca="false">AVERAGE(B1284:B1333)</f>
        <v>15161.9566</v>
      </c>
      <c r="E1333" s="17" t="n">
        <f aca="false">AVERAGE(B1134:B1333)</f>
        <v>14076.37025</v>
      </c>
      <c r="F1333" s="17" t="n">
        <f aca="false">B1333*2/13+F1332*11/13</f>
        <v>14958.5533681717</v>
      </c>
      <c r="G1333" s="17" t="n">
        <f aca="false">B1333*2/27+G1332*25/27</f>
        <v>15003.7435925891</v>
      </c>
      <c r="H1333" s="17" t="n">
        <f aca="false">F1333-G1333</f>
        <v>-45.1902244174034</v>
      </c>
      <c r="I1333" s="17" t="n">
        <f aca="false">H1333*2/10+I1332*8/10</f>
        <v>-105.652262728149</v>
      </c>
      <c r="J1333" s="17" t="n">
        <f aca="false">H1333-I1333</f>
        <v>60.4620383107457</v>
      </c>
      <c r="K1333" s="17" t="n">
        <f aca="false">MAX(B1333-B1332,0)</f>
        <v>153.969999999999</v>
      </c>
      <c r="L1333" s="17" t="n">
        <f aca="false">MAX(B1332-B1333,0)</f>
        <v>0</v>
      </c>
      <c r="M1333" s="17" t="n">
        <f aca="false">(M1332*13+K1333)/14</f>
        <v>74.6903695142444</v>
      </c>
      <c r="N1333" s="17" t="n">
        <f aca="false">(N1332*13+L1333)/14</f>
        <v>52.0930126962483</v>
      </c>
      <c r="O1333" s="17" t="n">
        <f aca="false">IF(N1333=0,100,100-100/(1+M1333/N1333))</f>
        <v>58.911797596817</v>
      </c>
      <c r="P1333" s="17" t="n">
        <f aca="false">AVERAGE(B1314:B1333)+2*STDEV(B1314:B1333)</f>
        <v>15428.5291621754</v>
      </c>
      <c r="Q1333" s="17" t="n">
        <f aca="false">AVERAGE(B1314:B1333)-2*STDEV(B1314:B1333)</f>
        <v>14405.6318378246</v>
      </c>
      <c r="R1333" s="19" t="n">
        <f aca="false">B1333/B1313-1</f>
        <v>0.0192310382429213</v>
      </c>
      <c r="S1333" s="17" t="n">
        <f aca="false">STDEV(C1314:C1333)*SQRT(252)*100</f>
        <v>18.3594785922774</v>
      </c>
      <c r="T1333" s="19" t="n">
        <f aca="false">B1312/B1082-1</f>
        <v>0.317948144932893</v>
      </c>
      <c r="U1333" s="19" t="n">
        <f aca="false">B1333/MAX(B1082:B1333)-1</f>
        <v>-0.0239139920488705</v>
      </c>
      <c r="V1333" s="17" t="n">
        <f aca="false">(B1333-AVERAGE(B1314:B1333))/STDEV(B1314:B1333)</f>
        <v>1.50087204595459</v>
      </c>
    </row>
    <row r="1334" customFormat="false" ht="15" hidden="false" customHeight="false" outlineLevel="0" collapsed="false">
      <c r="A1334" s="17" t="s">
        <v>1898</v>
      </c>
      <c r="B1334" s="17" t="n">
        <v>15410.72</v>
      </c>
      <c r="C1334" s="19" t="n">
        <f aca="false">B1334/B1333-1</f>
        <v>0.0071780138279538</v>
      </c>
      <c r="D1334" s="17" t="n">
        <f aca="false">AVERAGE(B1285:B1334)</f>
        <v>15167.5088</v>
      </c>
      <c r="E1334" s="17" t="n">
        <f aca="false">AVERAGE(B1135:B1334)</f>
        <v>14089.95055</v>
      </c>
      <c r="F1334" s="17" t="n">
        <f aca="false">B1334*2/13+F1333*11/13</f>
        <v>15028.117465376</v>
      </c>
      <c r="G1334" s="17" t="n">
        <f aca="false">B1334*2/27+G1333*25/27</f>
        <v>15033.8899931381</v>
      </c>
      <c r="H1334" s="17" t="n">
        <f aca="false">F1334-G1334</f>
        <v>-5.77252776200476</v>
      </c>
      <c r="I1334" s="17" t="n">
        <f aca="false">H1334*2/10+I1333*8/10</f>
        <v>-85.6763157349203</v>
      </c>
      <c r="J1334" s="17" t="n">
        <f aca="false">H1334-I1334</f>
        <v>79.9037879729155</v>
      </c>
      <c r="K1334" s="17" t="n">
        <f aca="false">MAX(B1334-B1333,0)</f>
        <v>109.83</v>
      </c>
      <c r="L1334" s="17" t="n">
        <f aca="false">MAX(B1333-B1334,0)</f>
        <v>0</v>
      </c>
      <c r="M1334" s="17" t="n">
        <f aca="false">(M1333*13+K1334)/14</f>
        <v>77.2003431203698</v>
      </c>
      <c r="N1334" s="17" t="n">
        <f aca="false">(N1333*13+L1334)/14</f>
        <v>48.3720832179449</v>
      </c>
      <c r="O1334" s="17" t="n">
        <f aca="false">IF(N1334=0,100,100-100/(1+M1334/N1334))</f>
        <v>61.4787381047956</v>
      </c>
      <c r="P1334" s="17" t="n">
        <f aca="false">AVERAGE(B1315:B1334)+2*STDEV(B1315:B1334)</f>
        <v>15491.8876823161</v>
      </c>
      <c r="Q1334" s="17" t="n">
        <f aca="false">AVERAGE(B1315:B1334)-2*STDEV(B1315:B1334)</f>
        <v>14380.5683176839</v>
      </c>
      <c r="R1334" s="19" t="n">
        <f aca="false">B1334/B1314-1</f>
        <v>0.0254828228007216</v>
      </c>
      <c r="S1334" s="17" t="n">
        <f aca="false">STDEV(C1315:C1334)*SQRT(252)*100</f>
        <v>18.4893237231643</v>
      </c>
      <c r="T1334" s="19" t="n">
        <f aca="false">B1313/B1083-1</f>
        <v>0.285527974351421</v>
      </c>
      <c r="U1334" s="19" t="n">
        <f aca="false">B1334/MAX(B1083:B1334)-1</f>
        <v>-0.016907633186525</v>
      </c>
      <c r="V1334" s="17" t="n">
        <f aca="false">(B1334-AVERAGE(B1315:B1334))/STDEV(B1315:B1334)</f>
        <v>1.70785110059547</v>
      </c>
    </row>
    <row r="1335" customFormat="false" ht="15" hidden="false" customHeight="false" outlineLevel="0" collapsed="false">
      <c r="A1335" s="17" t="s">
        <v>1899</v>
      </c>
      <c r="B1335" s="17" t="n">
        <v>15388.71</v>
      </c>
      <c r="C1335" s="19" t="n">
        <f aca="false">B1335/B1334-1</f>
        <v>-0.00142822658513031</v>
      </c>
      <c r="D1335" s="17" t="n">
        <f aca="false">AVERAGE(B1286:B1335)</f>
        <v>15174.2114</v>
      </c>
      <c r="E1335" s="17" t="n">
        <f aca="false">AVERAGE(B1136:B1335)</f>
        <v>14102.8822</v>
      </c>
      <c r="F1335" s="17" t="n">
        <f aca="false">B1335*2/13+F1334*11/13</f>
        <v>15083.5932399336</v>
      </c>
      <c r="G1335" s="17" t="n">
        <f aca="false">B1335*2/27+G1334*25/27</f>
        <v>15060.1729566093</v>
      </c>
      <c r="H1335" s="17" t="n">
        <f aca="false">F1335-G1335</f>
        <v>23.4202833242725</v>
      </c>
      <c r="I1335" s="17" t="n">
        <f aca="false">H1335*2/10+I1334*8/10</f>
        <v>-63.8569959230817</v>
      </c>
      <c r="J1335" s="17" t="n">
        <f aca="false">H1335-I1335</f>
        <v>87.2772792473542</v>
      </c>
      <c r="K1335" s="17" t="n">
        <f aca="false">MAX(B1335-B1334,0)</f>
        <v>0</v>
      </c>
      <c r="L1335" s="17" t="n">
        <f aca="false">MAX(B1334-B1335,0)</f>
        <v>22.0100000000002</v>
      </c>
      <c r="M1335" s="17" t="n">
        <f aca="false">(M1334*13+K1335)/14</f>
        <v>71.6860328974862</v>
      </c>
      <c r="N1335" s="17" t="n">
        <f aca="false">(N1334*13+L1335)/14</f>
        <v>46.489077273806</v>
      </c>
      <c r="O1335" s="17" t="n">
        <f aca="false">IF(N1335=0,100,100-100/(1+M1335/N1335))</f>
        <v>60.6608555672839</v>
      </c>
      <c r="P1335" s="17" t="n">
        <f aca="false">AVERAGE(B1316:B1335)+2*STDEV(B1316:B1335)</f>
        <v>15529.2742754246</v>
      </c>
      <c r="Q1335" s="17" t="n">
        <f aca="false">AVERAGE(B1316:B1335)-2*STDEV(B1316:B1335)</f>
        <v>14364.4017245754</v>
      </c>
      <c r="R1335" s="19" t="n">
        <f aca="false">B1335/B1315-1</f>
        <v>0.013982134232442</v>
      </c>
      <c r="S1335" s="17" t="n">
        <f aca="false">STDEV(C1316:C1335)*SQRT(252)*100</f>
        <v>18.227976196858</v>
      </c>
      <c r="T1335" s="19" t="n">
        <f aca="false">B1314/B1084-1</f>
        <v>0.288237749852769</v>
      </c>
      <c r="U1335" s="19" t="n">
        <f aca="false">B1335/MAX(B1084:B1335)-1</f>
        <v>-0.0183117118404468</v>
      </c>
      <c r="V1335" s="17" t="n">
        <f aca="false">(B1335-AVERAGE(B1316:B1335))/STDEV(B1316:B1335)</f>
        <v>1.51732307428085</v>
      </c>
    </row>
    <row r="1336" customFormat="false" ht="15" hidden="false" customHeight="false" outlineLevel="0" collapsed="false">
      <c r="A1336" s="17" t="s">
        <v>1900</v>
      </c>
      <c r="B1336" s="17" t="n">
        <v>15489.59</v>
      </c>
      <c r="C1336" s="19" t="n">
        <f aca="false">B1336/B1335-1</f>
        <v>0.0065554552655811</v>
      </c>
      <c r="D1336" s="17" t="n">
        <f aca="false">AVERAGE(B1287:B1336)</f>
        <v>15183.448</v>
      </c>
      <c r="E1336" s="17" t="n">
        <f aca="false">AVERAGE(B1137:B1336)</f>
        <v>14117.2134</v>
      </c>
      <c r="F1336" s="17" t="n">
        <f aca="false">B1336*2/13+F1335*11/13</f>
        <v>15146.0542799438</v>
      </c>
      <c r="G1336" s="17" t="n">
        <f aca="false">B1336*2/27+G1335*25/27</f>
        <v>15091.9816264901</v>
      </c>
      <c r="H1336" s="17" t="n">
        <f aca="false">F1336-G1336</f>
        <v>54.0726534537007</v>
      </c>
      <c r="I1336" s="17" t="n">
        <f aca="false">H1336*2/10+I1335*8/10</f>
        <v>-40.2710660477252</v>
      </c>
      <c r="J1336" s="17" t="n">
        <f aca="false">H1336-I1336</f>
        <v>94.3437195014259</v>
      </c>
      <c r="K1336" s="17" t="n">
        <f aca="false">MAX(B1336-B1335,0)</f>
        <v>100.880000000001</v>
      </c>
      <c r="L1336" s="17" t="n">
        <f aca="false">MAX(B1335-B1336,0)</f>
        <v>0</v>
      </c>
      <c r="M1336" s="17" t="n">
        <f aca="false">(M1335*13+K1336)/14</f>
        <v>73.7713162619516</v>
      </c>
      <c r="N1336" s="17" t="n">
        <f aca="false">(N1335*13+L1336)/14</f>
        <v>43.1684288971055</v>
      </c>
      <c r="O1336" s="17" t="n">
        <f aca="false">IF(N1336=0,100,100-100/(1+M1336/N1336))</f>
        <v>63.0848956970195</v>
      </c>
      <c r="P1336" s="17" t="n">
        <f aca="false">AVERAGE(B1317:B1336)+2*STDEV(B1317:B1336)</f>
        <v>15565.5318176777</v>
      </c>
      <c r="Q1336" s="17" t="n">
        <f aca="false">AVERAGE(B1317:B1336)-2*STDEV(B1317:B1336)</f>
        <v>14345.4451823223</v>
      </c>
      <c r="R1336" s="19" t="n">
        <f aca="false">B1336/B1316-1</f>
        <v>0.0112956025431266</v>
      </c>
      <c r="S1336" s="17" t="n">
        <f aca="false">STDEV(C1317:C1336)*SQRT(252)*100</f>
        <v>18.0873145354993</v>
      </c>
      <c r="T1336" s="19" t="n">
        <f aca="false">B1315/B1085-1</f>
        <v>0.301262720881838</v>
      </c>
      <c r="U1336" s="19" t="n">
        <f aca="false">B1336/MAX(B1085:B1336)-1</f>
        <v>-0.0118762981826719</v>
      </c>
      <c r="V1336" s="17" t="n">
        <f aca="false">(B1336-AVERAGE(B1317:B1336))/STDEV(B1317:B1336)</f>
        <v>1.7510281139813</v>
      </c>
    </row>
    <row r="1337" customFormat="false" ht="15" hidden="false" customHeight="false" outlineLevel="0" collapsed="false">
      <c r="A1337" s="17" t="s">
        <v>1901</v>
      </c>
      <c r="B1337" s="17" t="n">
        <v>15355.07</v>
      </c>
      <c r="C1337" s="19" t="n">
        <f aca="false">B1337/B1336-1</f>
        <v>-0.00868454232810556</v>
      </c>
      <c r="D1337" s="17" t="n">
        <f aca="false">AVERAGE(B1288:B1337)</f>
        <v>15188.7698</v>
      </c>
      <c r="E1337" s="17" t="n">
        <f aca="false">AVERAGE(B1138:B1337)</f>
        <v>14129.2909</v>
      </c>
      <c r="F1337" s="17" t="n">
        <f aca="false">B1337*2/13+F1336*11/13</f>
        <v>15178.2105445678</v>
      </c>
      <c r="G1337" s="17" t="n">
        <f aca="false">B1337*2/27+G1336*25/27</f>
        <v>15111.4696541575</v>
      </c>
      <c r="H1337" s="17" t="n">
        <f aca="false">F1337-G1337</f>
        <v>66.7408904103322</v>
      </c>
      <c r="I1337" s="17" t="n">
        <f aca="false">H1337*2/10+I1336*8/10</f>
        <v>-18.8686747561137</v>
      </c>
      <c r="J1337" s="17" t="n">
        <f aca="false">H1337-I1337</f>
        <v>85.609565166446</v>
      </c>
      <c r="K1337" s="17" t="n">
        <f aca="false">MAX(B1337-B1336,0)</f>
        <v>0</v>
      </c>
      <c r="L1337" s="17" t="n">
        <f aca="false">MAX(B1336-B1337,0)</f>
        <v>134.52</v>
      </c>
      <c r="M1337" s="17" t="n">
        <f aca="false">(M1336*13+K1337)/14</f>
        <v>68.501936528955</v>
      </c>
      <c r="N1337" s="17" t="n">
        <f aca="false">(N1336*13+L1337)/14</f>
        <v>49.6935411187409</v>
      </c>
      <c r="O1337" s="17" t="n">
        <f aca="false">IF(N1337=0,100,100-100/(1+M1337/N1337))</f>
        <v>57.9564784476256</v>
      </c>
      <c r="P1337" s="17" t="n">
        <f aca="false">AVERAGE(B1318:B1337)+2*STDEV(B1318:B1337)</f>
        <v>15570.1763596381</v>
      </c>
      <c r="Q1337" s="17" t="n">
        <f aca="false">AVERAGE(B1318:B1337)-2*STDEV(B1318:B1337)</f>
        <v>14343.3396403619</v>
      </c>
      <c r="R1337" s="19" t="n">
        <f aca="false">B1337/B1317-1</f>
        <v>0.001656264188163</v>
      </c>
      <c r="S1337" s="17" t="n">
        <f aca="false">STDEV(C1318:C1337)*SQRT(252)*100</f>
        <v>18.3856554511957</v>
      </c>
      <c r="T1337" s="19" t="n">
        <f aca="false">B1316/B1086-1</f>
        <v>0.3099412703965</v>
      </c>
      <c r="U1337" s="19" t="n">
        <f aca="false">B1337/MAX(B1086:B1337)-1</f>
        <v>-0.0204577002965087</v>
      </c>
      <c r="V1337" s="17" t="n">
        <f aca="false">(B1337-AVERAGE(B1318:B1337))/STDEV(B1318:B1337)</f>
        <v>1.29866344474925</v>
      </c>
    </row>
    <row r="1338" customFormat="false" ht="15" hidden="false" customHeight="false" outlineLevel="0" collapsed="false">
      <c r="A1338" s="17" t="s">
        <v>1902</v>
      </c>
      <c r="B1338" s="17" t="n">
        <v>15514.19</v>
      </c>
      <c r="C1338" s="19" t="n">
        <f aca="false">B1338/B1337-1</f>
        <v>0.01036270104923</v>
      </c>
      <c r="D1338" s="17" t="n">
        <f aca="false">AVERAGE(B1289:B1338)</f>
        <v>15196.32</v>
      </c>
      <c r="E1338" s="17" t="n">
        <f aca="false">AVERAGE(B1139:B1338)</f>
        <v>14141.33585</v>
      </c>
      <c r="F1338" s="17" t="n">
        <f aca="false">B1338*2/13+F1337*11/13</f>
        <v>15229.8996915574</v>
      </c>
      <c r="G1338" s="17" t="n">
        <f aca="false">B1338*2/27+G1337*25/27</f>
        <v>15141.3007908866</v>
      </c>
      <c r="H1338" s="17" t="n">
        <f aca="false">F1338-G1338</f>
        <v>88.5989006708205</v>
      </c>
      <c r="I1338" s="17" t="n">
        <f aca="false">H1338*2/10+I1337*8/10</f>
        <v>2.62484032927312</v>
      </c>
      <c r="J1338" s="17" t="n">
        <f aca="false">H1338-I1338</f>
        <v>85.9740603415474</v>
      </c>
      <c r="K1338" s="17" t="n">
        <f aca="false">MAX(B1338-B1337,0)</f>
        <v>159.120000000001</v>
      </c>
      <c r="L1338" s="17" t="n">
        <f aca="false">MAX(B1337-B1338,0)</f>
        <v>0</v>
      </c>
      <c r="M1338" s="17" t="n">
        <f aca="false">(M1337*13+K1338)/14</f>
        <v>74.9746553483154</v>
      </c>
      <c r="N1338" s="17" t="n">
        <f aca="false">(N1337*13+L1338)/14</f>
        <v>46.1440024674022</v>
      </c>
      <c r="O1338" s="17" t="n">
        <f aca="false">IF(N1338=0,100,100-100/(1+M1338/N1338))</f>
        <v>61.901821486818</v>
      </c>
      <c r="P1338" s="17" t="n">
        <f aca="false">AVERAGE(B1319:B1338)+2*STDEV(B1319:B1338)</f>
        <v>15626.2424482451</v>
      </c>
      <c r="Q1338" s="17" t="n">
        <f aca="false">AVERAGE(B1319:B1338)-2*STDEV(B1319:B1338)</f>
        <v>14318.2105517549</v>
      </c>
      <c r="R1338" s="19" t="n">
        <f aca="false">B1338/B1318-1</f>
        <v>0.0203468373844611</v>
      </c>
      <c r="S1338" s="17" t="n">
        <f aca="false">STDEV(C1319:C1338)*SQRT(252)*100</f>
        <v>18.4521988674242</v>
      </c>
      <c r="T1338" s="19" t="n">
        <f aca="false">B1317/B1087-1</f>
        <v>0.332491924912991</v>
      </c>
      <c r="U1338" s="19" t="n">
        <f aca="false">B1338/MAX(B1087:B1338)-1</f>
        <v>-0.0103069962796062</v>
      </c>
      <c r="V1338" s="17" t="n">
        <f aca="false">(B1338-AVERAGE(B1319:B1338))/STDEV(B1319:B1338)</f>
        <v>1.65734031854797</v>
      </c>
    </row>
    <row r="1339" customFormat="false" ht="15" hidden="false" customHeight="false" outlineLevel="0" collapsed="false">
      <c r="A1339" s="17" t="s">
        <v>1903</v>
      </c>
      <c r="B1339" s="17" t="n">
        <v>15559.49</v>
      </c>
      <c r="C1339" s="19" t="n">
        <f aca="false">B1339/B1338-1</f>
        <v>0.00291990751692484</v>
      </c>
      <c r="D1339" s="17" t="n">
        <f aca="false">AVERAGE(B1290:B1339)</f>
        <v>15204.6944</v>
      </c>
      <c r="E1339" s="17" t="n">
        <f aca="false">AVERAGE(B1140:B1339)</f>
        <v>14154.62085</v>
      </c>
      <c r="F1339" s="17" t="n">
        <f aca="false">B1339*2/13+F1338*11/13</f>
        <v>15280.6058928563</v>
      </c>
      <c r="G1339" s="17" t="n">
        <f aca="false">B1339*2/27+G1338*25/27</f>
        <v>15172.2777693394</v>
      </c>
      <c r="H1339" s="17" t="n">
        <f aca="false">F1339-G1339</f>
        <v>108.328123516838</v>
      </c>
      <c r="I1339" s="17" t="n">
        <f aca="false">H1339*2/10+I1338*8/10</f>
        <v>23.7654969667861</v>
      </c>
      <c r="J1339" s="17" t="n">
        <f aca="false">H1339-I1339</f>
        <v>84.5626265500518</v>
      </c>
      <c r="K1339" s="17" t="n">
        <f aca="false">MAX(B1339-B1338,0)</f>
        <v>45.2999999999993</v>
      </c>
      <c r="L1339" s="17" t="n">
        <f aca="false">MAX(B1338-B1339,0)</f>
        <v>0</v>
      </c>
      <c r="M1339" s="17" t="n">
        <f aca="false">(M1338*13+K1339)/14</f>
        <v>72.85503710915</v>
      </c>
      <c r="N1339" s="17" t="n">
        <f aca="false">(N1338*13+L1339)/14</f>
        <v>42.8480022911592</v>
      </c>
      <c r="O1339" s="17" t="n">
        <f aca="false">IF(N1339=0,100,100-100/(1+M1339/N1339))</f>
        <v>62.9672629921901</v>
      </c>
      <c r="P1339" s="17" t="n">
        <f aca="false">AVERAGE(B1320:B1339)+2*STDEV(B1320:B1339)</f>
        <v>15708.2509781728</v>
      </c>
      <c r="Q1339" s="17" t="n">
        <f aca="false">AVERAGE(B1320:B1339)-2*STDEV(B1320:B1339)</f>
        <v>14315.1210218272</v>
      </c>
      <c r="R1339" s="19" t="n">
        <f aca="false">B1339/B1319-1</f>
        <v>0.0534308714108718</v>
      </c>
      <c r="S1339" s="17" t="n">
        <f aca="false">STDEV(C1320:C1339)*SQRT(252)*100</f>
        <v>14.7566136574541</v>
      </c>
      <c r="T1339" s="19" t="n">
        <f aca="false">B1318/B1088-1</f>
        <v>0.310879001978627</v>
      </c>
      <c r="U1339" s="19" t="n">
        <f aca="false">B1339/MAX(B1088:B1339)-1</f>
        <v>-0.00741718423859517</v>
      </c>
      <c r="V1339" s="17" t="n">
        <f aca="false">(B1339-AVERAGE(B1320:B1339))/STDEV(B1320:B1339)</f>
        <v>1.5728726455269</v>
      </c>
    </row>
    <row r="1340" customFormat="false" ht="15" hidden="false" customHeight="false" outlineLevel="0" collapsed="false">
      <c r="A1340" s="17" t="s">
        <v>1904</v>
      </c>
      <c r="B1340" s="17" t="n">
        <v>15598.39</v>
      </c>
      <c r="C1340" s="19" t="n">
        <f aca="false">B1340/B1339-1</f>
        <v>0.00250008194355988</v>
      </c>
      <c r="D1340" s="17" t="n">
        <f aca="false">AVERAGE(B1291:B1340)</f>
        <v>15216.6056</v>
      </c>
      <c r="E1340" s="17" t="n">
        <f aca="false">AVERAGE(B1141:B1340)</f>
        <v>14168.15235</v>
      </c>
      <c r="F1340" s="17" t="n">
        <f aca="false">B1340*2/13+F1339*11/13</f>
        <v>15329.4957554938</v>
      </c>
      <c r="G1340" s="17" t="n">
        <f aca="false">B1340*2/27+G1339*25/27</f>
        <v>15203.8416382772</v>
      </c>
      <c r="H1340" s="17" t="n">
        <f aca="false">F1340-G1340</f>
        <v>125.654117216516</v>
      </c>
      <c r="I1340" s="17" t="n">
        <f aca="false">H1340*2/10+I1339*8/10</f>
        <v>44.1432210167321</v>
      </c>
      <c r="J1340" s="17" t="n">
        <f aca="false">H1340-I1340</f>
        <v>81.5108961997841</v>
      </c>
      <c r="K1340" s="17" t="n">
        <f aca="false">MAX(B1340-B1339,0)</f>
        <v>38.8999999999996</v>
      </c>
      <c r="L1340" s="17" t="n">
        <f aca="false">MAX(B1339-B1340,0)</f>
        <v>0</v>
      </c>
      <c r="M1340" s="17" t="n">
        <f aca="false">(M1339*13+K1340)/14</f>
        <v>70.4296773156393</v>
      </c>
      <c r="N1340" s="17" t="n">
        <f aca="false">(N1339*13+L1340)/14</f>
        <v>39.7874306989336</v>
      </c>
      <c r="O1340" s="17" t="n">
        <f aca="false">IF(N1340=0,100,100-100/(1+M1340/N1340))</f>
        <v>63.9008576656966</v>
      </c>
      <c r="P1340" s="17" t="n">
        <f aca="false">AVERAGE(B1321:B1340)+2*STDEV(B1321:B1340)</f>
        <v>15786.11224313</v>
      </c>
      <c r="Q1340" s="17" t="n">
        <f aca="false">AVERAGE(B1321:B1340)-2*STDEV(B1321:B1340)</f>
        <v>14321.80975687</v>
      </c>
      <c r="R1340" s="19" t="n">
        <f aca="false">B1340/B1320-1</f>
        <v>0.0573108048660296</v>
      </c>
      <c r="S1340" s="17" t="n">
        <f aca="false">STDEV(C1321:C1340)*SQRT(252)*100</f>
        <v>14.687730545742</v>
      </c>
      <c r="T1340" s="19" t="n">
        <f aca="false">B1319/B1089-1</f>
        <v>0.325551299677997</v>
      </c>
      <c r="U1340" s="19" t="n">
        <f aca="false">B1340/MAX(B1089:B1340)-1</f>
        <v>-0.00493564586342232</v>
      </c>
      <c r="V1340" s="17" t="n">
        <f aca="false">(B1340-AVERAGE(B1321:B1340))/STDEV(B1321:B1340)</f>
        <v>1.48720364844976</v>
      </c>
    </row>
    <row r="1341" customFormat="false" ht="15" hidden="false" customHeight="false" outlineLevel="0" collapsed="false">
      <c r="A1341" s="17" t="s">
        <v>1905</v>
      </c>
      <c r="B1341" s="17" t="n">
        <v>15778.16</v>
      </c>
      <c r="C1341" s="19" t="n">
        <f aca="false">B1341/B1340-1</f>
        <v>0.0115249073782615</v>
      </c>
      <c r="D1341" s="17" t="n">
        <f aca="false">AVERAGE(B1292:B1341)</f>
        <v>15235.0104</v>
      </c>
      <c r="E1341" s="17" t="n">
        <f aca="false">AVERAGE(B1142:B1341)</f>
        <v>14182.175</v>
      </c>
      <c r="F1341" s="17" t="n">
        <f aca="false">B1341*2/13+F1340*11/13</f>
        <v>15398.5210238793</v>
      </c>
      <c r="G1341" s="17" t="n">
        <f aca="false">B1341*2/27+G1340*25/27</f>
        <v>15246.3837391456</v>
      </c>
      <c r="H1341" s="17" t="n">
        <f aca="false">F1341-G1341</f>
        <v>152.137284733739</v>
      </c>
      <c r="I1341" s="17" t="n">
        <f aca="false">H1341*2/10+I1340*8/10</f>
        <v>65.7420337601335</v>
      </c>
      <c r="J1341" s="17" t="n">
        <f aca="false">H1341-I1341</f>
        <v>86.3952509736054</v>
      </c>
      <c r="K1341" s="17" t="n">
        <f aca="false">MAX(B1341-B1340,0)</f>
        <v>179.77</v>
      </c>
      <c r="L1341" s="17" t="n">
        <f aca="false">MAX(B1340-B1341,0)</f>
        <v>0</v>
      </c>
      <c r="M1341" s="17" t="n">
        <f aca="false">(M1340*13+K1341)/14</f>
        <v>78.2397003645222</v>
      </c>
      <c r="N1341" s="17" t="n">
        <f aca="false">(N1340*13+L1341)/14</f>
        <v>36.9454713632955</v>
      </c>
      <c r="O1341" s="17" t="n">
        <f aca="false">IF(N1341=0,100,100-100/(1+M1341/N1341))</f>
        <v>67.9251497314277</v>
      </c>
      <c r="P1341" s="17" t="n">
        <f aca="false">AVERAGE(B1322:B1341)+2*STDEV(B1322:B1341)</f>
        <v>15886.8736709116</v>
      </c>
      <c r="Q1341" s="17" t="n">
        <f aca="false">AVERAGE(B1322:B1341)-2*STDEV(B1322:B1341)</f>
        <v>14329.9023290884</v>
      </c>
      <c r="R1341" s="19" t="n">
        <f aca="false">B1341/B1321-1</f>
        <v>0.0741026656918287</v>
      </c>
      <c r="S1341" s="17" t="n">
        <f aca="false">STDEV(C1322:C1341)*SQRT(252)*100</f>
        <v>14.7435618485998</v>
      </c>
      <c r="T1341" s="19" t="n">
        <f aca="false">B1320/B1090-1</f>
        <v>0.299729356852505</v>
      </c>
      <c r="U1341" s="19" t="n">
        <f aca="false">B1341/MAX(B1090:B1341)-1</f>
        <v>0</v>
      </c>
      <c r="V1341" s="17" t="n">
        <f aca="false">(B1341-AVERAGE(B1322:B1341))/STDEV(B1322:B1341)</f>
        <v>1.72070476060445</v>
      </c>
    </row>
    <row r="1342" customFormat="false" ht="15" hidden="false" customHeight="false" outlineLevel="0" collapsed="false">
      <c r="A1342" s="17" t="s">
        <v>1906</v>
      </c>
      <c r="B1342" s="17" t="n">
        <v>15850.47</v>
      </c>
      <c r="C1342" s="19" t="n">
        <f aca="false">B1342/B1341-1</f>
        <v>0.00458291714623238</v>
      </c>
      <c r="D1342" s="17" t="n">
        <f aca="false">AVERAGE(B1293:B1342)</f>
        <v>15253.341</v>
      </c>
      <c r="E1342" s="17" t="n">
        <f aca="false">AVERAGE(B1143:B1342)</f>
        <v>14196.9339</v>
      </c>
      <c r="F1342" s="17" t="n">
        <f aca="false">B1342*2/13+F1341*11/13</f>
        <v>15468.0516355902</v>
      </c>
      <c r="G1342" s="17" t="n">
        <f aca="false">B1342*2/27+G1341*25/27</f>
        <v>15291.1308695793</v>
      </c>
      <c r="H1342" s="17" t="n">
        <f aca="false">F1342-G1342</f>
        <v>176.920766010953</v>
      </c>
      <c r="I1342" s="17" t="n">
        <f aca="false">H1342*2/10+I1341*8/10</f>
        <v>87.9777802102974</v>
      </c>
      <c r="J1342" s="17" t="n">
        <f aca="false">H1342-I1342</f>
        <v>88.9429858006558</v>
      </c>
      <c r="K1342" s="17" t="n">
        <f aca="false">MAX(B1342-B1341,0)</f>
        <v>72.3099999999995</v>
      </c>
      <c r="L1342" s="17" t="n">
        <f aca="false">MAX(B1341-B1342,0)</f>
        <v>0</v>
      </c>
      <c r="M1342" s="17" t="n">
        <f aca="false">(M1341*13+K1342)/14</f>
        <v>77.8161503384849</v>
      </c>
      <c r="N1342" s="17" t="n">
        <f aca="false">(N1341*13+L1342)/14</f>
        <v>34.3065091230601</v>
      </c>
      <c r="O1342" s="17" t="n">
        <f aca="false">IF(N1342=0,100,100-100/(1+M1342/N1342))</f>
        <v>69.4026976457633</v>
      </c>
      <c r="P1342" s="17" t="n">
        <f aca="false">AVERAGE(B1323:B1342)+2*STDEV(B1323:B1342)</f>
        <v>15991.4302392747</v>
      </c>
      <c r="Q1342" s="17" t="n">
        <f aca="false">AVERAGE(B1323:B1342)-2*STDEV(B1323:B1342)</f>
        <v>14331.2057607253</v>
      </c>
      <c r="R1342" s="19" t="n">
        <f aca="false">B1342/B1322-1</f>
        <v>0.0715663401584787</v>
      </c>
      <c r="S1342" s="17" t="n">
        <f aca="false">STDEV(C1323:C1342)*SQRT(252)*100</f>
        <v>14.69622385985</v>
      </c>
      <c r="T1342" s="19" t="n">
        <f aca="false">B1321/B1091-1</f>
        <v>0.329022568635523</v>
      </c>
      <c r="U1342" s="19" t="n">
        <f aca="false">B1342/MAX(B1091:B1342)-1</f>
        <v>0</v>
      </c>
      <c r="V1342" s="17" t="n">
        <f aca="false">(B1342-AVERAGE(B1323:B1342))/STDEV(B1323:B1342)</f>
        <v>1.66038269861465</v>
      </c>
    </row>
    <row r="1343" customFormat="false" ht="15" hidden="false" customHeight="false" outlineLevel="0" collapsed="false">
      <c r="A1343" s="17" t="s">
        <v>1907</v>
      </c>
      <c r="B1343" s="17" t="n">
        <v>15905.28</v>
      </c>
      <c r="C1343" s="19" t="n">
        <f aca="false">B1343/B1342-1</f>
        <v>0.0034579416257059</v>
      </c>
      <c r="D1343" s="17" t="n">
        <f aca="false">AVERAGE(B1294:B1343)</f>
        <v>15269.5952</v>
      </c>
      <c r="E1343" s="17" t="n">
        <f aca="false">AVERAGE(B1144:B1343)</f>
        <v>14212.44065</v>
      </c>
      <c r="F1343" s="17" t="n">
        <f aca="false">B1343*2/13+F1342*11/13</f>
        <v>15535.3175378071</v>
      </c>
      <c r="G1343" s="17" t="n">
        <f aca="false">B1343*2/27+G1342*25/27</f>
        <v>15336.6233977586</v>
      </c>
      <c r="H1343" s="17" t="n">
        <f aca="false">F1343-G1343</f>
        <v>198.69414004853</v>
      </c>
      <c r="I1343" s="17" t="n">
        <f aca="false">H1343*2/10+I1342*8/10</f>
        <v>110.121052177944</v>
      </c>
      <c r="J1343" s="17" t="n">
        <f aca="false">H1343-I1343</f>
        <v>88.5730878705863</v>
      </c>
      <c r="K1343" s="17" t="n">
        <f aca="false">MAX(B1343-B1342,0)</f>
        <v>54.8100000000013</v>
      </c>
      <c r="L1343" s="17" t="n">
        <f aca="false">MAX(B1342-B1343,0)</f>
        <v>0</v>
      </c>
      <c r="M1343" s="17" t="n">
        <f aca="false">(M1342*13+K1343)/14</f>
        <v>76.1728538857361</v>
      </c>
      <c r="N1343" s="17" t="n">
        <f aca="false">(N1342*13+L1343)/14</f>
        <v>31.8560441856986</v>
      </c>
      <c r="O1343" s="17" t="n">
        <f aca="false">IF(N1343=0,100,100-100/(1+M1343/N1343))</f>
        <v>70.511553154385</v>
      </c>
      <c r="P1343" s="17" t="n">
        <f aca="false">AVERAGE(B1324:B1343)+2*STDEV(B1324:B1343)</f>
        <v>16060.0123399996</v>
      </c>
      <c r="Q1343" s="17" t="n">
        <f aca="false">AVERAGE(B1324:B1343)-2*STDEV(B1324:B1343)</f>
        <v>14405.9396600004</v>
      </c>
      <c r="R1343" s="19" t="n">
        <f aca="false">B1343/B1323-1</f>
        <v>0.0990290296100365</v>
      </c>
      <c r="S1343" s="17" t="n">
        <f aca="false">STDEV(C1324:C1343)*SQRT(252)*100</f>
        <v>11.3190524077196</v>
      </c>
      <c r="T1343" s="19" t="n">
        <f aca="false">B1322/B1092-1</f>
        <v>0.334433041400987</v>
      </c>
      <c r="U1343" s="19" t="n">
        <f aca="false">B1343/MAX(B1092:B1343)-1</f>
        <v>0</v>
      </c>
      <c r="V1343" s="17" t="n">
        <f aca="false">(B1343-AVERAGE(B1324:B1343))/STDEV(B1324:B1343)</f>
        <v>1.62581489466422</v>
      </c>
    </row>
    <row r="1344" customFormat="false" ht="15" hidden="false" customHeight="false" outlineLevel="0" collapsed="false">
      <c r="A1344" s="17" t="s">
        <v>1908</v>
      </c>
      <c r="B1344" s="17" t="n">
        <v>15972.49</v>
      </c>
      <c r="C1344" s="19" t="n">
        <f aca="false">B1344/B1343-1</f>
        <v>0.00422564079349752</v>
      </c>
      <c r="D1344" s="17" t="n">
        <f aca="false">AVERAGE(B1295:B1344)</f>
        <v>15282.7886</v>
      </c>
      <c r="E1344" s="17" t="n">
        <f aca="false">AVERAGE(B1145:B1344)</f>
        <v>14227.3204</v>
      </c>
      <c r="F1344" s="17" t="n">
        <f aca="false">B1344*2/13+F1343*11/13</f>
        <v>15602.5748396829</v>
      </c>
      <c r="G1344" s="17" t="n">
        <f aca="false">B1344*2/27+G1343*25/27</f>
        <v>15383.7246275542</v>
      </c>
      <c r="H1344" s="17" t="n">
        <f aca="false">F1344-G1344</f>
        <v>218.850212128698</v>
      </c>
      <c r="I1344" s="17" t="n">
        <f aca="false">H1344*2/10+I1343*8/10</f>
        <v>131.866884168095</v>
      </c>
      <c r="J1344" s="17" t="n">
        <f aca="false">H1344-I1344</f>
        <v>86.9833279606035</v>
      </c>
      <c r="K1344" s="17" t="n">
        <f aca="false">MAX(B1344-B1343,0)</f>
        <v>67.2099999999991</v>
      </c>
      <c r="L1344" s="17" t="n">
        <f aca="false">MAX(B1343-B1344,0)</f>
        <v>0</v>
      </c>
      <c r="M1344" s="17" t="n">
        <f aca="false">(M1343*13+K1344)/14</f>
        <v>75.5326500367549</v>
      </c>
      <c r="N1344" s="17" t="n">
        <f aca="false">(N1343*13+L1344)/14</f>
        <v>29.5806124581487</v>
      </c>
      <c r="O1344" s="17" t="n">
        <f aca="false">IF(N1344=0,100,100-100/(1+M1344/N1344))</f>
        <v>71.858344269751</v>
      </c>
      <c r="P1344" s="17" t="n">
        <f aca="false">AVERAGE(B1325:B1344)+2*STDEV(B1325:B1344)</f>
        <v>16143.8441472295</v>
      </c>
      <c r="Q1344" s="17" t="n">
        <f aca="false">AVERAGE(B1325:B1344)-2*STDEV(B1325:B1344)</f>
        <v>14451.9418527705</v>
      </c>
      <c r="R1344" s="19" t="n">
        <f aca="false">B1344/B1324-1</f>
        <v>0.0884780379102026</v>
      </c>
      <c r="S1344" s="17" t="n">
        <f aca="false">STDEV(C1325:C1344)*SQRT(252)*100</f>
        <v>10.784053107654</v>
      </c>
      <c r="T1344" s="19" t="n">
        <f aca="false">B1323/B1093-1</f>
        <v>0.282999598401051</v>
      </c>
      <c r="U1344" s="19" t="n">
        <f aca="false">B1344/MAX(B1093:B1344)-1</f>
        <v>0</v>
      </c>
      <c r="V1344" s="17" t="n">
        <f aca="false">(B1344-AVERAGE(B1325:B1344))/STDEV(B1325:B1344)</f>
        <v>1.59488405969847</v>
      </c>
    </row>
    <row r="1345" customFormat="false" ht="15" hidden="false" customHeight="false" outlineLevel="0" collapsed="false">
      <c r="A1345" s="17" t="s">
        <v>1909</v>
      </c>
      <c r="B1345" s="17" t="n">
        <v>16144.5</v>
      </c>
      <c r="C1345" s="19" t="n">
        <f aca="false">B1345/B1344-1</f>
        <v>0.0107691411921373</v>
      </c>
      <c r="D1345" s="17" t="n">
        <f aca="false">AVERAGE(B1296:B1345)</f>
        <v>15298.525</v>
      </c>
      <c r="E1345" s="17" t="n">
        <f aca="false">AVERAGE(B1146:B1345)</f>
        <v>14241.56065</v>
      </c>
      <c r="F1345" s="17" t="n">
        <f aca="false">B1345*2/13+F1344*11/13</f>
        <v>15685.9479412702</v>
      </c>
      <c r="G1345" s="17" t="n">
        <f aca="false">B1345*2/27+G1344*25/27</f>
        <v>15440.0783588465</v>
      </c>
      <c r="H1345" s="17" t="n">
        <f aca="false">F1345-G1345</f>
        <v>245.869582423662</v>
      </c>
      <c r="I1345" s="17" t="n">
        <f aca="false">H1345*2/10+I1344*8/10</f>
        <v>154.667423819208</v>
      </c>
      <c r="J1345" s="17" t="n">
        <f aca="false">H1345-I1345</f>
        <v>91.2021586044537</v>
      </c>
      <c r="K1345" s="17" t="n">
        <f aca="false">MAX(B1345-B1344,0)</f>
        <v>172.01</v>
      </c>
      <c r="L1345" s="17" t="n">
        <f aca="false">MAX(B1344-B1345,0)</f>
        <v>0</v>
      </c>
      <c r="M1345" s="17" t="n">
        <f aca="false">(M1344*13+K1345)/14</f>
        <v>82.4238893198438</v>
      </c>
      <c r="N1345" s="17" t="n">
        <f aca="false">(N1344*13+L1345)/14</f>
        <v>27.467711568281</v>
      </c>
      <c r="O1345" s="17" t="n">
        <f aca="false">IF(N1345=0,100,100-100/(1+M1345/N1345))</f>
        <v>75.0047216108495</v>
      </c>
      <c r="P1345" s="17" t="n">
        <f aca="false">AVERAGE(B1326:B1345)+2*STDEV(B1326:B1345)</f>
        <v>16253.9972188514</v>
      </c>
      <c r="Q1345" s="17" t="n">
        <f aca="false">AVERAGE(B1326:B1345)-2*STDEV(B1326:B1345)</f>
        <v>14479.5637811486</v>
      </c>
      <c r="R1345" s="19" t="n">
        <f aca="false">B1345/B1325-1</f>
        <v>0.093300827873432</v>
      </c>
      <c r="S1345" s="17" t="n">
        <f aca="false">STDEV(C1326:C1345)*SQRT(252)*100</f>
        <v>11.0097293972109</v>
      </c>
      <c r="T1345" s="19" t="n">
        <f aca="false">B1324/B1094-1</f>
        <v>0.24599856330379</v>
      </c>
      <c r="U1345" s="19" t="n">
        <f aca="false">B1345/MAX(B1094:B1345)-1</f>
        <v>0</v>
      </c>
      <c r="V1345" s="17" t="n">
        <f aca="false">(B1345-AVERAGE(B1326:B1345))/STDEV(B1326:B1345)</f>
        <v>1.7531669173386</v>
      </c>
    </row>
    <row r="1346" customFormat="false" ht="15" hidden="false" customHeight="false" outlineLevel="0" collapsed="false">
      <c r="A1346" s="17" t="s">
        <v>1910</v>
      </c>
      <c r="B1346" s="17" t="n">
        <v>16346.24</v>
      </c>
      <c r="C1346" s="19" t="n">
        <f aca="false">B1346/B1345-1</f>
        <v>0.0124958964353186</v>
      </c>
      <c r="D1346" s="17" t="n">
        <f aca="false">AVERAGE(B1297:B1346)</f>
        <v>15318.0714</v>
      </c>
      <c r="E1346" s="17" t="n">
        <f aca="false">AVERAGE(B1147:B1346)</f>
        <v>14256.2669</v>
      </c>
      <c r="F1346" s="17" t="n">
        <f aca="false">B1346*2/13+F1345*11/13</f>
        <v>15787.5313349209</v>
      </c>
      <c r="G1346" s="17" t="n">
        <f aca="false">B1346*2/27+G1345*25/27</f>
        <v>15507.2014433764</v>
      </c>
      <c r="H1346" s="17" t="n">
        <f aca="false">F1346-G1346</f>
        <v>280.329891544516</v>
      </c>
      <c r="I1346" s="17" t="n">
        <f aca="false">H1346*2/10+I1345*8/10</f>
        <v>179.79991736427</v>
      </c>
      <c r="J1346" s="17" t="n">
        <f aca="false">H1346-I1346</f>
        <v>100.529974180246</v>
      </c>
      <c r="K1346" s="17" t="n">
        <f aca="false">MAX(B1346-B1345,0)</f>
        <v>201.74</v>
      </c>
      <c r="L1346" s="17" t="n">
        <f aca="false">MAX(B1345-B1346,0)</f>
        <v>0</v>
      </c>
      <c r="M1346" s="17" t="n">
        <f aca="false">(M1345*13+K1346)/14</f>
        <v>90.9464686541407</v>
      </c>
      <c r="N1346" s="17" t="n">
        <f aca="false">(N1345*13+L1346)/14</f>
        <v>25.5057321705466</v>
      </c>
      <c r="O1346" s="17" t="n">
        <f aca="false">IF(N1346=0,100,100-100/(1+M1346/N1346))</f>
        <v>78.0976812890431</v>
      </c>
      <c r="P1346" s="17" t="n">
        <f aca="false">AVERAGE(B1327:B1346)+2*STDEV(B1327:B1346)</f>
        <v>16398.7043269921</v>
      </c>
      <c r="Q1346" s="17" t="n">
        <f aca="false">AVERAGE(B1327:B1346)-2*STDEV(B1327:B1346)</f>
        <v>14479.7676730079</v>
      </c>
      <c r="R1346" s="19" t="n">
        <f aca="false">B1346/B1326-1</f>
        <v>0.0972744414528168</v>
      </c>
      <c r="S1346" s="17" t="n">
        <f aca="false">STDEV(C1327:C1346)*SQRT(252)*100</f>
        <v>11.2750084489121</v>
      </c>
      <c r="T1346" s="19" t="n">
        <f aca="false">B1325/B1095-1</f>
        <v>0.222608413430291</v>
      </c>
      <c r="U1346" s="19" t="n">
        <f aca="false">B1346/MAX(B1095:B1346)-1</f>
        <v>0</v>
      </c>
      <c r="V1346" s="17" t="n">
        <f aca="false">(B1346-AVERAGE(B1327:B1346))/STDEV(B1327:B1346)</f>
        <v>1.89063875165825</v>
      </c>
    </row>
    <row r="1347" customFormat="false" ht="15" hidden="false" customHeight="false" outlineLevel="0" collapsed="false">
      <c r="A1347" s="17" t="s">
        <v>1911</v>
      </c>
      <c r="B1347" s="17" t="n">
        <v>16359.38</v>
      </c>
      <c r="C1347" s="19" t="n">
        <f aca="false">B1347/B1346-1</f>
        <v>0.000803854586742814</v>
      </c>
      <c r="D1347" s="17" t="n">
        <f aca="false">AVERAGE(B1298:B1347)</f>
        <v>15339.6886</v>
      </c>
      <c r="E1347" s="17" t="n">
        <f aca="false">AVERAGE(B1148:B1347)</f>
        <v>14271.2318</v>
      </c>
      <c r="F1347" s="17" t="n">
        <f aca="false">B1347*2/13+F1346*11/13</f>
        <v>15875.5080526254</v>
      </c>
      <c r="G1347" s="17" t="n">
        <f aca="false">B1347*2/27+G1346*25/27</f>
        <v>15570.3257809041</v>
      </c>
      <c r="H1347" s="17" t="n">
        <f aca="false">F1347-G1347</f>
        <v>305.182271721314</v>
      </c>
      <c r="I1347" s="17" t="n">
        <f aca="false">H1347*2/10+I1346*8/10</f>
        <v>204.876388235679</v>
      </c>
      <c r="J1347" s="17" t="n">
        <f aca="false">H1347-I1347</f>
        <v>100.305883485636</v>
      </c>
      <c r="K1347" s="17" t="n">
        <f aca="false">MAX(B1347-B1346,0)</f>
        <v>13.1399999999994</v>
      </c>
      <c r="L1347" s="17" t="n">
        <f aca="false">MAX(B1346-B1347,0)</f>
        <v>0</v>
      </c>
      <c r="M1347" s="17" t="n">
        <f aca="false">(M1346*13+K1347)/14</f>
        <v>85.3888637502734</v>
      </c>
      <c r="N1347" s="17" t="n">
        <f aca="false">(N1346*13+L1347)/14</f>
        <v>23.6838941583647</v>
      </c>
      <c r="O1347" s="17" t="n">
        <f aca="false">IF(N1347=0,100,100-100/(1+M1347/N1347))</f>
        <v>78.2861508111834</v>
      </c>
      <c r="P1347" s="17" t="n">
        <f aca="false">AVERAGE(B1328:B1347)+2*STDEV(B1328:B1347)</f>
        <v>16512.8486684232</v>
      </c>
      <c r="Q1347" s="17" t="n">
        <f aca="false">AVERAGE(B1328:B1347)-2*STDEV(B1328:B1347)</f>
        <v>14519.4863315768</v>
      </c>
      <c r="R1347" s="19" t="n">
        <f aca="false">B1347/B1327-1</f>
        <v>0.103815933741545</v>
      </c>
      <c r="S1347" s="17" t="n">
        <f aca="false">STDEV(C1328:C1347)*SQRT(252)*100</f>
        <v>10.7765849730997</v>
      </c>
      <c r="T1347" s="19" t="n">
        <f aca="false">B1326/B1096-1</f>
        <v>0.232048530561104</v>
      </c>
      <c r="U1347" s="19" t="n">
        <f aca="false">B1347/MAX(B1096:B1347)-1</f>
        <v>0</v>
      </c>
      <c r="V1347" s="17" t="n">
        <f aca="false">(B1347-AVERAGE(B1328:B1347))/STDEV(B1328:B1347)</f>
        <v>1.69204059776506</v>
      </c>
    </row>
    <row r="1348" customFormat="false" ht="15" hidden="false" customHeight="false" outlineLevel="0" collapsed="false">
      <c r="A1348" s="17" t="s">
        <v>1912</v>
      </c>
      <c r="B1348" s="17" t="n">
        <v>16336.03</v>
      </c>
      <c r="C1348" s="19" t="n">
        <f aca="false">B1348/B1347-1</f>
        <v>-0.00142731570511834</v>
      </c>
      <c r="D1348" s="17" t="n">
        <f aca="false">AVERAGE(B1299:B1348)</f>
        <v>15357.7502</v>
      </c>
      <c r="E1348" s="17" t="n">
        <f aca="false">AVERAGE(B1149:B1348)</f>
        <v>14285.4955</v>
      </c>
      <c r="F1348" s="17" t="n">
        <f aca="false">B1348*2/13+F1347*11/13</f>
        <v>15946.3575829907</v>
      </c>
      <c r="G1348" s="17" t="n">
        <f aca="false">B1348*2/27+G1347*25/27</f>
        <v>15627.0446119482</v>
      </c>
      <c r="H1348" s="17" t="n">
        <f aca="false">F1348-G1348</f>
        <v>319.312971042498</v>
      </c>
      <c r="I1348" s="17" t="n">
        <f aca="false">H1348*2/10+I1347*8/10</f>
        <v>227.763704797043</v>
      </c>
      <c r="J1348" s="17" t="n">
        <f aca="false">H1348-I1348</f>
        <v>91.5492662454556</v>
      </c>
      <c r="K1348" s="17" t="n">
        <f aca="false">MAX(B1348-B1347,0)</f>
        <v>0</v>
      </c>
      <c r="L1348" s="17" t="n">
        <f aca="false">MAX(B1347-B1348,0)</f>
        <v>23.3499999999985</v>
      </c>
      <c r="M1348" s="17" t="n">
        <f aca="false">(M1347*13+K1348)/14</f>
        <v>79.2896591966825</v>
      </c>
      <c r="N1348" s="17" t="n">
        <f aca="false">(N1347*13+L1348)/14</f>
        <v>23.6600445756243</v>
      </c>
      <c r="O1348" s="17" t="n">
        <f aca="false">IF(N1348=0,100,100-100/(1+M1348/N1348))</f>
        <v>77.0178604613054</v>
      </c>
      <c r="P1348" s="17" t="n">
        <f aca="false">AVERAGE(B1329:B1348)+2*STDEV(B1329:B1348)</f>
        <v>16582.9908087891</v>
      </c>
      <c r="Q1348" s="17" t="n">
        <f aca="false">AVERAGE(B1329:B1348)-2*STDEV(B1329:B1348)</f>
        <v>14611.5741912109</v>
      </c>
      <c r="R1348" s="19" t="n">
        <f aca="false">B1348/B1328-1</f>
        <v>0.110257562154532</v>
      </c>
      <c r="S1348" s="17" t="n">
        <f aca="false">STDEV(C1329:C1348)*SQRT(252)*100</f>
        <v>10.0808960957442</v>
      </c>
      <c r="T1348" s="19" t="n">
        <f aca="false">B1327/B1097-1</f>
        <v>0.252769350799086</v>
      </c>
      <c r="U1348" s="19" t="n">
        <f aca="false">B1348/MAX(B1097:B1348)-1</f>
        <v>-0.00142731570511834</v>
      </c>
      <c r="V1348" s="17" t="n">
        <f aca="false">(B1348-AVERAGE(B1329:B1348))/STDEV(B1329:B1348)</f>
        <v>1.49891705976903</v>
      </c>
    </row>
    <row r="1349" customFormat="false" ht="15" hidden="false" customHeight="false" outlineLevel="0" collapsed="false">
      <c r="A1349" s="17" t="s">
        <v>1913</v>
      </c>
      <c r="B1349" s="17" t="n">
        <v>16219.94</v>
      </c>
      <c r="C1349" s="19" t="n">
        <f aca="false">B1349/B1348-1</f>
        <v>-0.00710637774293998</v>
      </c>
      <c r="D1349" s="17" t="n">
        <f aca="false">AVERAGE(B1300:B1349)</f>
        <v>15370.0472</v>
      </c>
      <c r="E1349" s="17" t="n">
        <f aca="false">AVERAGE(B1150:B1349)</f>
        <v>14299.14425</v>
      </c>
      <c r="F1349" s="17" t="n">
        <f aca="false">B1349*2/13+F1348*11/13</f>
        <v>15988.4471856075</v>
      </c>
      <c r="G1349" s="17" t="n">
        <f aca="false">B1349*2/27+G1348*25/27</f>
        <v>15670.9627888409</v>
      </c>
      <c r="H1349" s="17" t="n">
        <f aca="false">F1349-G1349</f>
        <v>317.484396766587</v>
      </c>
      <c r="I1349" s="17" t="n">
        <f aca="false">H1349*2/10+I1348*8/10</f>
        <v>245.707843190952</v>
      </c>
      <c r="J1349" s="17" t="n">
        <f aca="false">H1349-I1349</f>
        <v>71.7765535756359</v>
      </c>
      <c r="K1349" s="17" t="n">
        <f aca="false">MAX(B1349-B1348,0)</f>
        <v>0</v>
      </c>
      <c r="L1349" s="17" t="n">
        <f aca="false">MAX(B1348-B1349,0)</f>
        <v>116.09</v>
      </c>
      <c r="M1349" s="17" t="n">
        <f aca="false">(M1348*13+K1349)/14</f>
        <v>73.6261121112051</v>
      </c>
      <c r="N1349" s="17" t="n">
        <f aca="false">(N1348*13+L1349)/14</f>
        <v>30.262184248794</v>
      </c>
      <c r="O1349" s="17" t="n">
        <f aca="false">IF(N1349=0,100,100-100/(1+M1349/N1349))</f>
        <v>70.8704586473072</v>
      </c>
      <c r="P1349" s="17" t="n">
        <f aca="false">AVERAGE(B1330:B1349)+2*STDEV(B1330:B1349)</f>
        <v>16593.6409348751</v>
      </c>
      <c r="Q1349" s="17" t="n">
        <f aca="false">AVERAGE(B1330:B1349)-2*STDEV(B1330:B1349)</f>
        <v>14756.7070651249</v>
      </c>
      <c r="R1349" s="19" t="n">
        <f aca="false">B1349/B1329-1</f>
        <v>0.106248691354791</v>
      </c>
      <c r="S1349" s="17" t="n">
        <f aca="false">STDEV(C1330:C1349)*SQRT(252)*100</f>
        <v>10.5653566725134</v>
      </c>
      <c r="T1349" s="19" t="n">
        <f aca="false">B1328/B1098-1</f>
        <v>0.265774511819646</v>
      </c>
      <c r="U1349" s="19" t="n">
        <f aca="false">B1349/MAX(B1098:B1349)-1</f>
        <v>-0.00852355040349928</v>
      </c>
      <c r="V1349" s="17" t="n">
        <f aca="false">(B1349-AVERAGE(B1330:B1349))/STDEV(B1330:B1349)</f>
        <v>1.18625065163408</v>
      </c>
    </row>
    <row r="1350" customFormat="false" ht="15" hidden="false" customHeight="false" outlineLevel="0" collapsed="false">
      <c r="A1350" s="17" t="s">
        <v>1914</v>
      </c>
      <c r="B1350" s="17" t="n">
        <v>15985.57</v>
      </c>
      <c r="C1350" s="19" t="n">
        <f aca="false">B1350/B1349-1</f>
        <v>-0.0144494985801428</v>
      </c>
      <c r="D1350" s="17" t="n">
        <f aca="false">AVERAGE(B1301:B1350)</f>
        <v>15378.1084</v>
      </c>
      <c r="E1350" s="17" t="n">
        <f aca="false">AVERAGE(B1151:B1350)</f>
        <v>14313.50885</v>
      </c>
      <c r="F1350" s="17" t="n">
        <f aca="false">B1350*2/13+F1349*11/13</f>
        <v>15988.0045416679</v>
      </c>
      <c r="G1350" s="17" t="n">
        <f aca="false">B1350*2/27+G1349*25/27</f>
        <v>15694.2670267046</v>
      </c>
      <c r="H1350" s="17" t="n">
        <f aca="false">F1350-G1350</f>
        <v>293.737514963335</v>
      </c>
      <c r="I1350" s="17" t="n">
        <f aca="false">H1350*2/10+I1349*8/10</f>
        <v>255.313777545428</v>
      </c>
      <c r="J1350" s="17" t="n">
        <f aca="false">H1350-I1350</f>
        <v>38.423737417907</v>
      </c>
      <c r="K1350" s="17" t="n">
        <f aca="false">MAX(B1350-B1349,0)</f>
        <v>0</v>
      </c>
      <c r="L1350" s="17" t="n">
        <f aca="false">MAX(B1349-B1350,0)</f>
        <v>234.370000000001</v>
      </c>
      <c r="M1350" s="17" t="n">
        <f aca="false">(M1349*13+K1350)/14</f>
        <v>68.3671041032619</v>
      </c>
      <c r="N1350" s="17" t="n">
        <f aca="false">(N1349*13+L1350)/14</f>
        <v>44.8413139453087</v>
      </c>
      <c r="O1350" s="17" t="n">
        <f aca="false">IF(N1350=0,100,100-100/(1+M1350/N1350))</f>
        <v>60.3904773882892</v>
      </c>
      <c r="P1350" s="17" t="n">
        <f aca="false">AVERAGE(B1331:B1350)+2*STDEV(B1331:B1350)</f>
        <v>16558.9385175639</v>
      </c>
      <c r="Q1350" s="17" t="n">
        <f aca="false">AVERAGE(B1331:B1350)-2*STDEV(B1331:B1350)</f>
        <v>14912.5064824362</v>
      </c>
      <c r="R1350" s="19" t="n">
        <f aca="false">B1350/B1330-1</f>
        <v>0.081962963464324</v>
      </c>
      <c r="S1350" s="17" t="n">
        <f aca="false">STDEV(C1331:C1350)*SQRT(252)*100</f>
        <v>12.5734080636887</v>
      </c>
      <c r="T1350" s="19" t="n">
        <f aca="false">B1329/B1099-1</f>
        <v>0.232842537541212</v>
      </c>
      <c r="U1350" s="19" t="n">
        <f aca="false">B1350/MAX(B1099:B1350)-1</f>
        <v>-0.022849887954189</v>
      </c>
      <c r="V1350" s="17" t="n">
        <f aca="false">(B1350-AVERAGE(B1331:B1350))/STDEV(B1331:B1350)</f>
        <v>0.607003495241445</v>
      </c>
    </row>
    <row r="1351" customFormat="false" ht="15" hidden="false" customHeight="false" outlineLevel="0" collapsed="false">
      <c r="A1351" s="17" t="s">
        <v>1915</v>
      </c>
      <c r="B1351" s="17" t="n">
        <v>16032.47</v>
      </c>
      <c r="C1351" s="19" t="n">
        <f aca="false">B1351/B1350-1</f>
        <v>0.00293389600746163</v>
      </c>
      <c r="D1351" s="17" t="n">
        <f aca="false">AVERAGE(B1302:B1351)</f>
        <v>15386.5264</v>
      </c>
      <c r="E1351" s="17" t="n">
        <f aca="false">AVERAGE(B1152:B1351)</f>
        <v>14327.66355</v>
      </c>
      <c r="F1351" s="17" t="n">
        <f aca="false">B1351*2/13+F1350*11/13</f>
        <v>15994.8453814113</v>
      </c>
      <c r="G1351" s="17" t="n">
        <f aca="false">B1351*2/27+G1350*25/27</f>
        <v>15719.3190988005</v>
      </c>
      <c r="H1351" s="17" t="n">
        <f aca="false">F1351-G1351</f>
        <v>275.526282610776</v>
      </c>
      <c r="I1351" s="17" t="n">
        <f aca="false">H1351*2/10+I1350*8/10</f>
        <v>259.356278558498</v>
      </c>
      <c r="J1351" s="17" t="n">
        <f aca="false">H1351-I1351</f>
        <v>16.1700040522777</v>
      </c>
      <c r="K1351" s="17" t="n">
        <f aca="false">MAX(B1351-B1350,0)</f>
        <v>46.8999999999996</v>
      </c>
      <c r="L1351" s="17" t="n">
        <f aca="false">MAX(B1350-B1351,0)</f>
        <v>0</v>
      </c>
      <c r="M1351" s="17" t="n">
        <f aca="false">(M1350*13+K1351)/14</f>
        <v>66.8337395244575</v>
      </c>
      <c r="N1351" s="17" t="n">
        <f aca="false">(N1350*13+L1351)/14</f>
        <v>41.6383629492153</v>
      </c>
      <c r="O1351" s="17" t="n">
        <f aca="false">IF(N1351=0,100,100-100/(1+M1351/N1351))</f>
        <v>61.6137587456449</v>
      </c>
      <c r="P1351" s="17" t="n">
        <f aca="false">AVERAGE(B1332:B1351)+2*STDEV(B1332:B1351)</f>
        <v>16551.4176615563</v>
      </c>
      <c r="Q1351" s="17" t="n">
        <f aca="false">AVERAGE(B1332:B1351)-2*STDEV(B1332:B1351)</f>
        <v>15018.0323384437</v>
      </c>
      <c r="R1351" s="19" t="n">
        <f aca="false">B1351/B1331-1</f>
        <v>0.0651091319535331</v>
      </c>
      <c r="S1351" s="17" t="n">
        <f aca="false">STDEV(C1332:C1351)*SQRT(252)*100</f>
        <v>11.2873724804703</v>
      </c>
      <c r="T1351" s="19" t="n">
        <f aca="false">B1330/B1100-1</f>
        <v>0.249211559176606</v>
      </c>
      <c r="U1351" s="19" t="n">
        <f aca="false">B1351/MAX(B1100:B1351)-1</f>
        <v>-0.019983031141767</v>
      </c>
      <c r="V1351" s="17" t="n">
        <f aca="false">(B1351-AVERAGE(B1332:B1351))/STDEV(B1332:B1351)</f>
        <v>0.646269391693719</v>
      </c>
    </row>
    <row r="1352" customFormat="false" ht="15" hidden="false" customHeight="false" outlineLevel="0" collapsed="false">
      <c r="A1352" s="17" t="s">
        <v>1916</v>
      </c>
      <c r="B1352" s="17" t="n">
        <v>16199.89</v>
      </c>
      <c r="C1352" s="19" t="n">
        <f aca="false">B1352/B1351-1</f>
        <v>0.0104425581335876</v>
      </c>
      <c r="D1352" s="17" t="n">
        <f aca="false">AVERAGE(B1303:B1352)</f>
        <v>15398.4392</v>
      </c>
      <c r="E1352" s="17" t="n">
        <f aca="false">AVERAGE(B1153:B1352)</f>
        <v>14344.0361</v>
      </c>
      <c r="F1352" s="17" t="n">
        <f aca="false">B1352*2/13+F1351*11/13</f>
        <v>16026.390707348</v>
      </c>
      <c r="G1352" s="17" t="n">
        <f aca="false">B1352*2/27+G1351*25/27</f>
        <v>15754.9169433338</v>
      </c>
      <c r="H1352" s="17" t="n">
        <f aca="false">F1352-G1352</f>
        <v>271.473764014203</v>
      </c>
      <c r="I1352" s="17" t="n">
        <f aca="false">H1352*2/10+I1351*8/10</f>
        <v>261.779775649639</v>
      </c>
      <c r="J1352" s="17" t="n">
        <f aca="false">H1352-I1352</f>
        <v>9.69398836456412</v>
      </c>
      <c r="K1352" s="17" t="n">
        <f aca="false">MAX(B1352-B1351,0)</f>
        <v>167.42</v>
      </c>
      <c r="L1352" s="17" t="n">
        <f aca="false">MAX(B1351-B1352,0)</f>
        <v>0</v>
      </c>
      <c r="M1352" s="17" t="n">
        <f aca="false">(M1351*13+K1352)/14</f>
        <v>74.0184724155676</v>
      </c>
      <c r="N1352" s="17" t="n">
        <f aca="false">(N1351*13+L1352)/14</f>
        <v>38.6641941671285</v>
      </c>
      <c r="O1352" s="17" t="n">
        <f aca="false">IF(N1352=0,100,100-100/(1+M1352/N1352))</f>
        <v>65.6875406487178</v>
      </c>
      <c r="P1352" s="17" t="n">
        <f aca="false">AVERAGE(B1333:B1352)+2*STDEV(B1333:B1352)</f>
        <v>16563.1780619579</v>
      </c>
      <c r="Q1352" s="17" t="n">
        <f aca="false">AVERAGE(B1333:B1352)-2*STDEV(B1333:B1352)</f>
        <v>15111.5689380421</v>
      </c>
      <c r="R1352" s="19" t="n">
        <f aca="false">B1352/B1332-1</f>
        <v>0.0695171031470423</v>
      </c>
      <c r="S1352" s="17" t="n">
        <f aca="false">STDEV(C1333:C1352)*SQRT(252)*100</f>
        <v>11.5329619477681</v>
      </c>
      <c r="T1352" s="19" t="n">
        <f aca="false">B1331/B1101-1</f>
        <v>0.26089979426764</v>
      </c>
      <c r="U1352" s="19" t="n">
        <f aca="false">B1352/MAX(B1101:B1352)-1</f>
        <v>-0.00974914697256257</v>
      </c>
      <c r="V1352" s="17" t="n">
        <f aca="false">(B1352-AVERAGE(B1333:B1352))/STDEV(B1333:B1352)</f>
        <v>0.998936956312524</v>
      </c>
    </row>
    <row r="1353" customFormat="false" ht="15" hidden="false" customHeight="false" outlineLevel="0" collapsed="false">
      <c r="A1353" s="17" t="s">
        <v>1917</v>
      </c>
      <c r="B1353" s="17" t="n">
        <v>16189.12</v>
      </c>
      <c r="C1353" s="19" t="n">
        <f aca="false">B1353/B1352-1</f>
        <v>-0.000664819329020072</v>
      </c>
      <c r="D1353" s="17" t="n">
        <f aca="false">AVERAGE(B1304:B1353)</f>
        <v>15409.1644</v>
      </c>
      <c r="E1353" s="17" t="n">
        <f aca="false">AVERAGE(B1154:B1353)</f>
        <v>14358.7372</v>
      </c>
      <c r="F1353" s="17" t="n">
        <f aca="false">B1353*2/13+F1352*11/13</f>
        <v>16051.4259831406</v>
      </c>
      <c r="G1353" s="17" t="n">
        <f aca="false">B1353*2/27+G1352*25/27</f>
        <v>15787.0801327165</v>
      </c>
      <c r="H1353" s="17" t="n">
        <f aca="false">F1353-G1353</f>
        <v>264.345850424139</v>
      </c>
      <c r="I1353" s="17" t="n">
        <f aca="false">H1353*2/10+I1352*8/10</f>
        <v>262.292990604539</v>
      </c>
      <c r="J1353" s="17" t="n">
        <f aca="false">H1353-I1353</f>
        <v>2.05285981960003</v>
      </c>
      <c r="K1353" s="17" t="n">
        <f aca="false">MAX(B1353-B1352,0)</f>
        <v>0</v>
      </c>
      <c r="L1353" s="17" t="n">
        <f aca="false">MAX(B1352-B1353,0)</f>
        <v>10.7699999999986</v>
      </c>
      <c r="M1353" s="17" t="n">
        <f aca="false">(M1352*13+K1353)/14</f>
        <v>68.7314386715985</v>
      </c>
      <c r="N1353" s="17" t="n">
        <f aca="false">(N1352*13+L1353)/14</f>
        <v>36.6717517266192</v>
      </c>
      <c r="O1353" s="17" t="n">
        <f aca="false">IF(N1353=0,100,100-100/(1+M1353/N1353))</f>
        <v>65.2081198035166</v>
      </c>
      <c r="P1353" s="17" t="n">
        <f aca="false">AVERAGE(B1334:B1353)+2*STDEV(B1334:B1353)</f>
        <v>16577.4447282398</v>
      </c>
      <c r="Q1353" s="17" t="n">
        <f aca="false">AVERAGE(B1334:B1353)-2*STDEV(B1334:B1353)</f>
        <v>15186.1252717602</v>
      </c>
      <c r="R1353" s="19" t="n">
        <f aca="false">B1353/B1333-1</f>
        <v>0.0580508715506092</v>
      </c>
      <c r="S1353" s="17" t="n">
        <f aca="false">STDEV(C1334:C1353)*SQRT(252)*100</f>
        <v>11.3281592761031</v>
      </c>
      <c r="T1353" s="19" t="n">
        <f aca="false">B1332/B1102-1</f>
        <v>0.260837499521367</v>
      </c>
      <c r="U1353" s="19" t="n">
        <f aca="false">B1353/MAX(B1102:B1353)-1</f>
        <v>-0.0104074848802338</v>
      </c>
      <c r="V1353" s="17" t="n">
        <f aca="false">(B1353-AVERAGE(B1334:B1353))/STDEV(B1334:B1353)</f>
        <v>0.883578529916107</v>
      </c>
    </row>
    <row r="1354" customFormat="false" ht="15" hidden="false" customHeight="false" outlineLevel="0" collapsed="false">
      <c r="A1354" s="17" t="s">
        <v>1918</v>
      </c>
      <c r="B1354" s="17" t="n">
        <v>16309.77</v>
      </c>
      <c r="C1354" s="19" t="n">
        <f aca="false">B1354/B1353-1</f>
        <v>0.00745253602419393</v>
      </c>
      <c r="D1354" s="17" t="n">
        <f aca="false">AVERAGE(B1305:B1354)</f>
        <v>15421.8446</v>
      </c>
      <c r="E1354" s="17" t="n">
        <f aca="false">AVERAGE(B1155:B1354)</f>
        <v>14373.00545</v>
      </c>
      <c r="F1354" s="17" t="n">
        <f aca="false">B1354*2/13+F1353*11/13</f>
        <v>16091.1712165036</v>
      </c>
      <c r="G1354" s="17" t="n">
        <f aca="false">B1354*2/27+G1353*25/27</f>
        <v>15825.7979006634</v>
      </c>
      <c r="H1354" s="17" t="n">
        <f aca="false">F1354-G1354</f>
        <v>265.373315840192</v>
      </c>
      <c r="I1354" s="17" t="n">
        <f aca="false">H1354*2/10+I1353*8/10</f>
        <v>262.90905565167</v>
      </c>
      <c r="J1354" s="17" t="n">
        <f aca="false">H1354-I1354</f>
        <v>2.46426018852242</v>
      </c>
      <c r="K1354" s="17" t="n">
        <f aca="false">MAX(B1354-B1353,0)</f>
        <v>120.65</v>
      </c>
      <c r="L1354" s="17" t="n">
        <f aca="false">MAX(B1353-B1354,0)</f>
        <v>0</v>
      </c>
      <c r="M1354" s="17" t="n">
        <f aca="false">(M1353*13+K1354)/14</f>
        <v>72.4399073379129</v>
      </c>
      <c r="N1354" s="17" t="n">
        <f aca="false">(N1353*13+L1354)/14</f>
        <v>34.0523408890035</v>
      </c>
      <c r="O1354" s="17" t="n">
        <f aca="false">IF(N1354=0,100,100-100/(1+M1354/N1354))</f>
        <v>68.023643545919</v>
      </c>
      <c r="P1354" s="17" t="n">
        <f aca="false">AVERAGE(B1335:B1354)+2*STDEV(B1335:B1354)</f>
        <v>16610.3164799939</v>
      </c>
      <c r="Q1354" s="17" t="n">
        <f aca="false">AVERAGE(B1335:B1354)-2*STDEV(B1335:B1354)</f>
        <v>15243.1585200061</v>
      </c>
      <c r="R1354" s="19" t="n">
        <f aca="false">B1354/B1334-1</f>
        <v>0.0583392599437276</v>
      </c>
      <c r="S1354" s="17" t="n">
        <f aca="false">STDEV(C1335:C1354)*SQRT(252)*100</f>
        <v>11.3424814554692</v>
      </c>
      <c r="T1354" s="19" t="n">
        <f aca="false">B1333/B1103-1</f>
        <v>0.27747048839114</v>
      </c>
      <c r="U1354" s="19" t="n">
        <f aca="false">B1354/MAX(B1103:B1354)-1</f>
        <v>-0.00303251101203095</v>
      </c>
      <c r="V1354" s="17" t="n">
        <f aca="false">(B1354-AVERAGE(B1335:B1354))/STDEV(B1335:B1354)</f>
        <v>1.12066787075118</v>
      </c>
    </row>
    <row r="1355" customFormat="false" ht="15" hidden="false" customHeight="false" outlineLevel="0" collapsed="false">
      <c r="A1355" s="17" t="s">
        <v>1919</v>
      </c>
      <c r="B1355" s="17" t="n">
        <v>16308.07</v>
      </c>
      <c r="C1355" s="19" t="n">
        <f aca="false">B1355/B1354-1</f>
        <v>-0.000104232003271698</v>
      </c>
      <c r="D1355" s="17" t="n">
        <f aca="false">AVERAGE(B1306:B1355)</f>
        <v>15435.589</v>
      </c>
      <c r="E1355" s="17" t="n">
        <f aca="false">AVERAGE(B1156:B1355)</f>
        <v>14387.53395</v>
      </c>
      <c r="F1355" s="17" t="n">
        <f aca="false">B1355*2/13+F1354*11/13</f>
        <v>16124.5402601184</v>
      </c>
      <c r="G1355" s="17" t="n">
        <f aca="false">B1355*2/27+G1354*25/27</f>
        <v>15861.5217598735</v>
      </c>
      <c r="H1355" s="17" t="n">
        <f aca="false">F1355-G1355</f>
        <v>263.018500244903</v>
      </c>
      <c r="I1355" s="17" t="n">
        <f aca="false">H1355*2/10+I1354*8/10</f>
        <v>262.930944570316</v>
      </c>
      <c r="J1355" s="17" t="n">
        <f aca="false">H1355-I1355</f>
        <v>0.0875556745871222</v>
      </c>
      <c r="K1355" s="17" t="n">
        <f aca="false">MAX(B1355-B1354,0)</f>
        <v>0</v>
      </c>
      <c r="L1355" s="17" t="n">
        <f aca="false">MAX(B1354-B1355,0)</f>
        <v>1.70000000000073</v>
      </c>
      <c r="M1355" s="17" t="n">
        <f aca="false">(M1354*13+K1355)/14</f>
        <v>67.2656282423477</v>
      </c>
      <c r="N1355" s="17" t="n">
        <f aca="false">(N1354*13+L1355)/14</f>
        <v>31.7414593969319</v>
      </c>
      <c r="O1355" s="17" t="n">
        <f aca="false">IF(N1355=0,100,100-100/(1+M1355/N1355))</f>
        <v>67.9402150353335</v>
      </c>
      <c r="P1355" s="17" t="n">
        <f aca="false">AVERAGE(B1336:B1355)+2*STDEV(B1336:B1355)</f>
        <v>16626.9645503036</v>
      </c>
      <c r="Q1355" s="17" t="n">
        <f aca="false">AVERAGE(B1336:B1355)-2*STDEV(B1336:B1355)</f>
        <v>15318.4464496964</v>
      </c>
      <c r="R1355" s="19" t="n">
        <f aca="false">B1355/B1335-1</f>
        <v>0.0597424995337492</v>
      </c>
      <c r="S1355" s="17" t="n">
        <f aca="false">STDEV(C1336:C1355)*SQRT(252)*100</f>
        <v>11.2856339267656</v>
      </c>
      <c r="T1355" s="19" t="n">
        <f aca="false">B1334/B1104-1</f>
        <v>0.29559442811132</v>
      </c>
      <c r="U1355" s="19" t="n">
        <f aca="false">B1355/MAX(B1104:B1355)-1</f>
        <v>-0.0031364269306049</v>
      </c>
      <c r="V1355" s="17" t="n">
        <f aca="false">(B1355-AVERAGE(B1336:B1355))/STDEV(B1336:B1355)</f>
        <v>1.02517343808805</v>
      </c>
    </row>
    <row r="1356" customFormat="false" ht="15" hidden="false" customHeight="false" outlineLevel="0" collapsed="false">
      <c r="A1356" s="17" t="s">
        <v>1920</v>
      </c>
      <c r="B1356" s="17" t="n">
        <v>16482.97</v>
      </c>
      <c r="C1356" s="19" t="n">
        <f aca="false">B1356/B1355-1</f>
        <v>0.0107247516107056</v>
      </c>
      <c r="D1356" s="17" t="n">
        <f aca="false">AVERAGE(B1307:B1356)</f>
        <v>15454.0274</v>
      </c>
      <c r="E1356" s="17" t="n">
        <f aca="false">AVERAGE(B1157:B1356)</f>
        <v>14402.14435</v>
      </c>
      <c r="F1356" s="17" t="n">
        <f aca="false">B1356*2/13+F1355*11/13</f>
        <v>16179.6832970233</v>
      </c>
      <c r="G1356" s="17" t="n">
        <f aca="false">B1356*2/27+G1355*25/27</f>
        <v>15907.5549628459</v>
      </c>
      <c r="H1356" s="17" t="n">
        <f aca="false">F1356-G1356</f>
        <v>272.128334177429</v>
      </c>
      <c r="I1356" s="17" t="n">
        <f aca="false">H1356*2/10+I1355*8/10</f>
        <v>264.770422491739</v>
      </c>
      <c r="J1356" s="17" t="n">
        <f aca="false">H1356-I1356</f>
        <v>7.35791168569</v>
      </c>
      <c r="K1356" s="17" t="n">
        <f aca="false">MAX(B1356-B1355,0)</f>
        <v>174.900000000001</v>
      </c>
      <c r="L1356" s="17" t="n">
        <f aca="false">MAX(B1355-B1356,0)</f>
        <v>0</v>
      </c>
      <c r="M1356" s="17" t="n">
        <f aca="false">(M1355*13+K1356)/14</f>
        <v>74.9537976536087</v>
      </c>
      <c r="N1356" s="17" t="n">
        <f aca="false">(N1355*13+L1356)/14</f>
        <v>29.4742122971511</v>
      </c>
      <c r="O1356" s="17" t="n">
        <f aca="false">IF(N1356=0,100,100-100/(1+M1356/N1356))</f>
        <v>71.7755683450744</v>
      </c>
      <c r="P1356" s="17" t="n">
        <f aca="false">AVERAGE(B1337:B1356)+2*STDEV(B1337:B1356)</f>
        <v>16673.0243582502</v>
      </c>
      <c r="Q1356" s="17" t="n">
        <f aca="false">AVERAGE(B1337:B1356)-2*STDEV(B1337:B1356)</f>
        <v>15371.7246417498</v>
      </c>
      <c r="R1356" s="19" t="n">
        <f aca="false">B1356/B1336-1</f>
        <v>0.0641321042067609</v>
      </c>
      <c r="S1356" s="17" t="n">
        <f aca="false">STDEV(C1337:C1356)*SQRT(252)*100</f>
        <v>11.5570724376283</v>
      </c>
      <c r="T1356" s="19" t="n">
        <f aca="false">B1335/B1105-1</f>
        <v>0.283951431029174</v>
      </c>
      <c r="U1356" s="19" t="n">
        <f aca="false">B1356/MAX(B1105:B1356)-1</f>
        <v>0</v>
      </c>
      <c r="V1356" s="17" t="n">
        <f aca="false">(B1356-AVERAGE(B1337:B1356))/STDEV(B1337:B1356)</f>
        <v>1.41580143039963</v>
      </c>
    </row>
    <row r="1357" customFormat="false" ht="15" hidden="false" customHeight="false" outlineLevel="0" collapsed="false">
      <c r="A1357" s="17" t="s">
        <v>1921</v>
      </c>
      <c r="B1357" s="17" t="n">
        <v>16573.34</v>
      </c>
      <c r="C1357" s="19" t="n">
        <f aca="false">B1357/B1356-1</f>
        <v>0.00548262843407454</v>
      </c>
      <c r="D1357" s="17" t="n">
        <f aca="false">AVERAGE(B1308:B1357)</f>
        <v>15476.6792</v>
      </c>
      <c r="E1357" s="17" t="n">
        <f aca="false">AVERAGE(B1158:B1357)</f>
        <v>14416.99125</v>
      </c>
      <c r="F1357" s="17" t="n">
        <f aca="false">B1357*2/13+F1356*11/13</f>
        <v>16240.245866712</v>
      </c>
      <c r="G1357" s="17" t="n">
        <f aca="false">B1357*2/27+G1356*25/27</f>
        <v>15956.8723730054</v>
      </c>
      <c r="H1357" s="17" t="n">
        <f aca="false">F1357-G1357</f>
        <v>283.373493706587</v>
      </c>
      <c r="I1357" s="17" t="n">
        <f aca="false">H1357*2/10+I1356*8/10</f>
        <v>268.491036734709</v>
      </c>
      <c r="J1357" s="17" t="n">
        <f aca="false">H1357-I1357</f>
        <v>14.8824569718789</v>
      </c>
      <c r="K1357" s="17" t="n">
        <f aca="false">MAX(B1357-B1356,0)</f>
        <v>90.369999999999</v>
      </c>
      <c r="L1357" s="17" t="n">
        <f aca="false">MAX(B1356-B1357,0)</f>
        <v>0</v>
      </c>
      <c r="M1357" s="17" t="n">
        <f aca="false">(M1356*13+K1357)/14</f>
        <v>76.0549549640651</v>
      </c>
      <c r="N1357" s="17" t="n">
        <f aca="false">(N1356*13+L1357)/14</f>
        <v>27.3689114187831</v>
      </c>
      <c r="O1357" s="17" t="n">
        <f aca="false">IF(N1357=0,100,100-100/(1+M1357/N1357))</f>
        <v>73.5371414974272</v>
      </c>
      <c r="P1357" s="17" t="n">
        <f aca="false">AVERAGE(B1338:B1357)+2*STDEV(B1338:B1357)</f>
        <v>16698.0106122441</v>
      </c>
      <c r="Q1357" s="17" t="n">
        <f aca="false">AVERAGE(B1338:B1357)-2*STDEV(B1338:B1357)</f>
        <v>15468.5653877559</v>
      </c>
      <c r="R1357" s="19" t="n">
        <f aca="false">B1357/B1337-1</f>
        <v>0.079339918346188</v>
      </c>
      <c r="S1357" s="17" t="n">
        <f aca="false">STDEV(C1338:C1357)*SQRT(252)*100</f>
        <v>10.6969987705475</v>
      </c>
      <c r="T1357" s="19" t="n">
        <f aca="false">B1336/B1106-1</f>
        <v>0.300942179190421</v>
      </c>
      <c r="U1357" s="19" t="n">
        <f aca="false">B1357/MAX(B1106:B1357)-1</f>
        <v>0</v>
      </c>
      <c r="V1357" s="17" t="n">
        <f aca="false">(B1357-AVERAGE(B1338:B1357))/STDEV(B1338:B1357)</f>
        <v>1.59438416690423</v>
      </c>
    </row>
    <row r="1358" customFormat="false" ht="15" hidden="false" customHeight="false" outlineLevel="0" collapsed="false">
      <c r="A1358" s="17" t="s">
        <v>1922</v>
      </c>
      <c r="B1358" s="17" t="n">
        <v>16380.98</v>
      </c>
      <c r="C1358" s="19" t="n">
        <f aca="false">B1358/B1357-1</f>
        <v>-0.0116065922740981</v>
      </c>
      <c r="D1358" s="17" t="n">
        <f aca="false">AVERAGE(B1309:B1358)</f>
        <v>15495.6088</v>
      </c>
      <c r="E1358" s="17" t="n">
        <f aca="false">AVERAGE(B1159:B1358)</f>
        <v>14430.42105</v>
      </c>
      <c r="F1358" s="17" t="n">
        <f aca="false">B1358*2/13+F1357*11/13</f>
        <v>16261.8972718333</v>
      </c>
      <c r="G1358" s="17" t="n">
        <f aca="false">B1358*2/27+G1357*25/27</f>
        <v>15988.2877527828</v>
      </c>
      <c r="H1358" s="17" t="n">
        <f aca="false">F1358-G1358</f>
        <v>273.609519050438</v>
      </c>
      <c r="I1358" s="17" t="n">
        <f aca="false">H1358*2/10+I1357*8/10</f>
        <v>269.514733197854</v>
      </c>
      <c r="J1358" s="17" t="n">
        <f aca="false">H1358-I1358</f>
        <v>4.09478585258393</v>
      </c>
      <c r="K1358" s="17" t="n">
        <f aca="false">MAX(B1358-B1357,0)</f>
        <v>0</v>
      </c>
      <c r="L1358" s="17" t="n">
        <f aca="false">MAX(B1357-B1358,0)</f>
        <v>192.360000000001</v>
      </c>
      <c r="M1358" s="17" t="n">
        <f aca="false">(M1357*13+K1358)/14</f>
        <v>70.6224581809176</v>
      </c>
      <c r="N1358" s="17" t="n">
        <f aca="false">(N1357*13+L1358)/14</f>
        <v>39.1539891745844</v>
      </c>
      <c r="O1358" s="17" t="n">
        <f aca="false">IF(N1358=0,100,100-100/(1+M1358/N1358))</f>
        <v>64.3329784140423</v>
      </c>
      <c r="P1358" s="17" t="n">
        <f aca="false">AVERAGE(B1339:B1358)+2*STDEV(B1339:B1358)</f>
        <v>16692.7091800976</v>
      </c>
      <c r="Q1358" s="17" t="n">
        <f aca="false">AVERAGE(B1339:B1358)-2*STDEV(B1339:B1358)</f>
        <v>15560.5458199024</v>
      </c>
      <c r="R1358" s="19" t="n">
        <f aca="false">B1358/B1338-1</f>
        <v>0.0558707866798072</v>
      </c>
      <c r="S1358" s="17" t="n">
        <f aca="false">STDEV(C1339:C1358)*SQRT(252)*100</f>
        <v>11.7160028481681</v>
      </c>
      <c r="T1358" s="19" t="n">
        <f aca="false">B1337/B1107-1</f>
        <v>0.289698251461035</v>
      </c>
      <c r="U1358" s="19" t="n">
        <f aca="false">B1358/MAX(B1107:B1358)-1</f>
        <v>-0.0116065922740981</v>
      </c>
      <c r="V1358" s="17" t="n">
        <f aca="false">(B1358-AVERAGE(B1339:B1358))/STDEV(B1339:B1358)</f>
        <v>0.898642400708511</v>
      </c>
    </row>
    <row r="1359" customFormat="false" ht="15" hidden="false" customHeight="false" outlineLevel="0" collapsed="false">
      <c r="A1359" s="17" t="s">
        <v>1923</v>
      </c>
      <c r="B1359" s="17" t="n">
        <v>16306.72</v>
      </c>
      <c r="C1359" s="19" t="n">
        <f aca="false">B1359/B1358-1</f>
        <v>-0.00453330631012305</v>
      </c>
      <c r="D1359" s="17" t="n">
        <f aca="false">AVERAGE(B1310:B1359)</f>
        <v>15514.0852</v>
      </c>
      <c r="E1359" s="17" t="n">
        <f aca="false">AVERAGE(B1160:B1359)</f>
        <v>14443.51925</v>
      </c>
      <c r="F1359" s="17" t="n">
        <f aca="false">B1359*2/13+F1358*11/13</f>
        <v>16268.7930761666</v>
      </c>
      <c r="G1359" s="17" t="n">
        <f aca="false">B1359*2/27+G1358*25/27</f>
        <v>16011.8753266508</v>
      </c>
      <c r="H1359" s="17" t="n">
        <f aca="false">F1359-G1359</f>
        <v>256.917749515842</v>
      </c>
      <c r="I1359" s="17" t="n">
        <f aca="false">H1359*2/10+I1358*8/10</f>
        <v>266.995336461452</v>
      </c>
      <c r="J1359" s="17" t="n">
        <f aca="false">H1359-I1359</f>
        <v>-10.0775869456101</v>
      </c>
      <c r="K1359" s="17" t="n">
        <f aca="false">MAX(B1359-B1358,0)</f>
        <v>0</v>
      </c>
      <c r="L1359" s="17" t="n">
        <f aca="false">MAX(B1358-B1359,0)</f>
        <v>74.2600000000002</v>
      </c>
      <c r="M1359" s="17" t="n">
        <f aca="false">(M1358*13+K1359)/14</f>
        <v>65.5779968822806</v>
      </c>
      <c r="N1359" s="17" t="n">
        <f aca="false">(N1358*13+L1359)/14</f>
        <v>41.6615613763998</v>
      </c>
      <c r="O1359" s="17" t="n">
        <f aca="false">IF(N1359=0,100,100-100/(1+M1359/N1359))</f>
        <v>61.1509390257792</v>
      </c>
      <c r="P1359" s="17" t="n">
        <f aca="false">AVERAGE(B1340:B1359)+2*STDEV(B1340:B1359)</f>
        <v>16667.6599361394</v>
      </c>
      <c r="Q1359" s="17" t="n">
        <f aca="false">AVERAGE(B1340:B1359)-2*STDEV(B1340:B1359)</f>
        <v>15660.3180638606</v>
      </c>
      <c r="R1359" s="19" t="n">
        <f aca="false">B1359/B1339-1</f>
        <v>0.0480240676268953</v>
      </c>
      <c r="S1359" s="17" t="n">
        <f aca="false">STDEV(C1340:C1359)*SQRT(252)*100</f>
        <v>11.9968323109512</v>
      </c>
      <c r="T1359" s="19" t="n">
        <f aca="false">B1338/B1108-1</f>
        <v>0.284307451855617</v>
      </c>
      <c r="U1359" s="19" t="n">
        <f aca="false">B1359/MAX(B1108:B1359)-1</f>
        <v>-0.016087282346226</v>
      </c>
      <c r="V1359" s="17" t="n">
        <f aca="false">(B1359-AVERAGE(B1340:B1359))/STDEV(B1340:B1359)</f>
        <v>0.566762899181792</v>
      </c>
    </row>
    <row r="1360" customFormat="false" ht="15" hidden="false" customHeight="false" outlineLevel="0" collapsed="false">
      <c r="A1360" s="17" t="s">
        <v>1924</v>
      </c>
      <c r="B1360" s="17" t="n">
        <v>16367.81</v>
      </c>
      <c r="C1360" s="19" t="n">
        <f aca="false">B1360/B1359-1</f>
        <v>0.00374630827045541</v>
      </c>
      <c r="D1360" s="17" t="n">
        <f aca="false">AVERAGE(B1311:B1360)</f>
        <v>15531.3708</v>
      </c>
      <c r="E1360" s="17" t="n">
        <f aca="false">AVERAGE(B1161:B1360)</f>
        <v>14457.08195</v>
      </c>
      <c r="F1360" s="17" t="n">
        <f aca="false">B1360*2/13+F1359*11/13</f>
        <v>16284.026449064</v>
      </c>
      <c r="G1360" s="17" t="n">
        <f aca="false">B1360*2/27+G1359*25/27</f>
        <v>16038.24085801</v>
      </c>
      <c r="H1360" s="17" t="n">
        <f aca="false">F1360-G1360</f>
        <v>245.785591054086</v>
      </c>
      <c r="I1360" s="17" t="n">
        <f aca="false">H1360*2/10+I1359*8/10</f>
        <v>262.753387379979</v>
      </c>
      <c r="J1360" s="17" t="n">
        <f aca="false">H1360-I1360</f>
        <v>-16.9677963258931</v>
      </c>
      <c r="K1360" s="17" t="n">
        <f aca="false">MAX(B1360-B1359,0)</f>
        <v>61.0900000000001</v>
      </c>
      <c r="L1360" s="17" t="n">
        <f aca="false">MAX(B1359-B1360,0)</f>
        <v>0</v>
      </c>
      <c r="M1360" s="17" t="n">
        <f aca="false">(M1359*13+K1360)/14</f>
        <v>65.2574256764035</v>
      </c>
      <c r="N1360" s="17" t="n">
        <f aca="false">(N1359*13+L1360)/14</f>
        <v>38.6857355637998</v>
      </c>
      <c r="O1360" s="17" t="n">
        <f aca="false">IF(N1360=0,100,100-100/(1+M1360/N1360))</f>
        <v>62.7818366285776</v>
      </c>
      <c r="P1360" s="17" t="n">
        <f aca="false">AVERAGE(B1341:B1360)+2*STDEV(B1341:B1360)</f>
        <v>16637.0296894025</v>
      </c>
      <c r="Q1360" s="17" t="n">
        <f aca="false">AVERAGE(B1341:B1360)-2*STDEV(B1341:B1360)</f>
        <v>15767.8903105975</v>
      </c>
      <c r="R1360" s="19" t="n">
        <f aca="false">B1360/B1340-1</f>
        <v>0.0493268856593534</v>
      </c>
      <c r="S1360" s="17" t="n">
        <f aca="false">STDEV(C1341:C1360)*SQRT(252)*100</f>
        <v>12.0067042408283</v>
      </c>
      <c r="T1360" s="19" t="n">
        <f aca="false">B1339/B1109-1</f>
        <v>0.280382514470607</v>
      </c>
      <c r="U1360" s="19" t="n">
        <f aca="false">B1360/MAX(B1109:B1360)-1</f>
        <v>-0.0124012419946734</v>
      </c>
      <c r="V1360" s="17" t="n">
        <f aca="false">(B1360-AVERAGE(B1341:B1360))/STDEV(B1341:B1360)</f>
        <v>0.760982664149216</v>
      </c>
    </row>
    <row r="1361" customFormat="false" ht="15" hidden="false" customHeight="false" outlineLevel="0" collapsed="false">
      <c r="A1361" s="17" t="s">
        <v>1925</v>
      </c>
      <c r="B1361" s="17" t="n">
        <v>16025.58</v>
      </c>
      <c r="C1361" s="19" t="n">
        <f aca="false">B1361/B1360-1</f>
        <v>-0.020908722669679</v>
      </c>
      <c r="D1361" s="17" t="n">
        <f aca="false">AVERAGE(B1312:B1361)</f>
        <v>15541.5642</v>
      </c>
      <c r="E1361" s="17" t="n">
        <f aca="false">AVERAGE(B1162:B1361)</f>
        <v>14468.5381</v>
      </c>
      <c r="F1361" s="17" t="n">
        <f aca="false">B1361*2/13+F1360*11/13</f>
        <v>16244.2654569003</v>
      </c>
      <c r="G1361" s="17" t="n">
        <f aca="false">B1361*2/27+G1360*25/27</f>
        <v>16037.3030166759</v>
      </c>
      <c r="H1361" s="17" t="n">
        <f aca="false">F1361-G1361</f>
        <v>206.962440224457</v>
      </c>
      <c r="I1361" s="17" t="n">
        <f aca="false">H1361*2/10+I1360*8/10</f>
        <v>251.595197948874</v>
      </c>
      <c r="J1361" s="17" t="n">
        <f aca="false">H1361-I1361</f>
        <v>-44.6327577244173</v>
      </c>
      <c r="K1361" s="17" t="n">
        <f aca="false">MAX(B1361-B1360,0)</f>
        <v>0</v>
      </c>
      <c r="L1361" s="17" t="n">
        <f aca="false">MAX(B1360-B1361,0)</f>
        <v>342.23</v>
      </c>
      <c r="M1361" s="17" t="n">
        <f aca="false">(M1360*13+K1361)/14</f>
        <v>60.5961809852318</v>
      </c>
      <c r="N1361" s="17" t="n">
        <f aca="false">(N1360*13+L1361)/14</f>
        <v>60.3674687378141</v>
      </c>
      <c r="O1361" s="17" t="n">
        <f aca="false">IF(N1361=0,100,100-100/(1+M1361/N1361))</f>
        <v>50.0945375937074</v>
      </c>
      <c r="P1361" s="17" t="n">
        <f aca="false">AVERAGE(B1342:B1361)+2*STDEV(B1342:B1361)</f>
        <v>16610.9268370421</v>
      </c>
      <c r="Q1361" s="17" t="n">
        <f aca="false">AVERAGE(B1342:B1361)-2*STDEV(B1342:B1361)</f>
        <v>15818.7351629579</v>
      </c>
      <c r="R1361" s="19" t="n">
        <f aca="false">B1361/B1341-1</f>
        <v>0.0156811694139241</v>
      </c>
      <c r="S1361" s="17" t="n">
        <f aca="false">STDEV(C1342:C1361)*SQRT(252)*100</f>
        <v>14.0898105886447</v>
      </c>
      <c r="T1361" s="19" t="n">
        <f aca="false">B1340/B1110-1</f>
        <v>0.272485134452746</v>
      </c>
      <c r="U1361" s="19" t="n">
        <f aca="false">B1361/MAX(B1110:B1361)-1</f>
        <v>-0.0330506705347262</v>
      </c>
      <c r="V1361" s="17" t="n">
        <f aca="false">(B1361-AVERAGE(B1342:B1361))/STDEV(B1342:B1361)</f>
        <v>-0.955581868333905</v>
      </c>
    </row>
    <row r="1362" customFormat="false" ht="15" hidden="false" customHeight="false" outlineLevel="0" collapsed="false">
      <c r="A1362" s="17" t="s">
        <v>1926</v>
      </c>
      <c r="B1362" s="17" t="n">
        <v>16399.24</v>
      </c>
      <c r="C1362" s="19" t="n">
        <f aca="false">B1362/B1361-1</f>
        <v>0.0233164727891284</v>
      </c>
      <c r="D1362" s="17" t="n">
        <f aca="false">AVERAGE(B1313:B1362)</f>
        <v>15562.8796</v>
      </c>
      <c r="E1362" s="17" t="n">
        <f aca="false">AVERAGE(B1163:B1362)</f>
        <v>14481.4958</v>
      </c>
      <c r="F1362" s="17" t="n">
        <f aca="false">B1362*2/13+F1361*11/13</f>
        <v>16268.1076943003</v>
      </c>
      <c r="G1362" s="17" t="n">
        <f aca="false">B1362*2/27+G1361*25/27</f>
        <v>16064.1131635888</v>
      </c>
      <c r="H1362" s="17" t="n">
        <f aca="false">F1362-G1362</f>
        <v>203.994530711507</v>
      </c>
      <c r="I1362" s="17" t="n">
        <f aca="false">H1362*2/10+I1361*8/10</f>
        <v>242.075064501401</v>
      </c>
      <c r="J1362" s="17" t="n">
        <f aca="false">H1362-I1362</f>
        <v>-38.0805337898942</v>
      </c>
      <c r="K1362" s="17" t="n">
        <f aca="false">MAX(B1362-B1361,0)</f>
        <v>373.660000000002</v>
      </c>
      <c r="L1362" s="17" t="n">
        <f aca="false">MAX(B1361-B1362,0)</f>
        <v>0</v>
      </c>
      <c r="M1362" s="17" t="n">
        <f aca="false">(M1361*13+K1362)/14</f>
        <v>82.9578823434297</v>
      </c>
      <c r="N1362" s="17" t="n">
        <f aca="false">(N1361*13+L1362)/14</f>
        <v>56.0555066851131</v>
      </c>
      <c r="O1362" s="17" t="n">
        <f aca="false">IF(N1362=0,100,100-100/(1+M1362/N1362))</f>
        <v>59.6761814981695</v>
      </c>
      <c r="P1362" s="17" t="n">
        <f aca="false">AVERAGE(B1343:B1362)+2*STDEV(B1343:B1362)</f>
        <v>16606.8678797334</v>
      </c>
      <c r="Q1362" s="17" t="n">
        <f aca="false">AVERAGE(B1343:B1362)-2*STDEV(B1343:B1362)</f>
        <v>15877.6711202666</v>
      </c>
      <c r="R1362" s="19" t="n">
        <f aca="false">B1362/B1342-1</f>
        <v>0.0346216862969995</v>
      </c>
      <c r="S1362" s="17" t="n">
        <f aca="false">STDEV(C1343:C1362)*SQRT(252)*100</f>
        <v>16.1697770838736</v>
      </c>
      <c r="T1362" s="19" t="n">
        <f aca="false">B1341/B1111-1</f>
        <v>0.28608970095335</v>
      </c>
      <c r="U1362" s="19" t="n">
        <f aca="false">B1362/MAX(B1111:B1362)-1</f>
        <v>-0.0105048228057831</v>
      </c>
      <c r="V1362" s="17" t="n">
        <f aca="false">(B1362-AVERAGE(B1343:B1362))/STDEV(B1343:B1362)</f>
        <v>0.8610597782403</v>
      </c>
    </row>
    <row r="1363" customFormat="false" ht="15" hidden="false" customHeight="false" outlineLevel="0" collapsed="false">
      <c r="A1363" s="17" t="s">
        <v>1927</v>
      </c>
      <c r="B1363" s="17" t="n">
        <v>16135.92</v>
      </c>
      <c r="C1363" s="19" t="n">
        <f aca="false">B1363/B1362-1</f>
        <v>-0.016056841658516</v>
      </c>
      <c r="D1363" s="17" t="n">
        <f aca="false">AVERAGE(B1314:B1363)</f>
        <v>15585.3542</v>
      </c>
      <c r="E1363" s="17" t="n">
        <f aca="false">AVERAGE(B1164:B1363)</f>
        <v>14493.30655</v>
      </c>
      <c r="F1363" s="17" t="n">
        <f aca="false">B1363*2/13+F1362*11/13</f>
        <v>16247.7711259464</v>
      </c>
      <c r="G1363" s="17" t="n">
        <f aca="false">B1363*2/27+G1362*25/27</f>
        <v>16069.4321885081</v>
      </c>
      <c r="H1363" s="17" t="n">
        <f aca="false">F1363-G1363</f>
        <v>178.338937438268</v>
      </c>
      <c r="I1363" s="17" t="n">
        <f aca="false">H1363*2/10+I1362*8/10</f>
        <v>229.327839088774</v>
      </c>
      <c r="J1363" s="17" t="n">
        <f aca="false">H1363-I1363</f>
        <v>-50.9889016505065</v>
      </c>
      <c r="K1363" s="17" t="n">
        <f aca="false">MAX(B1363-B1362,0)</f>
        <v>0</v>
      </c>
      <c r="L1363" s="17" t="n">
        <f aca="false">MAX(B1362-B1363,0)</f>
        <v>263.320000000002</v>
      </c>
      <c r="M1363" s="17" t="n">
        <f aca="false">(M1362*13+K1363)/14</f>
        <v>77.032319318899</v>
      </c>
      <c r="N1363" s="17" t="n">
        <f aca="false">(N1362*13+L1363)/14</f>
        <v>70.8601133504622</v>
      </c>
      <c r="O1363" s="17" t="n">
        <f aca="false">IF(N1363=0,100,100-100/(1+M1363/N1363))</f>
        <v>52.0867213612733</v>
      </c>
      <c r="P1363" s="17" t="n">
        <f aca="false">AVERAGE(B1344:B1363)+2*STDEV(B1344:B1363)</f>
        <v>16586.7359650085</v>
      </c>
      <c r="Q1363" s="17" t="n">
        <f aca="false">AVERAGE(B1344:B1363)-2*STDEV(B1344:B1363)</f>
        <v>15920.8670349915</v>
      </c>
      <c r="R1363" s="19" t="n">
        <f aca="false">B1363/B1343-1</f>
        <v>0.0145008450024142</v>
      </c>
      <c r="S1363" s="17" t="n">
        <f aca="false">STDEV(C1344:C1363)*SQRT(252)*100</f>
        <v>17.3383318559973</v>
      </c>
      <c r="T1363" s="19" t="n">
        <f aca="false">B1342/B1112-1</f>
        <v>0.272585310866914</v>
      </c>
      <c r="U1363" s="19" t="n">
        <f aca="false">B1363/MAX(B1112:B1363)-1</f>
        <v>-0.0263929901878559</v>
      </c>
      <c r="V1363" s="17" t="n">
        <f aca="false">(B1363-AVERAGE(B1344:B1363))/STDEV(B1344:B1363)</f>
        <v>-0.708136359490301</v>
      </c>
    </row>
    <row r="1364" customFormat="false" ht="15" hidden="false" customHeight="false" outlineLevel="0" collapsed="false">
      <c r="A1364" s="17" t="s">
        <v>1928</v>
      </c>
      <c r="B1364" s="17" t="n">
        <v>15877.72</v>
      </c>
      <c r="C1364" s="19" t="n">
        <f aca="false">B1364/B1363-1</f>
        <v>-0.0160015666909603</v>
      </c>
      <c r="D1364" s="17" t="n">
        <f aca="false">AVERAGE(B1315:B1364)</f>
        <v>15602.3532</v>
      </c>
      <c r="E1364" s="17" t="n">
        <f aca="false">AVERAGE(B1165:B1364)</f>
        <v>14504.1966</v>
      </c>
      <c r="F1364" s="17" t="n">
        <f aca="false">B1364*2/13+F1363*11/13</f>
        <v>16190.8401834931</v>
      </c>
      <c r="G1364" s="17" t="n">
        <f aca="false">B1364*2/27+G1363*25/27</f>
        <v>16055.2312856557</v>
      </c>
      <c r="H1364" s="17" t="n">
        <f aca="false">F1364-G1364</f>
        <v>135.60889783743</v>
      </c>
      <c r="I1364" s="17" t="n">
        <f aca="false">H1364*2/10+I1363*8/10</f>
        <v>210.584050838505</v>
      </c>
      <c r="J1364" s="17" t="n">
        <f aca="false">H1364-I1364</f>
        <v>-74.9751530010754</v>
      </c>
      <c r="K1364" s="17" t="n">
        <f aca="false">MAX(B1364-B1363,0)</f>
        <v>0</v>
      </c>
      <c r="L1364" s="17" t="n">
        <f aca="false">MAX(B1363-B1364,0)</f>
        <v>258.200000000001</v>
      </c>
      <c r="M1364" s="17" t="n">
        <f aca="false">(M1363*13+K1364)/14</f>
        <v>71.5300107961205</v>
      </c>
      <c r="N1364" s="17" t="n">
        <f aca="false">(N1363*13+L1364)/14</f>
        <v>84.2415338254293</v>
      </c>
      <c r="O1364" s="17" t="n">
        <f aca="false">IF(N1364=0,100,100-100/(1+M1364/N1364))</f>
        <v>45.9198186484599</v>
      </c>
      <c r="P1364" s="17" t="n">
        <f aca="false">AVERAGE(B1345:B1364)+2*STDEV(B1345:B1364)</f>
        <v>16601.0102201519</v>
      </c>
      <c r="Q1364" s="17" t="n">
        <f aca="false">AVERAGE(B1345:B1364)-2*STDEV(B1345:B1364)</f>
        <v>15897.1157798481</v>
      </c>
      <c r="R1364" s="19" t="n">
        <f aca="false">B1364/B1344-1</f>
        <v>-0.00593332661344603</v>
      </c>
      <c r="S1364" s="17" t="n">
        <f aca="false">STDEV(C1345:C1364)*SQRT(252)*100</f>
        <v>18.2664858974188</v>
      </c>
      <c r="T1364" s="19" t="n">
        <f aca="false">B1343/B1113-1</f>
        <v>0.276875118914679</v>
      </c>
      <c r="U1364" s="19" t="n">
        <f aca="false">B1364/MAX(B1113:B1364)-1</f>
        <v>-0.0419722276861514</v>
      </c>
      <c r="V1364" s="17" t="n">
        <f aca="false">(B1364-AVERAGE(B1345:B1364))/STDEV(B1345:B1364)</f>
        <v>-2.11021982125477</v>
      </c>
    </row>
    <row r="1365" customFormat="false" ht="15" hidden="false" customHeight="false" outlineLevel="0" collapsed="false">
      <c r="A1365" s="17" t="s">
        <v>1929</v>
      </c>
      <c r="B1365" s="17" t="n">
        <v>15990.76</v>
      </c>
      <c r="C1365" s="19" t="n">
        <f aca="false">B1365/B1364-1</f>
        <v>0.0071194100916252</v>
      </c>
      <c r="D1365" s="17" t="n">
        <f aca="false">AVERAGE(B1316:B1365)</f>
        <v>15618.6382</v>
      </c>
      <c r="E1365" s="17" t="n">
        <f aca="false">AVERAGE(B1166:B1365)</f>
        <v>14515.96285</v>
      </c>
      <c r="F1365" s="17" t="n">
        <f aca="false">B1365*2/13+F1364*11/13</f>
        <v>16160.0586168019</v>
      </c>
      <c r="G1365" s="17" t="n">
        <f aca="false">B1365*2/27+G1364*25/27</f>
        <v>16050.4556348664</v>
      </c>
      <c r="H1365" s="17" t="n">
        <f aca="false">F1365-G1365</f>
        <v>109.602981935492</v>
      </c>
      <c r="I1365" s="17" t="n">
        <f aca="false">H1365*2/10+I1364*8/10</f>
        <v>190.387837057903</v>
      </c>
      <c r="J1365" s="17" t="n">
        <f aca="false">H1365-I1365</f>
        <v>-80.784855122411</v>
      </c>
      <c r="K1365" s="17" t="n">
        <f aca="false">MAX(B1365-B1364,0)</f>
        <v>113.040000000001</v>
      </c>
      <c r="L1365" s="17" t="n">
        <f aca="false">MAX(B1364-B1365,0)</f>
        <v>0</v>
      </c>
      <c r="M1365" s="17" t="n">
        <f aca="false">(M1364*13+K1365)/14</f>
        <v>74.4950100249691</v>
      </c>
      <c r="N1365" s="17" t="n">
        <f aca="false">(N1364*13+L1365)/14</f>
        <v>78.2242814093272</v>
      </c>
      <c r="O1365" s="17" t="n">
        <f aca="false">IF(N1365=0,100,100-100/(1+M1365/N1365))</f>
        <v>48.7790437772026</v>
      </c>
      <c r="P1365" s="17" t="n">
        <f aca="false">AVERAGE(B1346:B1365)+2*STDEV(B1346:B1365)</f>
        <v>16609.2926773176</v>
      </c>
      <c r="Q1365" s="17" t="n">
        <f aca="false">AVERAGE(B1346:B1365)-2*STDEV(B1346:B1365)</f>
        <v>15873.4593226824</v>
      </c>
      <c r="R1365" s="19" t="n">
        <f aca="false">B1365/B1345-1</f>
        <v>-0.00952274768497008</v>
      </c>
      <c r="S1365" s="17" t="n">
        <f aca="false">STDEV(C1346:C1365)*SQRT(252)*100</f>
        <v>18.0191503365354</v>
      </c>
      <c r="T1365" s="19" t="n">
        <f aca="false">B1344/B1114-1</f>
        <v>0.281168159792992</v>
      </c>
      <c r="U1365" s="19" t="n">
        <f aca="false">B1365/MAX(B1114:B1365)-1</f>
        <v>-0.0351516350958829</v>
      </c>
      <c r="V1365" s="17" t="n">
        <f aca="false">(B1365-AVERAGE(B1346:B1365))/STDEV(B1346:B1365)</f>
        <v>-1.36235194244082</v>
      </c>
    </row>
    <row r="1366" customFormat="false" ht="15" hidden="false" customHeight="false" outlineLevel="0" collapsed="false">
      <c r="A1366" s="17" t="s">
        <v>1930</v>
      </c>
      <c r="B1366" s="17" t="n">
        <v>15712.04</v>
      </c>
      <c r="C1366" s="19" t="n">
        <f aca="false">B1366/B1365-1</f>
        <v>-0.0174300658630359</v>
      </c>
      <c r="D1366" s="17" t="n">
        <f aca="false">AVERAGE(B1317:B1366)</f>
        <v>15626.5474</v>
      </c>
      <c r="E1366" s="17" t="n">
        <f aca="false">AVERAGE(B1167:B1366)</f>
        <v>14526.61915</v>
      </c>
      <c r="F1366" s="17" t="n">
        <f aca="false">B1366*2/13+F1365*11/13</f>
        <v>16091.1326757554</v>
      </c>
      <c r="G1366" s="17" t="n">
        <f aca="false">B1366*2/27+G1365*25/27</f>
        <v>16025.3878100615</v>
      </c>
      <c r="H1366" s="17" t="n">
        <f aca="false">F1366-G1366</f>
        <v>65.7448656939705</v>
      </c>
      <c r="I1366" s="17" t="n">
        <f aca="false">H1366*2/10+I1365*8/10</f>
        <v>165.459242785116</v>
      </c>
      <c r="J1366" s="17" t="n">
        <f aca="false">H1366-I1366</f>
        <v>-99.7143770911458</v>
      </c>
      <c r="K1366" s="17" t="n">
        <f aca="false">MAX(B1366-B1365,0)</f>
        <v>0</v>
      </c>
      <c r="L1366" s="17" t="n">
        <f aca="false">MAX(B1365-B1366,0)</f>
        <v>278.719999999999</v>
      </c>
      <c r="M1366" s="17" t="n">
        <f aca="false">(M1365*13+K1366)/14</f>
        <v>69.1739378803284</v>
      </c>
      <c r="N1366" s="17" t="n">
        <f aca="false">(N1365*13+L1366)/14</f>
        <v>92.5454041658038</v>
      </c>
      <c r="O1366" s="17" t="n">
        <f aca="false">IF(N1366=0,100,100-100/(1+M1366/N1366))</f>
        <v>42.774065863189</v>
      </c>
      <c r="P1366" s="17" t="n">
        <f aca="false">AVERAGE(B1347:B1366)+2*STDEV(B1347:B1366)</f>
        <v>16643.0279848968</v>
      </c>
      <c r="Q1366" s="17" t="n">
        <f aca="false">AVERAGE(B1347:B1366)-2*STDEV(B1347:B1366)</f>
        <v>15776.3040151032</v>
      </c>
      <c r="R1366" s="19" t="n">
        <f aca="false">B1366/B1346-1</f>
        <v>-0.0387979131592341</v>
      </c>
      <c r="S1366" s="17" t="n">
        <f aca="false">STDEV(C1347:C1366)*SQRT(252)*100</f>
        <v>18.3036743622576</v>
      </c>
      <c r="T1366" s="19" t="n">
        <f aca="false">B1345/B1115-1</f>
        <v>0.288623999080495</v>
      </c>
      <c r="U1366" s="19" t="n">
        <f aca="false">B1366/MAX(B1115:B1366)-1</f>
        <v>-0.0519690056440041</v>
      </c>
      <c r="V1366" s="17" t="n">
        <f aca="false">(B1366-AVERAGE(B1347:B1366))/STDEV(B1347:B1366)</f>
        <v>-2.29658353682553</v>
      </c>
    </row>
    <row r="1367" customFormat="false" ht="15" hidden="false" customHeight="false" outlineLevel="0" collapsed="false">
      <c r="A1367" s="17" t="s">
        <v>1931</v>
      </c>
      <c r="B1367" s="17" t="n">
        <v>15846.16</v>
      </c>
      <c r="C1367" s="19" t="n">
        <f aca="false">B1367/B1366-1</f>
        <v>0.00853612898134171</v>
      </c>
      <c r="D1367" s="17" t="n">
        <f aca="false">AVERAGE(B1318:B1367)</f>
        <v>15636.877</v>
      </c>
      <c r="E1367" s="17" t="n">
        <f aca="false">AVERAGE(B1168:B1367)</f>
        <v>14539.73125</v>
      </c>
      <c r="F1367" s="17" t="n">
        <f aca="false">B1367*2/13+F1366*11/13</f>
        <v>16053.444571793</v>
      </c>
      <c r="G1367" s="17" t="n">
        <f aca="false">B1367*2/27+G1366*25/27</f>
        <v>16012.1116759828</v>
      </c>
      <c r="H1367" s="17" t="n">
        <f aca="false">F1367-G1367</f>
        <v>41.3328958102247</v>
      </c>
      <c r="I1367" s="17" t="n">
        <f aca="false">H1367*2/10+I1366*8/10</f>
        <v>140.633973390138</v>
      </c>
      <c r="J1367" s="17" t="n">
        <f aca="false">H1367-I1367</f>
        <v>-99.3010775799132</v>
      </c>
      <c r="K1367" s="17" t="n">
        <f aca="false">MAX(B1367-B1366,0)</f>
        <v>134.119999999999</v>
      </c>
      <c r="L1367" s="17" t="n">
        <f aca="false">MAX(B1366-B1367,0)</f>
        <v>0</v>
      </c>
      <c r="M1367" s="17" t="n">
        <f aca="false">(M1366*13+K1367)/14</f>
        <v>73.8129423174478</v>
      </c>
      <c r="N1367" s="17" t="n">
        <f aca="false">(N1366*13+L1367)/14</f>
        <v>85.9350181539606</v>
      </c>
      <c r="O1367" s="17" t="n">
        <f aca="false">IF(N1367=0,100,100-100/(1+M1367/N1367))</f>
        <v>46.2058746162576</v>
      </c>
      <c r="P1367" s="17" t="n">
        <f aca="false">AVERAGE(B1348:B1367)+2*STDEV(B1348:B1367)</f>
        <v>16640.2170903587</v>
      </c>
      <c r="Q1367" s="17" t="n">
        <f aca="false">AVERAGE(B1348:B1367)-2*STDEV(B1348:B1367)</f>
        <v>15727.7929096413</v>
      </c>
      <c r="R1367" s="19" t="n">
        <f aca="false">B1367/B1347-1</f>
        <v>-0.0313716045473605</v>
      </c>
      <c r="S1367" s="17" t="n">
        <f aca="false">STDEV(C1348:C1367)*SQRT(252)*100</f>
        <v>18.6582691629995</v>
      </c>
      <c r="T1367" s="19" t="n">
        <f aca="false">B1346/B1116-1</f>
        <v>0.297684192476146</v>
      </c>
      <c r="U1367" s="19" t="n">
        <f aca="false">B1367/MAX(B1116:B1367)-1</f>
        <v>-0.0438764907978718</v>
      </c>
      <c r="V1367" s="17" t="n">
        <f aca="false">(B1367-AVERAGE(B1348:B1367))/STDEV(B1348:B1367)</f>
        <v>-1.48108744656175</v>
      </c>
    </row>
    <row r="1368" customFormat="false" ht="15" hidden="false" customHeight="false" outlineLevel="0" collapsed="false">
      <c r="A1368" s="17" t="s">
        <v>1932</v>
      </c>
      <c r="B1368" s="17" t="n">
        <v>16325.66</v>
      </c>
      <c r="C1368" s="19" t="n">
        <f aca="false">B1368/B1367-1</f>
        <v>0.0302596969865254</v>
      </c>
      <c r="D1368" s="17" t="n">
        <f aca="false">AVERAGE(B1319:B1368)</f>
        <v>15659.2938</v>
      </c>
      <c r="E1368" s="17" t="n">
        <f aca="false">AVERAGE(B1169:B1368)</f>
        <v>14555.386</v>
      </c>
      <c r="F1368" s="17" t="n">
        <f aca="false">B1368*2/13+F1367*11/13</f>
        <v>16095.3238684403</v>
      </c>
      <c r="G1368" s="17" t="n">
        <f aca="false">B1368*2/27+G1367*25/27</f>
        <v>16035.3374777619</v>
      </c>
      <c r="H1368" s="17" t="n">
        <f aca="false">F1368-G1368</f>
        <v>59.9863906783994</v>
      </c>
      <c r="I1368" s="17" t="n">
        <f aca="false">H1368*2/10+I1367*8/10</f>
        <v>124.50445684779</v>
      </c>
      <c r="J1368" s="17" t="n">
        <f aca="false">H1368-I1368</f>
        <v>-64.5180661693908</v>
      </c>
      <c r="K1368" s="17" t="n">
        <f aca="false">MAX(B1368-B1367,0)</f>
        <v>479.5</v>
      </c>
      <c r="L1368" s="17" t="n">
        <f aca="false">MAX(B1367-B1368,0)</f>
        <v>0</v>
      </c>
      <c r="M1368" s="17" t="n">
        <f aca="false">(M1367*13+K1368)/14</f>
        <v>102.790589294773</v>
      </c>
      <c r="N1368" s="17" t="n">
        <f aca="false">(N1367*13+L1368)/14</f>
        <v>79.7968025715349</v>
      </c>
      <c r="O1368" s="17" t="n">
        <f aca="false">IF(N1368=0,100,100-100/(1+M1368/N1368))</f>
        <v>56.296652383335</v>
      </c>
      <c r="P1368" s="17" t="n">
        <f aca="false">AVERAGE(B1349:B1368)+2*STDEV(B1349:B1368)</f>
        <v>16638.9941175121</v>
      </c>
      <c r="Q1368" s="17" t="n">
        <f aca="false">AVERAGE(B1349:B1368)-2*STDEV(B1349:B1368)</f>
        <v>15727.9788824879</v>
      </c>
      <c r="R1368" s="19" t="n">
        <f aca="false">B1368/B1348-1</f>
        <v>-0.000634793153538538</v>
      </c>
      <c r="S1368" s="17" t="n">
        <f aca="false">STDEV(C1349:C1368)*SQRT(252)*100</f>
        <v>21.8054823059436</v>
      </c>
      <c r="T1368" s="19" t="n">
        <f aca="false">B1347/B1117-1</f>
        <v>0.29469313976568</v>
      </c>
      <c r="U1368" s="19" t="n">
        <f aca="false">B1368/MAX(B1117:B1368)-1</f>
        <v>-0.014944483127722</v>
      </c>
      <c r="V1368" s="17" t="n">
        <f aca="false">(B1368-AVERAGE(B1349:B1368))/STDEV(B1349:B1368)</f>
        <v>0.624242030359521</v>
      </c>
    </row>
    <row r="1369" customFormat="false" ht="15" hidden="false" customHeight="false" outlineLevel="0" collapsed="false">
      <c r="A1369" s="17" t="s">
        <v>1933</v>
      </c>
      <c r="B1369" s="17" t="n">
        <v>16394.34</v>
      </c>
      <c r="C1369" s="19" t="n">
        <f aca="false">B1369/B1368-1</f>
        <v>0.00420687433157374</v>
      </c>
      <c r="D1369" s="17" t="n">
        <f aca="false">AVERAGE(B1320:B1369)</f>
        <v>15691.7746</v>
      </c>
      <c r="E1369" s="17" t="n">
        <f aca="false">AVERAGE(B1170:B1369)</f>
        <v>14570.84675</v>
      </c>
      <c r="F1369" s="17" t="n">
        <f aca="false">B1369*2/13+F1368*11/13</f>
        <v>16141.3263502187</v>
      </c>
      <c r="G1369" s="17" t="n">
        <f aca="false">B1369*2/27+G1368*25/27</f>
        <v>16061.9302571869</v>
      </c>
      <c r="H1369" s="17" t="n">
        <f aca="false">F1369-G1369</f>
        <v>79.3960930317717</v>
      </c>
      <c r="I1369" s="17" t="n">
        <f aca="false">H1369*2/10+I1368*8/10</f>
        <v>115.482784084587</v>
      </c>
      <c r="J1369" s="17" t="n">
        <f aca="false">H1369-I1369</f>
        <v>-36.0866910528148</v>
      </c>
      <c r="K1369" s="17" t="n">
        <f aca="false">MAX(B1369-B1368,0)</f>
        <v>68.6800000000003</v>
      </c>
      <c r="L1369" s="17" t="n">
        <f aca="false">MAX(B1368-B1369,0)</f>
        <v>0</v>
      </c>
      <c r="M1369" s="17" t="n">
        <f aca="false">(M1368*13+K1369)/14</f>
        <v>100.354118630861</v>
      </c>
      <c r="N1369" s="17" t="n">
        <f aca="false">(N1368*13+L1369)/14</f>
        <v>74.0970309592824</v>
      </c>
      <c r="O1369" s="17" t="n">
        <f aca="false">IF(N1369=0,100,100-100/(1+M1369/N1369))</f>
        <v>57.5256275849333</v>
      </c>
      <c r="P1369" s="17" t="n">
        <f aca="false">AVERAGE(B1350:B1369)+2*STDEV(B1350:B1369)</f>
        <v>16657.230262484</v>
      </c>
      <c r="Q1369" s="17" t="n">
        <f aca="false">AVERAGE(B1350:B1369)-2*STDEV(B1350:B1369)</f>
        <v>15727.182737516</v>
      </c>
      <c r="R1369" s="19" t="n">
        <f aca="false">B1369/B1349-1</f>
        <v>0.0107521976036902</v>
      </c>
      <c r="S1369" s="17" t="n">
        <f aca="false">STDEV(C1350:C1369)*SQRT(252)*100</f>
        <v>21.6819437432021</v>
      </c>
      <c r="T1369" s="19" t="n">
        <f aca="false">B1348/B1118-1</f>
        <v>0.32118929463373</v>
      </c>
      <c r="U1369" s="19" t="n">
        <f aca="false">B1369/MAX(B1118:B1369)-1</f>
        <v>-0.0108004783586169</v>
      </c>
      <c r="V1369" s="17" t="n">
        <f aca="false">(B1369-AVERAGE(B1350:B1369))/STDEV(B1350:B1369)</f>
        <v>0.869346972379601</v>
      </c>
    </row>
    <row r="1370" customFormat="false" ht="15" hidden="false" customHeight="false" outlineLevel="0" collapsed="false">
      <c r="A1370" s="17" t="s">
        <v>1934</v>
      </c>
      <c r="B1370" s="17" t="n">
        <v>16149.57</v>
      </c>
      <c r="C1370" s="19" t="n">
        <f aca="false">B1370/B1369-1</f>
        <v>-0.0149301527234399</v>
      </c>
      <c r="D1370" s="17" t="n">
        <f aca="false">AVERAGE(B1321:B1370)</f>
        <v>15719.7082</v>
      </c>
      <c r="E1370" s="17" t="n">
        <f aca="false">AVERAGE(B1171:B1370)</f>
        <v>14587.45305</v>
      </c>
      <c r="F1370" s="17" t="n">
        <f aca="false">B1370*2/13+F1369*11/13</f>
        <v>16142.5946040312</v>
      </c>
      <c r="G1370" s="17" t="n">
        <f aca="false">B1370*2/27+G1369*25/27</f>
        <v>16068.4220899879</v>
      </c>
      <c r="H1370" s="17" t="n">
        <f aca="false">F1370-G1370</f>
        <v>74.1725140433118</v>
      </c>
      <c r="I1370" s="17" t="n">
        <f aca="false">H1370*2/10+I1369*8/10</f>
        <v>107.220730076332</v>
      </c>
      <c r="J1370" s="17" t="n">
        <f aca="false">H1370-I1370</f>
        <v>-33.0482160330198</v>
      </c>
      <c r="K1370" s="17" t="n">
        <f aca="false">MAX(B1370-B1369,0)</f>
        <v>0</v>
      </c>
      <c r="L1370" s="17" t="n">
        <f aca="false">MAX(B1369-B1370,0)</f>
        <v>244.77</v>
      </c>
      <c r="M1370" s="17" t="n">
        <f aca="false">(M1369*13+K1370)/14</f>
        <v>93.1859673000848</v>
      </c>
      <c r="N1370" s="17" t="n">
        <f aca="false">(N1369*13+L1370)/14</f>
        <v>86.2879573193337</v>
      </c>
      <c r="O1370" s="17" t="n">
        <f aca="false">IF(N1370=0,100,100-100/(1+M1370/N1370))</f>
        <v>51.9217304116402</v>
      </c>
      <c r="P1370" s="17" t="n">
        <f aca="false">AVERAGE(B1351:B1370)+2*STDEV(B1351:B1370)</f>
        <v>16655.7717441387</v>
      </c>
      <c r="Q1370" s="17" t="n">
        <f aca="false">AVERAGE(B1351:B1370)-2*STDEV(B1351:B1370)</f>
        <v>15745.0412558613</v>
      </c>
      <c r="R1370" s="19" t="n">
        <f aca="false">B1370/B1350-1</f>
        <v>0.0102592525634055</v>
      </c>
      <c r="S1370" s="17" t="n">
        <f aca="false">STDEV(C1351:C1370)*SQRT(252)*100</f>
        <v>21.7268859011567</v>
      </c>
      <c r="T1370" s="19" t="n">
        <f aca="false">B1349/B1119-1</f>
        <v>0.307876152862421</v>
      </c>
      <c r="U1370" s="19" t="n">
        <f aca="false">B1370/MAX(B1119:B1370)-1</f>
        <v>-0.0255693782906765</v>
      </c>
      <c r="V1370" s="17" t="n">
        <f aca="false">(B1370-AVERAGE(B1351:B1370))/STDEV(B1351:B1370)</f>
        <v>-0.223277910004567</v>
      </c>
    </row>
    <row r="1371" customFormat="false" ht="15" hidden="false" customHeight="false" outlineLevel="0" collapsed="false">
      <c r="A1371" s="17" t="s">
        <v>1935</v>
      </c>
      <c r="B1371" s="17" t="n">
        <v>16331.98</v>
      </c>
      <c r="C1371" s="19" t="n">
        <f aca="false">B1371/B1370-1</f>
        <v>0.0112950375768519</v>
      </c>
      <c r="D1371" s="17" t="n">
        <f aca="false">AVERAGE(B1322:B1371)</f>
        <v>15752.5554</v>
      </c>
      <c r="E1371" s="17" t="n">
        <f aca="false">AVERAGE(B1172:B1371)</f>
        <v>14604.56575</v>
      </c>
      <c r="F1371" s="17" t="n">
        <f aca="false">B1371*2/13+F1370*11/13</f>
        <v>16171.7308187956</v>
      </c>
      <c r="G1371" s="17" t="n">
        <f aca="false">B1371*2/27+G1370*25/27</f>
        <v>16087.9448981369</v>
      </c>
      <c r="H1371" s="17" t="n">
        <f aca="false">F1371-G1371</f>
        <v>83.7859206586945</v>
      </c>
      <c r="I1371" s="17" t="n">
        <f aca="false">H1371*2/10+I1370*8/10</f>
        <v>102.533768192804</v>
      </c>
      <c r="J1371" s="17" t="n">
        <f aca="false">H1371-I1371</f>
        <v>-18.7478475341096</v>
      </c>
      <c r="K1371" s="17" t="n">
        <f aca="false">MAX(B1371-B1370,0)</f>
        <v>182.41</v>
      </c>
      <c r="L1371" s="17" t="n">
        <f aca="false">MAX(B1370-B1371,0)</f>
        <v>0</v>
      </c>
      <c r="M1371" s="17" t="n">
        <f aca="false">(M1370*13+K1371)/14</f>
        <v>99.5591124929359</v>
      </c>
      <c r="N1371" s="17" t="n">
        <f aca="false">(N1370*13+L1371)/14</f>
        <v>80.1245317965241</v>
      </c>
      <c r="O1371" s="17" t="n">
        <f aca="false">IF(N1371=0,100,100-100/(1+M1371/N1371))</f>
        <v>55.407999368352</v>
      </c>
      <c r="P1371" s="17" t="n">
        <f aca="false">AVERAGE(B1352:B1371)+2*STDEV(B1352:B1371)</f>
        <v>16667.1788237627</v>
      </c>
      <c r="Q1371" s="17" t="n">
        <f aca="false">AVERAGE(B1352:B1371)-2*STDEV(B1352:B1371)</f>
        <v>15763.5851762373</v>
      </c>
      <c r="R1371" s="19" t="n">
        <f aca="false">B1371/B1351-1</f>
        <v>0.0186814633054047</v>
      </c>
      <c r="S1371" s="17" t="n">
        <f aca="false">STDEV(C1352:C1371)*SQRT(252)*100</f>
        <v>22.0464075950441</v>
      </c>
      <c r="T1371" s="19" t="n">
        <f aca="false">B1350/B1120-1</f>
        <v>0.291720435928991</v>
      </c>
      <c r="U1371" s="19" t="n">
        <f aca="false">B1371/MAX(B1120:B1371)-1</f>
        <v>-0.0145631478024345</v>
      </c>
      <c r="V1371" s="17" t="n">
        <f aca="false">(B1371-AVERAGE(B1352:B1371))/STDEV(B1352:B1371)</f>
        <v>0.516152367026059</v>
      </c>
    </row>
    <row r="1372" customFormat="false" ht="15" hidden="false" customHeight="false" outlineLevel="0" collapsed="false">
      <c r="A1372" s="17" t="s">
        <v>1936</v>
      </c>
      <c r="B1372" s="17" t="n">
        <v>16082.55</v>
      </c>
      <c r="C1372" s="19" t="n">
        <f aca="false">B1372/B1371-1</f>
        <v>-0.0152724899246754</v>
      </c>
      <c r="D1372" s="17" t="n">
        <f aca="false">AVERAGE(B1323:B1372)</f>
        <v>15778.369</v>
      </c>
      <c r="E1372" s="17" t="n">
        <f aca="false">AVERAGE(B1173:B1372)</f>
        <v>14618.56375</v>
      </c>
      <c r="F1372" s="17" t="n">
        <f aca="false">B1372*2/13+F1371*11/13</f>
        <v>16158.0106928271</v>
      </c>
      <c r="G1372" s="17" t="n">
        <f aca="false">B1372*2/27+G1371*25/27</f>
        <v>16087.5452760527</v>
      </c>
      <c r="H1372" s="17" t="n">
        <f aca="false">F1372-G1372</f>
        <v>70.4654167743556</v>
      </c>
      <c r="I1372" s="17" t="n">
        <f aca="false">H1372*2/10+I1371*8/10</f>
        <v>96.1200979091145</v>
      </c>
      <c r="J1372" s="17" t="n">
        <f aca="false">H1372-I1372</f>
        <v>-25.6546811347588</v>
      </c>
      <c r="K1372" s="17" t="n">
        <f aca="false">MAX(B1372-B1371,0)</f>
        <v>0</v>
      </c>
      <c r="L1372" s="17" t="n">
        <f aca="false">MAX(B1371-B1372,0)</f>
        <v>249.43</v>
      </c>
      <c r="M1372" s="17" t="n">
        <f aca="false">(M1371*13+K1372)/14</f>
        <v>92.4477473148691</v>
      </c>
      <c r="N1372" s="17" t="n">
        <f aca="false">(N1371*13+L1372)/14</f>
        <v>92.2177795253439</v>
      </c>
      <c r="O1372" s="17" t="n">
        <f aca="false">IF(N1372=0,100,100-100/(1+M1372/N1372))</f>
        <v>50.0622660313108</v>
      </c>
      <c r="P1372" s="17" t="n">
        <f aca="false">AVERAGE(B1353:B1372)+2*STDEV(B1353:B1372)</f>
        <v>16665.189782851</v>
      </c>
      <c r="Q1372" s="17" t="n">
        <f aca="false">AVERAGE(B1353:B1372)-2*STDEV(B1353:B1372)</f>
        <v>15753.840217149</v>
      </c>
      <c r="R1372" s="19" t="n">
        <f aca="false">B1372/B1352-1</f>
        <v>-0.00724325905916645</v>
      </c>
      <c r="S1372" s="17" t="n">
        <f aca="false">STDEV(C1353:C1372)*SQRT(252)*100</f>
        <v>22.4737905393461</v>
      </c>
      <c r="T1372" s="19" t="n">
        <f aca="false">B1351/B1121-1</f>
        <v>0.286486907217901</v>
      </c>
      <c r="U1372" s="19" t="n">
        <f aca="false">B1372/MAX(B1121:B1372)-1</f>
        <v>-0.0296132221990257</v>
      </c>
      <c r="V1372" s="17" t="n">
        <f aca="false">(B1372-AVERAGE(B1353:B1372))/STDEV(B1353:B1372)</f>
        <v>-0.557261471462699</v>
      </c>
    </row>
    <row r="1373" customFormat="false" ht="15" hidden="false" customHeight="false" outlineLevel="0" collapsed="false">
      <c r="A1373" s="17" t="s">
        <v>1937</v>
      </c>
      <c r="B1373" s="17" t="n">
        <v>15914.9</v>
      </c>
      <c r="C1373" s="19" t="n">
        <f aca="false">B1373/B1372-1</f>
        <v>-0.0104243419109532</v>
      </c>
      <c r="D1373" s="17" t="n">
        <f aca="false">AVERAGE(B1324:B1373)</f>
        <v>15807.2246</v>
      </c>
      <c r="E1373" s="17" t="n">
        <f aca="false">AVERAGE(B1174:B1373)</f>
        <v>14632.8385</v>
      </c>
      <c r="F1373" s="17" t="n">
        <f aca="false">B1373*2/13+F1372*11/13</f>
        <v>16120.6090477768</v>
      </c>
      <c r="G1373" s="17" t="n">
        <f aca="false">B1373*2/27+G1372*25/27</f>
        <v>16074.7567370858</v>
      </c>
      <c r="H1373" s="17" t="n">
        <f aca="false">F1373-G1373</f>
        <v>45.8523106909051</v>
      </c>
      <c r="I1373" s="17" t="n">
        <f aca="false">H1373*2/10+I1372*8/10</f>
        <v>86.0665404654726</v>
      </c>
      <c r="J1373" s="17" t="n">
        <f aca="false">H1373-I1373</f>
        <v>-40.2142297745674</v>
      </c>
      <c r="K1373" s="17" t="n">
        <f aca="false">MAX(B1373-B1372,0)</f>
        <v>0</v>
      </c>
      <c r="L1373" s="17" t="n">
        <f aca="false">MAX(B1372-B1373,0)</f>
        <v>167.65</v>
      </c>
      <c r="M1373" s="17" t="n">
        <f aca="false">(M1372*13+K1373)/14</f>
        <v>85.8443367923784</v>
      </c>
      <c r="N1373" s="17" t="n">
        <f aca="false">(N1372*13+L1373)/14</f>
        <v>97.6057952735336</v>
      </c>
      <c r="O1373" s="17" t="n">
        <f aca="false">IF(N1373=0,100,100-100/(1+M1373/N1373))</f>
        <v>46.7943717595882</v>
      </c>
      <c r="P1373" s="17" t="n">
        <f aca="false">AVERAGE(B1354:B1373)+2*STDEV(B1354:B1373)</f>
        <v>16670.1811258975</v>
      </c>
      <c r="Q1373" s="17" t="n">
        <f aca="false">AVERAGE(B1354:B1373)-2*STDEV(B1354:B1373)</f>
        <v>15721.4268741025</v>
      </c>
      <c r="R1373" s="19" t="n">
        <f aca="false">B1373/B1353-1</f>
        <v>-0.0169385364985868</v>
      </c>
      <c r="S1373" s="17" t="n">
        <f aca="false">STDEV(C1354:C1373)*SQRT(252)*100</f>
        <v>22.7617813296406</v>
      </c>
      <c r="T1373" s="19" t="n">
        <f aca="false">B1352/B1122-1</f>
        <v>0.286122014112506</v>
      </c>
      <c r="U1373" s="19" t="n">
        <f aca="false">B1373/MAX(B1122:B1373)-1</f>
        <v>-0.0397288657566912</v>
      </c>
      <c r="V1373" s="17" t="n">
        <f aca="false">(B1373-AVERAGE(B1354:B1373))/STDEV(B1354:B1373)</f>
        <v>-1.18430668202462</v>
      </c>
    </row>
    <row r="1374" customFormat="false" ht="15" hidden="false" customHeight="false" outlineLevel="0" collapsed="false">
      <c r="A1374" s="17" t="s">
        <v>1938</v>
      </c>
      <c r="B1374" s="17" t="n">
        <v>16289.59</v>
      </c>
      <c r="C1374" s="19" t="n">
        <f aca="false">B1374/B1373-1</f>
        <v>0.0235433461724548</v>
      </c>
      <c r="D1374" s="17" t="n">
        <f aca="false">AVERAGE(B1325:B1374)</f>
        <v>15839.5334</v>
      </c>
      <c r="E1374" s="17" t="n">
        <f aca="false">AVERAGE(B1175:B1374)</f>
        <v>14650.8698</v>
      </c>
      <c r="F1374" s="17" t="n">
        <f aca="false">B1374*2/13+F1373*11/13</f>
        <v>16146.6061173496</v>
      </c>
      <c r="G1374" s="17" t="n">
        <f aca="false">B1374*2/27+G1373*25/27</f>
        <v>16090.6703121165</v>
      </c>
      <c r="H1374" s="17" t="n">
        <f aca="false">F1374-G1374</f>
        <v>55.9358052330354</v>
      </c>
      <c r="I1374" s="17" t="n">
        <f aca="false">H1374*2/10+I1373*8/10</f>
        <v>80.0403934189852</v>
      </c>
      <c r="J1374" s="17" t="n">
        <f aca="false">H1374-I1374</f>
        <v>-24.1045881859498</v>
      </c>
      <c r="K1374" s="17" t="n">
        <f aca="false">MAX(B1374-B1373,0)</f>
        <v>374.690000000001</v>
      </c>
      <c r="L1374" s="17" t="n">
        <f aca="false">MAX(B1373-B1374,0)</f>
        <v>0</v>
      </c>
      <c r="M1374" s="17" t="n">
        <f aca="false">(M1373*13+K1374)/14</f>
        <v>106.476169878637</v>
      </c>
      <c r="N1374" s="17" t="n">
        <f aca="false">(N1373*13+L1374)/14</f>
        <v>90.6339527539954</v>
      </c>
      <c r="O1374" s="17" t="n">
        <f aca="false">IF(N1374=0,100,100-100/(1+M1374/N1374))</f>
        <v>54.0186208889352</v>
      </c>
      <c r="P1374" s="17" t="n">
        <f aca="false">AVERAGE(B1355:B1374)+2*STDEV(B1355:B1374)</f>
        <v>16668.2363933608</v>
      </c>
      <c r="Q1374" s="17" t="n">
        <f aca="false">AVERAGE(B1355:B1374)-2*STDEV(B1355:B1374)</f>
        <v>15721.3536066393</v>
      </c>
      <c r="R1374" s="19" t="n">
        <f aca="false">B1374/B1354-1</f>
        <v>-0.00123729519177773</v>
      </c>
      <c r="S1374" s="17" t="n">
        <f aca="false">STDEV(C1355:C1374)*SQRT(252)*100</f>
        <v>24.202482700628</v>
      </c>
      <c r="T1374" s="19" t="n">
        <f aca="false">B1353/B1123-1</f>
        <v>0.277937758916843</v>
      </c>
      <c r="U1374" s="19" t="n">
        <f aca="false">B1374/MAX(B1123:B1374)-1</f>
        <v>-0.0171208700237852</v>
      </c>
      <c r="V1374" s="17" t="n">
        <f aca="false">(B1374-AVERAGE(B1355:B1374))/STDEV(B1355:B1374)</f>
        <v>0.400450832264964</v>
      </c>
    </row>
    <row r="1375" customFormat="false" ht="15" hidden="false" customHeight="false" outlineLevel="0" collapsed="false">
      <c r="A1375" s="17" t="s">
        <v>1939</v>
      </c>
      <c r="B1375" s="17" t="n">
        <v>15863.94</v>
      </c>
      <c r="C1375" s="19" t="n">
        <f aca="false">B1375/B1374-1</f>
        <v>-0.0261301849831702</v>
      </c>
      <c r="D1375" s="17" t="n">
        <f aca="false">AVERAGE(B1326:B1375)</f>
        <v>15861.4772</v>
      </c>
      <c r="E1375" s="17" t="n">
        <f aca="false">AVERAGE(B1176:B1375)</f>
        <v>14667.8695</v>
      </c>
      <c r="F1375" s="17" t="n">
        <f aca="false">B1375*2/13+F1374*11/13</f>
        <v>16103.1190223727</v>
      </c>
      <c r="G1375" s="17" t="n">
        <f aca="false">B1375*2/27+G1374*25/27</f>
        <v>16073.875474182</v>
      </c>
      <c r="H1375" s="17" t="n">
        <f aca="false">F1375-G1375</f>
        <v>29.2435481907396</v>
      </c>
      <c r="I1375" s="17" t="n">
        <f aca="false">H1375*2/10+I1374*8/10</f>
        <v>69.8810243733361</v>
      </c>
      <c r="J1375" s="17" t="n">
        <f aca="false">H1375-I1375</f>
        <v>-40.6374761825964</v>
      </c>
      <c r="K1375" s="17" t="n">
        <f aca="false">MAX(B1375-B1374,0)</f>
        <v>0</v>
      </c>
      <c r="L1375" s="17" t="n">
        <f aca="false">MAX(B1374-B1375,0)</f>
        <v>425.65</v>
      </c>
      <c r="M1375" s="17" t="n">
        <f aca="false">(M1374*13+K1375)/14</f>
        <v>98.8707291730202</v>
      </c>
      <c r="N1375" s="17" t="n">
        <f aca="false">(N1374*13+L1375)/14</f>
        <v>114.563670414424</v>
      </c>
      <c r="O1375" s="17" t="n">
        <f aca="false">IF(N1375=0,100,100-100/(1+M1375/N1375))</f>
        <v>46.3237085325192</v>
      </c>
      <c r="P1375" s="17" t="n">
        <f aca="false">AVERAGE(B1356:B1375)+2*STDEV(B1356:B1375)</f>
        <v>16664.9444493432</v>
      </c>
      <c r="Q1375" s="17" t="n">
        <f aca="false">AVERAGE(B1356:B1375)-2*STDEV(B1356:B1375)</f>
        <v>15680.2325506568</v>
      </c>
      <c r="R1375" s="19" t="n">
        <f aca="false">B1375/B1355-1</f>
        <v>-0.0272337560483859</v>
      </c>
      <c r="S1375" s="17" t="n">
        <f aca="false">STDEV(C1356:C1375)*SQRT(252)*100</f>
        <v>25.9260115448575</v>
      </c>
      <c r="T1375" s="19" t="n">
        <f aca="false">B1354/B1124-1</f>
        <v>0.27899100223807</v>
      </c>
      <c r="U1375" s="19" t="n">
        <f aca="false">B1375/MAX(B1124:B1375)-1</f>
        <v>-0.042803683506161</v>
      </c>
      <c r="V1375" s="17" t="n">
        <f aca="false">(B1375-AVERAGE(B1356:B1375))/STDEV(B1356:B1375)</f>
        <v>-1.25376163489732</v>
      </c>
    </row>
    <row r="1376" customFormat="false" ht="15" hidden="false" customHeight="false" outlineLevel="0" collapsed="false">
      <c r="A1376" s="17" t="s">
        <v>1940</v>
      </c>
      <c r="B1376" s="17" t="n">
        <v>15801.46</v>
      </c>
      <c r="C1376" s="19" t="n">
        <f aca="false">B1376/B1375-1</f>
        <v>-0.00393849195092777</v>
      </c>
      <c r="D1376" s="17" t="n">
        <f aca="false">AVERAGE(B1327:B1376)</f>
        <v>15879.5638</v>
      </c>
      <c r="E1376" s="17" t="n">
        <f aca="false">AVERAGE(B1177:B1376)</f>
        <v>14683.53425</v>
      </c>
      <c r="F1376" s="17" t="n">
        <f aca="false">B1376*2/13+F1375*11/13</f>
        <v>16056.7099420077</v>
      </c>
      <c r="G1376" s="17" t="n">
        <f aca="false">B1376*2/27+G1375*25/27</f>
        <v>16053.6965501685</v>
      </c>
      <c r="H1376" s="17" t="n">
        <f aca="false">F1376-G1376</f>
        <v>3.01339183918572</v>
      </c>
      <c r="I1376" s="17" t="n">
        <f aca="false">H1376*2/10+I1375*8/10</f>
        <v>56.507497866506</v>
      </c>
      <c r="J1376" s="17" t="n">
        <f aca="false">H1376-I1376</f>
        <v>-53.4941060273203</v>
      </c>
      <c r="K1376" s="17" t="n">
        <f aca="false">MAX(B1376-B1375,0)</f>
        <v>0</v>
      </c>
      <c r="L1376" s="17" t="n">
        <f aca="false">MAX(B1375-B1376,0)</f>
        <v>62.4800000000014</v>
      </c>
      <c r="M1376" s="17" t="n">
        <f aca="false">(M1375*13+K1376)/14</f>
        <v>91.8085342320902</v>
      </c>
      <c r="N1376" s="17" t="n">
        <f aca="false">(N1375*13+L1376)/14</f>
        <v>110.843408241966</v>
      </c>
      <c r="O1376" s="17" t="n">
        <f aca="false">IF(N1376=0,100,100-100/(1+M1376/N1376))</f>
        <v>45.3035550072972</v>
      </c>
      <c r="P1376" s="17" t="n">
        <f aca="false">AVERAGE(B1357:B1376)+2*STDEV(B1357:B1376)</f>
        <v>16634.739858778</v>
      </c>
      <c r="Q1376" s="17" t="n">
        <f aca="false">AVERAGE(B1357:B1376)-2*STDEV(B1357:B1376)</f>
        <v>15642.2861412221</v>
      </c>
      <c r="R1376" s="19" t="n">
        <f aca="false">B1376/B1356-1</f>
        <v>-0.0413463107680231</v>
      </c>
      <c r="S1376" s="17" t="n">
        <f aca="false">STDEV(C1357:C1376)*SQRT(252)*100</f>
        <v>25.5472080766261</v>
      </c>
      <c r="T1376" s="19" t="n">
        <f aca="false">B1355/B1125-1</f>
        <v>0.280251181879986</v>
      </c>
      <c r="U1376" s="19" t="n">
        <f aca="false">B1376/MAX(B1125:B1376)-1</f>
        <v>-0.0465735934941298</v>
      </c>
      <c r="V1376" s="17" t="n">
        <f aca="false">(B1376-AVERAGE(B1357:B1376))/STDEV(B1357:B1376)</f>
        <v>-1.35846334811484</v>
      </c>
    </row>
    <row r="1377" customFormat="false" ht="15" hidden="false" customHeight="false" outlineLevel="0" collapsed="false">
      <c r="A1377" s="17" t="s">
        <v>1941</v>
      </c>
      <c r="B1377" s="17" t="n">
        <v>15627.64</v>
      </c>
      <c r="C1377" s="19" t="n">
        <f aca="false">B1377/B1376-1</f>
        <v>-0.011000249344048</v>
      </c>
      <c r="D1377" s="17" t="n">
        <f aca="false">AVERAGE(B1328:B1377)</f>
        <v>15895.7016</v>
      </c>
      <c r="E1377" s="17" t="n">
        <f aca="false">AVERAGE(B1178:B1377)</f>
        <v>14700.17705</v>
      </c>
      <c r="F1377" s="17" t="n">
        <f aca="false">B1377*2/13+F1376*11/13</f>
        <v>15990.6991816988</v>
      </c>
      <c r="G1377" s="17" t="n">
        <f aca="false">B1377*2/27+G1376*25/27</f>
        <v>16022.1368057116</v>
      </c>
      <c r="H1377" s="17" t="n">
        <f aca="false">F1377-G1377</f>
        <v>-31.4376240127622</v>
      </c>
      <c r="I1377" s="17" t="n">
        <f aca="false">H1377*2/10+I1376*8/10</f>
        <v>38.9184734906524</v>
      </c>
      <c r="J1377" s="17" t="n">
        <f aca="false">H1377-I1377</f>
        <v>-70.3560975034145</v>
      </c>
      <c r="K1377" s="17" t="n">
        <f aca="false">MAX(B1377-B1376,0)</f>
        <v>0</v>
      </c>
      <c r="L1377" s="17" t="n">
        <f aca="false">MAX(B1376-B1377,0)</f>
        <v>173.82</v>
      </c>
      <c r="M1377" s="17" t="n">
        <f aca="false">(M1376*13+K1377)/14</f>
        <v>85.2507817869409</v>
      </c>
      <c r="N1377" s="17" t="n">
        <f aca="false">(N1376*13+L1377)/14</f>
        <v>115.341736224682</v>
      </c>
      <c r="O1377" s="17" t="n">
        <f aca="false">IF(N1377=0,100,100-100/(1+M1377/N1377))</f>
        <v>42.4994823495865</v>
      </c>
      <c r="P1377" s="17" t="n">
        <f aca="false">AVERAGE(B1358:B1377)+2*STDEV(B1358:B1377)</f>
        <v>16593.1914041431</v>
      </c>
      <c r="Q1377" s="17" t="n">
        <f aca="false">AVERAGE(B1358:B1377)-2*STDEV(B1358:B1377)</f>
        <v>15589.2645958569</v>
      </c>
      <c r="R1377" s="19" t="n">
        <f aca="false">B1377/B1357-1</f>
        <v>-0.0570615216968939</v>
      </c>
      <c r="S1377" s="17" t="n">
        <f aca="false">STDEV(C1358:C1377)*SQRT(252)*100</f>
        <v>25.5780296218488</v>
      </c>
      <c r="T1377" s="19" t="n">
        <f aca="false">B1356/B1126-1</f>
        <v>0.298867793094862</v>
      </c>
      <c r="U1377" s="19" t="n">
        <f aca="false">B1377/MAX(B1126:B1377)-1</f>
        <v>-0.0570615216968939</v>
      </c>
      <c r="V1377" s="17" t="n">
        <f aca="false">(B1377-AVERAGE(B1358:B1377))/STDEV(B1358:B1377)</f>
        <v>-1.8470987971379</v>
      </c>
    </row>
    <row r="1378" customFormat="false" ht="15" hidden="false" customHeight="false" outlineLevel="0" collapsed="false">
      <c r="A1378" s="17" t="s">
        <v>1942</v>
      </c>
      <c r="B1378" s="17" t="n">
        <v>15986.28</v>
      </c>
      <c r="C1378" s="19" t="n">
        <f aca="false">B1378/B1377-1</f>
        <v>0.022949082523017</v>
      </c>
      <c r="D1378" s="17" t="n">
        <f aca="false">AVERAGE(B1329:B1378)</f>
        <v>15921.1526</v>
      </c>
      <c r="E1378" s="17" t="n">
        <f aca="false">AVERAGE(B1179:B1378)</f>
        <v>14716.136</v>
      </c>
      <c r="F1378" s="17" t="n">
        <f aca="false">B1378*2/13+F1377*11/13</f>
        <v>15990.0193075913</v>
      </c>
      <c r="G1378" s="17" t="n">
        <f aca="false">B1378*2/27+G1377*25/27</f>
        <v>16019.4807460292</v>
      </c>
      <c r="H1378" s="17" t="n">
        <f aca="false">F1378-G1378</f>
        <v>-29.4614384379347</v>
      </c>
      <c r="I1378" s="17" t="n">
        <f aca="false">H1378*2/10+I1377*8/10</f>
        <v>25.2424911049349</v>
      </c>
      <c r="J1378" s="17" t="n">
        <f aca="false">H1378-I1378</f>
        <v>-54.7039295428696</v>
      </c>
      <c r="K1378" s="17" t="n">
        <f aca="false">MAX(B1378-B1377,0)</f>
        <v>358.640000000001</v>
      </c>
      <c r="L1378" s="17" t="n">
        <f aca="false">MAX(B1377-B1378,0)</f>
        <v>0</v>
      </c>
      <c r="M1378" s="17" t="n">
        <f aca="false">(M1377*13+K1378)/14</f>
        <v>104.778583087874</v>
      </c>
      <c r="N1378" s="17" t="n">
        <f aca="false">(N1377*13+L1378)/14</f>
        <v>107.103040780062</v>
      </c>
      <c r="O1378" s="17" t="n">
        <f aca="false">IF(N1378=0,100,100-100/(1+M1378/N1378))</f>
        <v>49.4514725605376</v>
      </c>
      <c r="P1378" s="17" t="n">
        <f aca="false">AVERAGE(B1359:B1378)+2*STDEV(B1359:B1378)</f>
        <v>16556.2312228791</v>
      </c>
      <c r="Q1378" s="17" t="n">
        <f aca="false">AVERAGE(B1359:B1378)-2*STDEV(B1359:B1378)</f>
        <v>15586.7547771209</v>
      </c>
      <c r="R1378" s="19" t="n">
        <f aca="false">B1378/B1358-1</f>
        <v>-0.0240950175142146</v>
      </c>
      <c r="S1378" s="17" t="n">
        <f aca="false">STDEV(C1359:C1378)*SQRT(252)*100</f>
        <v>26.9084255507622</v>
      </c>
      <c r="T1378" s="19" t="n">
        <f aca="false">B1357/B1127-1</f>
        <v>0.303185516718616</v>
      </c>
      <c r="U1378" s="19" t="n">
        <f aca="false">B1378/MAX(B1127:B1378)-1</f>
        <v>-0.0354219487441879</v>
      </c>
      <c r="V1378" s="17" t="n">
        <f aca="false">(B1378-AVERAGE(B1359:B1378))/STDEV(B1359:B1378)</f>
        <v>-0.351583580489583</v>
      </c>
    </row>
    <row r="1379" customFormat="false" ht="15" hidden="false" customHeight="false" outlineLevel="0" collapsed="false">
      <c r="A1379" s="17" t="s">
        <v>1943</v>
      </c>
      <c r="B1379" s="17" t="n">
        <v>16180.14</v>
      </c>
      <c r="C1379" s="19" t="n">
        <f aca="false">B1379/B1378-1</f>
        <v>0.0121266486011755</v>
      </c>
      <c r="D1379" s="17" t="n">
        <f aca="false">AVERAGE(B1330:B1379)</f>
        <v>15951.5132</v>
      </c>
      <c r="E1379" s="17" t="n">
        <f aca="false">AVERAGE(B1180:B1379)</f>
        <v>14733.27635</v>
      </c>
      <c r="F1379" s="17" t="n">
        <f aca="false">B1379*2/13+F1378*11/13</f>
        <v>16019.2686448849</v>
      </c>
      <c r="G1379" s="17" t="n">
        <f aca="false">B1379*2/27+G1378*25/27</f>
        <v>16031.3814315085</v>
      </c>
      <c r="H1379" s="17" t="n">
        <f aca="false">F1379-G1379</f>
        <v>-12.112786623602</v>
      </c>
      <c r="I1379" s="17" t="n">
        <f aca="false">H1379*2/10+I1378*8/10</f>
        <v>17.7714355592276</v>
      </c>
      <c r="J1379" s="17" t="n">
        <f aca="false">H1379-I1379</f>
        <v>-29.8842221828296</v>
      </c>
      <c r="K1379" s="17" t="n">
        <f aca="false">MAX(B1379-B1378,0)</f>
        <v>193.859999999999</v>
      </c>
      <c r="L1379" s="17" t="n">
        <f aca="false">MAX(B1378-B1379,0)</f>
        <v>0</v>
      </c>
      <c r="M1379" s="17" t="n">
        <f aca="false">(M1378*13+K1379)/14</f>
        <v>111.14154143874</v>
      </c>
      <c r="N1379" s="17" t="n">
        <f aca="false">(N1378*13+L1379)/14</f>
        <v>99.4528235814862</v>
      </c>
      <c r="O1379" s="17" t="n">
        <f aca="false">IF(N1379=0,100,100-100/(1+M1379/N1379))</f>
        <v>52.7751734611064</v>
      </c>
      <c r="P1379" s="17" t="n">
        <f aca="false">AVERAGE(B1360:B1379)+2*STDEV(B1360:B1379)</f>
        <v>16540.17851317</v>
      </c>
      <c r="Q1379" s="17" t="n">
        <f aca="false">AVERAGE(B1360:B1379)-2*STDEV(B1360:B1379)</f>
        <v>15590.14948683</v>
      </c>
      <c r="R1379" s="19" t="n">
        <f aca="false">B1379/B1359-1</f>
        <v>-0.00776244394948833</v>
      </c>
      <c r="S1379" s="17" t="n">
        <f aca="false">STDEV(C1360:C1379)*SQRT(252)*100</f>
        <v>27.2724407718402</v>
      </c>
      <c r="T1379" s="19" t="n">
        <f aca="false">B1358/B1128-1</f>
        <v>0.294617778669959</v>
      </c>
      <c r="U1379" s="19" t="n">
        <f aca="false">B1379/MAX(B1128:B1379)-1</f>
        <v>-0.0237248496682021</v>
      </c>
      <c r="V1379" s="17" t="n">
        <f aca="false">(B1379-AVERAGE(B1360:B1379))/STDEV(B1360:B1379)</f>
        <v>0.484094682634918</v>
      </c>
    </row>
    <row r="1380" customFormat="false" ht="15" hidden="false" customHeight="false" outlineLevel="0" collapsed="false">
      <c r="A1380" s="17" t="s">
        <v>1944</v>
      </c>
      <c r="B1380" s="17" t="n">
        <v>16308.21</v>
      </c>
      <c r="C1380" s="19" t="n">
        <f aca="false">B1380/B1379-1</f>
        <v>0.0079152590768683</v>
      </c>
      <c r="D1380" s="17" t="n">
        <f aca="false">AVERAGE(B1331:B1380)</f>
        <v>15982.1854</v>
      </c>
      <c r="E1380" s="17" t="n">
        <f aca="false">AVERAGE(B1181:B1380)</f>
        <v>14749.5529</v>
      </c>
      <c r="F1380" s="17" t="n">
        <f aca="false">B1380*2/13+F1379*11/13</f>
        <v>16063.7211610565</v>
      </c>
      <c r="G1380" s="17" t="n">
        <f aca="false">B1380*2/27+G1379*25/27</f>
        <v>16051.8872513968</v>
      </c>
      <c r="H1380" s="17" t="n">
        <f aca="false">F1380-G1380</f>
        <v>11.8339096596901</v>
      </c>
      <c r="I1380" s="17" t="n">
        <f aca="false">H1380*2/10+I1379*8/10</f>
        <v>16.5839303793201</v>
      </c>
      <c r="J1380" s="17" t="n">
        <f aca="false">H1380-I1380</f>
        <v>-4.75002071962996</v>
      </c>
      <c r="K1380" s="17" t="n">
        <f aca="false">MAX(B1380-B1379,0)</f>
        <v>128.07</v>
      </c>
      <c r="L1380" s="17" t="n">
        <f aca="false">MAX(B1379-B1380,0)</f>
        <v>0</v>
      </c>
      <c r="M1380" s="17" t="n">
        <f aca="false">(M1379*13+K1380)/14</f>
        <v>112.350717050258</v>
      </c>
      <c r="N1380" s="17" t="n">
        <f aca="false">(N1379*13+L1380)/14</f>
        <v>92.3490504685229</v>
      </c>
      <c r="O1380" s="17" t="n">
        <f aca="false">IF(N1380=0,100,100-100/(1+M1380/N1380))</f>
        <v>54.8856104782582</v>
      </c>
      <c r="P1380" s="17" t="n">
        <f aca="false">AVERAGE(B1361:B1380)+2*STDEV(B1361:B1380)</f>
        <v>16529.8958749784</v>
      </c>
      <c r="Q1380" s="17" t="n">
        <f aca="false">AVERAGE(B1361:B1380)-2*STDEV(B1361:B1380)</f>
        <v>15594.4721250216</v>
      </c>
      <c r="R1380" s="19" t="n">
        <f aca="false">B1380/B1360-1</f>
        <v>-0.00364129349008824</v>
      </c>
      <c r="S1380" s="17" t="n">
        <f aca="false">STDEV(C1361:C1380)*SQRT(252)*100</f>
        <v>27.3933384631743</v>
      </c>
      <c r="T1380" s="19" t="n">
        <f aca="false">B1359/B1129-1</f>
        <v>0.282881533410799</v>
      </c>
      <c r="U1380" s="19" t="n">
        <f aca="false">B1380/MAX(B1129:B1380)-1</f>
        <v>-0.0159973789230173</v>
      </c>
      <c r="V1380" s="17" t="n">
        <f aca="false">(B1380-AVERAGE(B1361:B1380))/STDEV(B1361:B1380)</f>
        <v>1.0520408531914</v>
      </c>
    </row>
    <row r="1381" customFormat="false" ht="15" hidden="false" customHeight="false" outlineLevel="0" collapsed="false">
      <c r="A1381" s="17" t="s">
        <v>1945</v>
      </c>
      <c r="B1381" s="17" t="n">
        <v>16567.5</v>
      </c>
      <c r="C1381" s="19" t="n">
        <f aca="false">B1381/B1380-1</f>
        <v>0.0158993537610812</v>
      </c>
      <c r="D1381" s="17" t="n">
        <f aca="false">AVERAGE(B1332:B1381)</f>
        <v>16012.487</v>
      </c>
      <c r="E1381" s="17" t="n">
        <f aca="false">AVERAGE(B1182:B1381)</f>
        <v>14767.70395</v>
      </c>
      <c r="F1381" s="17" t="n">
        <f aca="false">B1381*2/13+F1380*11/13</f>
        <v>16141.225597817</v>
      </c>
      <c r="G1381" s="17" t="n">
        <f aca="false">B1381*2/27+G1380*25/27</f>
        <v>16090.0807883304</v>
      </c>
      <c r="H1381" s="17" t="n">
        <f aca="false">F1381-G1381</f>
        <v>51.1448094866591</v>
      </c>
      <c r="I1381" s="17" t="n">
        <f aca="false">H1381*2/10+I1380*8/10</f>
        <v>23.4961062007879</v>
      </c>
      <c r="J1381" s="17" t="n">
        <f aca="false">H1381-I1381</f>
        <v>27.6487032858713</v>
      </c>
      <c r="K1381" s="17" t="n">
        <f aca="false">MAX(B1381-B1380,0)</f>
        <v>259.290000000001</v>
      </c>
      <c r="L1381" s="17" t="n">
        <f aca="false">MAX(B1380-B1381,0)</f>
        <v>0</v>
      </c>
      <c r="M1381" s="17" t="n">
        <f aca="false">(M1380*13+K1381)/14</f>
        <v>122.846380118097</v>
      </c>
      <c r="N1381" s="17" t="n">
        <f aca="false">(N1380*13+L1381)/14</f>
        <v>85.7526897207713</v>
      </c>
      <c r="O1381" s="17" t="n">
        <f aca="false">IF(N1381=0,100,100-100/(1+M1381/N1381))</f>
        <v>58.8911447270543</v>
      </c>
      <c r="P1381" s="17" t="n">
        <f aca="false">AVERAGE(B1362:B1381)+2*STDEV(B1362:B1381)</f>
        <v>16608.0648013843</v>
      </c>
      <c r="Q1381" s="17" t="n">
        <f aca="false">AVERAGE(B1362:B1381)-2*STDEV(B1362:B1381)</f>
        <v>15570.4951986157</v>
      </c>
      <c r="R1381" s="19" t="n">
        <f aca="false">B1381/B1361-1</f>
        <v>0.0338159367710873</v>
      </c>
      <c r="S1381" s="17" t="n">
        <f aca="false">STDEV(C1362:C1381)*SQRT(252)*100</f>
        <v>26.7835364909466</v>
      </c>
      <c r="T1381" s="19" t="n">
        <f aca="false">B1360/B1130-1</f>
        <v>0.274864746558495</v>
      </c>
      <c r="U1381" s="19" t="n">
        <f aca="false">B1381/MAX(B1130:B1381)-1</f>
        <v>-0.000352373148683416</v>
      </c>
      <c r="V1381" s="17" t="n">
        <f aca="false">(B1381-AVERAGE(B1362:B1381))/STDEV(B1362:B1381)</f>
        <v>1.84361607635352</v>
      </c>
    </row>
    <row r="1382" customFormat="false" ht="15" hidden="false" customHeight="false" outlineLevel="0" collapsed="false">
      <c r="A1382" s="17" t="s">
        <v>1946</v>
      </c>
      <c r="B1382" s="17" t="n">
        <v>16488.66</v>
      </c>
      <c r="C1382" s="19" t="n">
        <f aca="false">B1382/B1381-1</f>
        <v>-0.00475871435038477</v>
      </c>
      <c r="D1382" s="17" t="n">
        <f aca="false">AVERAGE(B1333:B1382)</f>
        <v>16039.3218</v>
      </c>
      <c r="E1382" s="17" t="n">
        <f aca="false">AVERAGE(B1183:B1382)</f>
        <v>14784.73455</v>
      </c>
      <c r="F1382" s="17" t="n">
        <f aca="false">B1382*2/13+F1381*11/13</f>
        <v>16194.6770443067</v>
      </c>
      <c r="G1382" s="17" t="n">
        <f aca="false">B1382*2/27+G1381*25/27</f>
        <v>16119.60517438</v>
      </c>
      <c r="H1382" s="17" t="n">
        <f aca="false">F1382-G1382</f>
        <v>75.0718699267454</v>
      </c>
      <c r="I1382" s="17" t="n">
        <f aca="false">H1382*2/10+I1381*8/10</f>
        <v>33.8112589459794</v>
      </c>
      <c r="J1382" s="17" t="n">
        <f aca="false">H1382-I1382</f>
        <v>41.260610980766</v>
      </c>
      <c r="K1382" s="17" t="n">
        <f aca="false">MAX(B1382-B1381,0)</f>
        <v>0</v>
      </c>
      <c r="L1382" s="17" t="n">
        <f aca="false">MAX(B1381-B1382,0)</f>
        <v>78.8400000000002</v>
      </c>
      <c r="M1382" s="17" t="n">
        <f aca="false">(M1381*13+K1382)/14</f>
        <v>114.07163868109</v>
      </c>
      <c r="N1382" s="17" t="n">
        <f aca="false">(N1381*13+L1382)/14</f>
        <v>85.2589261692876</v>
      </c>
      <c r="O1382" s="17" t="n">
        <f aca="false">IF(N1382=0,100,100-100/(1+M1382/N1382))</f>
        <v>57.2273694035408</v>
      </c>
      <c r="P1382" s="17" t="n">
        <f aca="false">AVERAGE(B1363:B1382)+2*STDEV(B1363:B1382)</f>
        <v>16625.1708100976</v>
      </c>
      <c r="Q1382" s="17" t="n">
        <f aca="false">AVERAGE(B1363:B1382)-2*STDEV(B1363:B1382)</f>
        <v>15562.3311899024</v>
      </c>
      <c r="R1382" s="19" t="n">
        <f aca="false">B1382/B1362-1</f>
        <v>0.00545269171010343</v>
      </c>
      <c r="S1382" s="17" t="n">
        <f aca="false">STDEV(C1363:C1382)*SQRT(252)*100</f>
        <v>25.6208274395184</v>
      </c>
      <c r="T1382" s="19" t="n">
        <f aca="false">B1361/B1131-1</f>
        <v>0.247758981398358</v>
      </c>
      <c r="U1382" s="19" t="n">
        <f aca="false">B1382/MAX(B1131:B1382)-1</f>
        <v>-0.00510941065590886</v>
      </c>
      <c r="V1382" s="17" t="n">
        <f aca="false">(B1382-AVERAGE(B1363:B1382))/STDEV(B1363:B1382)</f>
        <v>1.48624116939654</v>
      </c>
    </row>
    <row r="1383" customFormat="false" ht="15" hidden="false" customHeight="false" outlineLevel="0" collapsed="false">
      <c r="A1383" s="17" t="s">
        <v>1947</v>
      </c>
      <c r="B1383" s="17" t="n">
        <v>16491.01</v>
      </c>
      <c r="C1383" s="19" t="n">
        <f aca="false">B1383/B1382-1</f>
        <v>0.000142522194041206</v>
      </c>
      <c r="D1383" s="17" t="n">
        <f aca="false">AVERAGE(B1334:B1383)</f>
        <v>16063.1242</v>
      </c>
      <c r="E1383" s="17" t="n">
        <f aca="false">AVERAGE(B1184:B1383)</f>
        <v>14801.4282</v>
      </c>
      <c r="F1383" s="17" t="n">
        <f aca="false">B1383*2/13+F1382*11/13</f>
        <v>16240.266729798</v>
      </c>
      <c r="G1383" s="17" t="n">
        <f aca="false">B1383*2/27+G1382*25/27</f>
        <v>16147.1166429444</v>
      </c>
      <c r="H1383" s="17" t="n">
        <f aca="false">F1383-G1383</f>
        <v>93.1500868535732</v>
      </c>
      <c r="I1383" s="17" t="n">
        <f aca="false">H1383*2/10+I1382*8/10</f>
        <v>45.6790245274981</v>
      </c>
      <c r="J1383" s="17" t="n">
        <f aca="false">H1383-I1383</f>
        <v>47.471062326075</v>
      </c>
      <c r="K1383" s="17" t="n">
        <f aca="false">MAX(B1383-B1382,0)</f>
        <v>2.34999999999855</v>
      </c>
      <c r="L1383" s="17" t="n">
        <f aca="false">MAX(B1382-B1383,0)</f>
        <v>0</v>
      </c>
      <c r="M1383" s="17" t="n">
        <f aca="false">(M1382*13+K1383)/14</f>
        <v>106.091521632441</v>
      </c>
      <c r="N1383" s="17" t="n">
        <f aca="false">(N1382*13+L1383)/14</f>
        <v>79.1690028714814</v>
      </c>
      <c r="O1383" s="17" t="n">
        <f aca="false">IF(N1383=0,100,100-100/(1+M1383/N1383))</f>
        <v>57.2661239713778</v>
      </c>
      <c r="P1383" s="17" t="n">
        <f aca="false">AVERAGE(B1364:B1383)+2*STDEV(B1364:B1383)</f>
        <v>16671.7996637719</v>
      </c>
      <c r="Q1383" s="17" t="n">
        <f aca="false">AVERAGE(B1364:B1383)-2*STDEV(B1364:B1383)</f>
        <v>15551.2113362281</v>
      </c>
      <c r="R1383" s="19" t="n">
        <f aca="false">B1383/B1363-1</f>
        <v>0.0220061824798337</v>
      </c>
      <c r="S1383" s="17" t="n">
        <f aca="false">STDEV(C1364:C1383)*SQRT(252)*100</f>
        <v>24.8755876751326</v>
      </c>
      <c r="T1383" s="19" t="n">
        <f aca="false">B1362/B1132-1</f>
        <v>0.276666438309242</v>
      </c>
      <c r="U1383" s="19" t="n">
        <f aca="false">B1383/MAX(B1132:B1383)-1</f>
        <v>-0.00496761666628465</v>
      </c>
      <c r="V1383" s="17" t="n">
        <f aca="false">(B1383-AVERAGE(B1364:B1383))/STDEV(B1364:B1383)</f>
        <v>1.35466162076428</v>
      </c>
    </row>
    <row r="1384" customFormat="false" ht="15" hidden="false" customHeight="false" outlineLevel="0" collapsed="false">
      <c r="A1384" s="17" t="s">
        <v>1948</v>
      </c>
      <c r="B1384" s="17" t="n">
        <v>16429.1</v>
      </c>
      <c r="C1384" s="19" t="n">
        <f aca="false">B1384/B1383-1</f>
        <v>-0.00375416666414008</v>
      </c>
      <c r="D1384" s="17" t="n">
        <f aca="false">AVERAGE(B1335:B1384)</f>
        <v>16083.4918</v>
      </c>
      <c r="E1384" s="17" t="n">
        <f aca="false">AVERAGE(B1185:B1384)</f>
        <v>14817.5618</v>
      </c>
      <c r="F1384" s="17" t="n">
        <f aca="false">B1384*2/13+F1383*11/13</f>
        <v>16269.3180021368</v>
      </c>
      <c r="G1384" s="17" t="n">
        <f aca="false">B1384*2/27+G1383*25/27</f>
        <v>16168.0042990226</v>
      </c>
      <c r="H1384" s="17" t="n">
        <f aca="false">F1384-G1384</f>
        <v>101.31370311415</v>
      </c>
      <c r="I1384" s="17" t="n">
        <f aca="false">H1384*2/10+I1383*8/10</f>
        <v>56.8059602448286</v>
      </c>
      <c r="J1384" s="17" t="n">
        <f aca="false">H1384-I1384</f>
        <v>44.5077428693219</v>
      </c>
      <c r="K1384" s="17" t="n">
        <f aca="false">MAX(B1384-B1383,0)</f>
        <v>0</v>
      </c>
      <c r="L1384" s="17" t="n">
        <f aca="false">MAX(B1383-B1384,0)</f>
        <v>61.9099999999999</v>
      </c>
      <c r="M1384" s="17" t="n">
        <f aca="false">(M1383*13+K1384)/14</f>
        <v>98.5135558015522</v>
      </c>
      <c r="N1384" s="17" t="n">
        <f aca="false">(N1383*13+L1384)/14</f>
        <v>77.9362169520898</v>
      </c>
      <c r="O1384" s="17" t="n">
        <f aca="false">IF(N1384=0,100,100-100/(1+M1384/N1384))</f>
        <v>55.8309337916214</v>
      </c>
      <c r="P1384" s="17" t="n">
        <f aca="false">AVERAGE(B1365:B1384)+2*STDEV(B1365:B1384)</f>
        <v>16705.1645009335</v>
      </c>
      <c r="Q1384" s="17" t="n">
        <f aca="false">AVERAGE(B1365:B1384)-2*STDEV(B1365:B1384)</f>
        <v>15572.9844990665</v>
      </c>
      <c r="R1384" s="19" t="n">
        <f aca="false">B1384/B1364-1</f>
        <v>0.0347266484104771</v>
      </c>
      <c r="S1384" s="17" t="n">
        <f aca="false">STDEV(C1365:C1384)*SQRT(252)*100</f>
        <v>24.1203884608324</v>
      </c>
      <c r="T1384" s="19" t="n">
        <f aca="false">B1363/B1133-1</f>
        <v>0.251983973035967</v>
      </c>
      <c r="U1384" s="19" t="n">
        <f aca="false">B1384/MAX(B1133:B1384)-1</f>
        <v>-0.00870313406953582</v>
      </c>
      <c r="V1384" s="17" t="n">
        <f aca="false">(B1384-AVERAGE(B1365:B1384))/STDEV(B1365:B1384)</f>
        <v>1.02466215450462</v>
      </c>
    </row>
    <row r="1385" customFormat="false" ht="15" hidden="false" customHeight="false" outlineLevel="0" collapsed="false">
      <c r="A1385" s="17" t="s">
        <v>1949</v>
      </c>
      <c r="B1385" s="17" t="n">
        <v>16320.08</v>
      </c>
      <c r="C1385" s="19" t="n">
        <f aca="false">B1385/B1384-1</f>
        <v>-0.00663578650078212</v>
      </c>
      <c r="D1385" s="17" t="n">
        <f aca="false">AVERAGE(B1336:B1385)</f>
        <v>16102.1192</v>
      </c>
      <c r="E1385" s="17" t="n">
        <f aca="false">AVERAGE(B1186:B1385)</f>
        <v>14835.2165</v>
      </c>
      <c r="F1385" s="17" t="n">
        <f aca="false">B1385*2/13+F1384*11/13</f>
        <v>16277.1275402696</v>
      </c>
      <c r="G1385" s="17" t="n">
        <f aca="false">B1385*2/27+G1384*25/27</f>
        <v>16179.2691657617</v>
      </c>
      <c r="H1385" s="17" t="n">
        <f aca="false">F1385-G1385</f>
        <v>97.8583745078886</v>
      </c>
      <c r="I1385" s="17" t="n">
        <f aca="false">H1385*2/10+I1384*8/10</f>
        <v>65.0164430974406</v>
      </c>
      <c r="J1385" s="17" t="n">
        <f aca="false">H1385-I1385</f>
        <v>32.841931410448</v>
      </c>
      <c r="K1385" s="17" t="n">
        <f aca="false">MAX(B1385-B1384,0)</f>
        <v>0</v>
      </c>
      <c r="L1385" s="17" t="n">
        <f aca="false">MAX(B1384-B1385,0)</f>
        <v>109.019999999999</v>
      </c>
      <c r="M1385" s="17" t="n">
        <f aca="false">(M1384*13+K1385)/14</f>
        <v>91.4768732442985</v>
      </c>
      <c r="N1385" s="17" t="n">
        <f aca="false">(N1384*13+L1385)/14</f>
        <v>80.1564871697976</v>
      </c>
      <c r="O1385" s="17" t="n">
        <f aca="false">IF(N1385=0,100,100-100/(1+M1385/N1385))</f>
        <v>53.2978396645001</v>
      </c>
      <c r="P1385" s="17" t="n">
        <f aca="false">AVERAGE(B1366:B1385)+2*STDEV(B1366:B1385)</f>
        <v>16722.6231896902</v>
      </c>
      <c r="Q1385" s="17" t="n">
        <f aca="false">AVERAGE(B1366:B1385)-2*STDEV(B1366:B1385)</f>
        <v>15588.4578103098</v>
      </c>
      <c r="R1385" s="19" t="n">
        <f aca="false">B1385/B1365-1</f>
        <v>0.0205943932621089</v>
      </c>
      <c r="S1385" s="17" t="n">
        <f aca="false">STDEV(C1366:C1385)*SQRT(252)*100</f>
        <v>24.2133954166165</v>
      </c>
      <c r="T1385" s="19" t="n">
        <f aca="false">B1364/B1134-1</f>
        <v>0.250740074960653</v>
      </c>
      <c r="U1385" s="19" t="n">
        <f aca="false">B1385/MAX(B1134:B1385)-1</f>
        <v>-0.0152811684307448</v>
      </c>
      <c r="V1385" s="17" t="n">
        <f aca="false">(B1385-AVERAGE(B1366:B1385))/STDEV(B1366:B1385)</f>
        <v>0.580301613825942</v>
      </c>
    </row>
    <row r="1386" customFormat="false" ht="15" hidden="false" customHeight="false" outlineLevel="0" collapsed="false">
      <c r="A1386" s="17" t="s">
        <v>1950</v>
      </c>
      <c r="B1386" s="17" t="n">
        <v>16501.77</v>
      </c>
      <c r="C1386" s="19" t="n">
        <f aca="false">B1386/B1385-1</f>
        <v>0.0111329111131808</v>
      </c>
      <c r="D1386" s="17" t="n">
        <f aca="false">AVERAGE(B1337:B1386)</f>
        <v>16122.3628</v>
      </c>
      <c r="E1386" s="17" t="n">
        <f aca="false">AVERAGE(B1187:B1386)</f>
        <v>14853.3904</v>
      </c>
      <c r="F1386" s="17" t="n">
        <f aca="false">B1386*2/13+F1385*11/13</f>
        <v>16311.6879186896</v>
      </c>
      <c r="G1386" s="17" t="n">
        <f aca="false">B1386*2/27+G1385*25/27</f>
        <v>16203.158116446</v>
      </c>
      <c r="H1386" s="17" t="n">
        <f aca="false">F1386-G1386</f>
        <v>108.529802243636</v>
      </c>
      <c r="I1386" s="17" t="n">
        <f aca="false">H1386*2/10+I1385*8/10</f>
        <v>73.7191149266798</v>
      </c>
      <c r="J1386" s="17" t="n">
        <f aca="false">H1386-I1386</f>
        <v>34.8106873169566</v>
      </c>
      <c r="K1386" s="17" t="n">
        <f aca="false">MAX(B1386-B1385,0)</f>
        <v>181.690000000001</v>
      </c>
      <c r="L1386" s="17" t="n">
        <f aca="false">MAX(B1385-B1386,0)</f>
        <v>0</v>
      </c>
      <c r="M1386" s="17" t="n">
        <f aca="false">(M1385*13+K1386)/14</f>
        <v>97.9206680125629</v>
      </c>
      <c r="N1386" s="17" t="n">
        <f aca="false">(N1385*13+L1386)/14</f>
        <v>74.4310238005263</v>
      </c>
      <c r="O1386" s="17" t="n">
        <f aca="false">IF(N1386=0,100,100-100/(1+M1386/N1386))</f>
        <v>56.8144513015603</v>
      </c>
      <c r="P1386" s="17" t="n">
        <f aca="false">AVERAGE(B1367:B1386)+2*STDEV(B1367:B1386)</f>
        <v>16741.6947409099</v>
      </c>
      <c r="Q1386" s="17" t="n">
        <f aca="false">AVERAGE(B1367:B1386)-2*STDEV(B1367:B1386)</f>
        <v>15648.3592590901</v>
      </c>
      <c r="R1386" s="19" t="n">
        <f aca="false">B1386/B1366-1</f>
        <v>0.0502627284553756</v>
      </c>
      <c r="S1386" s="17" t="n">
        <f aca="false">STDEV(C1367:C1386)*SQRT(252)*100</f>
        <v>23.4192426929524</v>
      </c>
      <c r="T1386" s="19" t="n">
        <f aca="false">B1365/B1135-1</f>
        <v>0.249045880531589</v>
      </c>
      <c r="U1386" s="19" t="n">
        <f aca="false">B1386/MAX(B1135:B1386)-1</f>
        <v>-0.00431838120740902</v>
      </c>
      <c r="V1386" s="17" t="n">
        <f aca="false">(B1386-AVERAGE(B1367:B1386))/STDEV(B1367:B1386)</f>
        <v>1.12222828253747</v>
      </c>
    </row>
    <row r="1387" customFormat="false" ht="15" hidden="false" customHeight="false" outlineLevel="0" collapsed="false">
      <c r="A1387" s="17" t="s">
        <v>1951</v>
      </c>
      <c r="B1387" s="17" t="n">
        <v>16279.73</v>
      </c>
      <c r="C1387" s="19" t="n">
        <f aca="false">B1387/B1386-1</f>
        <v>-0.0134555262859681</v>
      </c>
      <c r="D1387" s="17" t="n">
        <f aca="false">AVERAGE(B1338:B1387)</f>
        <v>16140.856</v>
      </c>
      <c r="E1387" s="17" t="n">
        <f aca="false">AVERAGE(B1188:B1387)</f>
        <v>14869.3565</v>
      </c>
      <c r="F1387" s="17" t="n">
        <f aca="false">B1387*2/13+F1386*11/13</f>
        <v>16306.7713158143</v>
      </c>
      <c r="G1387" s="17" t="n">
        <f aca="false">B1387*2/27+G1386*25/27</f>
        <v>16208.8301078204</v>
      </c>
      <c r="H1387" s="17" t="n">
        <f aca="false">F1387-G1387</f>
        <v>97.9412079939357</v>
      </c>
      <c r="I1387" s="17" t="n">
        <f aca="false">H1387*2/10+I1386*8/10</f>
        <v>78.563533540131</v>
      </c>
      <c r="J1387" s="17" t="n">
        <f aca="false">H1387-I1387</f>
        <v>19.3776744538047</v>
      </c>
      <c r="K1387" s="17" t="n">
        <f aca="false">MAX(B1387-B1386,0)</f>
        <v>0</v>
      </c>
      <c r="L1387" s="17" t="n">
        <f aca="false">MAX(B1386-B1387,0)</f>
        <v>222.040000000001</v>
      </c>
      <c r="M1387" s="17" t="n">
        <f aca="false">(M1386*13+K1387)/14</f>
        <v>90.9263345830941</v>
      </c>
      <c r="N1387" s="17" t="n">
        <f aca="false">(N1386*13+L1387)/14</f>
        <v>84.9745221004888</v>
      </c>
      <c r="O1387" s="17" t="n">
        <f aca="false">IF(N1387=0,100,100-100/(1+M1387/N1387))</f>
        <v>51.6918088390302</v>
      </c>
      <c r="P1387" s="17" t="n">
        <f aca="false">AVERAGE(B1368:B1387)+2*STDEV(B1368:B1387)</f>
        <v>16738.9645519323</v>
      </c>
      <c r="Q1387" s="17" t="n">
        <f aca="false">AVERAGE(B1368:B1387)-2*STDEV(B1368:B1387)</f>
        <v>15694.4464480677</v>
      </c>
      <c r="R1387" s="19" t="n">
        <f aca="false">B1387/B1367-1</f>
        <v>0.0273612029665231</v>
      </c>
      <c r="S1387" s="17" t="n">
        <f aca="false">STDEV(C1368:C1387)*SQRT(252)*100</f>
        <v>23.9692609499461</v>
      </c>
      <c r="T1387" s="19" t="n">
        <f aca="false">B1366/B1136-1</f>
        <v>0.244680690941786</v>
      </c>
      <c r="U1387" s="19" t="n">
        <f aca="false">B1387/MAX(B1136:B1387)-1</f>
        <v>-0.0177158014015281</v>
      </c>
      <c r="V1387" s="17" t="n">
        <f aca="false">(B1387-AVERAGE(B1368:B1387))/STDEV(B1368:B1387)</f>
        <v>0.241353404088686</v>
      </c>
    </row>
    <row r="1388" customFormat="false" ht="15" hidden="false" customHeight="false" outlineLevel="0" collapsed="false">
      <c r="A1388" s="17" t="s">
        <v>1952</v>
      </c>
      <c r="B1388" s="17" t="n">
        <v>15771.78</v>
      </c>
      <c r="C1388" s="19" t="n">
        <f aca="false">B1388/B1387-1</f>
        <v>-0.0312013774184214</v>
      </c>
      <c r="D1388" s="17" t="n">
        <f aca="false">AVERAGE(B1339:B1388)</f>
        <v>16146.0078</v>
      </c>
      <c r="E1388" s="17" t="n">
        <f aca="false">AVERAGE(B1189:B1388)</f>
        <v>14883.12645</v>
      </c>
      <c r="F1388" s="17" t="n">
        <f aca="false">B1388*2/13+F1387*11/13</f>
        <v>16224.4649595352</v>
      </c>
      <c r="G1388" s="17" t="n">
        <f aca="false">B1388*2/27+G1387*25/27</f>
        <v>16176.4560257596</v>
      </c>
      <c r="H1388" s="17" t="n">
        <f aca="false">F1388-G1388</f>
        <v>48.0089337755799</v>
      </c>
      <c r="I1388" s="17" t="n">
        <f aca="false">H1388*2/10+I1387*8/10</f>
        <v>72.4526135872207</v>
      </c>
      <c r="J1388" s="17" t="n">
        <f aca="false">H1388-I1388</f>
        <v>-24.4436798116409</v>
      </c>
      <c r="K1388" s="17" t="n">
        <f aca="false">MAX(B1388-B1387,0)</f>
        <v>0</v>
      </c>
      <c r="L1388" s="17" t="n">
        <f aca="false">MAX(B1387-B1388,0)</f>
        <v>507.949999999999</v>
      </c>
      <c r="M1388" s="17" t="n">
        <f aca="false">(M1387*13+K1388)/14</f>
        <v>84.4315963985874</v>
      </c>
      <c r="N1388" s="17" t="n">
        <f aca="false">(N1387*13+L1388)/14</f>
        <v>115.187056236168</v>
      </c>
      <c r="O1388" s="17" t="n">
        <f aca="false">IF(N1388=0,100,100-100/(1+M1388/N1388))</f>
        <v>42.2964463912462</v>
      </c>
      <c r="P1388" s="17" t="n">
        <f aca="false">AVERAGE(B1369:B1388)+2*STDEV(B1369:B1388)</f>
        <v>16744.6206814737</v>
      </c>
      <c r="Q1388" s="17" t="n">
        <f aca="false">AVERAGE(B1369:B1388)-2*STDEV(B1369:B1388)</f>
        <v>15633.4023185263</v>
      </c>
      <c r="R1388" s="19" t="n">
        <f aca="false">B1388/B1368-1</f>
        <v>-0.0339269591550969</v>
      </c>
      <c r="S1388" s="17" t="n">
        <f aca="false">STDEV(C1369:C1388)*SQRT(252)*100</f>
        <v>24.1024928005817</v>
      </c>
      <c r="T1388" s="19" t="n">
        <f aca="false">B1367/B1137-1</f>
        <v>0.224628020869318</v>
      </c>
      <c r="U1388" s="19" t="n">
        <f aca="false">B1388/MAX(B1137:B1388)-1</f>
        <v>-0.0483644214141507</v>
      </c>
      <c r="V1388" s="17" t="n">
        <f aca="false">(B1388-AVERAGE(B1369:B1388))/STDEV(B1369:B1388)</f>
        <v>-1.50188842773735</v>
      </c>
    </row>
    <row r="1389" customFormat="false" ht="15" hidden="false" customHeight="false" outlineLevel="0" collapsed="false">
      <c r="A1389" s="17" t="s">
        <v>1953</v>
      </c>
      <c r="B1389" s="17" t="n">
        <v>15765.36</v>
      </c>
      <c r="C1389" s="19" t="n">
        <f aca="false">B1389/B1388-1</f>
        <v>-0.000407056147118445</v>
      </c>
      <c r="D1389" s="17" t="n">
        <f aca="false">AVERAGE(B1340:B1389)</f>
        <v>16150.1252</v>
      </c>
      <c r="E1389" s="17" t="n">
        <f aca="false">AVERAGE(B1190:B1389)</f>
        <v>14897.95885</v>
      </c>
      <c r="F1389" s="17" t="n">
        <f aca="false">B1389*2/13+F1388*11/13</f>
        <v>16153.833427299</v>
      </c>
      <c r="G1389" s="17" t="n">
        <f aca="false">B1389*2/27+G1388*25/27</f>
        <v>16146.0044682959</v>
      </c>
      <c r="H1389" s="17" t="n">
        <f aca="false">F1389-G1389</f>
        <v>7.82895900307267</v>
      </c>
      <c r="I1389" s="17" t="n">
        <f aca="false">H1389*2/10+I1388*8/10</f>
        <v>59.5278826703911</v>
      </c>
      <c r="J1389" s="17" t="n">
        <f aca="false">H1389-I1389</f>
        <v>-51.6989236673185</v>
      </c>
      <c r="K1389" s="17" t="n">
        <f aca="false">MAX(B1389-B1388,0)</f>
        <v>0</v>
      </c>
      <c r="L1389" s="17" t="n">
        <f aca="false">MAX(B1388-B1389,0)</f>
        <v>6.42000000000007</v>
      </c>
      <c r="M1389" s="17" t="n">
        <f aca="false">(M1388*13+K1389)/14</f>
        <v>78.4007680844026</v>
      </c>
      <c r="N1389" s="17" t="n">
        <f aca="false">(N1388*13+L1389)/14</f>
        <v>107.417980790728</v>
      </c>
      <c r="O1389" s="17" t="n">
        <f aca="false">IF(N1389=0,100,100-100/(1+M1389/N1389))</f>
        <v>42.192065418053</v>
      </c>
      <c r="P1389" s="17" t="n">
        <f aca="false">AVERAGE(B1370:B1389)+2*STDEV(B1370:B1389)</f>
        <v>16735.011049647</v>
      </c>
      <c r="Q1389" s="17" t="n">
        <f aca="false">AVERAGE(B1370:B1389)-2*STDEV(B1370:B1389)</f>
        <v>15580.113950353</v>
      </c>
      <c r="R1389" s="19" t="n">
        <f aca="false">B1389/B1369-1</f>
        <v>-0.0383656798626842</v>
      </c>
      <c r="S1389" s="17" t="n">
        <f aca="false">STDEV(C1370:C1389)*SQRT(252)*100</f>
        <v>24.0101572443742</v>
      </c>
      <c r="T1389" s="19" t="n">
        <f aca="false">B1368/B1138-1</f>
        <v>0.245739095931386</v>
      </c>
      <c r="U1389" s="19" t="n">
        <f aca="false">B1389/MAX(B1138:B1389)-1</f>
        <v>-0.0487517905262307</v>
      </c>
      <c r="V1389" s="17" t="n">
        <f aca="false">(B1389-AVERAGE(B1370:B1389))/STDEV(B1370:B1389)</f>
        <v>-1.35839807802696</v>
      </c>
    </row>
    <row r="1390" customFormat="false" ht="15" hidden="false" customHeight="false" outlineLevel="0" collapsed="false">
      <c r="A1390" s="17" t="s">
        <v>1954</v>
      </c>
      <c r="B1390" s="17" t="n">
        <v>15592.19</v>
      </c>
      <c r="C1390" s="19" t="n">
        <f aca="false">B1390/B1389-1</f>
        <v>-0.0109842084164269</v>
      </c>
      <c r="D1390" s="17" t="n">
        <f aca="false">AVERAGE(B1341:B1390)</f>
        <v>16150.0012</v>
      </c>
      <c r="E1390" s="17" t="n">
        <f aca="false">AVERAGE(B1191:B1390)</f>
        <v>14912.01725</v>
      </c>
      <c r="F1390" s="17" t="n">
        <f aca="false">B1390*2/13+F1389*11/13</f>
        <v>16067.4267461761</v>
      </c>
      <c r="G1390" s="17" t="n">
        <f aca="false">B1390*2/27+G1389*25/27</f>
        <v>16104.9811743481</v>
      </c>
      <c r="H1390" s="17" t="n">
        <f aca="false">F1390-G1390</f>
        <v>-37.5544281720067</v>
      </c>
      <c r="I1390" s="17" t="n">
        <f aca="false">H1390*2/10+I1389*8/10</f>
        <v>40.1114205019115</v>
      </c>
      <c r="J1390" s="17" t="n">
        <f aca="false">H1390-I1390</f>
        <v>-77.6658486739183</v>
      </c>
      <c r="K1390" s="17" t="n">
        <f aca="false">MAX(B1390-B1389,0)</f>
        <v>0</v>
      </c>
      <c r="L1390" s="17" t="n">
        <f aca="false">MAX(B1389-B1390,0)</f>
        <v>173.17</v>
      </c>
      <c r="M1390" s="17" t="n">
        <f aca="false">(M1389*13+K1390)/14</f>
        <v>72.800713221231</v>
      </c>
      <c r="N1390" s="17" t="n">
        <f aca="false">(N1389*13+L1390)/14</f>
        <v>112.11455359139</v>
      </c>
      <c r="O1390" s="17" t="n">
        <f aca="false">IF(N1390=0,100,100-100/(1+M1390/N1390))</f>
        <v>39.3697689088061</v>
      </c>
      <c r="P1390" s="17" t="n">
        <f aca="false">AVERAGE(B1371:B1390)+2*STDEV(B1371:B1390)</f>
        <v>16760.1354487537</v>
      </c>
      <c r="Q1390" s="17" t="n">
        <f aca="false">AVERAGE(B1371:B1390)-2*STDEV(B1371:B1390)</f>
        <v>15499.2515512463</v>
      </c>
      <c r="R1390" s="19" t="n">
        <f aca="false">B1390/B1370-1</f>
        <v>-0.0345136124367398</v>
      </c>
      <c r="S1390" s="17" t="n">
        <f aca="false">STDEV(C1371:C1390)*SQRT(252)*100</f>
        <v>23.7645398036592</v>
      </c>
      <c r="T1390" s="19" t="n">
        <f aca="false">B1369/B1139-1</f>
        <v>0.270633807892895</v>
      </c>
      <c r="U1390" s="19" t="n">
        <f aca="false">B1390/MAX(B1139:B1390)-1</f>
        <v>-0.0592004991148435</v>
      </c>
      <c r="V1390" s="17" t="n">
        <f aca="false">(B1390-AVERAGE(B1371:B1390))/STDEV(B1371:B1390)</f>
        <v>-1.70516413465993</v>
      </c>
    </row>
    <row r="1391" customFormat="false" ht="15" hidden="false" customHeight="false" outlineLevel="0" collapsed="false">
      <c r="A1391" s="17" t="s">
        <v>1955</v>
      </c>
      <c r="B1391" s="17" t="n">
        <v>15614.43</v>
      </c>
      <c r="C1391" s="19" t="n">
        <f aca="false">B1391/B1390-1</f>
        <v>0.00142635511752998</v>
      </c>
      <c r="D1391" s="17" t="n">
        <f aca="false">AVERAGE(B1342:B1391)</f>
        <v>16146.7266</v>
      </c>
      <c r="E1391" s="17" t="n">
        <f aca="false">AVERAGE(B1192:B1391)</f>
        <v>14925.1938</v>
      </c>
      <c r="F1391" s="17" t="n">
        <f aca="false">B1391*2/13+F1390*11/13</f>
        <v>15997.7349390721</v>
      </c>
      <c r="G1391" s="17" t="n">
        <f aca="false">B1391*2/27+G1390*25/27</f>
        <v>16068.6440503223</v>
      </c>
      <c r="H1391" s="17" t="n">
        <f aca="false">F1391-G1391</f>
        <v>-70.9091112502356</v>
      </c>
      <c r="I1391" s="17" t="n">
        <f aca="false">H1391*2/10+I1390*8/10</f>
        <v>17.9073141514821</v>
      </c>
      <c r="J1391" s="17" t="n">
        <f aca="false">H1391-I1391</f>
        <v>-88.8164254017177</v>
      </c>
      <c r="K1391" s="17" t="n">
        <f aca="false">MAX(B1391-B1390,0)</f>
        <v>22.2399999999998</v>
      </c>
      <c r="L1391" s="17" t="n">
        <f aca="false">MAX(B1390-B1391,0)</f>
        <v>0</v>
      </c>
      <c r="M1391" s="17" t="n">
        <f aca="false">(M1390*13+K1391)/14</f>
        <v>69.1892337054287</v>
      </c>
      <c r="N1391" s="17" t="n">
        <f aca="false">(N1390*13+L1391)/14</f>
        <v>104.106371192005</v>
      </c>
      <c r="O1391" s="17" t="n">
        <f aca="false">IF(N1391=0,100,100-100/(1+M1391/N1391))</f>
        <v>39.9255559576245</v>
      </c>
      <c r="P1391" s="17" t="n">
        <f aca="false">AVERAGE(B1372:B1391)+2*STDEV(B1372:B1391)</f>
        <v>16756.6256078585</v>
      </c>
      <c r="Q1391" s="17" t="n">
        <f aca="false">AVERAGE(B1372:B1391)-2*STDEV(B1372:B1391)</f>
        <v>15431.0063921416</v>
      </c>
      <c r="R1391" s="19" t="n">
        <f aca="false">B1391/B1371-1</f>
        <v>-0.0439352730042529</v>
      </c>
      <c r="S1391" s="17" t="n">
        <f aca="false">STDEV(C1372:C1391)*SQRT(252)*100</f>
        <v>23.3054189735919</v>
      </c>
      <c r="T1391" s="19" t="n">
        <f aca="false">B1370/B1140-1</f>
        <v>0.252672762911211</v>
      </c>
      <c r="U1391" s="19" t="n">
        <f aca="false">B1391/MAX(B1140:B1391)-1</f>
        <v>-0.0578585849321862</v>
      </c>
      <c r="V1391" s="17" t="n">
        <f aca="false">(B1391-AVERAGE(B1372:B1391))/STDEV(B1372:B1391)</f>
        <v>-1.44652700961564</v>
      </c>
    </row>
    <row r="1392" customFormat="false" ht="15" hidden="false" customHeight="false" outlineLevel="0" collapsed="false">
      <c r="A1392" s="17" t="s">
        <v>1956</v>
      </c>
      <c r="B1392" s="17" t="n">
        <v>15844.12</v>
      </c>
      <c r="C1392" s="19" t="n">
        <f aca="false">B1392/B1391-1</f>
        <v>0.0147101110959542</v>
      </c>
      <c r="D1392" s="17" t="n">
        <f aca="false">AVERAGE(B1343:B1392)</f>
        <v>16146.5996</v>
      </c>
      <c r="E1392" s="17" t="n">
        <f aca="false">AVERAGE(B1193:B1392)</f>
        <v>14939.5857</v>
      </c>
      <c r="F1392" s="17" t="n">
        <f aca="false">B1392*2/13+F1391*11/13</f>
        <v>15974.1018715225</v>
      </c>
      <c r="G1392" s="17" t="n">
        <f aca="false">B1392*2/27+G1391*25/27</f>
        <v>16052.0126391873</v>
      </c>
      <c r="H1392" s="17" t="n">
        <f aca="false">F1392-G1392</f>
        <v>-77.9107676647982</v>
      </c>
      <c r="I1392" s="17" t="n">
        <f aca="false">H1392*2/10+I1391*8/10</f>
        <v>-1.25630221177394</v>
      </c>
      <c r="J1392" s="17" t="n">
        <f aca="false">H1392-I1392</f>
        <v>-76.6544654530242</v>
      </c>
      <c r="K1392" s="17" t="n">
        <f aca="false">MAX(B1392-B1391,0)</f>
        <v>229.690000000001</v>
      </c>
      <c r="L1392" s="17" t="n">
        <f aca="false">MAX(B1391-B1392,0)</f>
        <v>0</v>
      </c>
      <c r="M1392" s="17" t="n">
        <f aca="false">(M1391*13+K1392)/14</f>
        <v>80.653574155041</v>
      </c>
      <c r="N1392" s="17" t="n">
        <f aca="false">(N1391*13+L1392)/14</f>
        <v>96.6702018211473</v>
      </c>
      <c r="O1392" s="17" t="n">
        <f aca="false">IF(N1392=0,100,100-100/(1+M1392/N1392))</f>
        <v>45.4837901522419</v>
      </c>
      <c r="P1392" s="17" t="n">
        <f aca="false">AVERAGE(B1373:B1392)+2*STDEV(B1373:B1392)</f>
        <v>16754.0681091055</v>
      </c>
      <c r="Q1392" s="17" t="n">
        <f aca="false">AVERAGE(B1373:B1392)-2*STDEV(B1373:B1392)</f>
        <v>15409.7208908945</v>
      </c>
      <c r="R1392" s="19" t="n">
        <f aca="false">B1392/B1372-1</f>
        <v>-0.0148253852778321</v>
      </c>
      <c r="S1392" s="17" t="n">
        <f aca="false">STDEV(C1373:C1392)*SQRT(252)*100</f>
        <v>23.4941583424934</v>
      </c>
      <c r="T1392" s="19" t="n">
        <f aca="false">B1371/B1141-1</f>
        <v>0.258859702334659</v>
      </c>
      <c r="U1392" s="19" t="n">
        <f aca="false">B1392/MAX(B1141:B1392)-1</f>
        <v>-0.0439995800484392</v>
      </c>
      <c r="V1392" s="17" t="n">
        <f aca="false">(B1392-AVERAGE(B1373:B1392))/STDEV(B1373:B1392)</f>
        <v>-0.707479427276012</v>
      </c>
    </row>
    <row r="1393" customFormat="false" ht="15" hidden="false" customHeight="false" outlineLevel="0" collapsed="false">
      <c r="A1393" s="17" t="s">
        <v>1957</v>
      </c>
      <c r="B1393" s="17" t="n">
        <v>15905.1</v>
      </c>
      <c r="C1393" s="19" t="n">
        <f aca="false">B1393/B1392-1</f>
        <v>0.00384874641191812</v>
      </c>
      <c r="D1393" s="17" t="n">
        <f aca="false">AVERAGE(B1344:B1393)</f>
        <v>16146.596</v>
      </c>
      <c r="E1393" s="17" t="n">
        <f aca="false">AVERAGE(B1194:B1393)</f>
        <v>14954.62855</v>
      </c>
      <c r="F1393" s="17" t="n">
        <f aca="false">B1393*2/13+F1392*11/13</f>
        <v>15963.4861989806</v>
      </c>
      <c r="G1393" s="17" t="n">
        <f aca="false">B1393*2/27+G1392*25/27</f>
        <v>16041.1302214697</v>
      </c>
      <c r="H1393" s="17" t="n">
        <f aca="false">F1393-G1393</f>
        <v>-77.6440224891449</v>
      </c>
      <c r="I1393" s="17" t="n">
        <f aca="false">H1393*2/10+I1392*8/10</f>
        <v>-16.5338462672481</v>
      </c>
      <c r="J1393" s="17" t="n">
        <f aca="false">H1393-I1393</f>
        <v>-61.1101762218967</v>
      </c>
      <c r="K1393" s="17" t="n">
        <f aca="false">MAX(B1393-B1392,0)</f>
        <v>60.9799999999996</v>
      </c>
      <c r="L1393" s="17" t="n">
        <f aca="false">MAX(B1392-B1393,0)</f>
        <v>0</v>
      </c>
      <c r="M1393" s="17" t="n">
        <f aca="false">(M1392*13+K1393)/14</f>
        <v>79.2483188582523</v>
      </c>
      <c r="N1393" s="17" t="n">
        <f aca="false">(N1392*13+L1393)/14</f>
        <v>89.7651874053511</v>
      </c>
      <c r="O1393" s="17" t="n">
        <f aca="false">IF(N1393=0,100,100-100/(1+M1393/N1393))</f>
        <v>46.8887490770424</v>
      </c>
      <c r="P1393" s="17" t="n">
        <f aca="false">AVERAGE(B1374:B1393)+2*STDEV(B1374:B1393)</f>
        <v>16754.1047607551</v>
      </c>
      <c r="Q1393" s="17" t="n">
        <f aca="false">AVERAGE(B1374:B1393)-2*STDEV(B1374:B1393)</f>
        <v>15408.7042392449</v>
      </c>
      <c r="R1393" s="19" t="n">
        <f aca="false">B1393/B1373-1</f>
        <v>-0.000615775154100828</v>
      </c>
      <c r="S1393" s="17" t="n">
        <f aca="false">STDEV(C1374:C1393)*SQRT(252)*100</f>
        <v>23.2509788815432</v>
      </c>
      <c r="T1393" s="19" t="n">
        <f aca="false">B1372/B1142-1</f>
        <v>0.246835918996425</v>
      </c>
      <c r="U1393" s="19" t="n">
        <f aca="false">B1393/MAX(B1142:B1393)-1</f>
        <v>-0.0403201768623585</v>
      </c>
      <c r="V1393" s="17" t="n">
        <f aca="false">(B1393-AVERAGE(B1374:B1393))/STDEV(B1374:B1393)</f>
        <v>-0.524169560458015</v>
      </c>
    </row>
    <row r="1394" customFormat="false" ht="15" hidden="false" customHeight="false" outlineLevel="0" collapsed="false">
      <c r="A1394" s="17" t="s">
        <v>1958</v>
      </c>
      <c r="B1394" s="17" t="n">
        <v>15495.62</v>
      </c>
      <c r="C1394" s="19" t="n">
        <f aca="false">B1394/B1393-1</f>
        <v>-0.0257452012247643</v>
      </c>
      <c r="D1394" s="17" t="n">
        <f aca="false">AVERAGE(B1345:B1394)</f>
        <v>16137.0586</v>
      </c>
      <c r="E1394" s="17" t="n">
        <f aca="false">AVERAGE(B1195:B1394)</f>
        <v>14966.64945</v>
      </c>
      <c r="F1394" s="17" t="n">
        <f aca="false">B1394*2/13+F1393*11/13</f>
        <v>15891.5067837528</v>
      </c>
      <c r="G1394" s="17" t="n">
        <f aca="false">B1394*2/27+G1393*25/27</f>
        <v>16000.7220569164</v>
      </c>
      <c r="H1394" s="17" t="n">
        <f aca="false">F1394-G1394</f>
        <v>-109.215273163614</v>
      </c>
      <c r="I1394" s="17" t="n">
        <f aca="false">H1394*2/10+I1393*8/10</f>
        <v>-35.0701316465214</v>
      </c>
      <c r="J1394" s="17" t="n">
        <f aca="false">H1394-I1394</f>
        <v>-74.1451415170929</v>
      </c>
      <c r="K1394" s="17" t="n">
        <f aca="false">MAX(B1394-B1393,0)</f>
        <v>0</v>
      </c>
      <c r="L1394" s="17" t="n">
        <f aca="false">MAX(B1393-B1394,0)</f>
        <v>409.48</v>
      </c>
      <c r="M1394" s="17" t="n">
        <f aca="false">(M1393*13+K1394)/14</f>
        <v>73.5877246540915</v>
      </c>
      <c r="N1394" s="17" t="n">
        <f aca="false">(N1393*13+L1394)/14</f>
        <v>112.60195973354</v>
      </c>
      <c r="O1394" s="17" t="n">
        <f aca="false">IF(N1394=0,100,100-100/(1+M1394/N1394))</f>
        <v>39.5229869453389</v>
      </c>
      <c r="P1394" s="17" t="n">
        <f aca="false">AVERAGE(B1375:B1394)+2*STDEV(B1375:B1394)</f>
        <v>16755.1527344673</v>
      </c>
      <c r="Q1394" s="17" t="n">
        <f aca="false">AVERAGE(B1375:B1394)-2*STDEV(B1375:B1394)</f>
        <v>15328.2592655327</v>
      </c>
      <c r="R1394" s="19" t="n">
        <f aca="false">B1394/B1374-1</f>
        <v>-0.0487409443699933</v>
      </c>
      <c r="S1394" s="17" t="n">
        <f aca="false">STDEV(C1375:C1394)*SQRT(252)*100</f>
        <v>23.2341433338098</v>
      </c>
      <c r="T1394" s="19" t="n">
        <f aca="false">B1373/B1143-1</f>
        <v>0.2429699318881</v>
      </c>
      <c r="U1394" s="19" t="n">
        <f aca="false">B1394/MAX(B1143:B1394)-1</f>
        <v>-0.0650273270203833</v>
      </c>
      <c r="V1394" s="17" t="n">
        <f aca="false">(B1394-AVERAGE(B1375:B1394))/STDEV(B1375:B1394)</f>
        <v>-1.53083888009583</v>
      </c>
    </row>
    <row r="1395" customFormat="false" ht="15" hidden="false" customHeight="false" outlineLevel="0" collapsed="false">
      <c r="A1395" s="17" t="s">
        <v>1959</v>
      </c>
      <c r="B1395" s="17" t="n">
        <v>15611.59</v>
      </c>
      <c r="C1395" s="19" t="n">
        <f aca="false">B1395/B1394-1</f>
        <v>0.00748405033164201</v>
      </c>
      <c r="D1395" s="17" t="n">
        <f aca="false">AVERAGE(B1346:B1395)</f>
        <v>16126.4004</v>
      </c>
      <c r="E1395" s="17" t="n">
        <f aca="false">AVERAGE(B1196:B1395)</f>
        <v>14978.0598</v>
      </c>
      <c r="F1395" s="17" t="n">
        <f aca="false">B1395*2/13+F1394*11/13</f>
        <v>15848.4426631755</v>
      </c>
      <c r="G1395" s="17" t="n">
        <f aca="false">B1395*2/27+G1394*25/27</f>
        <v>15971.8974601078</v>
      </c>
      <c r="H1395" s="17" t="n">
        <f aca="false">F1395-G1395</f>
        <v>-123.454796932345</v>
      </c>
      <c r="I1395" s="17" t="n">
        <f aca="false">H1395*2/10+I1394*8/10</f>
        <v>-52.7470647036861</v>
      </c>
      <c r="J1395" s="17" t="n">
        <f aca="false">H1395-I1395</f>
        <v>-70.7077322286588</v>
      </c>
      <c r="K1395" s="17" t="n">
        <f aca="false">MAX(B1395-B1394,0)</f>
        <v>115.969999999999</v>
      </c>
      <c r="L1395" s="17" t="n">
        <f aca="false">MAX(B1394-B1395,0)</f>
        <v>0</v>
      </c>
      <c r="M1395" s="17" t="n">
        <f aca="false">(M1394*13+K1395)/14</f>
        <v>76.615030035942</v>
      </c>
      <c r="N1395" s="17" t="n">
        <f aca="false">(N1394*13+L1395)/14</f>
        <v>104.558962609716</v>
      </c>
      <c r="O1395" s="17" t="n">
        <f aca="false">IF(N1395=0,100,100-100/(1+M1395/N1395))</f>
        <v>42.2880949506845</v>
      </c>
      <c r="P1395" s="17" t="n">
        <f aca="false">AVERAGE(B1376:B1395)+2*STDEV(B1376:B1395)</f>
        <v>16764.3642664491</v>
      </c>
      <c r="Q1395" s="17" t="n">
        <f aca="false">AVERAGE(B1376:B1395)-2*STDEV(B1376:B1395)</f>
        <v>15293.8127335509</v>
      </c>
      <c r="R1395" s="19" t="n">
        <f aca="false">B1395/B1375-1</f>
        <v>-0.0159071453875898</v>
      </c>
      <c r="S1395" s="17" t="n">
        <f aca="false">STDEV(C1376:C1395)*SQRT(252)*100</f>
        <v>21.6919226329279</v>
      </c>
      <c r="T1395" s="19" t="n">
        <f aca="false">B1374/B1144-1</f>
        <v>0.253378976250602</v>
      </c>
      <c r="U1395" s="19" t="n">
        <f aca="false">B1395/MAX(B1144:B1395)-1</f>
        <v>-0.058029944477094</v>
      </c>
      <c r="V1395" s="17" t="n">
        <f aca="false">(B1395-AVERAGE(B1376:B1395))/STDEV(B1376:B1395)</f>
        <v>-1.13562426248923</v>
      </c>
    </row>
    <row r="1396" customFormat="false" ht="15" hidden="false" customHeight="false" outlineLevel="0" collapsed="false">
      <c r="A1396" s="17" t="s">
        <v>1960</v>
      </c>
      <c r="B1396" s="17" t="n">
        <v>15210.76</v>
      </c>
      <c r="C1396" s="19" t="n">
        <f aca="false">B1396/B1395-1</f>
        <v>-0.0256751554454094</v>
      </c>
      <c r="D1396" s="17" t="n">
        <f aca="false">AVERAGE(B1347:B1396)</f>
        <v>16103.6908</v>
      </c>
      <c r="E1396" s="17" t="n">
        <f aca="false">AVERAGE(B1197:B1396)</f>
        <v>14986.1228</v>
      </c>
      <c r="F1396" s="17" t="n">
        <f aca="false">B1396*2/13+F1395*11/13</f>
        <v>15750.3376380715</v>
      </c>
      <c r="G1396" s="17" t="n">
        <f aca="false">B1396*2/27+G1395*25/27</f>
        <v>15915.5169075072</v>
      </c>
      <c r="H1396" s="17" t="n">
        <f aca="false">F1396-G1396</f>
        <v>-165.179269435681</v>
      </c>
      <c r="I1396" s="17" t="n">
        <f aca="false">H1396*2/10+I1395*8/10</f>
        <v>-75.233505650085</v>
      </c>
      <c r="J1396" s="17" t="n">
        <f aca="false">H1396-I1396</f>
        <v>-89.9457637855959</v>
      </c>
      <c r="K1396" s="17" t="n">
        <f aca="false">MAX(B1396-B1395,0)</f>
        <v>0</v>
      </c>
      <c r="L1396" s="17" t="n">
        <f aca="false">MAX(B1395-B1396,0)</f>
        <v>400.83</v>
      </c>
      <c r="M1396" s="17" t="n">
        <f aca="false">(M1395*13+K1396)/14</f>
        <v>71.1425278905176</v>
      </c>
      <c r="N1396" s="17" t="n">
        <f aca="false">(N1395*13+L1396)/14</f>
        <v>125.721179566165</v>
      </c>
      <c r="O1396" s="17" t="n">
        <f aca="false">IF(N1396=0,100,100-100/(1+M1396/N1396))</f>
        <v>36.1379600179336</v>
      </c>
      <c r="P1396" s="17" t="n">
        <f aca="false">AVERAGE(B1377:B1396)+2*STDEV(B1377:B1396)</f>
        <v>16816.2728843736</v>
      </c>
      <c r="Q1396" s="17" t="n">
        <f aca="false">AVERAGE(B1377:B1396)-2*STDEV(B1377:B1396)</f>
        <v>15182.8341156264</v>
      </c>
      <c r="R1396" s="19" t="n">
        <f aca="false">B1396/B1376-1</f>
        <v>-0.0373826216058516</v>
      </c>
      <c r="S1396" s="17" t="n">
        <f aca="false">STDEV(C1377:C1396)*SQRT(252)*100</f>
        <v>23.4237998489435</v>
      </c>
      <c r="T1396" s="19" t="n">
        <f aca="false">B1375/B1145-1</f>
        <v>0.193095901537628</v>
      </c>
      <c r="U1396" s="19" t="n">
        <f aca="false">B1396/MAX(B1145:B1396)-1</f>
        <v>-0.0822151720775656</v>
      </c>
      <c r="V1396" s="17" t="n">
        <f aca="false">(B1396-AVERAGE(B1377:B1396))/STDEV(B1377:B1396)</f>
        <v>-1.93161449352642</v>
      </c>
    </row>
    <row r="1397" customFormat="false" ht="15" hidden="false" customHeight="false" outlineLevel="0" collapsed="false">
      <c r="A1397" s="17" t="s">
        <v>1961</v>
      </c>
      <c r="B1397" s="17" t="n">
        <v>15047.84</v>
      </c>
      <c r="C1397" s="19" t="n">
        <f aca="false">B1397/B1396-1</f>
        <v>-0.0107108389061428</v>
      </c>
      <c r="D1397" s="17" t="n">
        <f aca="false">AVERAGE(B1348:B1397)</f>
        <v>16077.46</v>
      </c>
      <c r="E1397" s="17" t="n">
        <f aca="false">AVERAGE(B1198:B1397)</f>
        <v>14993.4697</v>
      </c>
      <c r="F1397" s="17" t="n">
        <f aca="false">B1397*2/13+F1396*11/13</f>
        <v>15642.2610783682</v>
      </c>
      <c r="G1397" s="17" t="n">
        <f aca="false">B1397*2/27+G1396*25/27</f>
        <v>15851.2445439882</v>
      </c>
      <c r="H1397" s="17" t="n">
        <f aca="false">F1397-G1397</f>
        <v>-208.983465619944</v>
      </c>
      <c r="I1397" s="17" t="n">
        <f aca="false">H1397*2/10+I1396*8/10</f>
        <v>-101.983497644057</v>
      </c>
      <c r="J1397" s="17" t="n">
        <f aca="false">H1397-I1397</f>
        <v>-106.999967975887</v>
      </c>
      <c r="K1397" s="17" t="n">
        <f aca="false">MAX(B1397-B1396,0)</f>
        <v>0</v>
      </c>
      <c r="L1397" s="17" t="n">
        <f aca="false">MAX(B1396-B1397,0)</f>
        <v>162.92</v>
      </c>
      <c r="M1397" s="17" t="n">
        <f aca="false">(M1396*13+K1397)/14</f>
        <v>66.0609187554806</v>
      </c>
      <c r="N1397" s="17" t="n">
        <f aca="false">(N1396*13+L1397)/14</f>
        <v>128.378238168582</v>
      </c>
      <c r="O1397" s="17" t="n">
        <f aca="false">IF(N1397=0,100,100-100/(1+M1397/N1397))</f>
        <v>33.9751106724252</v>
      </c>
      <c r="P1397" s="17" t="n">
        <f aca="false">AVERAGE(B1378:B1397)+2*STDEV(B1378:B1397)</f>
        <v>16878.8905519802</v>
      </c>
      <c r="Q1397" s="17" t="n">
        <f aca="false">AVERAGE(B1378:B1397)-2*STDEV(B1378:B1397)</f>
        <v>15062.2364480199</v>
      </c>
      <c r="R1397" s="19" t="n">
        <f aca="false">B1397/B1377-1</f>
        <v>-0.0371009314266261</v>
      </c>
      <c r="S1397" s="17" t="n">
        <f aca="false">STDEV(C1378:C1397)*SQRT(252)*100</f>
        <v>23.408942370445</v>
      </c>
      <c r="T1397" s="19" t="n">
        <f aca="false">B1376/B1146-1</f>
        <v>0.178774471297629</v>
      </c>
      <c r="U1397" s="19" t="n">
        <f aca="false">B1397/MAX(B1146:B1397)-1</f>
        <v>-0.0920454175199447</v>
      </c>
      <c r="V1397" s="17" t="n">
        <f aca="false">(B1397-AVERAGE(B1378:B1397))/STDEV(B1378:B1397)</f>
        <v>-2.03169882034994</v>
      </c>
    </row>
    <row r="1398" customFormat="false" ht="15" hidden="false" customHeight="false" outlineLevel="0" collapsed="false">
      <c r="A1398" s="17" t="s">
        <v>1962</v>
      </c>
      <c r="B1398" s="17" t="n">
        <v>14846.46</v>
      </c>
      <c r="C1398" s="19" t="n">
        <f aca="false">B1398/B1397-1</f>
        <v>-0.0133826515965083</v>
      </c>
      <c r="D1398" s="17" t="n">
        <f aca="false">AVERAGE(B1349:B1398)</f>
        <v>16047.6686</v>
      </c>
      <c r="E1398" s="17" t="n">
        <f aca="false">AVERAGE(B1199:B1398)</f>
        <v>14999.6185</v>
      </c>
      <c r="F1398" s="17" t="n">
        <f aca="false">B1398*2/13+F1397*11/13</f>
        <v>15519.8301432347</v>
      </c>
      <c r="G1398" s="17" t="n">
        <f aca="false">B1398*2/27+G1397*25/27</f>
        <v>15776.8160592483</v>
      </c>
      <c r="H1398" s="17" t="n">
        <f aca="false">F1398-G1398</f>
        <v>-256.985916013651</v>
      </c>
      <c r="I1398" s="17" t="n">
        <f aca="false">H1398*2/10+I1397*8/10</f>
        <v>-132.983981317976</v>
      </c>
      <c r="J1398" s="17" t="n">
        <f aca="false">H1398-I1398</f>
        <v>-124.001934695676</v>
      </c>
      <c r="K1398" s="17" t="n">
        <f aca="false">MAX(B1398-B1397,0)</f>
        <v>0</v>
      </c>
      <c r="L1398" s="17" t="n">
        <f aca="false">MAX(B1397-B1398,0)</f>
        <v>201.380000000001</v>
      </c>
      <c r="M1398" s="17" t="n">
        <f aca="false">(M1397*13+K1398)/14</f>
        <v>61.3422817015177</v>
      </c>
      <c r="N1398" s="17" t="n">
        <f aca="false">(N1397*13+L1398)/14</f>
        <v>133.592649727969</v>
      </c>
      <c r="O1398" s="17" t="n">
        <f aca="false">IF(N1398=0,100,100-100/(1+M1398/N1398))</f>
        <v>31.4680807855656</v>
      </c>
      <c r="P1398" s="17" t="n">
        <f aca="false">AVERAGE(B1379:B1398)+2*STDEV(B1379:B1398)</f>
        <v>16951.5287760465</v>
      </c>
      <c r="Q1398" s="17" t="n">
        <f aca="false">AVERAGE(B1379:B1398)-2*STDEV(B1379:B1398)</f>
        <v>14875.6162239536</v>
      </c>
      <c r="R1398" s="19" t="n">
        <f aca="false">B1398/B1378-1</f>
        <v>-0.0712998896553796</v>
      </c>
      <c r="S1398" s="17" t="n">
        <f aca="false">STDEV(C1379:C1398)*SQRT(252)*100</f>
        <v>21.8157586837753</v>
      </c>
      <c r="T1398" s="19" t="n">
        <f aca="false">B1377/B1147-1</f>
        <v>0.169173449844386</v>
      </c>
      <c r="U1398" s="19" t="n">
        <f aca="false">B1398/MAX(B1147:B1398)-1</f>
        <v>-0.104196257362728</v>
      </c>
      <c r="V1398" s="17" t="n">
        <f aca="false">(B1398-AVERAGE(B1379:B1398))/STDEV(B1379:B1398)</f>
        <v>-2.05618006196679</v>
      </c>
    </row>
    <row r="1399" customFormat="false" ht="15" hidden="false" customHeight="false" outlineLevel="0" collapsed="false">
      <c r="A1399" s="17" t="s">
        <v>1963</v>
      </c>
      <c r="B1399" s="17" t="n">
        <v>14438.4</v>
      </c>
      <c r="C1399" s="19" t="n">
        <f aca="false">B1399/B1398-1</f>
        <v>-0.027485339939622</v>
      </c>
      <c r="D1399" s="17" t="n">
        <f aca="false">AVERAGE(B1350:B1399)</f>
        <v>16012.0378</v>
      </c>
      <c r="E1399" s="17" t="n">
        <f aca="false">AVERAGE(B1200:B1399)</f>
        <v>15003.01795</v>
      </c>
      <c r="F1399" s="17" t="n">
        <f aca="false">B1399*2/13+F1398*11/13</f>
        <v>15353.4562750447</v>
      </c>
      <c r="G1399" s="17" t="n">
        <f aca="false">B1399*2/27+G1398*25/27</f>
        <v>15677.6741289336</v>
      </c>
      <c r="H1399" s="17" t="n">
        <f aca="false">F1399-G1399</f>
        <v>-324.217853888908</v>
      </c>
      <c r="I1399" s="17" t="n">
        <f aca="false">H1399*2/10+I1398*8/10</f>
        <v>-171.230755832162</v>
      </c>
      <c r="J1399" s="17" t="n">
        <f aca="false">H1399-I1399</f>
        <v>-152.987098056745</v>
      </c>
      <c r="K1399" s="17" t="n">
        <f aca="false">MAX(B1399-B1398,0)</f>
        <v>0</v>
      </c>
      <c r="L1399" s="17" t="n">
        <f aca="false">MAX(B1398-B1399,0)</f>
        <v>408.06</v>
      </c>
      <c r="M1399" s="17" t="n">
        <f aca="false">(M1398*13+K1399)/14</f>
        <v>56.9606901514093</v>
      </c>
      <c r="N1399" s="17" t="n">
        <f aca="false">(N1398*13+L1399)/14</f>
        <v>153.197460461685</v>
      </c>
      <c r="O1399" s="17" t="n">
        <f aca="false">IF(N1399=0,100,100-100/(1+M1399/N1399))</f>
        <v>27.1037264009213</v>
      </c>
      <c r="P1399" s="17" t="n">
        <f aca="false">AVERAGE(B1380:B1399)+2*STDEV(B1380:B1399)</f>
        <v>17046.5649286909</v>
      </c>
      <c r="Q1399" s="17" t="n">
        <f aca="false">AVERAGE(B1380:B1399)-2*STDEV(B1380:B1399)</f>
        <v>14606.4060713091</v>
      </c>
      <c r="R1399" s="19" t="n">
        <f aca="false">B1399/B1379-1</f>
        <v>-0.10764678179546</v>
      </c>
      <c r="S1399" s="17" t="n">
        <f aca="false">STDEV(C1380:C1399)*SQRT(252)*100</f>
        <v>22.5471239783457</v>
      </c>
      <c r="T1399" s="19" t="n">
        <f aca="false">B1378/B1148-1</f>
        <v>0.185636443330967</v>
      </c>
      <c r="U1399" s="19" t="n">
        <f aca="false">B1399/MAX(B1148:B1399)-1</f>
        <v>-0.128817727748299</v>
      </c>
      <c r="V1399" s="17" t="n">
        <f aca="false">(B1399-AVERAGE(B1380:B1399))/STDEV(B1380:B1399)</f>
        <v>-2.27540185885989</v>
      </c>
    </row>
    <row r="1400" customFormat="false" ht="15" hidden="false" customHeight="false" outlineLevel="0" collapsed="false">
      <c r="A1400" s="17" t="s">
        <v>1964</v>
      </c>
      <c r="B1400" s="17" t="n">
        <v>14509.58</v>
      </c>
      <c r="C1400" s="19" t="n">
        <f aca="false">B1400/B1399-1</f>
        <v>0.00492990913120561</v>
      </c>
      <c r="D1400" s="17" t="n">
        <f aca="false">AVERAGE(B1351:B1400)</f>
        <v>15982.518</v>
      </c>
      <c r="E1400" s="17" t="n">
        <f aca="false">AVERAGE(B1201:B1400)</f>
        <v>15006.34055</v>
      </c>
      <c r="F1400" s="17" t="n">
        <f aca="false">B1400*2/13+F1399*11/13</f>
        <v>15223.6291558071</v>
      </c>
      <c r="G1400" s="17" t="n">
        <f aca="false">B1400*2/27+G1399*25/27</f>
        <v>15591.1486379015</v>
      </c>
      <c r="H1400" s="17" t="n">
        <f aca="false">F1400-G1400</f>
        <v>-367.519482094436</v>
      </c>
      <c r="I1400" s="17" t="n">
        <f aca="false">H1400*2/10+I1399*8/10</f>
        <v>-210.488501084617</v>
      </c>
      <c r="J1400" s="17" t="n">
        <f aca="false">H1400-I1400</f>
        <v>-157.030981009819</v>
      </c>
      <c r="K1400" s="17" t="n">
        <f aca="false">MAX(B1400-B1399,0)</f>
        <v>71.1800000000003</v>
      </c>
      <c r="L1400" s="17" t="n">
        <f aca="false">MAX(B1399-B1400,0)</f>
        <v>0</v>
      </c>
      <c r="M1400" s="17" t="n">
        <f aca="false">(M1399*13+K1400)/14</f>
        <v>57.9763551405944</v>
      </c>
      <c r="N1400" s="17" t="n">
        <f aca="false">(N1399*13+L1400)/14</f>
        <v>142.254784714422</v>
      </c>
      <c r="O1400" s="17" t="n">
        <f aca="false">IF(N1400=0,100,100-100/(1+M1400/N1400))</f>
        <v>28.9547146275919</v>
      </c>
      <c r="P1400" s="17" t="n">
        <f aca="false">AVERAGE(B1381:B1400)+2*STDEV(B1381:B1400)</f>
        <v>17067.2640373528</v>
      </c>
      <c r="Q1400" s="17" t="n">
        <f aca="false">AVERAGE(B1381:B1400)-2*STDEV(B1381:B1400)</f>
        <v>14405.8439626472</v>
      </c>
      <c r="R1400" s="19" t="n">
        <f aca="false">B1400/B1380-1</f>
        <v>-0.110289847874169</v>
      </c>
      <c r="S1400" s="17" t="n">
        <f aca="false">STDEV(C1381:C1400)*SQRT(252)*100</f>
        <v>22.3339955377775</v>
      </c>
      <c r="T1400" s="19" t="n">
        <f aca="false">B1379/B1149-1</f>
        <v>0.199400453218227</v>
      </c>
      <c r="U1400" s="19" t="n">
        <f aca="false">B1400/MAX(B1149:B1400)-1</f>
        <v>-0.124522878309381</v>
      </c>
      <c r="V1400" s="17" t="n">
        <f aca="false">(B1400-AVERAGE(B1381:B1400))/STDEV(B1381:B1400)</f>
        <v>-1.84408919382739</v>
      </c>
    </row>
    <row r="1401" customFormat="false" ht="15" hidden="false" customHeight="false" outlineLevel="0" collapsed="false">
      <c r="A1401" s="17" t="s">
        <v>1965</v>
      </c>
      <c r="B1401" s="17" t="n">
        <v>14149.12</v>
      </c>
      <c r="C1401" s="19" t="n">
        <f aca="false">B1401/B1400-1</f>
        <v>-0.0248428968998413</v>
      </c>
      <c r="D1401" s="17" t="n">
        <f aca="false">AVERAGE(B1352:B1401)</f>
        <v>15944.851</v>
      </c>
      <c r="E1401" s="17" t="n">
        <f aca="false">AVERAGE(B1202:B1401)</f>
        <v>15007.9894</v>
      </c>
      <c r="F1401" s="17" t="n">
        <f aca="false">B1401*2/13+F1400*11/13</f>
        <v>15058.3200549137</v>
      </c>
      <c r="G1401" s="17" t="n">
        <f aca="false">B1401*2/27+G1400*25/27</f>
        <v>15484.3317017606</v>
      </c>
      <c r="H1401" s="17" t="n">
        <f aca="false">F1401-G1401</f>
        <v>-426.011646846979</v>
      </c>
      <c r="I1401" s="17" t="n">
        <f aca="false">H1401*2/10+I1400*8/10</f>
        <v>-253.593130237089</v>
      </c>
      <c r="J1401" s="17" t="n">
        <f aca="false">H1401-I1401</f>
        <v>-172.418516609889</v>
      </c>
      <c r="K1401" s="17" t="n">
        <f aca="false">MAX(B1401-B1400,0)</f>
        <v>0</v>
      </c>
      <c r="L1401" s="17" t="n">
        <f aca="false">MAX(B1400-B1401,0)</f>
        <v>360.459999999999</v>
      </c>
      <c r="M1401" s="17" t="n">
        <f aca="false">(M1400*13+K1401)/14</f>
        <v>53.8351869162662</v>
      </c>
      <c r="N1401" s="17" t="n">
        <f aca="false">(N1400*13+L1401)/14</f>
        <v>157.840871520535</v>
      </c>
      <c r="O1401" s="17" t="n">
        <f aca="false">IF(N1401=0,100,100-100/(1+M1401/N1401))</f>
        <v>25.4328181060398</v>
      </c>
      <c r="P1401" s="17" t="n">
        <f aca="false">AVERAGE(B1382:B1401)+2*STDEV(B1382:B1401)</f>
        <v>17062.8316421436</v>
      </c>
      <c r="Q1401" s="17" t="n">
        <f aca="false">AVERAGE(B1382:B1401)-2*STDEV(B1382:B1401)</f>
        <v>14168.4383578564</v>
      </c>
      <c r="R1401" s="19" t="n">
        <f aca="false">B1401/B1381-1</f>
        <v>-0.145971329409989</v>
      </c>
      <c r="S1401" s="17" t="n">
        <f aca="false">STDEV(C1382:C1401)*SQRT(252)*100</f>
        <v>21.7758873527874</v>
      </c>
      <c r="T1401" s="19" t="n">
        <f aca="false">B1380/B1150-1</f>
        <v>0.243700548706783</v>
      </c>
      <c r="U1401" s="19" t="n">
        <f aca="false">B1401/MAX(B1150:B1401)-1</f>
        <v>-0.146272266181711</v>
      </c>
      <c r="V1401" s="17" t="n">
        <f aca="false">(B1401-AVERAGE(B1382:B1401))/STDEV(B1382:B1401)</f>
        <v>-2.02669762669962</v>
      </c>
    </row>
    <row r="1402" customFormat="false" ht="15" hidden="false" customHeight="false" outlineLevel="0" collapsed="false">
      <c r="A1402" s="17" t="s">
        <v>1966</v>
      </c>
      <c r="B1402" s="17" t="n">
        <v>14172.76</v>
      </c>
      <c r="C1402" s="19" t="n">
        <f aca="false">B1402/B1401-1</f>
        <v>0.00167077528496473</v>
      </c>
      <c r="D1402" s="17" t="n">
        <f aca="false">AVERAGE(B1353:B1402)</f>
        <v>15904.3084</v>
      </c>
      <c r="E1402" s="17" t="n">
        <f aca="false">AVERAGE(B1203:B1402)</f>
        <v>15008.92075</v>
      </c>
      <c r="F1402" s="17" t="n">
        <f aca="false">B1402*2/13+F1401*11/13</f>
        <v>14922.0800464654</v>
      </c>
      <c r="G1402" s="17" t="n">
        <f aca="false">B1402*2/27+G1401*25/27</f>
        <v>15387.178242371</v>
      </c>
      <c r="H1402" s="17" t="n">
        <f aca="false">F1402-G1402</f>
        <v>-465.098195905557</v>
      </c>
      <c r="I1402" s="17" t="n">
        <f aca="false">H1402*2/10+I1401*8/10</f>
        <v>-295.894143370783</v>
      </c>
      <c r="J1402" s="17" t="n">
        <f aca="false">H1402-I1402</f>
        <v>-169.204052534774</v>
      </c>
      <c r="K1402" s="17" t="n">
        <f aca="false">MAX(B1402-B1401,0)</f>
        <v>23.6399999999994</v>
      </c>
      <c r="L1402" s="17" t="n">
        <f aca="false">MAX(B1401-B1402,0)</f>
        <v>0</v>
      </c>
      <c r="M1402" s="17" t="n">
        <f aca="false">(M1401*13+K1402)/14</f>
        <v>51.6783878508186</v>
      </c>
      <c r="N1402" s="17" t="n">
        <f aca="false">(N1401*13+L1402)/14</f>
        <v>146.566523554782</v>
      </c>
      <c r="O1402" s="17" t="n">
        <f aca="false">IF(N1402=0,100,100-100/(1+M1402/N1402))</f>
        <v>26.0679517493827</v>
      </c>
      <c r="P1402" s="17" t="n">
        <f aca="false">AVERAGE(B1383:B1402)+2*STDEV(B1383:B1402)</f>
        <v>17021.6008947947</v>
      </c>
      <c r="Q1402" s="17" t="n">
        <f aca="false">AVERAGE(B1383:B1402)-2*STDEV(B1383:B1402)</f>
        <v>13978.0791052053</v>
      </c>
      <c r="R1402" s="19" t="n">
        <f aca="false">B1402/B1382-1</f>
        <v>-0.140454106034086</v>
      </c>
      <c r="S1402" s="17" t="n">
        <f aca="false">STDEV(C1383:C1402)*SQRT(252)*100</f>
        <v>22.0120563619665</v>
      </c>
      <c r="T1402" s="19" t="n">
        <f aca="false">B1381/B1151-1</f>
        <v>0.254968174143452</v>
      </c>
      <c r="U1402" s="19" t="n">
        <f aca="false">B1402/MAX(B1151:B1402)-1</f>
        <v>-0.144845878983959</v>
      </c>
      <c r="V1402" s="17" t="n">
        <f aca="false">(B1402-AVERAGE(B1383:B1402))/STDEV(B1383:B1402)</f>
        <v>-1.74413734054988</v>
      </c>
    </row>
    <row r="1403" customFormat="false" ht="15" hidden="false" customHeight="false" outlineLevel="0" collapsed="false">
      <c r="A1403" s="17" t="s">
        <v>1967</v>
      </c>
      <c r="B1403" s="17" t="n">
        <v>14003.11</v>
      </c>
      <c r="C1403" s="19" t="n">
        <f aca="false">B1403/B1402-1</f>
        <v>-0.0119701455468095</v>
      </c>
      <c r="D1403" s="17" t="n">
        <f aca="false">AVERAGE(B1354:B1403)</f>
        <v>15860.5882</v>
      </c>
      <c r="E1403" s="17" t="n">
        <f aca="false">AVERAGE(B1204:B1403)</f>
        <v>15009.91675</v>
      </c>
      <c r="F1403" s="17" t="n">
        <f aca="false">B1403*2/13+F1402*11/13</f>
        <v>14780.7000393169</v>
      </c>
      <c r="G1403" s="17" t="n">
        <f aca="false">B1403*2/27+G1402*25/27</f>
        <v>15284.654668862</v>
      </c>
      <c r="H1403" s="17" t="n">
        <f aca="false">F1403-G1403</f>
        <v>-503.95462954512</v>
      </c>
      <c r="I1403" s="17" t="n">
        <f aca="false">H1403*2/10+I1402*8/10</f>
        <v>-337.50624060565</v>
      </c>
      <c r="J1403" s="17" t="n">
        <f aca="false">H1403-I1403</f>
        <v>-166.44838893947</v>
      </c>
      <c r="K1403" s="17" t="n">
        <f aca="false">MAX(B1403-B1402,0)</f>
        <v>0</v>
      </c>
      <c r="L1403" s="17" t="n">
        <f aca="false">MAX(B1402-B1403,0)</f>
        <v>169.65</v>
      </c>
      <c r="M1403" s="17" t="n">
        <f aca="false">(M1402*13+K1403)/14</f>
        <v>47.987074432903</v>
      </c>
      <c r="N1403" s="17" t="n">
        <f aca="false">(N1402*13+L1403)/14</f>
        <v>148.215343300869</v>
      </c>
      <c r="O1403" s="17" t="n">
        <f aca="false">IF(N1403=0,100,100-100/(1+M1403/N1403))</f>
        <v>24.4579424592091</v>
      </c>
      <c r="P1403" s="17" t="n">
        <f aca="false">AVERAGE(B1384:B1403)+2*STDEV(B1384:B1403)</f>
        <v>16961.4457601312</v>
      </c>
      <c r="Q1403" s="17" t="n">
        <f aca="false">AVERAGE(B1384:B1403)-2*STDEV(B1384:B1403)</f>
        <v>13789.4442398688</v>
      </c>
      <c r="R1403" s="19" t="n">
        <f aca="false">B1403/B1383-1</f>
        <v>-0.15086401621247</v>
      </c>
      <c r="S1403" s="17" t="n">
        <f aca="false">STDEV(C1384:C1403)*SQRT(252)*100</f>
        <v>21.877666486202</v>
      </c>
      <c r="T1403" s="19" t="n">
        <f aca="false">B1382/B1152-1</f>
        <v>0.275680869730716</v>
      </c>
      <c r="U1403" s="19" t="n">
        <f aca="false">B1403/MAX(B1152:B1403)-1</f>
        <v>-0.155082198277475</v>
      </c>
      <c r="V1403" s="17" t="n">
        <f aca="false">(B1403-AVERAGE(B1384:B1403))/STDEV(B1384:B1403)</f>
        <v>-1.73056033073584</v>
      </c>
    </row>
    <row r="1404" customFormat="false" ht="15" hidden="false" customHeight="false" outlineLevel="0" collapsed="false">
      <c r="A1404" s="17" t="s">
        <v>1968</v>
      </c>
      <c r="B1404" s="17" t="n">
        <v>14454.61</v>
      </c>
      <c r="C1404" s="19" t="n">
        <f aca="false">B1404/B1403-1</f>
        <v>0.032242837483959</v>
      </c>
      <c r="D1404" s="17" t="n">
        <f aca="false">AVERAGE(B1355:B1404)</f>
        <v>15823.485</v>
      </c>
      <c r="E1404" s="17" t="n">
        <f aca="false">AVERAGE(B1205:B1404)</f>
        <v>15012.05885</v>
      </c>
      <c r="F1404" s="17" t="n">
        <f aca="false">B1404*2/13+F1403*11/13</f>
        <v>14730.5323409604</v>
      </c>
      <c r="G1404" s="17" t="n">
        <f aca="false">B1404*2/27+G1403*25/27</f>
        <v>15223.1698785759</v>
      </c>
      <c r="H1404" s="17" t="n">
        <f aca="false">F1404-G1404</f>
        <v>-492.63753761549</v>
      </c>
      <c r="I1404" s="17" t="n">
        <f aca="false">H1404*2/10+I1403*8/10</f>
        <v>-368.532500007618</v>
      </c>
      <c r="J1404" s="17" t="n">
        <f aca="false">H1404-I1404</f>
        <v>-124.105037607872</v>
      </c>
      <c r="K1404" s="17" t="n">
        <f aca="false">MAX(B1404-B1403,0)</f>
        <v>451.5</v>
      </c>
      <c r="L1404" s="17" t="n">
        <f aca="false">MAX(B1403-B1404,0)</f>
        <v>0</v>
      </c>
      <c r="M1404" s="17" t="n">
        <f aca="false">(M1403*13+K1404)/14</f>
        <v>76.8094262591242</v>
      </c>
      <c r="N1404" s="17" t="n">
        <f aca="false">(N1403*13+L1404)/14</f>
        <v>137.628533065093</v>
      </c>
      <c r="O1404" s="17" t="n">
        <f aca="false">IF(N1404=0,100,100-100/(1+M1404/N1404))</f>
        <v>35.8189503860149</v>
      </c>
      <c r="P1404" s="17" t="n">
        <f aca="false">AVERAGE(B1385:B1404)+2*STDEV(B1385:B1404)</f>
        <v>16832.0820354363</v>
      </c>
      <c r="Q1404" s="17" t="n">
        <f aca="false">AVERAGE(B1385:B1404)-2*STDEV(B1385:B1404)</f>
        <v>13721.3589645637</v>
      </c>
      <c r="R1404" s="19" t="n">
        <f aca="false">B1404/B1384-1</f>
        <v>-0.120182481085391</v>
      </c>
      <c r="S1404" s="17" t="n">
        <f aca="false">STDEV(C1385:C1404)*SQRT(252)*100</f>
        <v>26.1331843011694</v>
      </c>
      <c r="T1404" s="19" t="n">
        <f aca="false">B1383/B1153-1</f>
        <v>0.244707862539532</v>
      </c>
      <c r="U1404" s="19" t="n">
        <f aca="false">B1404/MAX(B1153:B1404)-1</f>
        <v>-0.127839650909231</v>
      </c>
      <c r="V1404" s="17" t="n">
        <f aca="false">(B1404-AVERAGE(B1385:B1404))/STDEV(B1385:B1404)</f>
        <v>-1.05713106730442</v>
      </c>
    </row>
    <row r="1405" customFormat="false" ht="15" hidden="false" customHeight="false" outlineLevel="0" collapsed="false">
      <c r="A1405" s="17" t="s">
        <v>1969</v>
      </c>
      <c r="B1405" s="17" t="n">
        <v>14930.05</v>
      </c>
      <c r="C1405" s="19" t="n">
        <f aca="false">B1405/B1404-1</f>
        <v>0.0328919285957905</v>
      </c>
      <c r="D1405" s="17" t="n">
        <f aca="false">AVERAGE(B1356:B1405)</f>
        <v>15795.9246</v>
      </c>
      <c r="E1405" s="17" t="n">
        <f aca="false">AVERAGE(B1206:B1405)</f>
        <v>15016.49955</v>
      </c>
      <c r="F1405" s="17" t="n">
        <f aca="false">B1405*2/13+F1404*11/13</f>
        <v>14761.2273654281</v>
      </c>
      <c r="G1405" s="17" t="n">
        <f aca="false">B1405*2/27+G1404*25/27</f>
        <v>15201.4572949777</v>
      </c>
      <c r="H1405" s="17" t="n">
        <f aca="false">F1405-G1405</f>
        <v>-440.229929549647</v>
      </c>
      <c r="I1405" s="17" t="n">
        <f aca="false">H1405*2/10+I1404*8/10</f>
        <v>-382.871985916024</v>
      </c>
      <c r="J1405" s="17" t="n">
        <f aca="false">H1405-I1405</f>
        <v>-57.3579436336229</v>
      </c>
      <c r="K1405" s="17" t="n">
        <f aca="false">MAX(B1405-B1404,0)</f>
        <v>475.439999999999</v>
      </c>
      <c r="L1405" s="17" t="n">
        <f aca="false">MAX(B1404-B1405,0)</f>
        <v>0</v>
      </c>
      <c r="M1405" s="17" t="n">
        <f aca="false">(M1404*13+K1405)/14</f>
        <v>105.283038669187</v>
      </c>
      <c r="N1405" s="17" t="n">
        <f aca="false">(N1404*13+L1405)/14</f>
        <v>127.797923560443</v>
      </c>
      <c r="O1405" s="17" t="n">
        <f aca="false">IF(N1405=0,100,100-100/(1+M1405/N1405))</f>
        <v>45.1701578979507</v>
      </c>
      <c r="P1405" s="17" t="n">
        <f aca="false">AVERAGE(B1386:B1405)+2*STDEV(B1386:B1405)</f>
        <v>16688.7496716458</v>
      </c>
      <c r="Q1405" s="17" t="n">
        <f aca="false">AVERAGE(B1386:B1405)-2*STDEV(B1386:B1405)</f>
        <v>13725.6883283542</v>
      </c>
      <c r="R1405" s="19" t="n">
        <f aca="false">B1405/B1385-1</f>
        <v>-0.0851729893480915</v>
      </c>
      <c r="S1405" s="17" t="n">
        <f aca="false">STDEV(C1386:C1405)*SQRT(252)*100</f>
        <v>29.5937864618382</v>
      </c>
      <c r="T1405" s="19" t="n">
        <f aca="false">B1384/B1154-1</f>
        <v>0.220938873910161</v>
      </c>
      <c r="U1405" s="19" t="n">
        <f aca="false">B1405/MAX(B1154:B1405)-1</f>
        <v>-0.0991526149828581</v>
      </c>
      <c r="V1405" s="17" t="n">
        <f aca="false">(B1405-AVERAGE(B1386:B1405))/STDEV(B1386:B1405)</f>
        <v>-0.374165726440336</v>
      </c>
    </row>
    <row r="1406" customFormat="false" ht="15" hidden="false" customHeight="false" outlineLevel="0" collapsed="false">
      <c r="A1406" s="17" t="s">
        <v>1970</v>
      </c>
      <c r="B1406" s="17" t="n">
        <v>15019.68</v>
      </c>
      <c r="C1406" s="19" t="n">
        <f aca="false">B1406/B1405-1</f>
        <v>0.0060033288569028</v>
      </c>
      <c r="D1406" s="17" t="n">
        <f aca="false">AVERAGE(B1357:B1406)</f>
        <v>15766.6588</v>
      </c>
      <c r="E1406" s="17" t="n">
        <f aca="false">AVERAGE(B1207:B1406)</f>
        <v>15022.0596</v>
      </c>
      <c r="F1406" s="17" t="n">
        <f aca="false">B1406*2/13+F1405*11/13</f>
        <v>14800.9893092084</v>
      </c>
      <c r="G1406" s="17" t="n">
        <f aca="false">B1406*2/27+G1405*25/27</f>
        <v>15187.9923101645</v>
      </c>
      <c r="H1406" s="17" t="n">
        <f aca="false">F1406-G1406</f>
        <v>-387.003000956187</v>
      </c>
      <c r="I1406" s="17" t="n">
        <f aca="false">H1406*2/10+I1405*8/10</f>
        <v>-383.698188924057</v>
      </c>
      <c r="J1406" s="17" t="n">
        <f aca="false">H1406-I1406</f>
        <v>-3.30481203213043</v>
      </c>
      <c r="K1406" s="17" t="n">
        <f aca="false">MAX(B1406-B1405,0)</f>
        <v>89.630000000001</v>
      </c>
      <c r="L1406" s="17" t="n">
        <f aca="false">MAX(B1405-B1406,0)</f>
        <v>0</v>
      </c>
      <c r="M1406" s="17" t="n">
        <f aca="false">(M1405*13+K1406)/14</f>
        <v>104.164964478531</v>
      </c>
      <c r="N1406" s="17" t="n">
        <f aca="false">(N1405*13+L1406)/14</f>
        <v>118.669500448983</v>
      </c>
      <c r="O1406" s="17" t="n">
        <f aca="false">IF(N1406=0,100,100-100/(1+M1406/N1406))</f>
        <v>46.7454460028949</v>
      </c>
      <c r="P1406" s="17" t="n">
        <f aca="false">AVERAGE(B1387:B1406)+2*STDEV(B1387:B1406)</f>
        <v>16484.5590619329</v>
      </c>
      <c r="Q1406" s="17" t="n">
        <f aca="false">AVERAGE(B1387:B1406)-2*STDEV(B1387:B1406)</f>
        <v>13781.6699380671</v>
      </c>
      <c r="R1406" s="19" t="n">
        <f aca="false">B1406/B1386-1</f>
        <v>-0.0898140017707192</v>
      </c>
      <c r="S1406" s="17" t="n">
        <f aca="false">STDEV(C1387:C1406)*SQRT(252)*100</f>
        <v>29.2940379446215</v>
      </c>
      <c r="T1406" s="19" t="n">
        <f aca="false">B1385/B1155-1</f>
        <v>0.217701048396664</v>
      </c>
      <c r="U1406" s="19" t="n">
        <f aca="false">B1406/MAX(B1155:B1406)-1</f>
        <v>-0.0937445318807193</v>
      </c>
      <c r="V1406" s="17" t="n">
        <f aca="false">(B1406-AVERAGE(B1387:B1406))/STDEV(B1387:B1406)</f>
        <v>-0.167871480925216</v>
      </c>
    </row>
    <row r="1407" customFormat="false" ht="15" hidden="false" customHeight="false" outlineLevel="0" collapsed="false">
      <c r="A1407" s="17" t="s">
        <v>1971</v>
      </c>
      <c r="B1407" s="17" t="n">
        <v>15139.74</v>
      </c>
      <c r="C1407" s="19" t="n">
        <f aca="false">B1407/B1406-1</f>
        <v>0.00799351251158487</v>
      </c>
      <c r="D1407" s="17" t="n">
        <f aca="false">AVERAGE(B1358:B1407)</f>
        <v>15737.9868</v>
      </c>
      <c r="E1407" s="17" t="n">
        <f aca="false">AVERAGE(B1208:B1407)</f>
        <v>15028.7118</v>
      </c>
      <c r="F1407" s="17" t="n">
        <f aca="false">B1407*2/13+F1406*11/13</f>
        <v>14853.1048000994</v>
      </c>
      <c r="G1407" s="17" t="n">
        <f aca="false">B1407*2/27+G1406*25/27</f>
        <v>15184.4180649672</v>
      </c>
      <c r="H1407" s="17" t="n">
        <f aca="false">F1407-G1407</f>
        <v>-331.313264867793</v>
      </c>
      <c r="I1407" s="17" t="n">
        <f aca="false">H1407*2/10+I1406*8/10</f>
        <v>-373.221204112804</v>
      </c>
      <c r="J1407" s="17" t="n">
        <f aca="false">H1407-I1407</f>
        <v>41.9079392450109</v>
      </c>
      <c r="K1407" s="17" t="n">
        <f aca="false">MAX(B1407-B1406,0)</f>
        <v>120.059999999999</v>
      </c>
      <c r="L1407" s="17" t="n">
        <f aca="false">MAX(B1406-B1407,0)</f>
        <v>0</v>
      </c>
      <c r="M1407" s="17" t="n">
        <f aca="false">(M1406*13+K1407)/14</f>
        <v>105.300324158635</v>
      </c>
      <c r="N1407" s="17" t="n">
        <f aca="false">(N1406*13+L1407)/14</f>
        <v>110.19310755977</v>
      </c>
      <c r="O1407" s="17" t="n">
        <f aca="false">IF(N1407=0,100,100-100/(1+M1407/N1407))</f>
        <v>48.8647488319904</v>
      </c>
      <c r="P1407" s="17" t="n">
        <f aca="false">AVERAGE(B1388:B1407)+2*STDEV(B1388:B1407)</f>
        <v>16315.4483820456</v>
      </c>
      <c r="Q1407" s="17" t="n">
        <f aca="false">AVERAGE(B1388:B1407)-2*STDEV(B1388:B1407)</f>
        <v>13836.7816179544</v>
      </c>
      <c r="R1407" s="19" t="n">
        <f aca="false">B1407/B1387-1</f>
        <v>-0.0700251171241784</v>
      </c>
      <c r="S1407" s="17" t="n">
        <f aca="false">STDEV(C1388:C1407)*SQRT(252)*100</f>
        <v>29.4166660832403</v>
      </c>
      <c r="T1407" s="19" t="n">
        <f aca="false">B1386/B1156-1</f>
        <v>0.216864822294112</v>
      </c>
      <c r="U1407" s="19" t="n">
        <f aca="false">B1407/MAX(B1156:B1407)-1</f>
        <v>-0.0865003674576157</v>
      </c>
      <c r="V1407" s="17" t="n">
        <f aca="false">(B1407-AVERAGE(B1388:B1407))/STDEV(B1388:B1407)</f>
        <v>0.102676165948152</v>
      </c>
    </row>
    <row r="1408" customFormat="false" ht="15" hidden="false" customHeight="false" outlineLevel="0" collapsed="false">
      <c r="A1408" s="17" t="s">
        <v>1972</v>
      </c>
      <c r="B1408" s="17" t="n">
        <v>14501.11</v>
      </c>
      <c r="C1408" s="19" t="n">
        <f aca="false">B1408/B1407-1</f>
        <v>-0.0421823624447976</v>
      </c>
      <c r="D1408" s="17" t="n">
        <f aca="false">AVERAGE(B1359:B1408)</f>
        <v>15700.3894</v>
      </c>
      <c r="E1408" s="17" t="n">
        <f aca="false">AVERAGE(B1209:B1408)</f>
        <v>15031.5416</v>
      </c>
      <c r="F1408" s="17" t="n">
        <f aca="false">B1408*2/13+F1407*11/13</f>
        <v>14798.9517539302</v>
      </c>
      <c r="G1408" s="17" t="n">
        <f aca="false">B1408*2/27+G1407*25/27</f>
        <v>15133.8026527474</v>
      </c>
      <c r="H1408" s="17" t="n">
        <f aca="false">F1408-G1408</f>
        <v>-334.850898817138</v>
      </c>
      <c r="I1408" s="17" t="n">
        <f aca="false">H1408*2/10+I1407*8/10</f>
        <v>-365.547143053671</v>
      </c>
      <c r="J1408" s="17" t="n">
        <f aca="false">H1408-I1408</f>
        <v>30.6962442365327</v>
      </c>
      <c r="K1408" s="17" t="n">
        <f aca="false">MAX(B1408-B1407,0)</f>
        <v>0</v>
      </c>
      <c r="L1408" s="17" t="n">
        <f aca="false">MAX(B1407-B1408,0)</f>
        <v>638.629999999999</v>
      </c>
      <c r="M1408" s="17" t="n">
        <f aca="false">(M1407*13+K1408)/14</f>
        <v>97.7788724330186</v>
      </c>
      <c r="N1408" s="17" t="n">
        <f aca="false">(N1407*13+L1408)/14</f>
        <v>147.938599876929</v>
      </c>
      <c r="O1408" s="17" t="n">
        <f aca="false">IF(N1408=0,100,100-100/(1+M1408/N1408))</f>
        <v>39.7932110866257</v>
      </c>
      <c r="P1408" s="17" t="n">
        <f aca="false">AVERAGE(B1389:B1408)+2*STDEV(B1389:B1408)</f>
        <v>16231.8738052376</v>
      </c>
      <c r="Q1408" s="17" t="n">
        <f aca="false">AVERAGE(B1389:B1408)-2*STDEV(B1389:B1408)</f>
        <v>13793.2891947624</v>
      </c>
      <c r="R1408" s="19" t="n">
        <f aca="false">B1408/B1388-1</f>
        <v>-0.0805660489811549</v>
      </c>
      <c r="S1408" s="17" t="n">
        <f aca="false">STDEV(C1389:C1408)*SQRT(252)*100</f>
        <v>31.005476756222</v>
      </c>
      <c r="T1408" s="19" t="n">
        <f aca="false">B1387/B1157-1</f>
        <v>0.196690522465518</v>
      </c>
      <c r="U1408" s="19" t="n">
        <f aca="false">B1408/MAX(B1157:B1408)-1</f>
        <v>-0.125033940050708</v>
      </c>
      <c r="V1408" s="17" t="n">
        <f aca="false">(B1408-AVERAGE(B1389:B1408))/STDEV(B1389:B1408)</f>
        <v>-0.838964533447684</v>
      </c>
    </row>
    <row r="1409" customFormat="false" ht="15" hidden="false" customHeight="false" outlineLevel="0" collapsed="false">
      <c r="A1409" s="17" t="s">
        <v>1973</v>
      </c>
      <c r="B1409" s="17" t="n">
        <v>14694.35</v>
      </c>
      <c r="C1409" s="19" t="n">
        <f aca="false">B1409/B1408-1</f>
        <v>0.0133258764329076</v>
      </c>
      <c r="D1409" s="17" t="n">
        <f aca="false">AVERAGE(B1360:B1409)</f>
        <v>15668.142</v>
      </c>
      <c r="E1409" s="17" t="n">
        <f aca="false">AVERAGE(B1210:B1409)</f>
        <v>15036.20155</v>
      </c>
      <c r="F1409" s="17" t="n">
        <f aca="false">B1409*2/13+F1408*11/13</f>
        <v>14782.8591764025</v>
      </c>
      <c r="G1409" s="17" t="n">
        <f aca="false">B1409*2/27+G1408*25/27</f>
        <v>15101.2506043957</v>
      </c>
      <c r="H1409" s="17" t="n">
        <f aca="false">F1409-G1409</f>
        <v>-318.391427993209</v>
      </c>
      <c r="I1409" s="17" t="n">
        <f aca="false">H1409*2/10+I1408*8/10</f>
        <v>-356.116000041578</v>
      </c>
      <c r="J1409" s="17" t="n">
        <f aca="false">H1409-I1409</f>
        <v>37.7245720483696</v>
      </c>
      <c r="K1409" s="17" t="n">
        <f aca="false">MAX(B1409-B1408,0)</f>
        <v>193.24</v>
      </c>
      <c r="L1409" s="17" t="n">
        <f aca="false">MAX(B1408-B1409,0)</f>
        <v>0</v>
      </c>
      <c r="M1409" s="17" t="n">
        <f aca="false">(M1408*13+K1409)/14</f>
        <v>104.597524402089</v>
      </c>
      <c r="N1409" s="17" t="n">
        <f aca="false">(N1408*13+L1409)/14</f>
        <v>137.371557028577</v>
      </c>
      <c r="O1409" s="17" t="n">
        <f aca="false">IF(N1409=0,100,100-100/(1+M1409/N1409))</f>
        <v>43.2276404008502</v>
      </c>
      <c r="P1409" s="17" t="n">
        <f aca="false">AVERAGE(B1390:B1409)+2*STDEV(B1390:B1409)</f>
        <v>16132.3253179181</v>
      </c>
      <c r="Q1409" s="17" t="n">
        <f aca="false">AVERAGE(B1390:B1409)-2*STDEV(B1390:B1409)</f>
        <v>13785.7366820819</v>
      </c>
      <c r="R1409" s="19" t="n">
        <f aca="false">B1409/B1389-1</f>
        <v>-0.0679343827226273</v>
      </c>
      <c r="S1409" s="17" t="n">
        <f aca="false">STDEV(C1390:C1409)*SQRT(252)*100</f>
        <v>31.5946902893153</v>
      </c>
      <c r="T1409" s="19" t="n">
        <f aca="false">B1388/B1158-1</f>
        <v>0.151643444113262</v>
      </c>
      <c r="U1409" s="19" t="n">
        <f aca="false">B1409/MAX(B1158:B1409)-1</f>
        <v>-0.113374250452836</v>
      </c>
      <c r="V1409" s="17" t="n">
        <f aca="false">(B1409-AVERAGE(B1390:B1409))/STDEV(B1390:B1409)</f>
        <v>-0.451175797850356</v>
      </c>
    </row>
    <row r="1410" customFormat="false" ht="15" hidden="false" customHeight="false" outlineLevel="0" collapsed="false">
      <c r="A1410" s="17" t="s">
        <v>1974</v>
      </c>
      <c r="B1410" s="17" t="n">
        <v>14571.25</v>
      </c>
      <c r="C1410" s="19" t="n">
        <f aca="false">B1410/B1409-1</f>
        <v>-0.00837736953318791</v>
      </c>
      <c r="D1410" s="17" t="n">
        <f aca="false">AVERAGE(B1361:B1410)</f>
        <v>15632.2108</v>
      </c>
      <c r="E1410" s="17" t="n">
        <f aca="false">AVERAGE(B1211:B1410)</f>
        <v>15039.3506</v>
      </c>
      <c r="F1410" s="17" t="n">
        <f aca="false">B1410*2/13+F1409*11/13</f>
        <v>14750.3039184944</v>
      </c>
      <c r="G1410" s="17" t="n">
        <f aca="false">B1410*2/27+G1409*25/27</f>
        <v>15061.9913003664</v>
      </c>
      <c r="H1410" s="17" t="n">
        <f aca="false">F1410-G1410</f>
        <v>-311.687381871972</v>
      </c>
      <c r="I1410" s="17" t="n">
        <f aca="false">H1410*2/10+I1409*8/10</f>
        <v>-347.230276407657</v>
      </c>
      <c r="J1410" s="17" t="n">
        <f aca="false">H1410-I1410</f>
        <v>35.5428945356848</v>
      </c>
      <c r="K1410" s="17" t="n">
        <f aca="false">MAX(B1410-B1409,0)</f>
        <v>0</v>
      </c>
      <c r="L1410" s="17" t="n">
        <f aca="false">MAX(B1409-B1410,0)</f>
        <v>123.1</v>
      </c>
      <c r="M1410" s="17" t="n">
        <f aca="false">(M1409*13+K1410)/14</f>
        <v>97.1262726590824</v>
      </c>
      <c r="N1410" s="17" t="n">
        <f aca="false">(N1409*13+L1410)/14</f>
        <v>136.352160097965</v>
      </c>
      <c r="O1410" s="17" t="n">
        <f aca="false">IF(N1410=0,100,100-100/(1+M1410/N1410))</f>
        <v>41.5996764721091</v>
      </c>
      <c r="P1410" s="17" t="n">
        <f aca="false">AVERAGE(B1391:B1410)+2*STDEV(B1391:B1410)</f>
        <v>16053.8057693387</v>
      </c>
      <c r="Q1410" s="17" t="n">
        <f aca="false">AVERAGE(B1391:B1410)-2*STDEV(B1391:B1410)</f>
        <v>13762.1622306613</v>
      </c>
      <c r="R1410" s="19" t="n">
        <f aca="false">B1410/B1390-1</f>
        <v>-0.0654776525940231</v>
      </c>
      <c r="S1410" s="17" t="n">
        <f aca="false">STDEV(C1391:C1410)*SQRT(252)*100</f>
        <v>31.5243190266081</v>
      </c>
      <c r="T1410" s="19" t="n">
        <f aca="false">B1389/B1159-1</f>
        <v>0.151842467494893</v>
      </c>
      <c r="U1410" s="19" t="n">
        <f aca="false">B1410/MAX(B1159:B1410)-1</f>
        <v>-0.120801841994432</v>
      </c>
      <c r="V1410" s="17" t="n">
        <f aca="false">(B1410-AVERAGE(B1391:B1410))/STDEV(B1391:B1410)</f>
        <v>-0.587759822706695</v>
      </c>
    </row>
    <row r="1411" customFormat="false" ht="15" hidden="false" customHeight="false" outlineLevel="0" collapsed="false">
      <c r="A1411" s="17" t="s">
        <v>1975</v>
      </c>
      <c r="B1411" s="17" t="n">
        <v>14747.03</v>
      </c>
      <c r="C1411" s="19" t="n">
        <f aca="false">B1411/B1410-1</f>
        <v>0.0120634811701124</v>
      </c>
      <c r="D1411" s="17" t="n">
        <f aca="false">AVERAGE(B1362:B1411)</f>
        <v>15606.6398</v>
      </c>
      <c r="E1411" s="17" t="n">
        <f aca="false">AVERAGE(B1212:B1411)</f>
        <v>15042.95495</v>
      </c>
      <c r="F1411" s="17" t="n">
        <f aca="false">B1411*2/13+F1410*11/13</f>
        <v>14749.8002387261</v>
      </c>
      <c r="G1411" s="17" t="n">
        <f aca="false">B1411*2/27+G1410*25/27</f>
        <v>15038.6608336726</v>
      </c>
      <c r="H1411" s="17" t="n">
        <f aca="false">F1411-G1411</f>
        <v>-288.860594946538</v>
      </c>
      <c r="I1411" s="17" t="n">
        <f aca="false">H1411*2/10+I1410*8/10</f>
        <v>-335.556340115433</v>
      </c>
      <c r="J1411" s="17" t="n">
        <f aca="false">H1411-I1411</f>
        <v>46.6957451688951</v>
      </c>
      <c r="K1411" s="17" t="n">
        <f aca="false">MAX(B1411-B1410,0)</f>
        <v>175.780000000001</v>
      </c>
      <c r="L1411" s="17" t="n">
        <f aca="false">MAX(B1410-B1411,0)</f>
        <v>0</v>
      </c>
      <c r="M1411" s="17" t="n">
        <f aca="false">(M1410*13+K1411)/14</f>
        <v>102.744396040577</v>
      </c>
      <c r="N1411" s="17" t="n">
        <f aca="false">(N1410*13+L1411)/14</f>
        <v>126.612720090967</v>
      </c>
      <c r="O1411" s="17" t="n">
        <f aca="false">IF(N1411=0,100,100-100/(1+M1411/N1411))</f>
        <v>44.7966898841061</v>
      </c>
      <c r="P1411" s="17" t="n">
        <f aca="false">AVERAGE(B1392:B1411)+2*STDEV(B1392:B1411)</f>
        <v>15962.5097725318</v>
      </c>
      <c r="Q1411" s="17" t="n">
        <f aca="false">AVERAGE(B1392:B1411)-2*STDEV(B1392:B1411)</f>
        <v>13766.7182274682</v>
      </c>
      <c r="R1411" s="19" t="n">
        <f aca="false">B1411/B1391-1</f>
        <v>-0.0555511792617469</v>
      </c>
      <c r="S1411" s="17" t="n">
        <f aca="false">STDEV(C1392:C1411)*SQRT(252)*100</f>
        <v>31.9542072141512</v>
      </c>
      <c r="T1411" s="19" t="n">
        <f aca="false">B1390/B1160-1</f>
        <v>0.141844137831035</v>
      </c>
      <c r="U1411" s="19" t="n">
        <f aca="false">B1411/MAX(B1160:B1411)-1</f>
        <v>-0.110195651570534</v>
      </c>
      <c r="V1411" s="17" t="n">
        <f aca="false">(B1411-AVERAGE(B1392:B1411))/STDEV(B1392:B1411)</f>
        <v>-0.214198839164575</v>
      </c>
    </row>
    <row r="1412" customFormat="false" ht="15" hidden="false" customHeight="false" outlineLevel="0" collapsed="false">
      <c r="A1412" s="17" t="s">
        <v>1976</v>
      </c>
      <c r="B1412" s="17" t="n">
        <v>15056.96</v>
      </c>
      <c r="C1412" s="19" t="n">
        <f aca="false">B1412/B1411-1</f>
        <v>0.0210164351737263</v>
      </c>
      <c r="D1412" s="17" t="n">
        <f aca="false">AVERAGE(B1363:B1412)</f>
        <v>15579.7942</v>
      </c>
      <c r="E1412" s="17" t="n">
        <f aca="false">AVERAGE(B1213:B1412)</f>
        <v>15048.43835</v>
      </c>
      <c r="F1412" s="17" t="n">
        <f aca="false">B1412*2/13+F1411*11/13</f>
        <v>14797.0555866144</v>
      </c>
      <c r="G1412" s="17" t="n">
        <f aca="false">B1412*2/27+G1411*25/27</f>
        <v>15040.0163274746</v>
      </c>
      <c r="H1412" s="17" t="n">
        <f aca="false">F1412-G1412</f>
        <v>-242.960740860268</v>
      </c>
      <c r="I1412" s="17" t="n">
        <f aca="false">H1412*2/10+I1411*8/10</f>
        <v>-317.0372202644</v>
      </c>
      <c r="J1412" s="17" t="n">
        <f aca="false">H1412-I1412</f>
        <v>74.0764794041323</v>
      </c>
      <c r="K1412" s="17" t="n">
        <f aca="false">MAX(B1412-B1411,0)</f>
        <v>309.929999999999</v>
      </c>
      <c r="L1412" s="17" t="n">
        <f aca="false">MAX(B1411-B1412,0)</f>
        <v>0</v>
      </c>
      <c r="M1412" s="17" t="n">
        <f aca="false">(M1411*13+K1412)/14</f>
        <v>117.543367751964</v>
      </c>
      <c r="N1412" s="17" t="n">
        <f aca="false">(N1411*13+L1412)/14</f>
        <v>117.568954370184</v>
      </c>
      <c r="O1412" s="17" t="n">
        <f aca="false">IF(N1412=0,100,100-100/(1+M1412/N1412))</f>
        <v>49.9945586394646</v>
      </c>
      <c r="P1412" s="17" t="n">
        <f aca="false">AVERAGE(B1393:B1412)+2*STDEV(B1393:B1412)</f>
        <v>15827.5812745785</v>
      </c>
      <c r="Q1412" s="17" t="n">
        <f aca="false">AVERAGE(B1393:B1412)-2*STDEV(B1393:B1412)</f>
        <v>13822.9307254215</v>
      </c>
      <c r="R1412" s="19" t="n">
        <f aca="false">B1412/B1392-1</f>
        <v>-0.0496815222303291</v>
      </c>
      <c r="S1412" s="17" t="n">
        <f aca="false">STDEV(C1393:C1412)*SQRT(252)*100</f>
        <v>32.4829232145702</v>
      </c>
      <c r="T1412" s="19" t="n">
        <f aca="false">B1391/B1161-1</f>
        <v>0.136888895360902</v>
      </c>
      <c r="U1412" s="19" t="n">
        <f aca="false">B1412/MAX(B1161:B1412)-1</f>
        <v>-0.0914951361644666</v>
      </c>
      <c r="V1412" s="17" t="n">
        <f aca="false">(B1412-AVERAGE(B1393:B1412))/STDEV(B1393:B1412)</f>
        <v>0.462332948946991</v>
      </c>
    </row>
    <row r="1413" customFormat="false" ht="15" hidden="false" customHeight="false" outlineLevel="0" collapsed="false">
      <c r="A1413" s="17" t="s">
        <v>1977</v>
      </c>
      <c r="B1413" s="17" t="n">
        <v>14705.64</v>
      </c>
      <c r="C1413" s="19" t="n">
        <f aca="false">B1413/B1412-1</f>
        <v>-0.023332731175483</v>
      </c>
      <c r="D1413" s="17" t="n">
        <f aca="false">AVERAGE(B1364:B1413)</f>
        <v>15551.1886</v>
      </c>
      <c r="E1413" s="17" t="n">
        <f aca="false">AVERAGE(B1214:B1413)</f>
        <v>15052.45845</v>
      </c>
      <c r="F1413" s="17" t="n">
        <f aca="false">B1413*2/13+F1412*11/13</f>
        <v>14782.9916502122</v>
      </c>
      <c r="G1413" s="17" t="n">
        <f aca="false">B1413*2/27+G1412*25/27</f>
        <v>15015.2477106247</v>
      </c>
      <c r="H1413" s="17" t="n">
        <f aca="false">F1413-G1413</f>
        <v>-232.256060412508</v>
      </c>
      <c r="I1413" s="17" t="n">
        <f aca="false">H1413*2/10+I1412*8/10</f>
        <v>-300.080988294022</v>
      </c>
      <c r="J1413" s="17" t="n">
        <f aca="false">H1413-I1413</f>
        <v>67.8249278815135</v>
      </c>
      <c r="K1413" s="17" t="n">
        <f aca="false">MAX(B1413-B1412,0)</f>
        <v>0</v>
      </c>
      <c r="L1413" s="17" t="n">
        <f aca="false">MAX(B1412-B1413,0)</f>
        <v>351.32</v>
      </c>
      <c r="M1413" s="17" t="n">
        <f aca="false">(M1412*13+K1413)/14</f>
        <v>109.147412912538</v>
      </c>
      <c r="N1413" s="17" t="n">
        <f aca="false">(N1412*13+L1413)/14</f>
        <v>134.265457629456</v>
      </c>
      <c r="O1413" s="17" t="n">
        <f aca="false">IF(N1413=0,100,100-100/(1+M1413/N1413))</f>
        <v>44.8404444142602</v>
      </c>
      <c r="P1413" s="17" t="n">
        <f aca="false">AVERAGE(B1394:B1413)+2*STDEV(B1394:B1413)</f>
        <v>15629.5959915317</v>
      </c>
      <c r="Q1413" s="17" t="n">
        <f aca="false">AVERAGE(B1394:B1413)-2*STDEV(B1394:B1413)</f>
        <v>13900.9700084683</v>
      </c>
      <c r="R1413" s="19" t="n">
        <f aca="false">B1413/B1393-1</f>
        <v>-0.0754135465982609</v>
      </c>
      <c r="S1413" s="17" t="n">
        <f aca="false">STDEV(C1394:C1413)*SQRT(252)*100</f>
        <v>33.220090425156</v>
      </c>
      <c r="T1413" s="19" t="n">
        <f aca="false">B1392/B1162-1</f>
        <v>0.147484374660515</v>
      </c>
      <c r="U1413" s="19" t="n">
        <f aca="false">B1413/MAX(B1162:B1413)-1</f>
        <v>-0.11269303592396</v>
      </c>
      <c r="V1413" s="17" t="n">
        <f aca="false">(B1413-AVERAGE(B1394:B1413))/STDEV(B1394:B1413)</f>
        <v>-0.138012503767417</v>
      </c>
    </row>
    <row r="1414" customFormat="false" ht="15" hidden="false" customHeight="false" outlineLevel="0" collapsed="false">
      <c r="A1414" s="17" t="s">
        <v>1978</v>
      </c>
      <c r="B1414" s="17" t="n">
        <v>14253.84</v>
      </c>
      <c r="C1414" s="19" t="n">
        <f aca="false">B1414/B1413-1</f>
        <v>-0.0307229063134959</v>
      </c>
      <c r="D1414" s="17" t="n">
        <f aca="false">AVERAGE(B1365:B1414)</f>
        <v>15518.711</v>
      </c>
      <c r="E1414" s="17" t="n">
        <f aca="false">AVERAGE(B1215:B1414)</f>
        <v>15053.87665</v>
      </c>
      <c r="F1414" s="17" t="n">
        <f aca="false">B1414*2/13+F1413*11/13</f>
        <v>14701.5837040257</v>
      </c>
      <c r="G1414" s="17" t="n">
        <f aca="false">B1414*2/27+G1413*25/27</f>
        <v>14958.8471394673</v>
      </c>
      <c r="H1414" s="17" t="n">
        <f aca="false">F1414-G1414</f>
        <v>-257.263435441611</v>
      </c>
      <c r="I1414" s="17" t="n">
        <f aca="false">H1414*2/10+I1413*8/10</f>
        <v>-291.51747772354</v>
      </c>
      <c r="J1414" s="17" t="n">
        <f aca="false">H1414-I1414</f>
        <v>34.2540422819283</v>
      </c>
      <c r="K1414" s="17" t="n">
        <f aca="false">MAX(B1414-B1413,0)</f>
        <v>0</v>
      </c>
      <c r="L1414" s="17" t="n">
        <f aca="false">MAX(B1413-B1414,0)</f>
        <v>451.799999999999</v>
      </c>
      <c r="M1414" s="17" t="n">
        <f aca="false">(M1413*13+K1414)/14</f>
        <v>101.351169133071</v>
      </c>
      <c r="N1414" s="17" t="n">
        <f aca="false">(N1413*13+L1414)/14</f>
        <v>156.946496370209</v>
      </c>
      <c r="O1414" s="17" t="n">
        <f aca="false">IF(N1414=0,100,100-100/(1+M1414/N1414))</f>
        <v>39.2381282020467</v>
      </c>
      <c r="P1414" s="17" t="n">
        <f aca="false">AVERAGE(B1395:B1414)+2*STDEV(B1395:B1414)</f>
        <v>15523.9133802205</v>
      </c>
      <c r="Q1414" s="17" t="n">
        <f aca="false">AVERAGE(B1395:B1414)-2*STDEV(B1395:B1414)</f>
        <v>13882.4746197795</v>
      </c>
      <c r="R1414" s="19" t="n">
        <f aca="false">B1414/B1394-1</f>
        <v>-0.080137484011611</v>
      </c>
      <c r="S1414" s="17" t="n">
        <f aca="false">STDEV(C1395:C1414)*SQRT(252)*100</f>
        <v>33.7016238654038</v>
      </c>
      <c r="T1414" s="19" t="n">
        <f aca="false">B1393/B1163-1</f>
        <v>0.154738317831647</v>
      </c>
      <c r="U1414" s="19" t="n">
        <f aca="false">B1414/MAX(B1163:B1414)-1</f>
        <v>-0.139953684652581</v>
      </c>
      <c r="V1414" s="17" t="n">
        <f aca="false">(B1414-AVERAGE(B1395:B1414))/STDEV(B1395:B1414)</f>
        <v>-1.09502470839494</v>
      </c>
    </row>
    <row r="1415" customFormat="false" ht="15" hidden="false" customHeight="false" outlineLevel="0" collapsed="false">
      <c r="A1415" s="17" t="s">
        <v>1979</v>
      </c>
      <c r="B1415" s="17" t="n">
        <v>14268.59</v>
      </c>
      <c r="C1415" s="19" t="n">
        <f aca="false">B1415/B1414-1</f>
        <v>0.00103480886554075</v>
      </c>
      <c r="D1415" s="17" t="n">
        <f aca="false">AVERAGE(B1366:B1415)</f>
        <v>15484.2676</v>
      </c>
      <c r="E1415" s="17" t="n">
        <f aca="false">AVERAGE(B1216:B1415)</f>
        <v>15055.9158</v>
      </c>
      <c r="F1415" s="17" t="n">
        <f aca="false">B1415*2/13+F1414*11/13</f>
        <v>14634.9692880217</v>
      </c>
      <c r="G1415" s="17" t="n">
        <f aca="false">B1415*2/27+G1414*25/27</f>
        <v>14907.7169809882</v>
      </c>
      <c r="H1415" s="17" t="n">
        <f aca="false">F1415-G1415</f>
        <v>-272.747692966503</v>
      </c>
      <c r="I1415" s="17" t="n">
        <f aca="false">H1415*2/10+I1414*8/10</f>
        <v>-287.763520772132</v>
      </c>
      <c r="J1415" s="17" t="n">
        <f aca="false">H1415-I1415</f>
        <v>15.0158278056296</v>
      </c>
      <c r="K1415" s="17" t="n">
        <f aca="false">MAX(B1415-B1414,0)</f>
        <v>14.75</v>
      </c>
      <c r="L1415" s="17" t="n">
        <f aca="false">MAX(B1414-B1415,0)</f>
        <v>0</v>
      </c>
      <c r="M1415" s="17" t="n">
        <f aca="false">(M1414*13+K1415)/14</f>
        <v>95.1653713378515</v>
      </c>
      <c r="N1415" s="17" t="n">
        <f aca="false">(N1414*13+L1415)/14</f>
        <v>145.736032343766</v>
      </c>
      <c r="O1415" s="17" t="n">
        <f aca="false">IF(N1415=0,100,100-100/(1+M1415/N1415))</f>
        <v>39.5038675090599</v>
      </c>
      <c r="P1415" s="17" t="n">
        <f aca="false">AVERAGE(B1396:B1415)+2*STDEV(B1396:B1415)</f>
        <v>15357.5951542693</v>
      </c>
      <c r="Q1415" s="17" t="n">
        <f aca="false">AVERAGE(B1396:B1415)-2*STDEV(B1396:B1415)</f>
        <v>13914.4928457307</v>
      </c>
      <c r="R1415" s="19" t="n">
        <f aca="false">B1415/B1395-1</f>
        <v>-0.0860258308090336</v>
      </c>
      <c r="S1415" s="17" t="n">
        <f aca="false">STDEV(C1396:C1415)*SQRT(252)*100</f>
        <v>33.4884192061828</v>
      </c>
      <c r="T1415" s="19" t="n">
        <f aca="false">B1394/B1164-1</f>
        <v>0.131091096088895</v>
      </c>
      <c r="U1415" s="19" t="n">
        <f aca="false">B1415/MAX(B1164:B1415)-1</f>
        <v>-0.139063701100683</v>
      </c>
      <c r="V1415" s="17" t="n">
        <f aca="false">(B1415-AVERAGE(B1396:B1415))/STDEV(B1396:B1415)</f>
        <v>-1.01851129424666</v>
      </c>
    </row>
    <row r="1416" customFormat="false" ht="15" hidden="false" customHeight="false" outlineLevel="0" collapsed="false">
      <c r="A1416" s="17" t="s">
        <v>1980</v>
      </c>
      <c r="B1416" s="17" t="n">
        <v>14620.82</v>
      </c>
      <c r="C1416" s="19" t="n">
        <f aca="false">B1416/B1415-1</f>
        <v>0.0246856907374871</v>
      </c>
      <c r="D1416" s="17" t="n">
        <f aca="false">AVERAGE(B1367:B1416)</f>
        <v>15462.4432</v>
      </c>
      <c r="E1416" s="17" t="n">
        <f aca="false">AVERAGE(B1217:B1416)</f>
        <v>15060.0213</v>
      </c>
      <c r="F1416" s="17" t="n">
        <f aca="false">B1416*2/13+F1415*11/13</f>
        <v>14632.7924744799</v>
      </c>
      <c r="G1416" s="17" t="n">
        <f aca="false">B1416*2/27+G1415*25/27</f>
        <v>14886.4653527669</v>
      </c>
      <c r="H1416" s="17" t="n">
        <f aca="false">F1416-G1416</f>
        <v>-253.672878286958</v>
      </c>
      <c r="I1416" s="17" t="n">
        <f aca="false">H1416*2/10+I1415*8/10</f>
        <v>-280.945392275097</v>
      </c>
      <c r="J1416" s="17" t="n">
        <f aca="false">H1416-I1416</f>
        <v>27.2725139881396</v>
      </c>
      <c r="K1416" s="17" t="n">
        <f aca="false">MAX(B1416-B1415,0)</f>
        <v>352.23</v>
      </c>
      <c r="L1416" s="17" t="n">
        <f aca="false">MAX(B1415-B1416,0)</f>
        <v>0</v>
      </c>
      <c r="M1416" s="17" t="n">
        <f aca="false">(M1415*13+K1416)/14</f>
        <v>113.527130528005</v>
      </c>
      <c r="N1416" s="17" t="n">
        <f aca="false">(N1415*13+L1416)/14</f>
        <v>135.326315747783</v>
      </c>
      <c r="O1416" s="17" t="n">
        <f aca="false">IF(N1416=0,100,100-100/(1+M1416/N1416))</f>
        <v>45.6200756818897</v>
      </c>
      <c r="P1416" s="17" t="n">
        <f aca="false">AVERAGE(B1397:B1416)+2*STDEV(B1397:B1416)</f>
        <v>15275.4901025164</v>
      </c>
      <c r="Q1416" s="17" t="n">
        <f aca="false">AVERAGE(B1397:B1416)-2*STDEV(B1397:B1416)</f>
        <v>13937.6038974836</v>
      </c>
      <c r="R1416" s="19" t="n">
        <f aca="false">B1416/B1396-1</f>
        <v>-0.0387843868419462</v>
      </c>
      <c r="S1416" s="17" t="n">
        <f aca="false">STDEV(C1397:C1416)*SQRT(252)*100</f>
        <v>33.9876682234038</v>
      </c>
      <c r="T1416" s="19" t="n">
        <f aca="false">B1395/B1165-1</f>
        <v>0.144753697705813</v>
      </c>
      <c r="U1416" s="19" t="n">
        <f aca="false">B1416/MAX(B1165:B1416)-1</f>
        <v>-0.117810893881378</v>
      </c>
      <c r="V1416" s="17" t="n">
        <f aca="false">(B1416-AVERAGE(B1397:B1416))/STDEV(B1397:B1416)</f>
        <v>0.0426732855045776</v>
      </c>
    </row>
    <row r="1417" customFormat="false" ht="15" hidden="false" customHeight="false" outlineLevel="0" collapsed="false">
      <c r="A1417" s="17" t="s">
        <v>1981</v>
      </c>
      <c r="B1417" s="17" t="n">
        <v>14603.64</v>
      </c>
      <c r="C1417" s="19" t="n">
        <f aca="false">B1417/B1416-1</f>
        <v>-0.00117503669424834</v>
      </c>
      <c r="D1417" s="17" t="n">
        <f aca="false">AVERAGE(B1368:B1417)</f>
        <v>15437.5928</v>
      </c>
      <c r="E1417" s="17" t="n">
        <f aca="false">AVERAGE(B1218:B1417)</f>
        <v>15065.31615</v>
      </c>
      <c r="F1417" s="17" t="n">
        <f aca="false">B1417*2/13+F1416*11/13</f>
        <v>14628.3074784061</v>
      </c>
      <c r="G1417" s="17" t="n">
        <f aca="false">B1417*2/27+G1416*25/27</f>
        <v>14865.515326636</v>
      </c>
      <c r="H1417" s="17" t="n">
        <f aca="false">F1417-G1417</f>
        <v>-237.207848229911</v>
      </c>
      <c r="I1417" s="17" t="n">
        <f aca="false">H1417*2/10+I1416*8/10</f>
        <v>-272.19788346606</v>
      </c>
      <c r="J1417" s="17" t="n">
        <f aca="false">H1417-I1417</f>
        <v>34.9900352361489</v>
      </c>
      <c r="K1417" s="17" t="n">
        <f aca="false">MAX(B1417-B1416,0)</f>
        <v>0</v>
      </c>
      <c r="L1417" s="17" t="n">
        <f aca="false">MAX(B1416-B1417,0)</f>
        <v>17.1800000000003</v>
      </c>
      <c r="M1417" s="17" t="n">
        <f aca="false">(M1416*13+K1417)/14</f>
        <v>105.418049776005</v>
      </c>
      <c r="N1417" s="17" t="n">
        <f aca="false">(N1416*13+L1417)/14</f>
        <v>126.887293194369</v>
      </c>
      <c r="O1417" s="17" t="n">
        <f aca="false">IF(N1417=0,100,100-100/(1+M1417/N1417))</f>
        <v>45.3790896188938</v>
      </c>
      <c r="P1417" s="17" t="n">
        <f aca="false">AVERAGE(B1398:B1417)+2*STDEV(B1398:B1417)</f>
        <v>15220.2708612118</v>
      </c>
      <c r="Q1417" s="17" t="n">
        <f aca="false">AVERAGE(B1398:B1417)-2*STDEV(B1398:B1417)</f>
        <v>13948.4031387882</v>
      </c>
      <c r="R1417" s="19" t="n">
        <f aca="false">B1417/B1397-1</f>
        <v>-0.0295191868068773</v>
      </c>
      <c r="S1417" s="17" t="n">
        <f aca="false">STDEV(C1398:C1417)*SQRT(252)*100</f>
        <v>33.8226455141838</v>
      </c>
      <c r="T1417" s="19" t="n">
        <f aca="false">B1396/B1166-1</f>
        <v>0.120021088626721</v>
      </c>
      <c r="U1417" s="19" t="n">
        <f aca="false">B1417/MAX(B1166:B1417)-1</f>
        <v>-0.118847498452334</v>
      </c>
      <c r="V1417" s="17" t="n">
        <f aca="false">(B1417-AVERAGE(B1398:B1417))/STDEV(B1398:B1417)</f>
        <v>0.0607075709515333</v>
      </c>
    </row>
    <row r="1418" customFormat="false" ht="15" hidden="false" customHeight="false" outlineLevel="0" collapsed="false">
      <c r="A1418" s="17" t="s">
        <v>1982</v>
      </c>
      <c r="B1418" s="17" t="n">
        <v>14171.74</v>
      </c>
      <c r="C1418" s="19" t="n">
        <f aca="false">B1418/B1417-1</f>
        <v>-0.0295748183329635</v>
      </c>
      <c r="D1418" s="17" t="n">
        <f aca="false">AVERAGE(B1369:B1418)</f>
        <v>15394.5144</v>
      </c>
      <c r="E1418" s="17" t="n">
        <f aca="false">AVERAGE(B1219:B1418)</f>
        <v>15068.658</v>
      </c>
      <c r="F1418" s="17" t="n">
        <f aca="false">B1418*2/13+F1417*11/13</f>
        <v>14558.0663278821</v>
      </c>
      <c r="G1418" s="17" t="n">
        <f aca="false">B1418*2/27+G1417*25/27</f>
        <v>14814.1245617</v>
      </c>
      <c r="H1418" s="17" t="n">
        <f aca="false">F1418-G1418</f>
        <v>-256.058233817923</v>
      </c>
      <c r="I1418" s="17" t="n">
        <f aca="false">H1418*2/10+I1417*8/10</f>
        <v>-268.969953536433</v>
      </c>
      <c r="J1418" s="17" t="n">
        <f aca="false">H1418-I1418</f>
        <v>12.9117197185097</v>
      </c>
      <c r="K1418" s="17" t="n">
        <f aca="false">MAX(B1418-B1417,0)</f>
        <v>0</v>
      </c>
      <c r="L1418" s="17" t="n">
        <f aca="false">MAX(B1417-B1418,0)</f>
        <v>431.9</v>
      </c>
      <c r="M1418" s="17" t="n">
        <f aca="false">(M1417*13+K1418)/14</f>
        <v>97.8881890777186</v>
      </c>
      <c r="N1418" s="17" t="n">
        <f aca="false">(N1417*13+L1418)/14</f>
        <v>148.673915109057</v>
      </c>
      <c r="O1418" s="17" t="n">
        <f aca="false">IF(N1418=0,100,100-100/(1+M1418/N1418))</f>
        <v>39.7012304062615</v>
      </c>
      <c r="P1418" s="17" t="n">
        <f aca="false">AVERAGE(B1399:B1418)+2*STDEV(B1399:B1418)</f>
        <v>15199.4415648913</v>
      </c>
      <c r="Q1418" s="17" t="n">
        <f aca="false">AVERAGE(B1399:B1418)-2*STDEV(B1399:B1418)</f>
        <v>13901.7604351087</v>
      </c>
      <c r="R1418" s="19" t="n">
        <f aca="false">B1418/B1398-1</f>
        <v>-0.0454465239525111</v>
      </c>
      <c r="S1418" s="17" t="n">
        <f aca="false">STDEV(C1399:C1418)*SQRT(252)*100</f>
        <v>35.0569135674737</v>
      </c>
      <c r="T1418" s="19" t="n">
        <f aca="false">B1397/B1167-1</f>
        <v>0.137941308585922</v>
      </c>
      <c r="U1418" s="19" t="n">
        <f aca="false">B1418/MAX(B1167:B1418)-1</f>
        <v>-0.144907423609242</v>
      </c>
      <c r="V1418" s="17" t="n">
        <f aca="false">(B1418-AVERAGE(B1399:B1418))/STDEV(B1399:B1418)</f>
        <v>-1.16780922926263</v>
      </c>
    </row>
    <row r="1419" customFormat="false" ht="15" hidden="false" customHeight="false" outlineLevel="0" collapsed="false">
      <c r="A1419" s="17" t="s">
        <v>1983</v>
      </c>
      <c r="B1419" s="17" t="n">
        <v>14009.54</v>
      </c>
      <c r="C1419" s="19" t="n">
        <f aca="false">B1419/B1418-1</f>
        <v>-0.0114453129961458</v>
      </c>
      <c r="D1419" s="17" t="n">
        <f aca="false">AVERAGE(B1370:B1419)</f>
        <v>15346.8184</v>
      </c>
      <c r="E1419" s="17" t="n">
        <f aca="false">AVERAGE(B1220:B1419)</f>
        <v>15070.63705</v>
      </c>
      <c r="F1419" s="17" t="n">
        <f aca="false">B1419*2/13+F1418*11/13</f>
        <v>14473.6776620541</v>
      </c>
      <c r="G1419" s="17" t="n">
        <f aca="false">B1419*2/27+G1418*25/27</f>
        <v>14754.5257052778</v>
      </c>
      <c r="H1419" s="17" t="n">
        <f aca="false">F1419-G1419</f>
        <v>-280.848043223712</v>
      </c>
      <c r="I1419" s="17" t="n">
        <f aca="false">H1419*2/10+I1418*8/10</f>
        <v>-271.345571473889</v>
      </c>
      <c r="J1419" s="17" t="n">
        <f aca="false">H1419-I1419</f>
        <v>-9.50247174982349</v>
      </c>
      <c r="K1419" s="17" t="n">
        <f aca="false">MAX(B1419-B1418,0)</f>
        <v>0</v>
      </c>
      <c r="L1419" s="17" t="n">
        <f aca="false">MAX(B1418-B1419,0)</f>
        <v>162.199999999999</v>
      </c>
      <c r="M1419" s="17" t="n">
        <f aca="false">(M1418*13+K1419)/14</f>
        <v>90.8961755721673</v>
      </c>
      <c r="N1419" s="17" t="n">
        <f aca="false">(N1418*13+L1419)/14</f>
        <v>149.640064029839</v>
      </c>
      <c r="O1419" s="17" t="n">
        <f aca="false">IF(N1419=0,100,100-100/(1+M1419/N1419))</f>
        <v>37.7889733881951</v>
      </c>
      <c r="P1419" s="17" t="n">
        <f aca="false">AVERAGE(B1400:B1419)+2*STDEV(B1400:B1419)</f>
        <v>15220.5614194334</v>
      </c>
      <c r="Q1419" s="17" t="n">
        <f aca="false">AVERAGE(B1400:B1419)-2*STDEV(B1400:B1419)</f>
        <v>13837.7545805666</v>
      </c>
      <c r="R1419" s="19" t="n">
        <f aca="false">B1419/B1399-1</f>
        <v>-0.02970273714539</v>
      </c>
      <c r="S1419" s="17" t="n">
        <f aca="false">STDEV(C1400:C1419)*SQRT(252)*100</f>
        <v>33.9610518004177</v>
      </c>
      <c r="T1419" s="19" t="n">
        <f aca="false">B1398/B1168-1</f>
        <v>0.125182743690464</v>
      </c>
      <c r="U1419" s="19" t="n">
        <f aca="false">B1419/MAX(B1168:B1419)-1</f>
        <v>-0.154694225786715</v>
      </c>
      <c r="V1419" s="17" t="n">
        <f aca="false">(B1419-AVERAGE(B1400:B1419))/STDEV(B1400:B1419)</f>
        <v>-1.50308195011768</v>
      </c>
    </row>
    <row r="1420" customFormat="false" ht="15" hidden="false" customHeight="false" outlineLevel="0" collapsed="false">
      <c r="A1420" s="17" t="s">
        <v>1984</v>
      </c>
      <c r="B1420" s="17" t="n">
        <v>13870.53</v>
      </c>
      <c r="C1420" s="19" t="n">
        <f aca="false">B1420/B1419-1</f>
        <v>-0.00992252422277962</v>
      </c>
      <c r="D1420" s="17" t="n">
        <f aca="false">AVERAGE(B1371:B1420)</f>
        <v>15301.2376</v>
      </c>
      <c r="E1420" s="17" t="n">
        <f aca="false">AVERAGE(B1221:B1420)</f>
        <v>15071.39155</v>
      </c>
      <c r="F1420" s="17" t="n">
        <f aca="false">B1420*2/13+F1419*11/13</f>
        <v>14380.8857140457</v>
      </c>
      <c r="G1420" s="17" t="n">
        <f aca="false">B1420*2/27+G1419*25/27</f>
        <v>14689.0445419239</v>
      </c>
      <c r="H1420" s="17" t="n">
        <f aca="false">F1420-G1420</f>
        <v>-308.15882787812</v>
      </c>
      <c r="I1420" s="17" t="n">
        <f aca="false">H1420*2/10+I1419*8/10</f>
        <v>-278.708222754735</v>
      </c>
      <c r="J1420" s="17" t="n">
        <f aca="false">H1420-I1420</f>
        <v>-29.4506051233852</v>
      </c>
      <c r="K1420" s="17" t="n">
        <f aca="false">MAX(B1420-B1419,0)</f>
        <v>0</v>
      </c>
      <c r="L1420" s="17" t="n">
        <f aca="false">MAX(B1419-B1420,0)</f>
        <v>139.01</v>
      </c>
      <c r="M1420" s="17" t="n">
        <f aca="false">(M1419*13+K1420)/14</f>
        <v>84.4035916027267</v>
      </c>
      <c r="N1420" s="17" t="n">
        <f aca="false">(N1419*13+L1420)/14</f>
        <v>148.880773741993</v>
      </c>
      <c r="O1420" s="17" t="n">
        <f aca="false">IF(N1420=0,100,100-100/(1+M1420/N1420))</f>
        <v>36.1805607838335</v>
      </c>
      <c r="P1420" s="17" t="n">
        <f aca="false">AVERAGE(B1401:B1420)+2*STDEV(B1401:B1420)</f>
        <v>15248.8594053938</v>
      </c>
      <c r="Q1420" s="17" t="n">
        <f aca="false">AVERAGE(B1401:B1420)-2*STDEV(B1401:B1420)</f>
        <v>13745.5515946062</v>
      </c>
      <c r="R1420" s="19" t="n">
        <f aca="false">B1420/B1400-1</f>
        <v>-0.0440433148306153</v>
      </c>
      <c r="S1420" s="17" t="n">
        <f aca="false">STDEV(C1401:C1420)*SQRT(252)*100</f>
        <v>34.0095524486566</v>
      </c>
      <c r="T1420" s="19" t="n">
        <f aca="false">B1399/B1169-1</f>
        <v>0.0854152586904862</v>
      </c>
      <c r="U1420" s="19" t="n">
        <f aca="false">B1420/MAX(B1169:B1420)-1</f>
        <v>-0.163081792807002</v>
      </c>
      <c r="V1420" s="17" t="n">
        <f aca="false">(B1420-AVERAGE(B1401:B1420))/STDEV(B1401:B1420)</f>
        <v>-1.66745757722556</v>
      </c>
    </row>
    <row r="1421" customFormat="false" ht="15" hidden="false" customHeight="false" outlineLevel="0" collapsed="false">
      <c r="A1421" s="17" t="s">
        <v>1985</v>
      </c>
      <c r="B1421" s="17" t="n">
        <v>13509.43</v>
      </c>
      <c r="C1421" s="19" t="n">
        <f aca="false">B1421/B1420-1</f>
        <v>-0.0260336122700431</v>
      </c>
      <c r="D1421" s="17" t="n">
        <f aca="false">AVERAGE(B1372:B1421)</f>
        <v>15244.7866</v>
      </c>
      <c r="E1421" s="17" t="n">
        <f aca="false">AVERAGE(B1222:B1421)</f>
        <v>15072.1433</v>
      </c>
      <c r="F1421" s="17" t="n">
        <f aca="false">B1421*2/13+F1420*11/13</f>
        <v>14246.8156041926</v>
      </c>
      <c r="G1421" s="17" t="n">
        <f aca="false">B1421*2/27+G1420*25/27</f>
        <v>14601.6656869665</v>
      </c>
      <c r="H1421" s="17" t="n">
        <f aca="false">F1421-G1421</f>
        <v>-354.850082773988</v>
      </c>
      <c r="I1421" s="17" t="n">
        <f aca="false">H1421*2/10+I1420*8/10</f>
        <v>-293.936594758586</v>
      </c>
      <c r="J1421" s="17" t="n">
        <f aca="false">H1421-I1421</f>
        <v>-60.9134880154026</v>
      </c>
      <c r="K1421" s="17" t="n">
        <f aca="false">MAX(B1421-B1420,0)</f>
        <v>0</v>
      </c>
      <c r="L1421" s="17" t="n">
        <f aca="false">MAX(B1420-B1421,0)</f>
        <v>361.1</v>
      </c>
      <c r="M1421" s="17" t="n">
        <f aca="false">(M1420*13+K1421)/14</f>
        <v>78.3747636311034</v>
      </c>
      <c r="N1421" s="17" t="n">
        <f aca="false">(N1420*13+L1421)/14</f>
        <v>164.03928990328</v>
      </c>
      <c r="O1421" s="17" t="n">
        <f aca="false">IF(N1421=0,100,100-100/(1+M1421/N1421))</f>
        <v>32.3309488407969</v>
      </c>
      <c r="P1421" s="17" t="n">
        <f aca="false">AVERAGE(B1402:B1421)+2*STDEV(B1402:B1421)</f>
        <v>15325.7898238026</v>
      </c>
      <c r="Q1421" s="17" t="n">
        <f aca="false">AVERAGE(B1402:B1421)-2*STDEV(B1402:B1421)</f>
        <v>13604.6521761974</v>
      </c>
      <c r="R1421" s="19" t="n">
        <f aca="false">B1421/B1401-1</f>
        <v>-0.0452105855346481</v>
      </c>
      <c r="S1421" s="17" t="n">
        <f aca="false">STDEV(C1402:C1421)*SQRT(252)*100</f>
        <v>34.1179358370242</v>
      </c>
      <c r="T1421" s="19" t="n">
        <f aca="false">B1400/B1170-1</f>
        <v>0.131059352323104</v>
      </c>
      <c r="U1421" s="19" t="n">
        <f aca="false">B1421/MAX(B1170:B1421)-1</f>
        <v>-0.184869796914804</v>
      </c>
      <c r="V1421" s="17" t="n">
        <f aca="false">(B1421-AVERAGE(B1402:B1421))/STDEV(B1402:B1421)</f>
        <v>-2.22130054811096</v>
      </c>
    </row>
    <row r="1422" customFormat="false" ht="15" hidden="false" customHeight="false" outlineLevel="0" collapsed="false">
      <c r="A1422" s="17" t="s">
        <v>1986</v>
      </c>
      <c r="B1422" s="17" t="n">
        <v>13974.67</v>
      </c>
      <c r="C1422" s="19" t="n">
        <f aca="false">B1422/B1421-1</f>
        <v>0.0344381665251605</v>
      </c>
      <c r="D1422" s="17" t="n">
        <f aca="false">AVERAGE(B1373:B1422)</f>
        <v>15202.629</v>
      </c>
      <c r="E1422" s="17" t="n">
        <f aca="false">AVERAGE(B1223:B1422)</f>
        <v>15075.2603</v>
      </c>
      <c r="F1422" s="17" t="n">
        <f aca="false">B1422*2/13+F1421*11/13</f>
        <v>14204.9470497014</v>
      </c>
      <c r="G1422" s="17" t="n">
        <f aca="false">B1422*2/27+G1421*25/27</f>
        <v>14555.2215620061</v>
      </c>
      <c r="H1422" s="17" t="n">
        <f aca="false">F1422-G1422</f>
        <v>-350.274512304666</v>
      </c>
      <c r="I1422" s="17" t="n">
        <f aca="false">H1422*2/10+I1421*8/10</f>
        <v>-305.204178267802</v>
      </c>
      <c r="J1422" s="17" t="n">
        <f aca="false">H1422-I1422</f>
        <v>-45.0703340368646</v>
      </c>
      <c r="K1422" s="17" t="n">
        <f aca="false">MAX(B1422-B1421,0)</f>
        <v>465.24</v>
      </c>
      <c r="L1422" s="17" t="n">
        <f aca="false">MAX(B1421-B1422,0)</f>
        <v>0</v>
      </c>
      <c r="M1422" s="17" t="n">
        <f aca="false">(M1421*13+K1422)/14</f>
        <v>106.00799480031</v>
      </c>
      <c r="N1422" s="17" t="n">
        <f aca="false">(N1421*13+L1422)/14</f>
        <v>152.322197767331</v>
      </c>
      <c r="O1422" s="17" t="n">
        <f aca="false">IF(N1422=0,100,100-100/(1+M1422/N1422))</f>
        <v>41.0358517317147</v>
      </c>
      <c r="P1422" s="17" t="n">
        <f aca="false">AVERAGE(B1403:B1422)+2*STDEV(B1403:B1422)</f>
        <v>15334.4181577411</v>
      </c>
      <c r="Q1422" s="17" t="n">
        <f aca="false">AVERAGE(B1403:B1422)-2*STDEV(B1403:B1422)</f>
        <v>13576.2148422589</v>
      </c>
      <c r="R1422" s="19" t="n">
        <f aca="false">B1422/B1402-1</f>
        <v>-0.0139768118559829</v>
      </c>
      <c r="S1422" s="17" t="n">
        <f aca="false">STDEV(C1403:C1422)*SQRT(252)*100</f>
        <v>36.4967411999472</v>
      </c>
      <c r="T1422" s="19" t="n">
        <f aca="false">B1401/B1171-1</f>
        <v>0.096028952456497</v>
      </c>
      <c r="U1422" s="19" t="n">
        <f aca="false">B1422/MAX(B1171:B1422)-1</f>
        <v>-0.156798207241268</v>
      </c>
      <c r="V1422" s="17" t="n">
        <f aca="false">(B1422-AVERAGE(B1403:B1422))/STDEV(B1403:B1422)</f>
        <v>-1.0934946960174</v>
      </c>
    </row>
    <row r="1423" customFormat="false" ht="15" hidden="false" customHeight="false" outlineLevel="0" collapsed="false">
      <c r="A1423" s="17" t="s">
        <v>1987</v>
      </c>
      <c r="B1423" s="17" t="n">
        <v>14189.16</v>
      </c>
      <c r="C1423" s="19" t="n">
        <f aca="false">B1423/B1422-1</f>
        <v>0.0153484840786937</v>
      </c>
      <c r="D1423" s="17" t="n">
        <f aca="false">AVERAGE(B1374:B1423)</f>
        <v>15168.1142</v>
      </c>
      <c r="E1423" s="17" t="n">
        <f aca="false">AVERAGE(B1224:B1423)</f>
        <v>15081.19795</v>
      </c>
      <c r="F1423" s="17" t="n">
        <f aca="false">B1423*2/13+F1422*11/13</f>
        <v>14202.5182728243</v>
      </c>
      <c r="G1423" s="17" t="n">
        <f aca="false">B1423*2/27+G1422*25/27</f>
        <v>14528.1058907463</v>
      </c>
      <c r="H1423" s="17" t="n">
        <f aca="false">F1423-G1423</f>
        <v>-325.587617922094</v>
      </c>
      <c r="I1423" s="17" t="n">
        <f aca="false">H1423*2/10+I1422*8/10</f>
        <v>-309.28086619866</v>
      </c>
      <c r="J1423" s="17" t="n">
        <f aca="false">H1423-I1423</f>
        <v>-16.306751723434</v>
      </c>
      <c r="K1423" s="17" t="n">
        <f aca="false">MAX(B1423-B1422,0)</f>
        <v>214.49</v>
      </c>
      <c r="L1423" s="17" t="n">
        <f aca="false">MAX(B1422-B1423,0)</f>
        <v>0</v>
      </c>
      <c r="M1423" s="17" t="n">
        <f aca="false">(M1422*13+K1423)/14</f>
        <v>113.756709457431</v>
      </c>
      <c r="N1423" s="17" t="n">
        <f aca="false">(N1422*13+L1423)/14</f>
        <v>141.44204078395</v>
      </c>
      <c r="O1423" s="17" t="n">
        <f aca="false">IF(N1423=0,100,100-100/(1+M1423/N1423))</f>
        <v>44.575731405359</v>
      </c>
      <c r="P1423" s="17" t="n">
        <f aca="false">AVERAGE(B1404:B1423)+2*STDEV(B1404:B1423)</f>
        <v>15327.3577877879</v>
      </c>
      <c r="Q1423" s="17" t="n">
        <f aca="false">AVERAGE(B1404:B1423)-2*STDEV(B1404:B1423)</f>
        <v>13601.8802122121</v>
      </c>
      <c r="R1423" s="19" t="n">
        <f aca="false">B1423/B1403-1</f>
        <v>0.0132863342500344</v>
      </c>
      <c r="S1423" s="17" t="n">
        <f aca="false">STDEV(C1404:C1423)*SQRT(252)*100</f>
        <v>36.6412260526643</v>
      </c>
      <c r="T1423" s="19" t="n">
        <f aca="false">B1402/B1172-1</f>
        <v>0.0669888842463458</v>
      </c>
      <c r="U1423" s="19" t="n">
        <f aca="false">B1423/MAX(B1172:B1423)-1</f>
        <v>-0.143856337949985</v>
      </c>
      <c r="V1423" s="17" t="n">
        <f aca="false">(B1423-AVERAGE(B1404:B1423))/STDEV(B1404:B1423)</f>
        <v>-0.638568716045095</v>
      </c>
    </row>
    <row r="1424" customFormat="false" ht="15" hidden="false" customHeight="false" outlineLevel="0" collapsed="false">
      <c r="A1424" s="17" t="s">
        <v>1988</v>
      </c>
      <c r="B1424" s="17" t="n">
        <v>14237.81</v>
      </c>
      <c r="C1424" s="19" t="n">
        <f aca="false">B1424/B1423-1</f>
        <v>0.00342867371993827</v>
      </c>
      <c r="D1424" s="17" t="n">
        <f aca="false">AVERAGE(B1375:B1424)</f>
        <v>15127.0786</v>
      </c>
      <c r="E1424" s="17" t="n">
        <f aca="false">AVERAGE(B1225:B1424)</f>
        <v>15086.84125</v>
      </c>
      <c r="F1424" s="17" t="n">
        <f aca="false">B1424*2/13+F1423*11/13</f>
        <v>14207.9477693128</v>
      </c>
      <c r="G1424" s="17" t="n">
        <f aca="false">B1424*2/27+G1423*25/27</f>
        <v>14506.6024914318</v>
      </c>
      <c r="H1424" s="17" t="n">
        <f aca="false">F1424-G1424</f>
        <v>-298.654722118974</v>
      </c>
      <c r="I1424" s="17" t="n">
        <f aca="false">H1424*2/10+I1423*8/10</f>
        <v>-307.155637382723</v>
      </c>
      <c r="J1424" s="17" t="n">
        <f aca="false">H1424-I1424</f>
        <v>8.50091526374888</v>
      </c>
      <c r="K1424" s="17" t="n">
        <f aca="false">MAX(B1424-B1423,0)</f>
        <v>48.6499999999996</v>
      </c>
      <c r="L1424" s="17" t="n">
        <f aca="false">MAX(B1423-B1424,0)</f>
        <v>0</v>
      </c>
      <c r="M1424" s="17" t="n">
        <f aca="false">(M1423*13+K1424)/14</f>
        <v>109.106230210472</v>
      </c>
      <c r="N1424" s="17" t="n">
        <f aca="false">(N1423*13+L1424)/14</f>
        <v>131.339037870811</v>
      </c>
      <c r="O1424" s="17" t="n">
        <f aca="false">IF(N1424=0,100,100-100/(1+M1424/N1424))</f>
        <v>45.3767425248678</v>
      </c>
      <c r="P1424" s="17" t="n">
        <f aca="false">AVERAGE(B1405:B1424)+2*STDEV(B1405:B1424)</f>
        <v>15322.474762403</v>
      </c>
      <c r="Q1424" s="17" t="n">
        <f aca="false">AVERAGE(B1405:B1424)-2*STDEV(B1405:B1424)</f>
        <v>13585.0832375971</v>
      </c>
      <c r="R1424" s="19" t="n">
        <f aca="false">B1424/B1404-1</f>
        <v>-0.0149986751631487</v>
      </c>
      <c r="S1424" s="17" t="n">
        <f aca="false">STDEV(C1405:C1424)*SQRT(252)*100</f>
        <v>34.7524684254684</v>
      </c>
      <c r="T1424" s="19" t="n">
        <f aca="false">B1403/B1173-1</f>
        <v>0.0722177343711117</v>
      </c>
      <c r="U1424" s="19" t="n">
        <f aca="false">B1424/MAX(B1173:B1424)-1</f>
        <v>-0.140920900675422</v>
      </c>
      <c r="V1424" s="17" t="n">
        <f aca="false">(B1424-AVERAGE(B1405:B1424))/STDEV(B1405:B1424)</f>
        <v>-0.497225862832798</v>
      </c>
    </row>
    <row r="1425" customFormat="false" ht="15" hidden="false" customHeight="false" outlineLevel="0" collapsed="false">
      <c r="A1425" s="17" t="s">
        <v>1989</v>
      </c>
      <c r="B1425" s="17" t="n">
        <v>14005.99</v>
      </c>
      <c r="C1425" s="19" t="n">
        <f aca="false">B1425/B1424-1</f>
        <v>-0.0162819984253196</v>
      </c>
      <c r="D1425" s="17" t="n">
        <f aca="false">AVERAGE(B1376:B1425)</f>
        <v>15089.9196</v>
      </c>
      <c r="E1425" s="17" t="n">
        <f aca="false">AVERAGE(B1226:B1425)</f>
        <v>15089.9056</v>
      </c>
      <c r="F1425" s="17" t="n">
        <f aca="false">B1425*2/13+F1424*11/13</f>
        <v>14176.8773432647</v>
      </c>
      <c r="G1425" s="17" t="n">
        <f aca="false">B1425*2/27+G1424*25/27</f>
        <v>14469.5200846591</v>
      </c>
      <c r="H1425" s="17" t="n">
        <f aca="false">F1425-G1425</f>
        <v>-292.642741394377</v>
      </c>
      <c r="I1425" s="17" t="n">
        <f aca="false">H1425*2/10+I1424*8/10</f>
        <v>-304.253058185054</v>
      </c>
      <c r="J1425" s="17" t="n">
        <f aca="false">H1425-I1425</f>
        <v>11.610316790677</v>
      </c>
      <c r="K1425" s="17" t="n">
        <f aca="false">MAX(B1425-B1424,0)</f>
        <v>0</v>
      </c>
      <c r="L1425" s="17" t="n">
        <f aca="false">MAX(B1424-B1425,0)</f>
        <v>231.82</v>
      </c>
      <c r="M1425" s="17" t="n">
        <f aca="false">(M1424*13+K1425)/14</f>
        <v>101.312928052581</v>
      </c>
      <c r="N1425" s="17" t="n">
        <f aca="false">(N1424*13+L1425)/14</f>
        <v>138.516249451467</v>
      </c>
      <c r="O1425" s="17" t="n">
        <f aca="false">IF(N1425=0,100,100-100/(1+M1425/N1425))</f>
        <v>42.2437874769723</v>
      </c>
      <c r="P1425" s="17" t="n">
        <f aca="false">AVERAGE(B1406:B1425)+2*STDEV(B1406:B1425)</f>
        <v>15267.8685004512</v>
      </c>
      <c r="Q1425" s="17" t="n">
        <f aca="false">AVERAGE(B1406:B1425)-2*STDEV(B1406:B1425)</f>
        <v>13547.2834995488</v>
      </c>
      <c r="R1425" s="19" t="n">
        <f aca="false">B1425/B1405-1</f>
        <v>-0.0618926259456599</v>
      </c>
      <c r="S1425" s="17" t="n">
        <f aca="false">STDEV(C1406:C1425)*SQRT(252)*100</f>
        <v>32.8100045614213</v>
      </c>
      <c r="T1425" s="19" t="n">
        <f aca="false">B1404/B1174-1</f>
        <v>0.139654175993213</v>
      </c>
      <c r="U1425" s="19" t="n">
        <f aca="false">B1425/MAX(B1174:B1425)-1</f>
        <v>-0.15490842521785</v>
      </c>
      <c r="V1425" s="17" t="n">
        <f aca="false">(B1425-AVERAGE(B1406:B1425))/STDEV(B1406:B1425)</f>
        <v>-0.933603396029527</v>
      </c>
    </row>
    <row r="1426" customFormat="false" ht="15" hidden="false" customHeight="false" outlineLevel="0" collapsed="false">
      <c r="A1426" s="17" t="s">
        <v>1990</v>
      </c>
      <c r="B1426" s="17" t="n">
        <v>14243.69</v>
      </c>
      <c r="C1426" s="19" t="n">
        <f aca="false">B1426/B1425-1</f>
        <v>0.0169713101323077</v>
      </c>
      <c r="D1426" s="17" t="n">
        <f aca="false">AVERAGE(B1377:B1426)</f>
        <v>15058.7642</v>
      </c>
      <c r="E1426" s="17" t="n">
        <f aca="false">AVERAGE(B1227:B1426)</f>
        <v>15094.5595</v>
      </c>
      <c r="F1426" s="17" t="n">
        <f aca="false">B1426*2/13+F1425*11/13</f>
        <v>14187.1562135317</v>
      </c>
      <c r="G1426" s="17" t="n">
        <f aca="false">B1426*2/27+G1425*25/27</f>
        <v>14452.7919302399</v>
      </c>
      <c r="H1426" s="17" t="n">
        <f aca="false">F1426-G1426</f>
        <v>-265.635716708219</v>
      </c>
      <c r="I1426" s="17" t="n">
        <f aca="false">H1426*2/10+I1425*8/10</f>
        <v>-296.529589889687</v>
      </c>
      <c r="J1426" s="17" t="n">
        <f aca="false">H1426-I1426</f>
        <v>30.8938731814679</v>
      </c>
      <c r="K1426" s="17" t="n">
        <f aca="false">MAX(B1426-B1425,0)</f>
        <v>237.700000000001</v>
      </c>
      <c r="L1426" s="17" t="n">
        <f aca="false">MAX(B1425-B1426,0)</f>
        <v>0</v>
      </c>
      <c r="M1426" s="17" t="n">
        <f aca="false">(M1425*13+K1426)/14</f>
        <v>111.054861763111</v>
      </c>
      <c r="N1426" s="17" t="n">
        <f aca="false">(N1425*13+L1426)/14</f>
        <v>128.622231633505</v>
      </c>
      <c r="O1426" s="17" t="n">
        <f aca="false">IF(N1426=0,100,100-100/(1+M1426/N1426))</f>
        <v>46.3352004938319</v>
      </c>
      <c r="P1426" s="17" t="n">
        <f aca="false">AVERAGE(B1407:B1426)+2*STDEV(B1407:B1426)</f>
        <v>15181.5131926826</v>
      </c>
      <c r="Q1426" s="17" t="n">
        <f aca="false">AVERAGE(B1407:B1426)-2*STDEV(B1407:B1426)</f>
        <v>13556.0398073174</v>
      </c>
      <c r="R1426" s="19" t="n">
        <f aca="false">B1426/B1406-1</f>
        <v>-0.0516648823410352</v>
      </c>
      <c r="S1426" s="17" t="n">
        <f aca="false">STDEV(C1407:C1426)*SQRT(252)*100</f>
        <v>33.4336045704211</v>
      </c>
      <c r="T1426" s="19" t="n">
        <f aca="false">B1405/B1175-1</f>
        <v>0.197853818998716</v>
      </c>
      <c r="U1426" s="19" t="n">
        <f aca="false">B1426/MAX(B1175:B1426)-1</f>
        <v>-0.140566114012022</v>
      </c>
      <c r="V1426" s="17" t="n">
        <f aca="false">(B1426-AVERAGE(B1407:B1426))/STDEV(B1407:B1426)</f>
        <v>-0.307815559765439</v>
      </c>
    </row>
    <row r="1427" customFormat="false" ht="15" hidden="false" customHeight="false" outlineLevel="0" collapsed="false">
      <c r="A1427" s="17" t="s">
        <v>1991</v>
      </c>
      <c r="B1427" s="17" t="n">
        <v>14035.21</v>
      </c>
      <c r="C1427" s="19" t="n">
        <f aca="false">B1427/B1426-1</f>
        <v>-0.0146366566528758</v>
      </c>
      <c r="D1427" s="17" t="n">
        <f aca="false">AVERAGE(B1378:B1427)</f>
        <v>15026.9156</v>
      </c>
      <c r="E1427" s="17" t="n">
        <f aca="false">AVERAGE(B1228:B1427)</f>
        <v>15098.64715</v>
      </c>
      <c r="F1427" s="17" t="n">
        <f aca="false">B1427*2/13+F1426*11/13</f>
        <v>14163.7798729883</v>
      </c>
      <c r="G1427" s="17" t="n">
        <f aca="false">B1427*2/27+G1426*25/27</f>
        <v>14421.8599354073</v>
      </c>
      <c r="H1427" s="17" t="n">
        <f aca="false">F1427-G1427</f>
        <v>-258.080062418969</v>
      </c>
      <c r="I1427" s="17" t="n">
        <f aca="false">H1427*2/10+I1426*8/10</f>
        <v>-288.839684395543</v>
      </c>
      <c r="J1427" s="17" t="n">
        <f aca="false">H1427-I1427</f>
        <v>30.7596219765743</v>
      </c>
      <c r="K1427" s="17" t="n">
        <f aca="false">MAX(B1427-B1426,0)</f>
        <v>0</v>
      </c>
      <c r="L1427" s="17" t="n">
        <f aca="false">MAX(B1426-B1427,0)</f>
        <v>208.480000000001</v>
      </c>
      <c r="M1427" s="17" t="n">
        <f aca="false">(M1426*13+K1427)/14</f>
        <v>103.122371637174</v>
      </c>
      <c r="N1427" s="17" t="n">
        <f aca="false">(N1426*13+L1427)/14</f>
        <v>134.326357945398</v>
      </c>
      <c r="O1427" s="17" t="n">
        <f aca="false">IF(N1427=0,100,100-100/(1+M1427/N1427))</f>
        <v>43.4293212764121</v>
      </c>
      <c r="P1427" s="17" t="n">
        <f aca="false">AVERAGE(B1408:B1427)+2*STDEV(B1408:B1427)</f>
        <v>15052.4612888568</v>
      </c>
      <c r="Q1427" s="17" t="n">
        <f aca="false">AVERAGE(B1408:B1427)-2*STDEV(B1408:B1427)</f>
        <v>13574.6387111432</v>
      </c>
      <c r="R1427" s="19" t="n">
        <f aca="false">B1427/B1407-1</f>
        <v>-0.0729556782348971</v>
      </c>
      <c r="S1427" s="17" t="n">
        <f aca="false">STDEV(C1408:C1427)*SQRT(252)*100</f>
        <v>33.462203931135</v>
      </c>
      <c r="T1427" s="19" t="n">
        <f aca="false">B1406/B1176-1</f>
        <v>0.185591675737715</v>
      </c>
      <c r="U1427" s="19" t="n">
        <f aca="false">B1427/MAX(B1176:B1427)-1</f>
        <v>-0.153145352717075</v>
      </c>
      <c r="V1427" s="17" t="n">
        <f aca="false">(B1427-AVERAGE(B1408:B1427))/STDEV(B1408:B1427)</f>
        <v>-0.753378664523142</v>
      </c>
    </row>
    <row r="1428" customFormat="false" ht="15" hidden="false" customHeight="false" outlineLevel="0" collapsed="false">
      <c r="A1428" s="17" t="s">
        <v>1992</v>
      </c>
      <c r="B1428" s="17" t="n">
        <v>13837.83</v>
      </c>
      <c r="C1428" s="19" t="n">
        <f aca="false">B1428/B1427-1</f>
        <v>-0.0140632024743483</v>
      </c>
      <c r="D1428" s="17" t="n">
        <f aca="false">AVERAGE(B1379:B1428)</f>
        <v>14983.9466</v>
      </c>
      <c r="E1428" s="17" t="n">
        <f aca="false">AVERAGE(B1229:B1428)</f>
        <v>15101.64675</v>
      </c>
      <c r="F1428" s="17" t="n">
        <f aca="false">B1428*2/13+F1427*11/13</f>
        <v>14113.6337386824</v>
      </c>
      <c r="G1428" s="17" t="n">
        <f aca="false">B1428*2/27+G1427*25/27</f>
        <v>14378.5984587105</v>
      </c>
      <c r="H1428" s="17" t="n">
        <f aca="false">F1428-G1428</f>
        <v>-264.964720028031</v>
      </c>
      <c r="I1428" s="17" t="n">
        <f aca="false">H1428*2/10+I1427*8/10</f>
        <v>-284.064691522041</v>
      </c>
      <c r="J1428" s="17" t="n">
        <f aca="false">H1428-I1428</f>
        <v>19.0999714940099</v>
      </c>
      <c r="K1428" s="17" t="n">
        <f aca="false">MAX(B1428-B1427,0)</f>
        <v>0</v>
      </c>
      <c r="L1428" s="17" t="n">
        <f aca="false">MAX(B1427-B1428,0)</f>
        <v>197.379999999999</v>
      </c>
      <c r="M1428" s="17" t="n">
        <f aca="false">(M1427*13+K1428)/14</f>
        <v>95.7564879488047</v>
      </c>
      <c r="N1428" s="17" t="n">
        <f aca="false">(N1427*13+L1428)/14</f>
        <v>138.830189520727</v>
      </c>
      <c r="O1428" s="17" t="n">
        <f aca="false">IF(N1428=0,100,100-100/(1+M1428/N1428))</f>
        <v>40.8192353383929</v>
      </c>
      <c r="P1428" s="17" t="n">
        <f aca="false">AVERAGE(B1409:B1428)+2*STDEV(B1409:B1428)</f>
        <v>15043.0110700091</v>
      </c>
      <c r="Q1428" s="17" t="n">
        <f aca="false">AVERAGE(B1409:B1428)-2*STDEV(B1409:B1428)</f>
        <v>13517.7609299909</v>
      </c>
      <c r="R1428" s="19" t="n">
        <f aca="false">B1428/B1408-1</f>
        <v>-0.0457399468040722</v>
      </c>
      <c r="S1428" s="17" t="n">
        <f aca="false">STDEV(C1409:C1428)*SQRT(252)*100</f>
        <v>30.5176449158506</v>
      </c>
      <c r="T1428" s="19" t="n">
        <f aca="false">B1407/B1177-1</f>
        <v>0.230965242928739</v>
      </c>
      <c r="U1428" s="19" t="n">
        <f aca="false">B1428/MAX(B1177:B1428)-1</f>
        <v>-0.165054841088157</v>
      </c>
      <c r="V1428" s="17" t="n">
        <f aca="false">(B1428-AVERAGE(B1409:B1428))/STDEV(B1409:B1428)</f>
        <v>-1.1606122520854</v>
      </c>
    </row>
    <row r="1429" customFormat="false" ht="15" hidden="false" customHeight="false" outlineLevel="0" collapsed="false">
      <c r="A1429" s="17" t="s">
        <v>1993</v>
      </c>
      <c r="B1429" s="17" t="n">
        <v>13319.38</v>
      </c>
      <c r="C1429" s="19" t="n">
        <f aca="false">B1429/B1428-1</f>
        <v>-0.0374661345023029</v>
      </c>
      <c r="D1429" s="17" t="n">
        <f aca="false">AVERAGE(B1380:B1429)</f>
        <v>14926.7314</v>
      </c>
      <c r="E1429" s="17" t="n">
        <f aca="false">AVERAGE(B1230:B1429)</f>
        <v>15100.7732</v>
      </c>
      <c r="F1429" s="17" t="n">
        <f aca="false">B1429*2/13+F1428*11/13</f>
        <v>13991.4408558082</v>
      </c>
      <c r="G1429" s="17" t="n">
        <f aca="false">B1429*2/27+G1428*25/27</f>
        <v>14300.1378321393</v>
      </c>
      <c r="H1429" s="17" t="n">
        <f aca="false">F1429-G1429</f>
        <v>-308.696976331104</v>
      </c>
      <c r="I1429" s="17" t="n">
        <f aca="false">H1429*2/10+I1428*8/10</f>
        <v>-288.991148483853</v>
      </c>
      <c r="J1429" s="17" t="n">
        <f aca="false">H1429-I1429</f>
        <v>-19.7058278472512</v>
      </c>
      <c r="K1429" s="17" t="n">
        <f aca="false">MAX(B1429-B1428,0)</f>
        <v>0</v>
      </c>
      <c r="L1429" s="17" t="n">
        <f aca="false">MAX(B1428-B1429,0)</f>
        <v>518.450000000001</v>
      </c>
      <c r="M1429" s="17" t="n">
        <f aca="false">(M1428*13+K1429)/14</f>
        <v>88.9167388096043</v>
      </c>
      <c r="N1429" s="17" t="n">
        <f aca="false">(N1428*13+L1429)/14</f>
        <v>165.945890269246</v>
      </c>
      <c r="O1429" s="17" t="n">
        <f aca="false">IF(N1429=0,100,100-100/(1+M1429/N1429))</f>
        <v>34.8881038899174</v>
      </c>
      <c r="P1429" s="17" t="n">
        <f aca="false">AVERAGE(B1410:B1429)+2*STDEV(B1410:B1429)</f>
        <v>15060.1935430427</v>
      </c>
      <c r="Q1429" s="17" t="n">
        <f aca="false">AVERAGE(B1410:B1429)-2*STDEV(B1410:B1429)</f>
        <v>13363.0814569573</v>
      </c>
      <c r="R1429" s="19" t="n">
        <f aca="false">B1429/B1409-1</f>
        <v>-0.0935713386437646</v>
      </c>
      <c r="S1429" s="17" t="n">
        <f aca="false">STDEV(C1410:C1429)*SQRT(252)*100</f>
        <v>32.3682573923144</v>
      </c>
      <c r="T1429" s="19" t="n">
        <f aca="false">B1408/B1178-1</f>
        <v>0.133387106480993</v>
      </c>
      <c r="U1429" s="19" t="n">
        <f aca="false">B1429/MAX(B1178:B1429)-1</f>
        <v>-0.196337008713995</v>
      </c>
      <c r="V1429" s="17" t="n">
        <f aca="false">(B1429-AVERAGE(B1410:B1429))/STDEV(B1410:B1429)</f>
        <v>-2.10300193444064</v>
      </c>
    </row>
    <row r="1430" customFormat="false" ht="15" hidden="false" customHeight="false" outlineLevel="0" collapsed="false">
      <c r="A1430" s="17" t="s">
        <v>1994</v>
      </c>
      <c r="B1430" s="17" t="n">
        <v>13267.61</v>
      </c>
      <c r="C1430" s="19" t="n">
        <f aca="false">B1430/B1429-1</f>
        <v>-0.00388681755457077</v>
      </c>
      <c r="D1430" s="17" t="n">
        <f aca="false">AVERAGE(B1381:B1430)</f>
        <v>14865.9194</v>
      </c>
      <c r="E1430" s="17" t="n">
        <f aca="false">AVERAGE(B1231:B1430)</f>
        <v>15100.05255</v>
      </c>
      <c r="F1430" s="17" t="n">
        <f aca="false">B1430*2/13+F1429*11/13</f>
        <v>13880.082262607</v>
      </c>
      <c r="G1430" s="17" t="n">
        <f aca="false">B1430*2/27+G1429*25/27</f>
        <v>14223.6542890179</v>
      </c>
      <c r="H1430" s="17" t="n">
        <f aca="false">F1430-G1430</f>
        <v>-343.572026410937</v>
      </c>
      <c r="I1430" s="17" t="n">
        <f aca="false">H1430*2/10+I1429*8/10</f>
        <v>-299.90732406927</v>
      </c>
      <c r="J1430" s="17" t="n">
        <f aca="false">H1430-I1430</f>
        <v>-43.6647023416668</v>
      </c>
      <c r="K1430" s="17" t="n">
        <f aca="false">MAX(B1430-B1429,0)</f>
        <v>0</v>
      </c>
      <c r="L1430" s="17" t="n">
        <f aca="false">MAX(B1429-B1430,0)</f>
        <v>51.7699999999986</v>
      </c>
      <c r="M1430" s="17" t="n">
        <f aca="false">(M1429*13+K1430)/14</f>
        <v>82.5655431803469</v>
      </c>
      <c r="N1430" s="17" t="n">
        <f aca="false">(N1429*13+L1430)/14</f>
        <v>157.790469535728</v>
      </c>
      <c r="O1430" s="17" t="n">
        <f aca="false">IF(N1430=0,100,100-100/(1+M1430/N1430))</f>
        <v>34.3513533309769</v>
      </c>
      <c r="P1430" s="17" t="n">
        <f aca="false">AVERAGE(B1411:B1430)+2*STDEV(B1411:B1430)</f>
        <v>15075.1918072017</v>
      </c>
      <c r="Q1430" s="17" t="n">
        <f aca="false">AVERAGE(B1411:B1430)-2*STDEV(B1411:B1430)</f>
        <v>13217.7191927983</v>
      </c>
      <c r="R1430" s="19" t="n">
        <f aca="false">B1430/B1410-1</f>
        <v>-0.0894665866003259</v>
      </c>
      <c r="S1430" s="17" t="n">
        <f aca="false">STDEV(C1411:C1430)*SQRT(252)*100</f>
        <v>32.3398697795162</v>
      </c>
      <c r="T1430" s="19" t="n">
        <f aca="false">B1409/B1179-1</f>
        <v>0.152310958142482</v>
      </c>
      <c r="U1430" s="19" t="n">
        <f aca="false">B1430/MAX(B1179:B1430)-1</f>
        <v>-0.199460700136484</v>
      </c>
      <c r="V1430" s="17" t="n">
        <f aca="false">(B1430-AVERAGE(B1411:B1430))/STDEV(B1411:B1430)</f>
        <v>-1.89256195366785</v>
      </c>
    </row>
    <row r="1431" customFormat="false" ht="15" hidden="false" customHeight="false" outlineLevel="0" collapsed="false">
      <c r="A1431" s="17" t="s">
        <v>1995</v>
      </c>
      <c r="B1431" s="17" t="n">
        <v>13742.2</v>
      </c>
      <c r="C1431" s="19" t="n">
        <f aca="false">B1431/B1430-1</f>
        <v>0.0357705720924868</v>
      </c>
      <c r="D1431" s="17" t="n">
        <f aca="false">AVERAGE(B1382:B1431)</f>
        <v>14809.4134</v>
      </c>
      <c r="E1431" s="17" t="n">
        <f aca="false">AVERAGE(B1232:B1431)</f>
        <v>15100.5548</v>
      </c>
      <c r="F1431" s="17" t="n">
        <f aca="false">B1431*2/13+F1430*11/13</f>
        <v>13858.8696068213</v>
      </c>
      <c r="G1431" s="17" t="n">
        <f aca="false">B1431*2/27+G1430*25/27</f>
        <v>14187.9910083499</v>
      </c>
      <c r="H1431" s="17" t="n">
        <f aca="false">F1431-G1431</f>
        <v>-329.121401528631</v>
      </c>
      <c r="I1431" s="17" t="n">
        <f aca="false">H1431*2/10+I1430*8/10</f>
        <v>-305.750139561142</v>
      </c>
      <c r="J1431" s="17" t="n">
        <f aca="false">H1431-I1431</f>
        <v>-23.3712619674891</v>
      </c>
      <c r="K1431" s="17" t="n">
        <f aca="false">MAX(B1431-B1430,0)</f>
        <v>474.59</v>
      </c>
      <c r="L1431" s="17" t="n">
        <f aca="false">MAX(B1430-B1431,0)</f>
        <v>0</v>
      </c>
      <c r="M1431" s="17" t="n">
        <f aca="false">(M1430*13+K1431)/14</f>
        <v>110.567290096036</v>
      </c>
      <c r="N1431" s="17" t="n">
        <f aca="false">(N1430*13+L1431)/14</f>
        <v>146.519721711748</v>
      </c>
      <c r="O1431" s="17" t="n">
        <f aca="false">IF(N1431=0,100,100-100/(1+M1431/N1431))</f>
        <v>43.0077308528927</v>
      </c>
      <c r="P1431" s="17" t="n">
        <f aca="false">AVERAGE(B1412:B1431)+2*STDEV(B1412:B1431)</f>
        <v>14996.4322743827</v>
      </c>
      <c r="Q1431" s="17" t="n">
        <f aca="false">AVERAGE(B1412:B1431)-2*STDEV(B1412:B1431)</f>
        <v>13195.9957256173</v>
      </c>
      <c r="R1431" s="19" t="n">
        <f aca="false">B1431/B1411-1</f>
        <v>-0.0681377877443797</v>
      </c>
      <c r="S1431" s="17" t="n">
        <f aca="false">STDEV(C1412:C1431)*SQRT(252)*100</f>
        <v>34.9385726723449</v>
      </c>
      <c r="T1431" s="19" t="n">
        <f aca="false">B1410/B1180-1</f>
        <v>0.116322809490611</v>
      </c>
      <c r="U1431" s="19" t="n">
        <f aca="false">B1431/MAX(B1180:B1431)-1</f>
        <v>-0.170824951397847</v>
      </c>
      <c r="V1431" s="17" t="n">
        <f aca="false">(B1431-AVERAGE(B1412:B1431))/STDEV(B1412:B1431)</f>
        <v>-0.786507028515373</v>
      </c>
    </row>
    <row r="1432" customFormat="false" ht="15" hidden="false" customHeight="false" outlineLevel="0" collapsed="false">
      <c r="A1432" s="17" t="s">
        <v>1996</v>
      </c>
      <c r="B1432" s="17" t="n">
        <v>13591</v>
      </c>
      <c r="C1432" s="19" t="n">
        <f aca="false">B1432/B1431-1</f>
        <v>-0.0110026051141739</v>
      </c>
      <c r="D1432" s="17" t="n">
        <f aca="false">AVERAGE(B1383:B1432)</f>
        <v>14751.4602</v>
      </c>
      <c r="E1432" s="17" t="n">
        <f aca="false">AVERAGE(B1233:B1432)</f>
        <v>15100.22115</v>
      </c>
      <c r="F1432" s="17" t="n">
        <f aca="false">B1432*2/13+F1431*11/13</f>
        <v>13817.6588980795</v>
      </c>
      <c r="G1432" s="17" t="n">
        <f aca="false">B1432*2/27+G1431*25/27</f>
        <v>14143.7694521758</v>
      </c>
      <c r="H1432" s="17" t="n">
        <f aca="false">F1432-G1432</f>
        <v>-326.110554096296</v>
      </c>
      <c r="I1432" s="17" t="n">
        <f aca="false">H1432*2/10+I1431*8/10</f>
        <v>-309.822222468173</v>
      </c>
      <c r="J1432" s="17" t="n">
        <f aca="false">H1432-I1432</f>
        <v>-16.2883316281232</v>
      </c>
      <c r="K1432" s="17" t="n">
        <f aca="false">MAX(B1432-B1431,0)</f>
        <v>0</v>
      </c>
      <c r="L1432" s="17" t="n">
        <f aca="false">MAX(B1431-B1432,0)</f>
        <v>151.200000000001</v>
      </c>
      <c r="M1432" s="17" t="n">
        <f aca="false">(M1431*13+K1432)/14</f>
        <v>102.669626517748</v>
      </c>
      <c r="N1432" s="17" t="n">
        <f aca="false">(N1431*13+L1432)/14</f>
        <v>146.854027303766</v>
      </c>
      <c r="O1432" s="17" t="n">
        <f aca="false">IF(N1432=0,100,100-100/(1+M1432/N1432))</f>
        <v>41.1462500429672</v>
      </c>
      <c r="P1432" s="17" t="n">
        <f aca="false">AVERAGE(B1413:B1432)+2*STDEV(B1413:B1432)</f>
        <v>14827.393319098</v>
      </c>
      <c r="Q1432" s="17" t="n">
        <f aca="false">AVERAGE(B1413:B1432)-2*STDEV(B1413:B1432)</f>
        <v>13218.438680902</v>
      </c>
      <c r="R1432" s="19" t="n">
        <f aca="false">B1432/B1412-1</f>
        <v>-0.0973609546681401</v>
      </c>
      <c r="S1432" s="17" t="n">
        <f aca="false">STDEV(C1413:C1432)*SQRT(252)*100</f>
        <v>33.8144230746653</v>
      </c>
      <c r="T1432" s="19" t="n">
        <f aca="false">B1411/B1181-1</f>
        <v>0.139885555630275</v>
      </c>
      <c r="U1432" s="19" t="n">
        <f aca="false">B1432/MAX(B1181:B1432)-1</f>
        <v>-0.179948037028143</v>
      </c>
      <c r="V1432" s="17" t="n">
        <f aca="false">(B1432-AVERAGE(B1413:B1432))/STDEV(B1413:B1432)</f>
        <v>-1.0737804279784</v>
      </c>
    </row>
    <row r="1433" customFormat="false" ht="15" hidden="false" customHeight="false" outlineLevel="0" collapsed="false">
      <c r="A1433" s="17" t="s">
        <v>1997</v>
      </c>
      <c r="B1433" s="17" t="n">
        <v>13301.83</v>
      </c>
      <c r="C1433" s="19" t="n">
        <f aca="false">B1433/B1432-1</f>
        <v>-0.0212765800897653</v>
      </c>
      <c r="D1433" s="17" t="n">
        <f aca="false">AVERAGE(B1384:B1433)</f>
        <v>14687.6766</v>
      </c>
      <c r="E1433" s="17" t="n">
        <f aca="false">AVERAGE(B1234:B1433)</f>
        <v>15098.2166</v>
      </c>
      <c r="F1433" s="17" t="n">
        <f aca="false">B1433*2/13+F1432*11/13</f>
        <v>13738.3006060673</v>
      </c>
      <c r="G1433" s="17" t="n">
        <f aca="false">B1433*2/27+G1432*25/27</f>
        <v>14081.4035668295</v>
      </c>
      <c r="H1433" s="17" t="n">
        <f aca="false">F1433-G1433</f>
        <v>-343.102960762177</v>
      </c>
      <c r="I1433" s="17" t="n">
        <f aca="false">H1433*2/10+I1432*8/10</f>
        <v>-316.478370126974</v>
      </c>
      <c r="J1433" s="17" t="n">
        <f aca="false">H1433-I1433</f>
        <v>-26.6245906352029</v>
      </c>
      <c r="K1433" s="17" t="n">
        <f aca="false">MAX(B1433-B1432,0)</f>
        <v>0</v>
      </c>
      <c r="L1433" s="17" t="n">
        <f aca="false">MAX(B1432-B1433,0)</f>
        <v>289.17</v>
      </c>
      <c r="M1433" s="17" t="n">
        <f aca="false">(M1432*13+K1433)/14</f>
        <v>95.3360817664803</v>
      </c>
      <c r="N1433" s="17" t="n">
        <f aca="false">(N1432*13+L1433)/14</f>
        <v>157.019453924925</v>
      </c>
      <c r="O1433" s="17" t="n">
        <f aca="false">IF(N1433=0,100,100-100/(1+M1433/N1433))</f>
        <v>37.7784784888026</v>
      </c>
      <c r="P1433" s="17" t="n">
        <f aca="false">AVERAGE(B1414:B1433)+2*STDEV(B1414:B1433)</f>
        <v>14751.3350388592</v>
      </c>
      <c r="Q1433" s="17" t="n">
        <f aca="false">AVERAGE(B1414:B1433)-2*STDEV(B1414:B1433)</f>
        <v>13154.1159611408</v>
      </c>
      <c r="R1433" s="19" t="n">
        <f aca="false">B1433/B1413-1</f>
        <v>-0.0954606531915646</v>
      </c>
      <c r="S1433" s="17" t="n">
        <f aca="false">STDEV(C1414:C1433)*SQRT(252)*100</f>
        <v>33.6732930917416</v>
      </c>
      <c r="T1433" s="19" t="n">
        <f aca="false">B1412/B1182-1</f>
        <v>0.150920234144134</v>
      </c>
      <c r="U1433" s="19" t="n">
        <f aca="false">B1433/MAX(B1182:B1433)-1</f>
        <v>-0.197395938296083</v>
      </c>
      <c r="V1433" s="17" t="n">
        <f aca="false">(B1433-AVERAGE(B1414:B1433))/STDEV(B1414:B1433)</f>
        <v>-1.630071939611</v>
      </c>
    </row>
    <row r="1434" customFormat="false" ht="15" hidden="false" customHeight="false" outlineLevel="0" collapsed="false">
      <c r="A1434" s="17" t="s">
        <v>1998</v>
      </c>
      <c r="B1434" s="17" t="n">
        <v>13046.64</v>
      </c>
      <c r="C1434" s="19" t="n">
        <f aca="false">B1434/B1433-1</f>
        <v>-0.0191845783625261</v>
      </c>
      <c r="D1434" s="17" t="n">
        <f aca="false">AVERAGE(B1385:B1434)</f>
        <v>14620.0274</v>
      </c>
      <c r="E1434" s="17" t="n">
        <f aca="false">AVERAGE(B1235:B1434)</f>
        <v>15095.16055</v>
      </c>
      <c r="F1434" s="17" t="n">
        <f aca="false">B1434*2/13+F1433*11/13</f>
        <v>13631.8912820569</v>
      </c>
      <c r="G1434" s="17" t="n">
        <f aca="false">B1434*2/27+G1433*25/27</f>
        <v>14004.754413731</v>
      </c>
      <c r="H1434" s="17" t="n">
        <f aca="false">F1434-G1434</f>
        <v>-372.863131674054</v>
      </c>
      <c r="I1434" s="17" t="n">
        <f aca="false">H1434*2/10+I1433*8/10</f>
        <v>-327.75532243639</v>
      </c>
      <c r="J1434" s="17" t="n">
        <f aca="false">H1434-I1434</f>
        <v>-45.1078092376641</v>
      </c>
      <c r="K1434" s="17" t="n">
        <f aca="false">MAX(B1434-B1433,0)</f>
        <v>0</v>
      </c>
      <c r="L1434" s="17" t="n">
        <f aca="false">MAX(B1433-B1434,0)</f>
        <v>255.190000000001</v>
      </c>
      <c r="M1434" s="17" t="n">
        <f aca="false">(M1433*13+K1434)/14</f>
        <v>88.5263616403032</v>
      </c>
      <c r="N1434" s="17" t="n">
        <f aca="false">(N1433*13+L1434)/14</f>
        <v>164.031635787431</v>
      </c>
      <c r="O1434" s="17" t="n">
        <f aca="false">IF(N1434=0,100,100-100/(1+M1434/N1434))</f>
        <v>35.051894036986</v>
      </c>
      <c r="P1434" s="17" t="n">
        <f aca="false">AVERAGE(B1415:B1434)+2*STDEV(B1415:B1434)</f>
        <v>14773.3811911315</v>
      </c>
      <c r="Q1434" s="17" t="n">
        <f aca="false">AVERAGE(B1415:B1434)-2*STDEV(B1415:B1434)</f>
        <v>13011.3498088685</v>
      </c>
      <c r="R1434" s="19" t="n">
        <f aca="false">B1434/B1414-1</f>
        <v>-0.0846929669478541</v>
      </c>
      <c r="S1434" s="17" t="n">
        <f aca="false">STDEV(C1415:C1434)*SQRT(252)*100</f>
        <v>32.730633374397</v>
      </c>
      <c r="T1434" s="19" t="n">
        <f aca="false">B1413/B1183-1</f>
        <v>0.118105758089092</v>
      </c>
      <c r="U1434" s="19" t="n">
        <f aca="false">B1434/MAX(B1183:B1434)-1</f>
        <v>-0.212793558811923</v>
      </c>
      <c r="V1434" s="17" t="n">
        <f aca="false">(B1434-AVERAGE(B1415:B1434))/STDEV(B1415:B1434)</f>
        <v>-1.91988748557651</v>
      </c>
    </row>
    <row r="1435" customFormat="false" ht="15" hidden="false" customHeight="false" outlineLevel="0" collapsed="false">
      <c r="A1435" s="17" t="s">
        <v>1999</v>
      </c>
      <c r="B1435" s="17" t="n">
        <v>13458.56</v>
      </c>
      <c r="C1435" s="19" t="n">
        <f aca="false">B1435/B1434-1</f>
        <v>0.031572880067205</v>
      </c>
      <c r="D1435" s="17" t="n">
        <f aca="false">AVERAGE(B1386:B1435)</f>
        <v>14562.797</v>
      </c>
      <c r="E1435" s="17" t="n">
        <f aca="false">AVERAGE(B1236:B1435)</f>
        <v>15094.0208</v>
      </c>
      <c r="F1435" s="17" t="n">
        <f aca="false">B1435*2/13+F1434*11/13</f>
        <v>13605.2249309713</v>
      </c>
      <c r="G1435" s="17" t="n">
        <f aca="false">B1435*2/27+G1434*25/27</f>
        <v>13964.2955682694</v>
      </c>
      <c r="H1435" s="17" t="n">
        <f aca="false">F1435-G1435</f>
        <v>-359.070637298184</v>
      </c>
      <c r="I1435" s="17" t="n">
        <f aca="false">H1435*2/10+I1434*8/10</f>
        <v>-334.018385408749</v>
      </c>
      <c r="J1435" s="17" t="n">
        <f aca="false">H1435-I1435</f>
        <v>-25.0522518894354</v>
      </c>
      <c r="K1435" s="17" t="n">
        <f aca="false">MAX(B1435-B1434,0)</f>
        <v>411.92</v>
      </c>
      <c r="L1435" s="17" t="n">
        <f aca="false">MAX(B1434-B1435,0)</f>
        <v>0</v>
      </c>
      <c r="M1435" s="17" t="n">
        <f aca="false">(M1434*13+K1435)/14</f>
        <v>111.625907237424</v>
      </c>
      <c r="N1435" s="17" t="n">
        <f aca="false">(N1434*13+L1435)/14</f>
        <v>152.315090374043</v>
      </c>
      <c r="O1435" s="17" t="n">
        <f aca="false">IF(N1435=0,100,100-100/(1+M1435/N1435))</f>
        <v>42.2919926224355</v>
      </c>
      <c r="P1435" s="17" t="n">
        <f aca="false">AVERAGE(B1416:B1435)+2*STDEV(B1416:B1435)</f>
        <v>14734.5311287077</v>
      </c>
      <c r="Q1435" s="17" t="n">
        <f aca="false">AVERAGE(B1416:B1435)-2*STDEV(B1416:B1435)</f>
        <v>12969.1968712923</v>
      </c>
      <c r="R1435" s="19" t="n">
        <f aca="false">B1435/B1415-1</f>
        <v>-0.0567701503792597</v>
      </c>
      <c r="S1435" s="17" t="n">
        <f aca="false">STDEV(C1416:C1435)*SQRT(252)*100</f>
        <v>35.0900858018696</v>
      </c>
      <c r="T1435" s="19" t="n">
        <f aca="false">B1414/B1184-1</f>
        <v>0.079641700966038</v>
      </c>
      <c r="U1435" s="19" t="n">
        <f aca="false">B1435/MAX(B1184:B1435)-1</f>
        <v>-0.187939184256161</v>
      </c>
      <c r="V1435" s="17" t="n">
        <f aca="false">(B1435-AVERAGE(B1416:B1435))/STDEV(B1416:B1435)</f>
        <v>-0.891171738944994</v>
      </c>
    </row>
    <row r="1436" customFormat="false" ht="15" hidden="false" customHeight="false" outlineLevel="0" collapsed="false">
      <c r="A1436" s="17" t="s">
        <v>2000</v>
      </c>
      <c r="B1436" s="17" t="n">
        <v>13956.79</v>
      </c>
      <c r="C1436" s="19" t="n">
        <f aca="false">B1436/B1435-1</f>
        <v>0.0370195622711496</v>
      </c>
      <c r="D1436" s="17" t="n">
        <f aca="false">AVERAGE(B1387:B1436)</f>
        <v>14511.8974</v>
      </c>
      <c r="E1436" s="17" t="n">
        <f aca="false">AVERAGE(B1237:B1436)</f>
        <v>15095.5318</v>
      </c>
      <c r="F1436" s="17" t="n">
        <f aca="false">B1436*2/13+F1435*11/13</f>
        <v>13659.311864668</v>
      </c>
      <c r="G1436" s="17" t="n">
        <f aca="false">B1436*2/27+G1435*25/27</f>
        <v>13963.7396002495</v>
      </c>
      <c r="H1436" s="17" t="n">
        <f aca="false">F1436-G1436</f>
        <v>-304.427735581496</v>
      </c>
      <c r="I1436" s="17" t="n">
        <f aca="false">H1436*2/10+I1435*8/10</f>
        <v>-328.100255443298</v>
      </c>
      <c r="J1436" s="17" t="n">
        <f aca="false">H1436-I1436</f>
        <v>23.6725198618024</v>
      </c>
      <c r="K1436" s="17" t="n">
        <f aca="false">MAX(B1436-B1435,0)</f>
        <v>498.230000000001</v>
      </c>
      <c r="L1436" s="17" t="n">
        <f aca="false">MAX(B1435-B1436,0)</f>
        <v>0</v>
      </c>
      <c r="M1436" s="17" t="n">
        <f aca="false">(M1435*13+K1436)/14</f>
        <v>139.240485291894</v>
      </c>
      <c r="N1436" s="17" t="n">
        <f aca="false">(N1435*13+L1436)/14</f>
        <v>141.435441061611</v>
      </c>
      <c r="O1436" s="17" t="n">
        <f aca="false">IF(N1436=0,100,100-100/(1+M1436/N1436))</f>
        <v>49.6089875255364</v>
      </c>
      <c r="P1436" s="17" t="n">
        <f aca="false">AVERAGE(B1417:B1436)+2*STDEV(B1417:B1436)</f>
        <v>14626.3101992476</v>
      </c>
      <c r="Q1436" s="17" t="n">
        <f aca="false">AVERAGE(B1417:B1436)-2*STDEV(B1417:B1436)</f>
        <v>13011.0148007524</v>
      </c>
      <c r="R1436" s="19" t="n">
        <f aca="false">B1436/B1416-1</f>
        <v>-0.0454167413318815</v>
      </c>
      <c r="S1436" s="17" t="n">
        <f aca="false">STDEV(C1417:C1436)*SQRT(252)*100</f>
        <v>36.6065111127419</v>
      </c>
      <c r="T1436" s="19" t="n">
        <f aca="false">B1415/B1185-1</f>
        <v>0.115680178651575</v>
      </c>
      <c r="U1436" s="19" t="n">
        <f aca="false">B1436/MAX(B1185:B1436)-1</f>
        <v>-0.157877048319771</v>
      </c>
      <c r="V1436" s="17" t="n">
        <f aca="false">(B1436-AVERAGE(B1417:B1436))/STDEV(B1417:B1436)</f>
        <v>0.342048891190238</v>
      </c>
    </row>
    <row r="1437" customFormat="false" ht="15" hidden="false" customHeight="false" outlineLevel="0" collapsed="false">
      <c r="A1437" s="17" t="s">
        <v>2001</v>
      </c>
      <c r="B1437" s="17" t="n">
        <v>14118.6</v>
      </c>
      <c r="C1437" s="19" t="n">
        <f aca="false">B1437/B1436-1</f>
        <v>0.011593640084862</v>
      </c>
      <c r="D1437" s="17" t="n">
        <f aca="false">AVERAGE(B1388:B1437)</f>
        <v>14468.6748</v>
      </c>
      <c r="E1437" s="17" t="n">
        <f aca="false">AVERAGE(B1238:B1437)</f>
        <v>15097.74585</v>
      </c>
      <c r="F1437" s="17" t="n">
        <f aca="false">B1437*2/13+F1436*11/13</f>
        <v>13729.971577796</v>
      </c>
      <c r="G1437" s="17" t="n">
        <f aca="false">B1437*2/27+G1436*25/27</f>
        <v>13975.2107409717</v>
      </c>
      <c r="H1437" s="17" t="n">
        <f aca="false">F1437-G1437</f>
        <v>-245.239163175756</v>
      </c>
      <c r="I1437" s="17" t="n">
        <f aca="false">H1437*2/10+I1436*8/10</f>
        <v>-311.52803698979</v>
      </c>
      <c r="J1437" s="17" t="n">
        <f aca="false">H1437-I1437</f>
        <v>66.2888738140333</v>
      </c>
      <c r="K1437" s="17" t="n">
        <f aca="false">MAX(B1437-B1436,0)</f>
        <v>161.81</v>
      </c>
      <c r="L1437" s="17" t="n">
        <f aca="false">MAX(B1436-B1437,0)</f>
        <v>0</v>
      </c>
      <c r="M1437" s="17" t="n">
        <f aca="false">(M1436*13+K1437)/14</f>
        <v>140.85259348533</v>
      </c>
      <c r="N1437" s="17" t="n">
        <f aca="false">(N1436*13+L1437)/14</f>
        <v>131.33290955721</v>
      </c>
      <c r="O1437" s="17" t="n">
        <f aca="false">IF(N1437=0,100,100-100/(1+M1437/N1437))</f>
        <v>51.7487492577134</v>
      </c>
      <c r="P1437" s="17" t="n">
        <f aca="false">AVERAGE(B1418:B1437)+2*STDEV(B1418:B1437)</f>
        <v>14528.599629125</v>
      </c>
      <c r="Q1437" s="17" t="n">
        <f aca="false">AVERAGE(B1418:B1437)-2*STDEV(B1418:B1437)</f>
        <v>13060.221370875</v>
      </c>
      <c r="R1437" s="19" t="n">
        <f aca="false">B1437/B1417-1</f>
        <v>-0.0332136371479986</v>
      </c>
      <c r="S1437" s="17" t="n">
        <f aca="false">STDEV(C1418:C1437)*SQRT(252)*100</f>
        <v>36.9271027299444</v>
      </c>
      <c r="T1437" s="19" t="n">
        <f aca="false">B1416/B1186-1</f>
        <v>0.1363046058169</v>
      </c>
      <c r="U1437" s="19" t="n">
        <f aca="false">B1437/MAX(B1186:B1437)-1</f>
        <v>-0.148113777910789</v>
      </c>
      <c r="V1437" s="17" t="n">
        <f aca="false">(B1437-AVERAGE(B1418:B1437))/STDEV(B1418:B1437)</f>
        <v>0.883122582831984</v>
      </c>
    </row>
    <row r="1438" customFormat="false" ht="15" hidden="false" customHeight="false" outlineLevel="0" collapsed="false">
      <c r="A1438" s="17" t="s">
        <v>2002</v>
      </c>
      <c r="B1438" s="17" t="n">
        <v>14420.08</v>
      </c>
      <c r="C1438" s="19" t="n">
        <f aca="false">B1438/B1437-1</f>
        <v>0.0213533919793747</v>
      </c>
      <c r="D1438" s="17" t="n">
        <f aca="false">AVERAGE(B1389:B1438)</f>
        <v>14441.6408</v>
      </c>
      <c r="E1438" s="17" t="n">
        <f aca="false">AVERAGE(B1239:B1438)</f>
        <v>15102.19785</v>
      </c>
      <c r="F1438" s="17" t="n">
        <f aca="false">B1438*2/13+F1437*11/13</f>
        <v>13836.1421042889</v>
      </c>
      <c r="G1438" s="17" t="n">
        <f aca="false">B1438*2/27+G1437*25/27</f>
        <v>14008.1640194183</v>
      </c>
      <c r="H1438" s="17" t="n">
        <f aca="false">F1438-G1438</f>
        <v>-172.021915129371</v>
      </c>
      <c r="I1438" s="17" t="n">
        <f aca="false">H1438*2/10+I1437*8/10</f>
        <v>-283.626812617706</v>
      </c>
      <c r="J1438" s="17" t="n">
        <f aca="false">H1438-I1438</f>
        <v>111.604897488335</v>
      </c>
      <c r="K1438" s="17" t="n">
        <f aca="false">MAX(B1438-B1437,0)</f>
        <v>301.48</v>
      </c>
      <c r="L1438" s="17" t="n">
        <f aca="false">MAX(B1437-B1438,0)</f>
        <v>0</v>
      </c>
      <c r="M1438" s="17" t="n">
        <f aca="false">(M1437*13+K1438)/14</f>
        <v>152.325979664949</v>
      </c>
      <c r="N1438" s="17" t="n">
        <f aca="false">(N1437*13+L1438)/14</f>
        <v>121.951987445981</v>
      </c>
      <c r="O1438" s="17" t="n">
        <f aca="false">IF(N1438=0,100,100-100/(1+M1438/N1438))</f>
        <v>55.5370820592898</v>
      </c>
      <c r="P1438" s="17" t="n">
        <f aca="false">AVERAGE(B1419:B1438)+2*STDEV(B1419:B1438)</f>
        <v>14575.4778689722</v>
      </c>
      <c r="Q1438" s="17" t="n">
        <f aca="false">AVERAGE(B1419:B1438)-2*STDEV(B1419:B1438)</f>
        <v>13038.1771310278</v>
      </c>
      <c r="R1438" s="19" t="n">
        <f aca="false">B1438/B1418-1</f>
        <v>0.0175236068400917</v>
      </c>
      <c r="S1438" s="17" t="n">
        <f aca="false">STDEV(C1419:C1438)*SQRT(252)*100</f>
        <v>36.1969232138225</v>
      </c>
      <c r="T1438" s="19" t="n">
        <f aca="false">B1417/B1187-1</f>
        <v>0.115930832590202</v>
      </c>
      <c r="U1438" s="19" t="n">
        <f aca="false">B1438/MAX(B1187:B1438)-1</f>
        <v>-0.12992311748869</v>
      </c>
      <c r="V1438" s="17" t="n">
        <f aca="false">(B1438-AVERAGE(B1419:B1438))/STDEV(B1419:B1438)</f>
        <v>1.5956604582654</v>
      </c>
    </row>
    <row r="1439" customFormat="false" ht="15" hidden="false" customHeight="false" outlineLevel="0" collapsed="false">
      <c r="A1439" s="17" t="s">
        <v>2003</v>
      </c>
      <c r="B1439" s="17" t="n">
        <v>14376.09</v>
      </c>
      <c r="C1439" s="19" t="n">
        <f aca="false">B1439/B1438-1</f>
        <v>-0.00305060720883654</v>
      </c>
      <c r="D1439" s="17" t="n">
        <f aca="false">AVERAGE(B1390:B1439)</f>
        <v>14413.8554</v>
      </c>
      <c r="E1439" s="17" t="n">
        <f aca="false">AVERAGE(B1240:B1439)</f>
        <v>15105.22445</v>
      </c>
      <c r="F1439" s="17" t="n">
        <f aca="false">B1439*2/13+F1438*11/13</f>
        <v>13919.2110113214</v>
      </c>
      <c r="G1439" s="17" t="n">
        <f aca="false">B1439*2/27+G1438*25/27</f>
        <v>14035.4177957577</v>
      </c>
      <c r="H1439" s="17" t="n">
        <f aca="false">F1439-G1439</f>
        <v>-116.206784436283</v>
      </c>
      <c r="I1439" s="17" t="n">
        <f aca="false">H1439*2/10+I1438*8/10</f>
        <v>-250.142806981421</v>
      </c>
      <c r="J1439" s="17" t="n">
        <f aca="false">H1439-I1439</f>
        <v>133.936022545139</v>
      </c>
      <c r="K1439" s="17" t="n">
        <f aca="false">MAX(B1439-B1438,0)</f>
        <v>0</v>
      </c>
      <c r="L1439" s="17" t="n">
        <f aca="false">MAX(B1438-B1439,0)</f>
        <v>43.9899999999998</v>
      </c>
      <c r="M1439" s="17" t="n">
        <f aca="false">(M1438*13+K1439)/14</f>
        <v>141.445552546025</v>
      </c>
      <c r="N1439" s="17" t="n">
        <f aca="false">(N1438*13+L1439)/14</f>
        <v>116.383274056983</v>
      </c>
      <c r="O1439" s="17" t="n">
        <f aca="false">IF(N1439=0,100,100-100/(1+M1439/N1439))</f>
        <v>54.8602553134277</v>
      </c>
      <c r="P1439" s="17" t="n">
        <f aca="false">AVERAGE(B1420:B1439)+2*STDEV(B1420:B1439)</f>
        <v>14630.7486800437</v>
      </c>
      <c r="Q1439" s="17" t="n">
        <f aca="false">AVERAGE(B1420:B1439)-2*STDEV(B1420:B1439)</f>
        <v>13019.5613199563</v>
      </c>
      <c r="R1439" s="19" t="n">
        <f aca="false">B1439/B1419-1</f>
        <v>0.0261643137462044</v>
      </c>
      <c r="S1439" s="17" t="n">
        <f aca="false">STDEV(C1420:C1439)*SQRT(252)*100</f>
        <v>35.932264004944</v>
      </c>
      <c r="T1439" s="19" t="n">
        <f aca="false">B1418/B1188-1</f>
        <v>0.0886440786032037</v>
      </c>
      <c r="U1439" s="19" t="n">
        <f aca="false">B1439/MAX(B1188:B1439)-1</f>
        <v>-0.132577380298721</v>
      </c>
      <c r="V1439" s="17" t="n">
        <f aca="false">(B1439-AVERAGE(B1420:B1439))/STDEV(B1420:B1439)</f>
        <v>1.36777388812219</v>
      </c>
    </row>
    <row r="1440" customFormat="false" ht="15" hidden="false" customHeight="false" outlineLevel="0" collapsed="false">
      <c r="A1440" s="17" t="s">
        <v>2004</v>
      </c>
      <c r="B1440" s="17" t="n">
        <v>14654.33</v>
      </c>
      <c r="C1440" s="19" t="n">
        <f aca="false">B1440/B1439-1</f>
        <v>0.0193543585216842</v>
      </c>
      <c r="D1440" s="17" t="n">
        <f aca="false">AVERAGE(B1391:B1440)</f>
        <v>14395.0982</v>
      </c>
      <c r="E1440" s="17" t="n">
        <f aca="false">AVERAGE(B1241:B1440)</f>
        <v>15109.48165</v>
      </c>
      <c r="F1440" s="17" t="n">
        <f aca="false">B1440*2/13+F1439*11/13</f>
        <v>14032.3062403489</v>
      </c>
      <c r="G1440" s="17" t="n">
        <f aca="false">B1440*2/27+G1439*25/27</f>
        <v>14081.2631442201</v>
      </c>
      <c r="H1440" s="17" t="n">
        <f aca="false">F1440-G1440</f>
        <v>-48.9569038711961</v>
      </c>
      <c r="I1440" s="17" t="n">
        <f aca="false">H1440*2/10+I1439*8/10</f>
        <v>-209.905626359376</v>
      </c>
      <c r="J1440" s="17" t="n">
        <f aca="false">H1440-I1440</f>
        <v>160.94872248818</v>
      </c>
      <c r="K1440" s="17" t="n">
        <f aca="false">MAX(B1440-B1439,0)</f>
        <v>278.24</v>
      </c>
      <c r="L1440" s="17" t="n">
        <f aca="false">MAX(B1439-B1440,0)</f>
        <v>0</v>
      </c>
      <c r="M1440" s="17" t="n">
        <f aca="false">(M1439*13+K1440)/14</f>
        <v>151.216584507023</v>
      </c>
      <c r="N1440" s="17" t="n">
        <f aca="false">(N1439*13+L1440)/14</f>
        <v>108.070183052912</v>
      </c>
      <c r="O1440" s="17" t="n">
        <f aca="false">IF(N1440=0,100,100-100/(1+M1440/N1440))</f>
        <v>58.3202089061751</v>
      </c>
      <c r="P1440" s="17" t="n">
        <f aca="false">AVERAGE(B1421:B1440)+2*STDEV(B1421:B1440)</f>
        <v>14751.3762117335</v>
      </c>
      <c r="Q1440" s="17" t="n">
        <f aca="false">AVERAGE(B1421:B1440)-2*STDEV(B1421:B1440)</f>
        <v>12977.3137882665</v>
      </c>
      <c r="R1440" s="19" t="n">
        <f aca="false">B1440/B1420-1</f>
        <v>0.056508294924563</v>
      </c>
      <c r="S1440" s="17" t="n">
        <f aca="false">STDEV(C1421:C1440)*SQRT(252)*100</f>
        <v>36.1959947730528</v>
      </c>
      <c r="T1440" s="19" t="n">
        <f aca="false">B1419/B1189-1</f>
        <v>0.094591089220307</v>
      </c>
      <c r="U1440" s="19" t="n">
        <f aca="false">B1440/MAX(B1189:B1440)-1</f>
        <v>-0.115788971927204</v>
      </c>
      <c r="V1440" s="17" t="n">
        <f aca="false">(B1440-AVERAGE(B1421:B1440))/STDEV(B1421:B1440)</f>
        <v>1.78118873282061</v>
      </c>
    </row>
    <row r="1441" customFormat="false" ht="15" hidden="false" customHeight="false" outlineLevel="0" collapsed="false">
      <c r="A1441" s="17" t="s">
        <v>2005</v>
      </c>
      <c r="B1441" s="17" t="n">
        <v>14447.55</v>
      </c>
      <c r="C1441" s="19" t="n">
        <f aca="false">B1441/B1440-1</f>
        <v>-0.0141105052226885</v>
      </c>
      <c r="D1441" s="17" t="n">
        <f aca="false">AVERAGE(B1392:B1441)</f>
        <v>14371.7606</v>
      </c>
      <c r="E1441" s="17" t="n">
        <f aca="false">AVERAGE(B1242:B1441)</f>
        <v>15112.6651</v>
      </c>
      <c r="F1441" s="17" t="n">
        <f aca="false">B1441*2/13+F1440*11/13</f>
        <v>14096.1898956798</v>
      </c>
      <c r="G1441" s="17" t="n">
        <f aca="false">B1441*2/27+G1440*25/27</f>
        <v>14108.3955039075</v>
      </c>
      <c r="H1441" s="17" t="n">
        <f aca="false">F1441-G1441</f>
        <v>-12.205608227654</v>
      </c>
      <c r="I1441" s="17" t="n">
        <f aca="false">H1441*2/10+I1440*8/10</f>
        <v>-170.365622733032</v>
      </c>
      <c r="J1441" s="17" t="n">
        <f aca="false">H1441-I1441</f>
        <v>158.160014505378</v>
      </c>
      <c r="K1441" s="17" t="n">
        <f aca="false">MAX(B1441-B1440,0)</f>
        <v>0</v>
      </c>
      <c r="L1441" s="17" t="n">
        <f aca="false">MAX(B1440-B1441,0)</f>
        <v>206.780000000001</v>
      </c>
      <c r="M1441" s="17" t="n">
        <f aca="false">(M1440*13+K1441)/14</f>
        <v>140.415399899378</v>
      </c>
      <c r="N1441" s="17" t="n">
        <f aca="false">(N1440*13+L1441)/14</f>
        <v>115.120884263419</v>
      </c>
      <c r="O1441" s="17" t="n">
        <f aca="false">IF(N1441=0,100,100-100/(1+M1441/N1441))</f>
        <v>54.9493001979799</v>
      </c>
      <c r="P1441" s="17" t="n">
        <f aca="false">AVERAGE(B1422:B1441)+2*STDEV(B1422:B1441)</f>
        <v>14818.2501839351</v>
      </c>
      <c r="Q1441" s="17" t="n">
        <f aca="false">AVERAGE(B1422:B1441)-2*STDEV(B1422:B1441)</f>
        <v>13004.2518160649</v>
      </c>
      <c r="R1441" s="19" t="n">
        <f aca="false">B1441/B1421-1</f>
        <v>0.0694418639424461</v>
      </c>
      <c r="S1441" s="17" t="n">
        <f aca="false">STDEV(C1422:C1441)*SQRT(252)*100</f>
        <v>35.1602176090719</v>
      </c>
      <c r="T1441" s="19" t="n">
        <f aca="false">B1420/B1190-1</f>
        <v>0.0852876763133865</v>
      </c>
      <c r="U1441" s="19" t="n">
        <f aca="false">B1441/MAX(B1190:B1441)-1</f>
        <v>-0.128265636256784</v>
      </c>
      <c r="V1441" s="17" t="n">
        <f aca="false">(B1441-AVERAGE(B1422:B1441))/STDEV(B1422:B1441)</f>
        <v>1.18257879279056</v>
      </c>
    </row>
    <row r="1442" customFormat="false" ht="15" hidden="false" customHeight="false" outlineLevel="0" collapsed="false">
      <c r="A1442" s="17" t="s">
        <v>2006</v>
      </c>
      <c r="B1442" s="17" t="n">
        <v>14765.69</v>
      </c>
      <c r="C1442" s="19" t="n">
        <f aca="false">B1442/B1441-1</f>
        <v>0.022020342549429</v>
      </c>
      <c r="D1442" s="17" t="n">
        <f aca="false">AVERAGE(B1393:B1442)</f>
        <v>14350.192</v>
      </c>
      <c r="E1442" s="17" t="n">
        <f aca="false">AVERAGE(B1243:B1442)</f>
        <v>15117.41885</v>
      </c>
      <c r="F1442" s="17" t="n">
        <f aca="false">B1442*2/13+F1441*11/13</f>
        <v>14199.1899117291</v>
      </c>
      <c r="G1442" s="17" t="n">
        <f aca="false">B1442*2/27+G1441*25/27</f>
        <v>14157.0839850995</v>
      </c>
      <c r="H1442" s="17" t="n">
        <f aca="false">F1442-G1442</f>
        <v>42.105926629567</v>
      </c>
      <c r="I1442" s="17" t="n">
        <f aca="false">H1442*2/10+I1441*8/10</f>
        <v>-127.871312860512</v>
      </c>
      <c r="J1442" s="17" t="n">
        <f aca="false">H1442-I1442</f>
        <v>169.977239490079</v>
      </c>
      <c r="K1442" s="17" t="n">
        <f aca="false">MAX(B1442-B1441,0)</f>
        <v>318.140000000001</v>
      </c>
      <c r="L1442" s="17" t="n">
        <f aca="false">MAX(B1441-B1442,0)</f>
        <v>0</v>
      </c>
      <c r="M1442" s="17" t="n">
        <f aca="false">(M1441*13+K1442)/14</f>
        <v>153.11001419228</v>
      </c>
      <c r="N1442" s="17" t="n">
        <f aca="false">(N1441*13+L1442)/14</f>
        <v>106.897963958889</v>
      </c>
      <c r="O1442" s="17" t="n">
        <f aca="false">IF(N1442=0,100,100-100/(1+M1442/N1442))</f>
        <v>58.8866600482781</v>
      </c>
      <c r="P1442" s="17" t="n">
        <f aca="false">AVERAGE(B1423:B1442)+2*STDEV(B1423:B1442)</f>
        <v>14935.1355037658</v>
      </c>
      <c r="Q1442" s="17" t="n">
        <f aca="false">AVERAGE(B1423:B1442)-2*STDEV(B1423:B1442)</f>
        <v>12966.4684962342</v>
      </c>
      <c r="R1442" s="19" t="n">
        <f aca="false">B1442/B1422-1</f>
        <v>0.056603841092491</v>
      </c>
      <c r="S1442" s="17" t="n">
        <f aca="false">STDEV(C1423:C1442)*SQRT(252)*100</f>
        <v>33.9716331005203</v>
      </c>
      <c r="T1442" s="19" t="n">
        <f aca="false">B1421/B1191-1</f>
        <v>0.0408587022849007</v>
      </c>
      <c r="U1442" s="19" t="n">
        <f aca="false">B1442/MAX(B1191:B1442)-1</f>
        <v>-0.109069746955049</v>
      </c>
      <c r="V1442" s="17" t="n">
        <f aca="false">(B1442-AVERAGE(B1423:B1442))/STDEV(B1423:B1442)</f>
        <v>1.65571525683619</v>
      </c>
    </row>
    <row r="1443" customFormat="false" ht="15" hidden="false" customHeight="false" outlineLevel="0" collapsed="false">
      <c r="A1443" s="17" t="s">
        <v>2007</v>
      </c>
      <c r="B1443" s="17" t="n">
        <v>14754.31</v>
      </c>
      <c r="C1443" s="19" t="n">
        <f aca="false">B1443/B1442-1</f>
        <v>-0.000770705601973343</v>
      </c>
      <c r="D1443" s="17" t="n">
        <f aca="false">AVERAGE(B1394:B1443)</f>
        <v>14327.1762</v>
      </c>
      <c r="E1443" s="17" t="n">
        <f aca="false">AVERAGE(B1244:B1443)</f>
        <v>15121.38865</v>
      </c>
      <c r="F1443" s="17" t="n">
        <f aca="false">B1443*2/13+F1442*11/13</f>
        <v>14284.5930022323</v>
      </c>
      <c r="G1443" s="17" t="n">
        <f aca="false">B1443*2/27+G1442*25/27</f>
        <v>14201.3229491662</v>
      </c>
      <c r="H1443" s="17" t="n">
        <f aca="false">F1443-G1443</f>
        <v>83.2700530660841</v>
      </c>
      <c r="I1443" s="17" t="n">
        <f aca="false">H1443*2/10+I1442*8/10</f>
        <v>-85.6430396751929</v>
      </c>
      <c r="J1443" s="17" t="n">
        <f aca="false">H1443-I1443</f>
        <v>168.913092741277</v>
      </c>
      <c r="K1443" s="17" t="n">
        <f aca="false">MAX(B1443-B1442,0)</f>
        <v>0</v>
      </c>
      <c r="L1443" s="17" t="n">
        <f aca="false">MAX(B1442-B1443,0)</f>
        <v>11.380000000001</v>
      </c>
      <c r="M1443" s="17" t="n">
        <f aca="false">(M1442*13+K1443)/14</f>
        <v>142.173584607117</v>
      </c>
      <c r="N1443" s="17" t="n">
        <f aca="false">(N1442*13+L1443)/14</f>
        <v>100.07525224754</v>
      </c>
      <c r="O1443" s="17" t="n">
        <f aca="false">IF(N1443=0,100,100-100/(1+M1443/N1443))</f>
        <v>58.6890680067198</v>
      </c>
      <c r="P1443" s="17" t="n">
        <f aca="false">AVERAGE(B1424:B1443)+2*STDEV(B1424:B1443)</f>
        <v>15022.8557056884</v>
      </c>
      <c r="Q1443" s="17" t="n">
        <f aca="false">AVERAGE(B1424:B1443)-2*STDEV(B1424:B1443)</f>
        <v>12935.2632943116</v>
      </c>
      <c r="R1443" s="19" t="n">
        <f aca="false">B1443/B1423-1</f>
        <v>0.039829700983004</v>
      </c>
      <c r="S1443" s="17" t="n">
        <f aca="false">STDEV(C1424:C1443)*SQRT(252)*100</f>
        <v>33.6733972142902</v>
      </c>
      <c r="T1443" s="19" t="n">
        <f aca="false">B1422/B1192-1</f>
        <v>0.0778150726452944</v>
      </c>
      <c r="U1443" s="19" t="n">
        <f aca="false">B1443/MAX(B1192:B1443)-1</f>
        <v>-0.109756391892039</v>
      </c>
      <c r="V1443" s="17" t="n">
        <f aca="false">(B1443-AVERAGE(B1424:B1443))/STDEV(B1424:B1443)</f>
        <v>1.48544418110568</v>
      </c>
    </row>
    <row r="1444" customFormat="false" ht="15" hidden="false" customHeight="false" outlineLevel="0" collapsed="false">
      <c r="A1444" s="17" t="s">
        <v>2008</v>
      </c>
      <c r="B1444" s="17" t="n">
        <v>14987.4</v>
      </c>
      <c r="C1444" s="19" t="n">
        <f aca="false">B1444/B1443-1</f>
        <v>0.0157980956073174</v>
      </c>
      <c r="D1444" s="17" t="n">
        <f aca="false">AVERAGE(B1395:B1444)</f>
        <v>14317.0118</v>
      </c>
      <c r="E1444" s="17" t="n">
        <f aca="false">AVERAGE(B1245:B1444)</f>
        <v>15126.33415</v>
      </c>
      <c r="F1444" s="17" t="n">
        <f aca="false">B1444*2/13+F1443*11/13</f>
        <v>14392.717155735</v>
      </c>
      <c r="G1444" s="17" t="n">
        <f aca="false">B1444*2/27+G1443*25/27</f>
        <v>14259.5508788576</v>
      </c>
      <c r="H1444" s="17" t="n">
        <f aca="false">F1444-G1444</f>
        <v>133.166276877417</v>
      </c>
      <c r="I1444" s="17" t="n">
        <f aca="false">H1444*2/10+I1443*8/10</f>
        <v>-41.8811763646709</v>
      </c>
      <c r="J1444" s="17" t="n">
        <f aca="false">H1444-I1444</f>
        <v>175.047453242088</v>
      </c>
      <c r="K1444" s="17" t="n">
        <f aca="false">MAX(B1444-B1443,0)</f>
        <v>233.09</v>
      </c>
      <c r="L1444" s="17" t="n">
        <f aca="false">MAX(B1443-B1444,0)</f>
        <v>0</v>
      </c>
      <c r="M1444" s="17" t="n">
        <f aca="false">(M1443*13+K1444)/14</f>
        <v>148.667614278037</v>
      </c>
      <c r="N1444" s="17" t="n">
        <f aca="false">(N1443*13+L1444)/14</f>
        <v>92.9270199441439</v>
      </c>
      <c r="O1444" s="17" t="n">
        <f aca="false">IF(N1444=0,100,100-100/(1+M1444/N1444))</f>
        <v>61.5359752325111</v>
      </c>
      <c r="P1444" s="17" t="n">
        <f aca="false">AVERAGE(B1425:B1444)+2*STDEV(B1425:B1444)</f>
        <v>15149.47923158</v>
      </c>
      <c r="Q1444" s="17" t="n">
        <f aca="false">AVERAGE(B1425:B1444)-2*STDEV(B1425:B1444)</f>
        <v>12883.59876842</v>
      </c>
      <c r="R1444" s="19" t="n">
        <f aca="false">B1444/B1424-1</f>
        <v>0.0526478440153366</v>
      </c>
      <c r="S1444" s="17" t="n">
        <f aca="false">STDEV(C1425:C1444)*SQRT(252)*100</f>
        <v>34.0193091904426</v>
      </c>
      <c r="T1444" s="19" t="n">
        <f aca="false">B1423/B1193-1</f>
        <v>0.100230837287239</v>
      </c>
      <c r="U1444" s="19" t="n">
        <f aca="false">B1444/MAX(B1193:B1444)-1</f>
        <v>-0.0956922382573459</v>
      </c>
      <c r="V1444" s="17" t="n">
        <f aca="false">(B1444-AVERAGE(B1425:B1444))/STDEV(B1425:B1444)</f>
        <v>1.71387858412619</v>
      </c>
    </row>
    <row r="1445" customFormat="false" ht="15" hidden="false" customHeight="false" outlineLevel="0" collapsed="false">
      <c r="A1445" s="17" t="s">
        <v>2009</v>
      </c>
      <c r="B1445" s="17" t="n">
        <v>15239.32</v>
      </c>
      <c r="C1445" s="19" t="n">
        <f aca="false">B1445/B1444-1</f>
        <v>0.0168087860469461</v>
      </c>
      <c r="D1445" s="17" t="n">
        <f aca="false">AVERAGE(B1396:B1445)</f>
        <v>14309.5664</v>
      </c>
      <c r="E1445" s="17" t="n">
        <f aca="false">AVERAGE(B1246:B1445)</f>
        <v>15131.88975</v>
      </c>
      <c r="F1445" s="17" t="n">
        <f aca="false">B1445*2/13+F1444*11/13</f>
        <v>14522.9637471604</v>
      </c>
      <c r="G1445" s="17" t="n">
        <f aca="false">B1445*2/27+G1444*25/27</f>
        <v>14332.1263693126</v>
      </c>
      <c r="H1445" s="17" t="n">
        <f aca="false">F1445-G1445</f>
        <v>190.837377847807</v>
      </c>
      <c r="I1445" s="17" t="n">
        <f aca="false">H1445*2/10+I1444*8/10</f>
        <v>4.66253447782468</v>
      </c>
      <c r="J1445" s="17" t="n">
        <f aca="false">H1445-I1445</f>
        <v>186.174843369982</v>
      </c>
      <c r="K1445" s="17" t="n">
        <f aca="false">MAX(B1445-B1444,0)</f>
        <v>251.92</v>
      </c>
      <c r="L1445" s="17" t="n">
        <f aca="false">MAX(B1444-B1445,0)</f>
        <v>0</v>
      </c>
      <c r="M1445" s="17" t="n">
        <f aca="false">(M1444*13+K1445)/14</f>
        <v>156.042784686749</v>
      </c>
      <c r="N1445" s="17" t="n">
        <f aca="false">(N1444*13+L1445)/14</f>
        <v>86.2893756624193</v>
      </c>
      <c r="O1445" s="17" t="n">
        <f aca="false">IF(N1445=0,100,100-100/(1+M1445/N1445))</f>
        <v>64.3921072885713</v>
      </c>
      <c r="P1445" s="17" t="n">
        <f aca="false">AVERAGE(B1426:B1445)+2*STDEV(B1426:B1445)</f>
        <v>15336.099010487</v>
      </c>
      <c r="Q1445" s="17" t="n">
        <f aca="false">AVERAGE(B1426:B1445)-2*STDEV(B1426:B1445)</f>
        <v>12820.311989513</v>
      </c>
      <c r="R1445" s="19" t="n">
        <f aca="false">B1445/B1425-1</f>
        <v>0.0880573240449265</v>
      </c>
      <c r="S1445" s="17" t="n">
        <f aca="false">STDEV(C1426:C1445)*SQRT(252)*100</f>
        <v>33.5843314774977</v>
      </c>
      <c r="T1445" s="19" t="n">
        <f aca="false">B1424/B1194-1</f>
        <v>0.0875663792523969</v>
      </c>
      <c r="U1445" s="19" t="n">
        <f aca="false">B1445/MAX(B1194:B1445)-1</f>
        <v>-0.0804919225696209</v>
      </c>
      <c r="V1445" s="17" t="n">
        <f aca="false">(B1445-AVERAGE(B1426:B1445))/STDEV(B1426:B1445)</f>
        <v>1.84612527264011</v>
      </c>
    </row>
    <row r="1446" customFormat="false" ht="15" hidden="false" customHeight="false" outlineLevel="0" collapsed="false">
      <c r="A1446" s="17" t="s">
        <v>2010</v>
      </c>
      <c r="B1446" s="17" t="n">
        <v>15071.55</v>
      </c>
      <c r="C1446" s="19" t="n">
        <f aca="false">B1446/B1445-1</f>
        <v>-0.011009021399905</v>
      </c>
      <c r="D1446" s="17" t="n">
        <f aca="false">AVERAGE(B1397:B1446)</f>
        <v>14306.7822</v>
      </c>
      <c r="E1446" s="17" t="n">
        <f aca="false">AVERAGE(B1247:B1446)</f>
        <v>15137.09545</v>
      </c>
      <c r="F1446" s="17" t="n">
        <f aca="false">B1446*2/13+F1445*11/13</f>
        <v>14607.3616322126</v>
      </c>
      <c r="G1446" s="17" t="n">
        <f aca="false">B1446*2/27+G1445*25/27</f>
        <v>14386.8984901043</v>
      </c>
      <c r="H1446" s="17" t="n">
        <f aca="false">F1446-G1446</f>
        <v>220.463142108396</v>
      </c>
      <c r="I1446" s="17" t="n">
        <f aca="false">H1446*2/10+I1445*8/10</f>
        <v>47.8226560039389</v>
      </c>
      <c r="J1446" s="17" t="n">
        <f aca="false">H1446-I1446</f>
        <v>172.640486104457</v>
      </c>
      <c r="K1446" s="17" t="n">
        <f aca="false">MAX(B1446-B1445,0)</f>
        <v>0</v>
      </c>
      <c r="L1446" s="17" t="n">
        <f aca="false">MAX(B1445-B1446,0)</f>
        <v>167.77</v>
      </c>
      <c r="M1446" s="17" t="n">
        <f aca="false">(M1445*13+K1446)/14</f>
        <v>144.896871494838</v>
      </c>
      <c r="N1446" s="17" t="n">
        <f aca="false">(N1445*13+L1446)/14</f>
        <v>92.1094202579608</v>
      </c>
      <c r="O1446" s="17" t="n">
        <f aca="false">IF(N1446=0,100,100-100/(1+M1446/N1446))</f>
        <v>61.1362974473133</v>
      </c>
      <c r="P1446" s="17" t="n">
        <f aca="false">AVERAGE(B1427:B1446)+2*STDEV(B1427:B1446)</f>
        <v>15452.6588464569</v>
      </c>
      <c r="Q1446" s="17" t="n">
        <f aca="false">AVERAGE(B1427:B1446)-2*STDEV(B1427:B1446)</f>
        <v>12786.5381535431</v>
      </c>
      <c r="R1446" s="19" t="n">
        <f aca="false">B1446/B1426-1</f>
        <v>0.0581211750606758</v>
      </c>
      <c r="S1446" s="17" t="n">
        <f aca="false">STDEV(C1427:C1446)*SQRT(252)*100</f>
        <v>33.6682151274539</v>
      </c>
      <c r="T1446" s="19" t="n">
        <f aca="false">B1425/B1195-1</f>
        <v>0.0507497644326276</v>
      </c>
      <c r="U1446" s="19" t="n">
        <f aca="false">B1446/MAX(B1195:B1446)-1</f>
        <v>-0.0906148066714374</v>
      </c>
      <c r="V1446" s="17" t="n">
        <f aca="false">(B1446-AVERAGE(B1427:B1446))/STDEV(B1427:B1446)</f>
        <v>1.42821966391869</v>
      </c>
    </row>
    <row r="1447" customFormat="false" ht="15" hidden="false" customHeight="false" outlineLevel="0" collapsed="false">
      <c r="A1447" s="17" t="s">
        <v>2011</v>
      </c>
      <c r="B1447" s="17" t="n">
        <v>14838.49</v>
      </c>
      <c r="C1447" s="19" t="n">
        <f aca="false">B1447/B1446-1</f>
        <v>-0.0154635720944428</v>
      </c>
      <c r="D1447" s="17" t="n">
        <f aca="false">AVERAGE(B1398:B1447)</f>
        <v>14302.5952</v>
      </c>
      <c r="E1447" s="17" t="n">
        <f aca="false">AVERAGE(B1248:B1447)</f>
        <v>15141.37285</v>
      </c>
      <c r="F1447" s="17" t="n">
        <f aca="false">B1447*2/13+F1446*11/13</f>
        <v>14642.9198426415</v>
      </c>
      <c r="G1447" s="17" t="n">
        <f aca="false">B1447*2/27+G1446*25/27</f>
        <v>14420.3497130595</v>
      </c>
      <c r="H1447" s="17" t="n">
        <f aca="false">F1447-G1447</f>
        <v>222.570129581978</v>
      </c>
      <c r="I1447" s="17" t="n">
        <f aca="false">H1447*2/10+I1446*8/10</f>
        <v>82.7721507195468</v>
      </c>
      <c r="J1447" s="17" t="n">
        <f aca="false">H1447-I1447</f>
        <v>139.797978862431</v>
      </c>
      <c r="K1447" s="17" t="n">
        <f aca="false">MAX(B1447-B1446,0)</f>
        <v>0</v>
      </c>
      <c r="L1447" s="17" t="n">
        <f aca="false">MAX(B1446-B1447,0)</f>
        <v>233.06</v>
      </c>
      <c r="M1447" s="17" t="n">
        <f aca="false">(M1446*13+K1447)/14</f>
        <v>134.547094959493</v>
      </c>
      <c r="N1447" s="17" t="n">
        <f aca="false">(N1446*13+L1447)/14</f>
        <v>102.177318810964</v>
      </c>
      <c r="O1447" s="17" t="n">
        <f aca="false">IF(N1447=0,100,100-100/(1+M1447/N1447))</f>
        <v>56.8370168570609</v>
      </c>
      <c r="P1447" s="17" t="n">
        <f aca="false">AVERAGE(B1428:B1447)+2*STDEV(B1428:B1447)</f>
        <v>15530.0031701072</v>
      </c>
      <c r="Q1447" s="17" t="n">
        <f aca="false">AVERAGE(B1428:B1447)-2*STDEV(B1428:B1447)</f>
        <v>12789.5218298928</v>
      </c>
      <c r="R1447" s="19" t="n">
        <f aca="false">B1447/B1427-1</f>
        <v>0.0572332013557333</v>
      </c>
      <c r="S1447" s="17" t="n">
        <f aca="false">STDEV(C1428:C1447)*SQRT(252)*100</f>
        <v>33.7270310100181</v>
      </c>
      <c r="T1447" s="19" t="n">
        <f aca="false">B1426/B1196-1</f>
        <v>0.0474718638404019</v>
      </c>
      <c r="U1447" s="19" t="n">
        <f aca="false">B1447/MAX(B1196:B1447)-1</f>
        <v>-0.104677150170092</v>
      </c>
      <c r="V1447" s="17" t="n">
        <f aca="false">(B1447-AVERAGE(B1428:B1447))/STDEV(B1428:B1447)</f>
        <v>0.990669033268304</v>
      </c>
    </row>
    <row r="1448" customFormat="false" ht="15" hidden="false" customHeight="false" outlineLevel="0" collapsed="false">
      <c r="A1448" s="17" t="s">
        <v>2012</v>
      </c>
      <c r="B1448" s="17" t="n">
        <v>14861.21</v>
      </c>
      <c r="C1448" s="19" t="n">
        <f aca="false">B1448/B1447-1</f>
        <v>0.00153115310250573</v>
      </c>
      <c r="D1448" s="17" t="n">
        <f aca="false">AVERAGE(B1399:B1448)</f>
        <v>14302.8902</v>
      </c>
      <c r="E1448" s="17" t="n">
        <f aca="false">AVERAGE(B1249:B1448)</f>
        <v>15144.85985</v>
      </c>
      <c r="F1448" s="17" t="n">
        <f aca="false">B1448*2/13+F1447*11/13</f>
        <v>14676.5029437736</v>
      </c>
      <c r="G1448" s="17" t="n">
        <f aca="false">B1448*2/27+G1447*25/27</f>
        <v>14453.0060306106</v>
      </c>
      <c r="H1448" s="17" t="n">
        <f aca="false">F1448-G1448</f>
        <v>223.496913162913</v>
      </c>
      <c r="I1448" s="17" t="n">
        <f aca="false">H1448*2/10+I1447*8/10</f>
        <v>110.91710320822</v>
      </c>
      <c r="J1448" s="17" t="n">
        <f aca="false">H1448-I1448</f>
        <v>112.579809954693</v>
      </c>
      <c r="K1448" s="17" t="n">
        <f aca="false">MAX(B1448-B1447,0)</f>
        <v>22.7199999999993</v>
      </c>
      <c r="L1448" s="17" t="n">
        <f aca="false">MAX(B1447-B1448,0)</f>
        <v>0</v>
      </c>
      <c r="M1448" s="17" t="n">
        <f aca="false">(M1447*13+K1448)/14</f>
        <v>126.559445319529</v>
      </c>
      <c r="N1448" s="17" t="n">
        <f aca="false">(N1447*13+L1448)/14</f>
        <v>94.8789388958948</v>
      </c>
      <c r="O1448" s="17" t="n">
        <f aca="false">IF(N1448=0,100,100-100/(1+M1448/N1448))</f>
        <v>57.1533457344988</v>
      </c>
      <c r="P1448" s="17" t="n">
        <f aca="false">AVERAGE(B1429:B1448)+2*STDEV(B1429:B1448)</f>
        <v>15606.7470756671</v>
      </c>
      <c r="Q1448" s="17" t="n">
        <f aca="false">AVERAGE(B1429:B1448)-2*STDEV(B1429:B1448)</f>
        <v>12815.115924333</v>
      </c>
      <c r="R1448" s="19" t="n">
        <f aca="false">B1448/B1428-1</f>
        <v>0.0739552372012085</v>
      </c>
      <c r="S1448" s="17" t="n">
        <f aca="false">STDEV(C1429:C1448)*SQRT(252)*100</f>
        <v>33.1295714683</v>
      </c>
      <c r="T1448" s="19" t="n">
        <f aca="false">B1427/B1197-1</f>
        <v>0.0336378352184268</v>
      </c>
      <c r="U1448" s="19" t="n">
        <f aca="false">B1448/MAX(B1197:B1448)-1</f>
        <v>-0.103306273810831</v>
      </c>
      <c r="V1448" s="17" t="n">
        <f aca="false">(B1448-AVERAGE(B1429:B1448))/STDEV(B1429:B1448)</f>
        <v>0.931754182051215</v>
      </c>
    </row>
    <row r="1449" customFormat="false" ht="15" hidden="false" customHeight="false" outlineLevel="0" collapsed="false">
      <c r="A1449" s="17" t="s">
        <v>2013</v>
      </c>
      <c r="B1449" s="17" t="n">
        <v>15159.58</v>
      </c>
      <c r="C1449" s="19" t="n">
        <f aca="false">B1449/B1448-1</f>
        <v>0.0200771000477082</v>
      </c>
      <c r="D1449" s="17" t="n">
        <f aca="false">AVERAGE(B1400:B1449)</f>
        <v>14317.3138</v>
      </c>
      <c r="E1449" s="17" t="n">
        <f aca="false">AVERAGE(B1250:B1449)</f>
        <v>15150.40985</v>
      </c>
      <c r="F1449" s="17" t="n">
        <f aca="false">B1449*2/13+F1448*11/13</f>
        <v>14750.8224908853</v>
      </c>
      <c r="G1449" s="17" t="n">
        <f aca="false">B1449*2/27+G1448*25/27</f>
        <v>14505.344843158</v>
      </c>
      <c r="H1449" s="17" t="n">
        <f aca="false">F1449-G1449</f>
        <v>245.477647727315</v>
      </c>
      <c r="I1449" s="17" t="n">
        <f aca="false">H1449*2/10+I1448*8/10</f>
        <v>137.829212112039</v>
      </c>
      <c r="J1449" s="17" t="n">
        <f aca="false">H1449-I1449</f>
        <v>107.648435615276</v>
      </c>
      <c r="K1449" s="17" t="n">
        <f aca="false">MAX(B1449-B1448,0)</f>
        <v>298.370000000001</v>
      </c>
      <c r="L1449" s="17" t="n">
        <f aca="false">MAX(B1448-B1449,0)</f>
        <v>0</v>
      </c>
      <c r="M1449" s="17" t="n">
        <f aca="false">(M1448*13+K1449)/14</f>
        <v>138.831627796705</v>
      </c>
      <c r="N1449" s="17" t="n">
        <f aca="false">(N1448*13+L1449)/14</f>
        <v>88.1018718319023</v>
      </c>
      <c r="O1449" s="17" t="n">
        <f aca="false">IF(N1449=0,100,100-100/(1+M1449/N1449))</f>
        <v>61.1772294632185</v>
      </c>
      <c r="P1449" s="17" t="n">
        <f aca="false">AVERAGE(B1430:B1449)+2*STDEV(B1430:B1449)</f>
        <v>15693.9035618728</v>
      </c>
      <c r="Q1449" s="17" t="n">
        <f aca="false">AVERAGE(B1430:B1449)-2*STDEV(B1430:B1449)</f>
        <v>12911.9794381272</v>
      </c>
      <c r="R1449" s="19" t="n">
        <f aca="false">B1449/B1429-1</f>
        <v>0.138159584004661</v>
      </c>
      <c r="S1449" s="17" t="n">
        <f aca="false">STDEV(C1430:C1449)*SQRT(252)*100</f>
        <v>29.7522489957485</v>
      </c>
      <c r="T1449" s="19" t="n">
        <f aca="false">B1428/B1198-1</f>
        <v>0.016239617528476</v>
      </c>
      <c r="U1449" s="19" t="n">
        <f aca="false">B1449/MAX(B1198:B1449)-1</f>
        <v>-0.0853032641579791</v>
      </c>
      <c r="V1449" s="17" t="n">
        <f aca="false">(B1449-AVERAGE(B1430:B1449))/STDEV(B1430:B1449)</f>
        <v>1.23172086929043</v>
      </c>
    </row>
    <row r="1450" customFormat="false" ht="15" hidden="false" customHeight="false" outlineLevel="0" collapsed="false">
      <c r="A1450" s="17" t="s">
        <v>2014</v>
      </c>
      <c r="B1450" s="17" t="n">
        <v>14820.64</v>
      </c>
      <c r="C1450" s="19" t="n">
        <f aca="false">B1450/B1449-1</f>
        <v>-0.0223581392096616</v>
      </c>
      <c r="D1450" s="17" t="n">
        <f aca="false">AVERAGE(B1401:B1450)</f>
        <v>14323.535</v>
      </c>
      <c r="E1450" s="17" t="n">
        <f aca="false">AVERAGE(B1251:B1450)</f>
        <v>15153.8269</v>
      </c>
      <c r="F1450" s="17" t="n">
        <f aca="false">B1450*2/13+F1449*11/13</f>
        <v>14761.5636461337</v>
      </c>
      <c r="G1450" s="17" t="n">
        <f aca="false">B1450*2/27+G1449*25/27</f>
        <v>14528.7000399611</v>
      </c>
      <c r="H1450" s="17" t="n">
        <f aca="false">F1450-G1450</f>
        <v>232.863606172616</v>
      </c>
      <c r="I1450" s="17" t="n">
        <f aca="false">H1450*2/10+I1449*8/10</f>
        <v>156.836090924154</v>
      </c>
      <c r="J1450" s="17" t="n">
        <f aca="false">H1450-I1450</f>
        <v>76.0275152484612</v>
      </c>
      <c r="K1450" s="17" t="n">
        <f aca="false">MAX(B1450-B1449,0)</f>
        <v>0</v>
      </c>
      <c r="L1450" s="17" t="n">
        <f aca="false">MAX(B1449-B1450,0)</f>
        <v>338.940000000001</v>
      </c>
      <c r="M1450" s="17" t="n">
        <f aca="false">(M1449*13+K1450)/14</f>
        <v>128.915082954084</v>
      </c>
      <c r="N1450" s="17" t="n">
        <f aca="false">(N1449*13+L1450)/14</f>
        <v>106.018880986766</v>
      </c>
      <c r="O1450" s="17" t="n">
        <f aca="false">IF(N1450=0,100,100-100/(1+M1450/N1450))</f>
        <v>54.8729016407951</v>
      </c>
      <c r="P1450" s="17" t="n">
        <f aca="false">AVERAGE(B1431:B1450)+2*STDEV(B1431:B1450)</f>
        <v>15699.7385557068</v>
      </c>
      <c r="Q1450" s="17" t="n">
        <f aca="false">AVERAGE(B1431:B1450)-2*STDEV(B1431:B1450)</f>
        <v>13061.4474442932</v>
      </c>
      <c r="R1450" s="19" t="n">
        <f aca="false">B1450/B1430-1</f>
        <v>0.1170542396106</v>
      </c>
      <c r="S1450" s="17" t="n">
        <f aca="false">STDEV(C1431:C1450)*SQRT(252)*100</f>
        <v>31.3025495869961</v>
      </c>
      <c r="T1450" s="19" t="n">
        <f aca="false">B1429/B1199-1</f>
        <v>-0.031916973567632</v>
      </c>
      <c r="U1450" s="19" t="n">
        <f aca="false">B1450/MAX(B1199:B1450)-1</f>
        <v>-0.105754181112558</v>
      </c>
      <c r="V1450" s="17" t="n">
        <f aca="false">(B1450-AVERAGE(B1431:B1450))/STDEV(B1431:B1450)</f>
        <v>0.667169741953482</v>
      </c>
    </row>
    <row r="1451" customFormat="false" ht="15" hidden="false" customHeight="false" outlineLevel="0" collapsed="false">
      <c r="A1451" s="17" t="s">
        <v>2015</v>
      </c>
      <c r="B1451" s="17" t="n">
        <v>14498.89</v>
      </c>
      <c r="C1451" s="19" t="n">
        <f aca="false">B1451/B1450-1</f>
        <v>-0.0217095887896879</v>
      </c>
      <c r="D1451" s="17" t="n">
        <f aca="false">AVERAGE(B1402:B1451)</f>
        <v>14330.5304</v>
      </c>
      <c r="E1451" s="17" t="n">
        <f aca="false">AVERAGE(B1252:B1451)</f>
        <v>15154.96925</v>
      </c>
      <c r="F1451" s="17" t="n">
        <f aca="false">B1451*2/13+F1450*11/13</f>
        <v>14721.1523159593</v>
      </c>
      <c r="G1451" s="17" t="n">
        <f aca="false">B1451*2/27+G1450*25/27</f>
        <v>14526.4918888529</v>
      </c>
      <c r="H1451" s="17" t="n">
        <f aca="false">F1451-G1451</f>
        <v>194.660427106428</v>
      </c>
      <c r="I1451" s="17" t="n">
        <f aca="false">H1451*2/10+I1450*8/10</f>
        <v>164.400958160609</v>
      </c>
      <c r="J1451" s="17" t="n">
        <f aca="false">H1451-I1451</f>
        <v>30.2594689458188</v>
      </c>
      <c r="K1451" s="17" t="n">
        <f aca="false">MAX(B1451-B1450,0)</f>
        <v>0</v>
      </c>
      <c r="L1451" s="17" t="n">
        <f aca="false">MAX(B1450-B1451,0)</f>
        <v>321.75</v>
      </c>
      <c r="M1451" s="17" t="n">
        <f aca="false">(M1450*13+K1451)/14</f>
        <v>119.706862743078</v>
      </c>
      <c r="N1451" s="17" t="n">
        <f aca="false">(N1450*13+L1451)/14</f>
        <v>121.428246630569</v>
      </c>
      <c r="O1451" s="17" t="n">
        <f aca="false">IF(N1451=0,100,100-100/(1+M1451/N1451))</f>
        <v>49.643066517364</v>
      </c>
      <c r="P1451" s="17" t="n">
        <f aca="false">AVERAGE(B1432:B1451)+2*STDEV(B1432:B1451)</f>
        <v>15703.4430277682</v>
      </c>
      <c r="Q1451" s="17" t="n">
        <f aca="false">AVERAGE(B1432:B1451)-2*STDEV(B1432:B1451)</f>
        <v>13133.4119722318</v>
      </c>
      <c r="R1451" s="19" t="n">
        <f aca="false">B1451/B1431-1</f>
        <v>0.0550632358719854</v>
      </c>
      <c r="S1451" s="17" t="n">
        <f aca="false">STDEV(C1432:C1451)*SQRT(252)*100</f>
        <v>30.6294970571247</v>
      </c>
      <c r="T1451" s="19" t="n">
        <f aca="false">B1430/B1200-1</f>
        <v>-0.0417080171555775</v>
      </c>
      <c r="U1451" s="19" t="n">
        <f aca="false">B1451/MAX(B1200:B1451)-1</f>
        <v>-0.125167890117502</v>
      </c>
      <c r="V1451" s="17" t="n">
        <f aca="false">(B1451-AVERAGE(B1432:B1451))/STDEV(B1432:B1451)</f>
        <v>0.125231949748886</v>
      </c>
    </row>
    <row r="1452" customFormat="false" ht="15" hidden="false" customHeight="false" outlineLevel="0" collapsed="false">
      <c r="A1452" s="17" t="s">
        <v>2016</v>
      </c>
      <c r="B1452" s="17" t="n">
        <v>14531.81</v>
      </c>
      <c r="C1452" s="19" t="n">
        <f aca="false">B1452/B1451-1</f>
        <v>0.00227051863970273</v>
      </c>
      <c r="D1452" s="17" t="n">
        <f aca="false">AVERAGE(B1403:B1452)</f>
        <v>14337.7114</v>
      </c>
      <c r="E1452" s="17" t="n">
        <f aca="false">AVERAGE(B1253:B1452)</f>
        <v>15156.2571</v>
      </c>
      <c r="F1452" s="17" t="n">
        <f aca="false">B1452*2/13+F1451*11/13</f>
        <v>14692.0227288886</v>
      </c>
      <c r="G1452" s="17" t="n">
        <f aca="false">B1452*2/27+G1451*25/27</f>
        <v>14526.8858230119</v>
      </c>
      <c r="H1452" s="17" t="n">
        <f aca="false">F1452-G1452</f>
        <v>165.13690587672</v>
      </c>
      <c r="I1452" s="17" t="n">
        <f aca="false">H1452*2/10+I1451*8/10</f>
        <v>164.548147703831</v>
      </c>
      <c r="J1452" s="17" t="n">
        <f aca="false">H1452-I1452</f>
        <v>0.588758172888333</v>
      </c>
      <c r="K1452" s="17" t="n">
        <f aca="false">MAX(B1452-B1451,0)</f>
        <v>32.9200000000001</v>
      </c>
      <c r="L1452" s="17" t="n">
        <f aca="false">MAX(B1451-B1452,0)</f>
        <v>0</v>
      </c>
      <c r="M1452" s="17" t="n">
        <f aca="false">(M1451*13+K1452)/14</f>
        <v>113.507801118572</v>
      </c>
      <c r="N1452" s="17" t="n">
        <f aca="false">(N1451*13+L1452)/14</f>
        <v>112.754800442671</v>
      </c>
      <c r="O1452" s="17" t="n">
        <f aca="false">IF(N1452=0,100,100-100/(1+M1452/N1452))</f>
        <v>50.1663997210996</v>
      </c>
      <c r="P1452" s="17" t="n">
        <f aca="false">AVERAGE(B1433:B1452)+2*STDEV(B1433:B1452)</f>
        <v>15690.4252673208</v>
      </c>
      <c r="Q1452" s="17" t="n">
        <f aca="false">AVERAGE(B1433:B1452)-2*STDEV(B1433:B1452)</f>
        <v>13240.5107326792</v>
      </c>
      <c r="R1452" s="19" t="n">
        <f aca="false">B1452/B1432-1</f>
        <v>0.0692230152306672</v>
      </c>
      <c r="S1452" s="17" t="n">
        <f aca="false">STDEV(C1433:C1452)*SQRT(252)*100</f>
        <v>30.1920016346067</v>
      </c>
      <c r="T1452" s="19" t="n">
        <f aca="false">B1431/B1201-1</f>
        <v>-0.00558275172131828</v>
      </c>
      <c r="U1452" s="19" t="n">
        <f aca="false">B1452/MAX(B1201:B1452)-1</f>
        <v>-0.123181567505403</v>
      </c>
      <c r="V1452" s="17" t="n">
        <f aca="false">(B1452-AVERAGE(B1433:B1452))/STDEV(B1433:B1452)</f>
        <v>0.108317247907106</v>
      </c>
    </row>
    <row r="1453" customFormat="false" ht="15" hidden="false" customHeight="false" outlineLevel="0" collapsed="false">
      <c r="A1453" s="17" t="s">
        <v>2017</v>
      </c>
      <c r="B1453" s="17" t="n">
        <v>14327.26</v>
      </c>
      <c r="C1453" s="19" t="n">
        <f aca="false">B1453/B1452-1</f>
        <v>-0.0140760166834</v>
      </c>
      <c r="D1453" s="17" t="n">
        <f aca="false">AVERAGE(B1404:B1453)</f>
        <v>14344.1944</v>
      </c>
      <c r="E1453" s="17" t="n">
        <f aca="false">AVERAGE(B1254:B1453)</f>
        <v>15156.0636</v>
      </c>
      <c r="F1453" s="17" t="n">
        <f aca="false">B1453*2/13+F1452*11/13</f>
        <v>14635.9053859827</v>
      </c>
      <c r="G1453" s="17" t="n">
        <f aca="false">B1453*2/27+G1452*25/27</f>
        <v>14512.098725011</v>
      </c>
      <c r="H1453" s="17" t="n">
        <f aca="false">F1453-G1453</f>
        <v>123.806660971659</v>
      </c>
      <c r="I1453" s="17" t="n">
        <f aca="false">H1453*2/10+I1452*8/10</f>
        <v>156.399850357397</v>
      </c>
      <c r="J1453" s="17" t="n">
        <f aca="false">H1453-I1453</f>
        <v>-32.5931893857379</v>
      </c>
      <c r="K1453" s="17" t="n">
        <f aca="false">MAX(B1453-B1452,0)</f>
        <v>0</v>
      </c>
      <c r="L1453" s="17" t="n">
        <f aca="false">MAX(B1452-B1453,0)</f>
        <v>204.549999999999</v>
      </c>
      <c r="M1453" s="17" t="n">
        <f aca="false">(M1452*13+K1453)/14</f>
        <v>105.400101038674</v>
      </c>
      <c r="N1453" s="17" t="n">
        <f aca="false">(N1452*13+L1453)/14</f>
        <v>119.311600411052</v>
      </c>
      <c r="O1453" s="17" t="n">
        <f aca="false">IF(N1453=0,100,100-100/(1+M1453/N1453))</f>
        <v>46.9045894622693</v>
      </c>
      <c r="P1453" s="17" t="n">
        <f aca="false">AVERAGE(B1434:B1453)+2*STDEV(B1434:B1453)</f>
        <v>15616.0162171473</v>
      </c>
      <c r="Q1453" s="17" t="n">
        <f aca="false">AVERAGE(B1434:B1453)-2*STDEV(B1434:B1453)</f>
        <v>13417.4627828527</v>
      </c>
      <c r="R1453" s="19" t="n">
        <f aca="false">B1453/B1433-1</f>
        <v>0.0770893929632239</v>
      </c>
      <c r="S1453" s="17" t="n">
        <f aca="false">STDEV(C1434:C1453)*SQRT(252)*100</f>
        <v>29.5079804029245</v>
      </c>
      <c r="T1453" s="19" t="n">
        <f aca="false">B1432/B1202-1</f>
        <v>-0.0282765726068513</v>
      </c>
      <c r="U1453" s="19" t="n">
        <f aca="false">B1453/MAX(B1202:B1453)-1</f>
        <v>-0.13552367838951</v>
      </c>
      <c r="V1453" s="17" t="n">
        <f aca="false">(B1453-AVERAGE(B1434:B1453))/STDEV(B1434:B1453)</f>
        <v>-0.344734855281417</v>
      </c>
    </row>
    <row r="1454" customFormat="false" ht="15" hidden="false" customHeight="false" outlineLevel="0" collapsed="false">
      <c r="A1454" s="17" t="s">
        <v>2018</v>
      </c>
      <c r="B1454" s="17" t="n">
        <v>13990.21</v>
      </c>
      <c r="C1454" s="19" t="n">
        <f aca="false">B1454/B1453-1</f>
        <v>-0.0235250843496942</v>
      </c>
      <c r="D1454" s="17" t="n">
        <f aca="false">AVERAGE(B1405:B1454)</f>
        <v>14334.9064</v>
      </c>
      <c r="E1454" s="17" t="n">
        <f aca="false">AVERAGE(B1255:B1454)</f>
        <v>15154.28875</v>
      </c>
      <c r="F1454" s="17" t="n">
        <f aca="false">B1454*2/13+F1453*11/13</f>
        <v>14536.5676342931</v>
      </c>
      <c r="G1454" s="17" t="n">
        <f aca="false">B1454*2/27+G1453*25/27</f>
        <v>14473.4403009362</v>
      </c>
      <c r="H1454" s="17" t="n">
        <f aca="false">F1454-G1454</f>
        <v>63.1273333569061</v>
      </c>
      <c r="I1454" s="17" t="n">
        <f aca="false">H1454*2/10+I1453*8/10</f>
        <v>137.745346957299</v>
      </c>
      <c r="J1454" s="17" t="n">
        <f aca="false">H1454-I1454</f>
        <v>-74.6180136003925</v>
      </c>
      <c r="K1454" s="17" t="n">
        <f aca="false">MAX(B1454-B1453,0)</f>
        <v>0</v>
      </c>
      <c r="L1454" s="17" t="n">
        <f aca="false">MAX(B1453-B1454,0)</f>
        <v>337.050000000001</v>
      </c>
      <c r="M1454" s="17" t="n">
        <f aca="false">(M1453*13+K1454)/14</f>
        <v>97.8715223930546</v>
      </c>
      <c r="N1454" s="17" t="n">
        <f aca="false">(N1453*13+L1454)/14</f>
        <v>134.864343238834</v>
      </c>
      <c r="O1454" s="17" t="n">
        <f aca="false">IF(N1454=0,100,100-100/(1+M1454/N1454))</f>
        <v>42.0526170847493</v>
      </c>
      <c r="P1454" s="17" t="n">
        <f aca="false">AVERAGE(B1435:B1454)+2*STDEV(B1435:B1454)</f>
        <v>15459.6939043445</v>
      </c>
      <c r="Q1454" s="17" t="n">
        <f aca="false">AVERAGE(B1435:B1454)-2*STDEV(B1435:B1454)</f>
        <v>13668.1420956555</v>
      </c>
      <c r="R1454" s="19" t="n">
        <f aca="false">B1454/B1434-1</f>
        <v>0.0723228356113144</v>
      </c>
      <c r="S1454" s="17" t="n">
        <f aca="false">STDEV(C1435:C1454)*SQRT(252)*100</f>
        <v>29.994243089213</v>
      </c>
      <c r="T1454" s="19" t="n">
        <f aca="false">B1433/B1203-1</f>
        <v>-0.0363723032097427</v>
      </c>
      <c r="U1454" s="19" t="n">
        <f aca="false">B1454/MAX(B1203:B1454)-1</f>
        <v>-0.15586055677371</v>
      </c>
      <c r="V1454" s="17" t="n">
        <f aca="false">(B1454-AVERAGE(B1435:B1454))/STDEV(B1435:B1454)</f>
        <v>-1.28091858067966</v>
      </c>
    </row>
    <row r="1455" customFormat="false" ht="15" hidden="false" customHeight="false" outlineLevel="0" collapsed="false">
      <c r="A1455" s="17" t="s">
        <v>2019</v>
      </c>
      <c r="B1455" s="17" t="n">
        <v>13940.24</v>
      </c>
      <c r="C1455" s="19" t="n">
        <f aca="false">B1455/B1454-1</f>
        <v>-0.00357178341139974</v>
      </c>
      <c r="D1455" s="17" t="n">
        <f aca="false">AVERAGE(B1406:B1455)</f>
        <v>14315.1102</v>
      </c>
      <c r="E1455" s="17" t="n">
        <f aca="false">AVERAGE(B1256:B1455)</f>
        <v>15151.36505</v>
      </c>
      <c r="F1455" s="17" t="n">
        <f aca="false">B1455*2/13+F1454*11/13</f>
        <v>14444.8249213249</v>
      </c>
      <c r="G1455" s="17" t="n">
        <f aca="false">B1455*2/27+G1454*25/27</f>
        <v>14433.9439823483</v>
      </c>
      <c r="H1455" s="17" t="n">
        <f aca="false">F1455-G1455</f>
        <v>10.8809389766066</v>
      </c>
      <c r="I1455" s="17" t="n">
        <f aca="false">H1455*2/10+I1454*8/10</f>
        <v>112.37246536116</v>
      </c>
      <c r="J1455" s="17" t="n">
        <f aca="false">H1455-I1455</f>
        <v>-101.491526384554</v>
      </c>
      <c r="K1455" s="17" t="n">
        <f aca="false">MAX(B1455-B1454,0)</f>
        <v>0</v>
      </c>
      <c r="L1455" s="17" t="n">
        <f aca="false">MAX(B1454-B1455,0)</f>
        <v>49.9699999999993</v>
      </c>
      <c r="M1455" s="17" t="n">
        <f aca="false">(M1454*13+K1455)/14</f>
        <v>90.8806993649792</v>
      </c>
      <c r="N1455" s="17" t="n">
        <f aca="false">(N1454*13+L1455)/14</f>
        <v>128.800461578917</v>
      </c>
      <c r="O1455" s="17" t="n">
        <f aca="false">IF(N1455=0,100,100-100/(1+M1455/N1455))</f>
        <v>41.3693641159285</v>
      </c>
      <c r="P1455" s="17" t="n">
        <f aca="false">AVERAGE(B1436:B1455)+2*STDEV(B1436:B1455)</f>
        <v>15378.3418196139</v>
      </c>
      <c r="Q1455" s="17" t="n">
        <f aca="false">AVERAGE(B1436:B1455)-2*STDEV(B1436:B1455)</f>
        <v>13797.6621803861</v>
      </c>
      <c r="R1455" s="19" t="n">
        <f aca="false">B1455/B1435-1</f>
        <v>0.0357898616196681</v>
      </c>
      <c r="S1455" s="17" t="n">
        <f aca="false">STDEV(C1436:C1455)*SQRT(252)*100</f>
        <v>28.1979079545768</v>
      </c>
      <c r="T1455" s="19" t="n">
        <f aca="false">B1434/B1204-1</f>
        <v>-0.0698372116733055</v>
      </c>
      <c r="U1455" s="19" t="n">
        <f aca="false">B1455/MAX(B1204:B1455)-1</f>
        <v>-0.158875640033934</v>
      </c>
      <c r="V1455" s="17" t="n">
        <f aca="false">(B1455-AVERAGE(B1436:B1455))/STDEV(B1436:B1455)</f>
        <v>-1.63919869383888</v>
      </c>
    </row>
    <row r="1456" customFormat="false" ht="15" hidden="false" customHeight="false" outlineLevel="0" collapsed="false">
      <c r="A1456" s="17" t="s">
        <v>2020</v>
      </c>
      <c r="B1456" s="17" t="n">
        <v>14217.29</v>
      </c>
      <c r="C1456" s="19" t="n">
        <f aca="false">B1456/B1455-1</f>
        <v>0.0198741198142931</v>
      </c>
      <c r="D1456" s="17" t="n">
        <f aca="false">AVERAGE(B1407:B1456)</f>
        <v>14299.0624</v>
      </c>
      <c r="E1456" s="17" t="n">
        <f aca="false">AVERAGE(B1257:B1456)</f>
        <v>15149.58775</v>
      </c>
      <c r="F1456" s="17" t="n">
        <f aca="false">B1456*2/13+F1455*11/13</f>
        <v>14409.8195488134</v>
      </c>
      <c r="G1456" s="17" t="n">
        <f aca="false">B1456*2/27+G1455*25/27</f>
        <v>14417.8955392114</v>
      </c>
      <c r="H1456" s="17" t="n">
        <f aca="false">F1456-G1456</f>
        <v>-8.07599039800516</v>
      </c>
      <c r="I1456" s="17" t="n">
        <f aca="false">H1456*2/10+I1455*8/10</f>
        <v>88.2827742093271</v>
      </c>
      <c r="J1456" s="17" t="n">
        <f aca="false">H1456-I1456</f>
        <v>-96.3587646073323</v>
      </c>
      <c r="K1456" s="17" t="n">
        <f aca="false">MAX(B1456-B1455,0)</f>
        <v>277.050000000001</v>
      </c>
      <c r="L1456" s="17" t="n">
        <f aca="false">MAX(B1455-B1456,0)</f>
        <v>0</v>
      </c>
      <c r="M1456" s="17" t="n">
        <f aca="false">(M1455*13+K1456)/14</f>
        <v>104.178506553195</v>
      </c>
      <c r="N1456" s="17" t="n">
        <f aca="false">(N1455*13+L1456)/14</f>
        <v>119.600428608994</v>
      </c>
      <c r="O1456" s="17" t="n">
        <f aca="false">IF(N1456=0,100,100-100/(1+M1456/N1456))</f>
        <v>46.5542060416406</v>
      </c>
      <c r="P1456" s="17" t="n">
        <f aca="false">AVERAGE(B1437:B1456)+2*STDEV(B1437:B1456)</f>
        <v>15355.331375284</v>
      </c>
      <c r="Q1456" s="17" t="n">
        <f aca="false">AVERAGE(B1437:B1456)-2*STDEV(B1437:B1456)</f>
        <v>13846.722624716</v>
      </c>
      <c r="R1456" s="19" t="n">
        <f aca="false">B1456/B1436-1</f>
        <v>0.0186647502756723</v>
      </c>
      <c r="S1456" s="17" t="n">
        <f aca="false">STDEV(C1437:C1456)*SQRT(252)*100</f>
        <v>25.9321701950624</v>
      </c>
      <c r="T1456" s="19" t="n">
        <f aca="false">B1435/B1205-1</f>
        <v>-0.041543493726993</v>
      </c>
      <c r="U1456" s="19" t="n">
        <f aca="false">B1456/MAX(B1205:B1456)-1</f>
        <v>-0.142159033725248</v>
      </c>
      <c r="V1456" s="17" t="n">
        <f aca="false">(B1456-AVERAGE(B1437:B1456))/STDEV(B1437:B1456)</f>
        <v>-1.01745929779475</v>
      </c>
    </row>
    <row r="1457" customFormat="false" ht="15" hidden="false" customHeight="false" outlineLevel="0" collapsed="false">
      <c r="A1457" s="17" t="s">
        <v>2021</v>
      </c>
      <c r="B1457" s="17" t="n">
        <v>13893.21</v>
      </c>
      <c r="C1457" s="19" t="n">
        <f aca="false">B1457/B1456-1</f>
        <v>-0.0227947801585254</v>
      </c>
      <c r="D1457" s="17" t="n">
        <f aca="false">AVERAGE(B1408:B1457)</f>
        <v>14274.1318</v>
      </c>
      <c r="E1457" s="17" t="n">
        <f aca="false">AVERAGE(B1258:B1457)</f>
        <v>15146.2798</v>
      </c>
      <c r="F1457" s="17" t="n">
        <f aca="false">B1457*2/13+F1456*11/13</f>
        <v>14330.3411566882</v>
      </c>
      <c r="G1457" s="17" t="n">
        <f aca="false">B1457*2/27+G1456*25/27</f>
        <v>14379.0299437142</v>
      </c>
      <c r="H1457" s="17" t="n">
        <f aca="false">F1457-G1457</f>
        <v>-48.6887870260016</v>
      </c>
      <c r="I1457" s="17" t="n">
        <f aca="false">H1457*2/10+I1456*8/10</f>
        <v>60.8884619622614</v>
      </c>
      <c r="J1457" s="17" t="n">
        <f aca="false">H1457-I1457</f>
        <v>-109.577248988263</v>
      </c>
      <c r="K1457" s="17" t="n">
        <f aca="false">MAX(B1457-B1456,0)</f>
        <v>0</v>
      </c>
      <c r="L1457" s="17" t="n">
        <f aca="false">MAX(B1456-B1457,0)</f>
        <v>324.080000000002</v>
      </c>
      <c r="M1457" s="17" t="n">
        <f aca="false">(M1456*13+K1457)/14</f>
        <v>96.7371846565383</v>
      </c>
      <c r="N1457" s="17" t="n">
        <f aca="false">(N1456*13+L1457)/14</f>
        <v>134.206112279781</v>
      </c>
      <c r="O1457" s="17" t="n">
        <f aca="false">IF(N1457=0,100,100-100/(1+M1457/N1457))</f>
        <v>41.8878512344149</v>
      </c>
      <c r="P1457" s="17" t="n">
        <f aca="false">AVERAGE(B1438:B1457)+2*STDEV(B1438:B1457)</f>
        <v>15380.2750843146</v>
      </c>
      <c r="Q1457" s="17" t="n">
        <f aca="false">AVERAGE(B1438:B1457)-2*STDEV(B1438:B1457)</f>
        <v>13799.2399156854</v>
      </c>
      <c r="R1457" s="19" t="n">
        <f aca="false">B1457/B1437-1</f>
        <v>-0.0159640474267988</v>
      </c>
      <c r="S1457" s="17" t="n">
        <f aca="false">STDEV(C1438:C1457)*SQRT(252)*100</f>
        <v>26.9317322305892</v>
      </c>
      <c r="T1457" s="19" t="n">
        <f aca="false">B1436/B1206-1</f>
        <v>0.00353186407212713</v>
      </c>
      <c r="U1457" s="19" t="n">
        <f aca="false">B1457/MAX(B1206:B1457)-1</f>
        <v>-0.161713329962458</v>
      </c>
      <c r="V1457" s="17" t="n">
        <f aca="false">(B1457-AVERAGE(B1438:B1457))/STDEV(B1438:B1457)</f>
        <v>-1.76225681457539</v>
      </c>
    </row>
    <row r="1458" customFormat="false" ht="15" hidden="false" customHeight="false" outlineLevel="0" collapsed="false">
      <c r="A1458" s="17" t="s">
        <v>2022</v>
      </c>
      <c r="B1458" s="17" t="n">
        <v>13910.76</v>
      </c>
      <c r="C1458" s="19" t="n">
        <f aca="false">B1458/B1457-1</f>
        <v>0.00126320699104099</v>
      </c>
      <c r="D1458" s="17" t="n">
        <f aca="false">AVERAGE(B1409:B1458)</f>
        <v>14262.3248</v>
      </c>
      <c r="E1458" s="17" t="n">
        <f aca="false">AVERAGE(B1259:B1458)</f>
        <v>15143.03335</v>
      </c>
      <c r="F1458" s="17" t="n">
        <f aca="false">B1458*2/13+F1457*11/13</f>
        <v>14265.7902095054</v>
      </c>
      <c r="G1458" s="17" t="n">
        <f aca="false">B1458*2/27+G1457*25/27</f>
        <v>14344.3432812169</v>
      </c>
      <c r="H1458" s="17" t="n">
        <f aca="false">F1458-G1458</f>
        <v>-78.5530717114561</v>
      </c>
      <c r="I1458" s="17" t="n">
        <f aca="false">H1458*2/10+I1457*8/10</f>
        <v>33.0001552275179</v>
      </c>
      <c r="J1458" s="17" t="n">
        <f aca="false">H1458-I1458</f>
        <v>-111.553226938974</v>
      </c>
      <c r="K1458" s="17" t="n">
        <f aca="false">MAX(B1458-B1457,0)</f>
        <v>17.5500000000011</v>
      </c>
      <c r="L1458" s="17" t="n">
        <f aca="false">MAX(B1457-B1458,0)</f>
        <v>0</v>
      </c>
      <c r="M1458" s="17" t="n">
        <f aca="false">(M1457*13+K1458)/14</f>
        <v>91.0809571810713</v>
      </c>
      <c r="N1458" s="17" t="n">
        <f aca="false">(N1457*13+L1458)/14</f>
        <v>124.619961402653</v>
      </c>
      <c r="O1458" s="17" t="n">
        <f aca="false">IF(N1458=0,100,100-100/(1+M1458/N1458))</f>
        <v>42.2255768677768</v>
      </c>
      <c r="P1458" s="17" t="n">
        <f aca="false">AVERAGE(B1439:B1458)+2*STDEV(B1439:B1458)</f>
        <v>15408.7954092683</v>
      </c>
      <c r="Q1458" s="17" t="n">
        <f aca="false">AVERAGE(B1439:B1458)-2*STDEV(B1439:B1458)</f>
        <v>13719.7875907317</v>
      </c>
      <c r="R1458" s="19" t="n">
        <f aca="false">B1458/B1438-1</f>
        <v>-0.0353201923983778</v>
      </c>
      <c r="S1458" s="17" t="n">
        <f aca="false">STDEV(C1439:C1458)*SQRT(252)*100</f>
        <v>25.6674855490222</v>
      </c>
      <c r="T1458" s="19" t="n">
        <f aca="false">B1437/B1207-1</f>
        <v>0.0223979492081423</v>
      </c>
      <c r="U1458" s="19" t="n">
        <f aca="false">B1458/MAX(B1207:B1458)-1</f>
        <v>-0.16065440038037</v>
      </c>
      <c r="V1458" s="17" t="n">
        <f aca="false">(B1458-AVERAGE(B1439:B1458))/STDEV(B1439:B1458)</f>
        <v>-1.54772877384599</v>
      </c>
    </row>
    <row r="1459" customFormat="false" ht="15" hidden="false" customHeight="false" outlineLevel="0" collapsed="false">
      <c r="A1459" s="17" t="s">
        <v>2023</v>
      </c>
      <c r="B1459" s="17" t="n">
        <v>14210.26</v>
      </c>
      <c r="C1459" s="19" t="n">
        <f aca="false">B1459/B1458-1</f>
        <v>0.0215300961270268</v>
      </c>
      <c r="D1459" s="17" t="n">
        <f aca="false">AVERAGE(B1410:B1459)</f>
        <v>14252.643</v>
      </c>
      <c r="E1459" s="17" t="n">
        <f aca="false">AVERAGE(B1260:B1459)</f>
        <v>15140.4465</v>
      </c>
      <c r="F1459" s="17" t="n">
        <f aca="false">B1459*2/13+F1458*11/13</f>
        <v>14257.2471003508</v>
      </c>
      <c r="G1459" s="17" t="n">
        <f aca="false">B1459*2/27+G1458*25/27</f>
        <v>14334.4111863119</v>
      </c>
      <c r="H1459" s="17" t="n">
        <f aca="false">F1459-G1459</f>
        <v>-77.1640859611816</v>
      </c>
      <c r="I1459" s="17" t="n">
        <f aca="false">H1459*2/10+I1458*8/10</f>
        <v>10.967306989778</v>
      </c>
      <c r="J1459" s="17" t="n">
        <f aca="false">H1459-I1459</f>
        <v>-88.1313929509596</v>
      </c>
      <c r="K1459" s="17" t="n">
        <f aca="false">MAX(B1459-B1458,0)</f>
        <v>299.5</v>
      </c>
      <c r="L1459" s="17" t="n">
        <f aca="false">MAX(B1458-B1459,0)</f>
        <v>0</v>
      </c>
      <c r="M1459" s="17" t="n">
        <f aca="false">(M1458*13+K1459)/14</f>
        <v>105.968031668138</v>
      </c>
      <c r="N1459" s="17" t="n">
        <f aca="false">(N1458*13+L1459)/14</f>
        <v>115.718535588178</v>
      </c>
      <c r="O1459" s="17" t="n">
        <f aca="false">IF(N1459=0,100,100-100/(1+M1459/N1459))</f>
        <v>47.8008356481142</v>
      </c>
      <c r="P1459" s="17" t="n">
        <f aca="false">AVERAGE(B1440:B1459)+2*STDEV(B1440:B1459)</f>
        <v>15411.4692242273</v>
      </c>
      <c r="Q1459" s="17" t="n">
        <f aca="false">AVERAGE(B1440:B1459)-2*STDEV(B1440:B1459)</f>
        <v>13700.5307757727</v>
      </c>
      <c r="R1459" s="19" t="n">
        <f aca="false">B1459/B1439-1</f>
        <v>-0.0115351253365832</v>
      </c>
      <c r="S1459" s="17" t="n">
        <f aca="false">STDEV(C1440:C1459)*SQRT(252)*100</f>
        <v>26.9436835107318</v>
      </c>
      <c r="T1459" s="19" t="n">
        <f aca="false">B1438/B1208-1</f>
        <v>0.0347990513198637</v>
      </c>
      <c r="U1459" s="19" t="n">
        <f aca="false">B1459/MAX(B1208:B1459)-1</f>
        <v>-0.142583208936762</v>
      </c>
      <c r="V1459" s="17" t="n">
        <f aca="false">(B1459-AVERAGE(B1440:B1459))/STDEV(B1440:B1459)</f>
        <v>-0.808304940045745</v>
      </c>
    </row>
    <row r="1460" customFormat="false" ht="15" hidden="false" customHeight="false" outlineLevel="0" collapsed="false">
      <c r="A1460" s="17" t="s">
        <v>2024</v>
      </c>
      <c r="B1460" s="17" t="n">
        <v>13998.53</v>
      </c>
      <c r="C1460" s="19" t="n">
        <f aca="false">B1460/B1459-1</f>
        <v>-0.0148997977517652</v>
      </c>
      <c r="D1460" s="17" t="n">
        <f aca="false">AVERAGE(B1411:B1460)</f>
        <v>14241.1886</v>
      </c>
      <c r="E1460" s="17" t="n">
        <f aca="false">AVERAGE(B1261:B1460)</f>
        <v>15136.50735</v>
      </c>
      <c r="F1460" s="17" t="n">
        <f aca="false">B1460*2/13+F1459*11/13</f>
        <v>14217.4444695276</v>
      </c>
      <c r="G1460" s="17" t="n">
        <f aca="false">B1460*2/27+G1459*25/27</f>
        <v>14309.531098437</v>
      </c>
      <c r="H1460" s="17" t="n">
        <f aca="false">F1460-G1460</f>
        <v>-92.0866289094138</v>
      </c>
      <c r="I1460" s="17" t="n">
        <f aca="false">H1460*2/10+I1459*8/10</f>
        <v>-9.64348019006038</v>
      </c>
      <c r="J1460" s="17" t="n">
        <f aca="false">H1460-I1460</f>
        <v>-82.4431487193534</v>
      </c>
      <c r="K1460" s="17" t="n">
        <f aca="false">MAX(B1460-B1459,0)</f>
        <v>0</v>
      </c>
      <c r="L1460" s="17" t="n">
        <f aca="false">MAX(B1459-B1460,0)</f>
        <v>211.73</v>
      </c>
      <c r="M1460" s="17" t="n">
        <f aca="false">(M1459*13+K1460)/14</f>
        <v>98.398886548985</v>
      </c>
      <c r="N1460" s="17" t="n">
        <f aca="false">(N1459*13+L1460)/14</f>
        <v>122.57649733188</v>
      </c>
      <c r="O1460" s="17" t="n">
        <f aca="false">IF(N1460=0,100,100-100/(1+M1460/N1460))</f>
        <v>44.5293429615831</v>
      </c>
      <c r="P1460" s="17" t="n">
        <f aca="false">AVERAGE(B1441:B1460)+2*STDEV(B1441:B1460)</f>
        <v>15412.4179739681</v>
      </c>
      <c r="Q1460" s="17" t="n">
        <f aca="false">AVERAGE(B1441:B1460)-2*STDEV(B1441:B1460)</f>
        <v>13634.0020260319</v>
      </c>
      <c r="R1460" s="19" t="n">
        <f aca="false">B1460/B1440-1</f>
        <v>-0.0447512782911262</v>
      </c>
      <c r="S1460" s="17" t="n">
        <f aca="false">STDEV(C1441:C1460)*SQRT(252)*100</f>
        <v>26.3423071786575</v>
      </c>
      <c r="T1460" s="19" t="n">
        <f aca="false">B1439/B1209-1</f>
        <v>0.0445948223996466</v>
      </c>
      <c r="U1460" s="19" t="n">
        <f aca="false">B1460/MAX(B1209:B1460)-1</f>
        <v>-0.155358545712572</v>
      </c>
      <c r="V1460" s="17" t="n">
        <f aca="false">(B1460-AVERAGE(B1441:B1460))/STDEV(B1441:B1460)</f>
        <v>-1.18010637637137</v>
      </c>
    </row>
    <row r="1461" customFormat="false" ht="15" hidden="false" customHeight="false" outlineLevel="0" collapsed="false">
      <c r="A1461" s="17" t="s">
        <v>2025</v>
      </c>
      <c r="B1461" s="17" t="n">
        <v>13720.45</v>
      </c>
      <c r="C1461" s="19" t="n">
        <f aca="false">B1461/B1460-1</f>
        <v>-0.0198649429618681</v>
      </c>
      <c r="D1461" s="17" t="n">
        <f aca="false">AVERAGE(B1412:B1461)</f>
        <v>14220.657</v>
      </c>
      <c r="E1461" s="17" t="n">
        <f aca="false">AVERAGE(B1262:B1461)</f>
        <v>15131.0569</v>
      </c>
      <c r="F1461" s="17" t="n">
        <f aca="false">B1461*2/13+F1460*11/13</f>
        <v>14140.9837819079</v>
      </c>
      <c r="G1461" s="17" t="n">
        <f aca="false">B1461*2/27+G1460*25/27</f>
        <v>14265.8954615157</v>
      </c>
      <c r="H1461" s="17" t="n">
        <f aca="false">F1461-G1461</f>
        <v>-124.911679607783</v>
      </c>
      <c r="I1461" s="17" t="n">
        <f aca="false">H1461*2/10+I1460*8/10</f>
        <v>-32.697120073605</v>
      </c>
      <c r="J1461" s="17" t="n">
        <f aca="false">H1461-I1461</f>
        <v>-92.2145595341783</v>
      </c>
      <c r="K1461" s="17" t="n">
        <f aca="false">MAX(B1461-B1460,0)</f>
        <v>0</v>
      </c>
      <c r="L1461" s="17" t="n">
        <f aca="false">MAX(B1460-B1461,0)</f>
        <v>278.08</v>
      </c>
      <c r="M1461" s="17" t="n">
        <f aca="false">(M1460*13+K1461)/14</f>
        <v>91.3703946526289</v>
      </c>
      <c r="N1461" s="17" t="n">
        <f aca="false">(N1460*13+L1461)/14</f>
        <v>133.683890379603</v>
      </c>
      <c r="O1461" s="17" t="n">
        <f aca="false">IF(N1461=0,100,100-100/(1+M1461/N1461))</f>
        <v>40.5992690339325</v>
      </c>
      <c r="P1461" s="17" t="n">
        <f aca="false">AVERAGE(B1442:B1461)+2*STDEV(B1442:B1461)</f>
        <v>15445.8069345948</v>
      </c>
      <c r="Q1461" s="17" t="n">
        <f aca="false">AVERAGE(B1442:B1461)-2*STDEV(B1442:B1461)</f>
        <v>13527.9030654052</v>
      </c>
      <c r="R1461" s="19" t="n">
        <f aca="false">B1461/B1441-1</f>
        <v>-0.0503268720302057</v>
      </c>
      <c r="S1461" s="17" t="n">
        <f aca="false">STDEV(C1442:C1461)*SQRT(252)*100</f>
        <v>26.7644845230505</v>
      </c>
      <c r="T1461" s="19" t="n">
        <f aca="false">B1440/B1210-1</f>
        <v>0.0511346030252255</v>
      </c>
      <c r="U1461" s="19" t="n">
        <f aca="false">B1461/MAX(B1210:B1461)-1</f>
        <v>-0.172137300025221</v>
      </c>
      <c r="V1461" s="17" t="n">
        <f aca="false">(B1461-AVERAGE(B1442:B1461))/STDEV(B1442:B1461)</f>
        <v>-1.59842213640003</v>
      </c>
    </row>
    <row r="1462" customFormat="false" ht="15" hidden="false" customHeight="false" outlineLevel="0" collapsed="false">
      <c r="A1462" s="17" t="s">
        <v>2026</v>
      </c>
      <c r="B1462" s="17" t="n">
        <v>13356.87</v>
      </c>
      <c r="C1462" s="19" t="n">
        <f aca="false">B1462/B1461-1</f>
        <v>-0.0264991308594106</v>
      </c>
      <c r="D1462" s="17" t="n">
        <f aca="false">AVERAGE(B1413:B1462)</f>
        <v>14186.6552</v>
      </c>
      <c r="E1462" s="17" t="n">
        <f aca="false">AVERAGE(B1263:B1462)</f>
        <v>15124.23055</v>
      </c>
      <c r="F1462" s="17" t="n">
        <f aca="false">B1462*2/13+F1461*11/13</f>
        <v>14020.3508923836</v>
      </c>
      <c r="G1462" s="17" t="n">
        <f aca="false">B1462*2/27+G1461*25/27</f>
        <v>14198.5602421442</v>
      </c>
      <c r="H1462" s="17" t="n">
        <f aca="false">F1462-G1462</f>
        <v>-178.209349760547</v>
      </c>
      <c r="I1462" s="17" t="n">
        <f aca="false">H1462*2/10+I1461*8/10</f>
        <v>-61.7995660109935</v>
      </c>
      <c r="J1462" s="17" t="n">
        <f aca="false">H1462-I1462</f>
        <v>-116.409783749554</v>
      </c>
      <c r="K1462" s="17" t="n">
        <f aca="false">MAX(B1462-B1461,0)</f>
        <v>0</v>
      </c>
      <c r="L1462" s="17" t="n">
        <f aca="false">MAX(B1461-B1462,0)</f>
        <v>363.58</v>
      </c>
      <c r="M1462" s="17" t="n">
        <f aca="false">(M1461*13+K1462)/14</f>
        <v>84.8439378917268</v>
      </c>
      <c r="N1462" s="17" t="n">
        <f aca="false">(N1461*13+L1462)/14</f>
        <v>150.105041066774</v>
      </c>
      <c r="O1462" s="17" t="n">
        <f aca="false">IF(N1462=0,100,100-100/(1+M1462/N1462))</f>
        <v>36.1116435865478</v>
      </c>
      <c r="P1462" s="17" t="n">
        <f aca="false">AVERAGE(B1443:B1462)+2*STDEV(B1443:B1462)</f>
        <v>15489.3269375068</v>
      </c>
      <c r="Q1462" s="17" t="n">
        <f aca="false">AVERAGE(B1443:B1462)-2*STDEV(B1443:B1462)</f>
        <v>13343.5010624932</v>
      </c>
      <c r="R1462" s="19" t="n">
        <f aca="false">B1462/B1442-1</f>
        <v>-0.0954117281346147</v>
      </c>
      <c r="S1462" s="17" t="n">
        <f aca="false">STDEV(C1443:C1462)*SQRT(252)*100</f>
        <v>26.4215637832604</v>
      </c>
      <c r="T1462" s="19" t="n">
        <f aca="false">B1441/B1211-1</f>
        <v>0.0300431479464087</v>
      </c>
      <c r="U1462" s="19" t="n">
        <f aca="false">B1462/MAX(B1211:B1462)-1</f>
        <v>-0.194074942045478</v>
      </c>
      <c r="V1462" s="17" t="n">
        <f aca="false">(B1462-AVERAGE(B1443:B1462))/STDEV(B1443:B1462)</f>
        <v>-1.97507917550539</v>
      </c>
    </row>
    <row r="1463" customFormat="false" ht="15" hidden="false" customHeight="false" outlineLevel="0" collapsed="false">
      <c r="A1463" s="17" t="s">
        <v>2027</v>
      </c>
      <c r="B1463" s="17" t="n">
        <v>13533.22</v>
      </c>
      <c r="C1463" s="19" t="n">
        <f aca="false">B1463/B1462-1</f>
        <v>0.0132029435039795</v>
      </c>
      <c r="D1463" s="17" t="n">
        <f aca="false">AVERAGE(B1414:B1463)</f>
        <v>14163.2068</v>
      </c>
      <c r="E1463" s="17" t="n">
        <f aca="false">AVERAGE(B1264:B1463)</f>
        <v>15117.7662</v>
      </c>
      <c r="F1463" s="17" t="n">
        <f aca="false">B1463*2/13+F1462*11/13</f>
        <v>13945.4076781708</v>
      </c>
      <c r="G1463" s="17" t="n">
        <f aca="false">B1463*2/27+G1462*25/27</f>
        <v>14149.2757797631</v>
      </c>
      <c r="H1463" s="17" t="n">
        <f aca="false">F1463-G1463</f>
        <v>-203.868101592365</v>
      </c>
      <c r="I1463" s="17" t="n">
        <f aca="false">H1463*2/10+I1462*8/10</f>
        <v>-90.2132731272677</v>
      </c>
      <c r="J1463" s="17" t="n">
        <f aca="false">H1463-I1463</f>
        <v>-113.654828465097</v>
      </c>
      <c r="K1463" s="17" t="n">
        <f aca="false">MAX(B1463-B1462,0)</f>
        <v>176.349999999999</v>
      </c>
      <c r="L1463" s="17" t="n">
        <f aca="false">MAX(B1462-B1463,0)</f>
        <v>0</v>
      </c>
      <c r="M1463" s="17" t="n">
        <f aca="false">(M1462*13+K1463)/14</f>
        <v>91.3800851851748</v>
      </c>
      <c r="N1463" s="17" t="n">
        <f aca="false">(N1462*13+L1463)/14</f>
        <v>139.383252419147</v>
      </c>
      <c r="O1463" s="17" t="n">
        <f aca="false">IF(N1463=0,100,100-100/(1+M1463/N1463))</f>
        <v>39.5990481563668</v>
      </c>
      <c r="P1463" s="17" t="n">
        <f aca="false">AVERAGE(B1444:B1463)+2*STDEV(B1444:B1463)</f>
        <v>15484.7962678668</v>
      </c>
      <c r="Q1463" s="17" t="n">
        <f aca="false">AVERAGE(B1444:B1463)-2*STDEV(B1444:B1463)</f>
        <v>13225.9227321332</v>
      </c>
      <c r="R1463" s="19" t="n">
        <f aca="false">B1463/B1443-1</f>
        <v>-0.0827615794977874</v>
      </c>
      <c r="S1463" s="17" t="n">
        <f aca="false">STDEV(C1444:C1463)*SQRT(252)*100</f>
        <v>27.1642234746502</v>
      </c>
      <c r="T1463" s="19" t="n">
        <f aca="false">B1442/B1212-1</f>
        <v>0.0576929689089329</v>
      </c>
      <c r="U1463" s="19" t="n">
        <f aca="false">B1463/MAX(B1212:B1463)-1</f>
        <v>-0.183434359036863</v>
      </c>
      <c r="V1463" s="17" t="n">
        <f aca="false">(B1463-AVERAGE(B1444:B1463))/STDEV(B1444:B1463)</f>
        <v>-1.45583980155485</v>
      </c>
    </row>
    <row r="1464" customFormat="false" ht="15" hidden="false" customHeight="false" outlineLevel="0" collapsed="false">
      <c r="A1464" s="17" t="s">
        <v>2028</v>
      </c>
      <c r="B1464" s="17" t="n">
        <v>13009.71</v>
      </c>
      <c r="C1464" s="19" t="n">
        <f aca="false">B1464/B1463-1</f>
        <v>-0.0386833288751679</v>
      </c>
      <c r="D1464" s="17" t="n">
        <f aca="false">AVERAGE(B1415:B1464)</f>
        <v>14138.3242</v>
      </c>
      <c r="E1464" s="17" t="n">
        <f aca="false">AVERAGE(B1265:B1464)</f>
        <v>15108.4253</v>
      </c>
      <c r="F1464" s="17" t="n">
        <f aca="false">B1464*2/13+F1463*11/13</f>
        <v>13801.4541892214</v>
      </c>
      <c r="G1464" s="17" t="n">
        <f aca="false">B1464*2/27+G1463*25/27</f>
        <v>14064.8634997807</v>
      </c>
      <c r="H1464" s="17" t="n">
        <f aca="false">F1464-G1464</f>
        <v>-263.409310559258</v>
      </c>
      <c r="I1464" s="17" t="n">
        <f aca="false">H1464*2/10+I1463*8/10</f>
        <v>-124.852480613666</v>
      </c>
      <c r="J1464" s="17" t="n">
        <f aca="false">H1464-I1464</f>
        <v>-138.556829945592</v>
      </c>
      <c r="K1464" s="17" t="n">
        <f aca="false">MAX(B1464-B1463,0)</f>
        <v>0</v>
      </c>
      <c r="L1464" s="17" t="n">
        <f aca="false">MAX(B1463-B1464,0)</f>
        <v>523.51</v>
      </c>
      <c r="M1464" s="17" t="n">
        <f aca="false">(M1463*13+K1464)/14</f>
        <v>84.8529362433766</v>
      </c>
      <c r="N1464" s="17" t="n">
        <f aca="false">(N1463*13+L1464)/14</f>
        <v>166.820877246351</v>
      </c>
      <c r="O1464" s="17" t="n">
        <f aca="false">IF(N1464=0,100,100-100/(1+M1464/N1464))</f>
        <v>33.7154410571365</v>
      </c>
      <c r="P1464" s="17" t="n">
        <f aca="false">AVERAGE(B1445:B1464)+2*STDEV(B1445:B1464)</f>
        <v>15494.0417727908</v>
      </c>
      <c r="Q1464" s="17" t="n">
        <f aca="false">AVERAGE(B1445:B1464)-2*STDEV(B1445:B1464)</f>
        <v>13018.9082272092</v>
      </c>
      <c r="R1464" s="19" t="n">
        <f aca="false">B1464/B1444-1</f>
        <v>-0.131956843748749</v>
      </c>
      <c r="S1464" s="17" t="n">
        <f aca="false">STDEV(C1445:C1464)*SQRT(252)*100</f>
        <v>28.693253657362</v>
      </c>
      <c r="T1464" s="19" t="n">
        <f aca="false">B1443/B1213-1</f>
        <v>0.0613374556346669</v>
      </c>
      <c r="U1464" s="19" t="n">
        <f aca="false">B1464/MAX(B1213:B1464)-1</f>
        <v>-0.215021836274402</v>
      </c>
      <c r="V1464" s="17" t="n">
        <f aca="false">(B1464-AVERAGE(B1445:B1464))/STDEV(B1445:B1464)</f>
        <v>-2.01486501966836</v>
      </c>
    </row>
    <row r="1465" customFormat="false" ht="15" hidden="false" customHeight="false" outlineLevel="0" collapsed="false">
      <c r="A1465" s="17" t="s">
        <v>2029</v>
      </c>
      <c r="B1465" s="17" t="n">
        <v>13003.36</v>
      </c>
      <c r="C1465" s="19" t="n">
        <f aca="false">B1465/B1464-1</f>
        <v>-0.000488096967572571</v>
      </c>
      <c r="D1465" s="17" t="n">
        <f aca="false">AVERAGE(B1416:B1465)</f>
        <v>14113.0196</v>
      </c>
      <c r="E1465" s="17" t="n">
        <f aca="false">AVERAGE(B1266:B1465)</f>
        <v>15099.0694</v>
      </c>
      <c r="F1465" s="17" t="n">
        <f aca="false">B1465*2/13+F1464*11/13</f>
        <v>13678.6704678027</v>
      </c>
      <c r="G1465" s="17" t="n">
        <f aca="false">B1465*2/27+G1464*25/27</f>
        <v>13986.233610908</v>
      </c>
      <c r="H1465" s="17" t="n">
        <f aca="false">F1465-G1465</f>
        <v>-307.563143105295</v>
      </c>
      <c r="I1465" s="17" t="n">
        <f aca="false">H1465*2/10+I1464*8/10</f>
        <v>-161.394613111992</v>
      </c>
      <c r="J1465" s="17" t="n">
        <f aca="false">H1465-I1465</f>
        <v>-146.168529993304</v>
      </c>
      <c r="K1465" s="17" t="n">
        <f aca="false">MAX(B1465-B1464,0)</f>
        <v>0</v>
      </c>
      <c r="L1465" s="17" t="n">
        <f aca="false">MAX(B1464-B1465,0)</f>
        <v>6.34999999999855</v>
      </c>
      <c r="M1465" s="17" t="n">
        <f aca="false">(M1464*13+K1465)/14</f>
        <v>78.7920122259926</v>
      </c>
      <c r="N1465" s="17" t="n">
        <f aca="false">(N1464*13+L1465)/14</f>
        <v>155.358671728754</v>
      </c>
      <c r="O1465" s="17" t="n">
        <f aca="false">IF(N1465=0,100,100-100/(1+M1465/N1465))</f>
        <v>33.6501311442764</v>
      </c>
      <c r="P1465" s="17" t="n">
        <f aca="false">AVERAGE(B1446:B1465)+2*STDEV(B1446:B1465)</f>
        <v>15412.0241471767</v>
      </c>
      <c r="Q1465" s="17" t="n">
        <f aca="false">AVERAGE(B1446:B1465)-2*STDEV(B1446:B1465)</f>
        <v>12877.3298528233</v>
      </c>
      <c r="R1465" s="19" t="n">
        <f aca="false">B1465/B1445-1</f>
        <v>-0.146723082132274</v>
      </c>
      <c r="S1465" s="17" t="n">
        <f aca="false">STDEV(C1446:C1465)*SQRT(252)*100</f>
        <v>27.4270316109213</v>
      </c>
      <c r="T1465" s="19" t="n">
        <f aca="false">B1444/B1214-1</f>
        <v>0.0728121286738914</v>
      </c>
      <c r="U1465" s="19" t="n">
        <f aca="false">B1465/MAX(B1214:B1465)-1</f>
        <v>-0.215404981735727</v>
      </c>
      <c r="V1465" s="17" t="n">
        <f aca="false">(B1465-AVERAGE(B1446:B1465))/STDEV(B1446:B1465)</f>
        <v>-1.80111187774015</v>
      </c>
    </row>
    <row r="1466" customFormat="false" ht="15" hidden="false" customHeight="false" outlineLevel="0" collapsed="false">
      <c r="A1466" s="17" t="s">
        <v>2030</v>
      </c>
      <c r="B1466" s="17" t="n">
        <v>13456.06</v>
      </c>
      <c r="C1466" s="19" t="n">
        <f aca="false">B1466/B1465-1</f>
        <v>0.0348140788227043</v>
      </c>
      <c r="D1466" s="17" t="n">
        <f aca="false">AVERAGE(B1417:B1466)</f>
        <v>14089.7244</v>
      </c>
      <c r="E1466" s="17" t="n">
        <f aca="false">AVERAGE(B1267:B1466)</f>
        <v>15091.8475</v>
      </c>
      <c r="F1466" s="17" t="n">
        <f aca="false">B1466*2/13+F1465*11/13</f>
        <v>13644.4227035254</v>
      </c>
      <c r="G1466" s="17" t="n">
        <f aca="false">B1466*2/27+G1465*25/27</f>
        <v>13946.9614915815</v>
      </c>
      <c r="H1466" s="17" t="n">
        <f aca="false">F1466-G1466</f>
        <v>-302.538788056121</v>
      </c>
      <c r="I1466" s="17" t="n">
        <f aca="false">H1466*2/10+I1465*8/10</f>
        <v>-189.623448100818</v>
      </c>
      <c r="J1466" s="17" t="n">
        <f aca="false">H1466-I1466</f>
        <v>-112.915339955304</v>
      </c>
      <c r="K1466" s="17" t="n">
        <f aca="false">MAX(B1466-B1465,0)</f>
        <v>452.699999999999</v>
      </c>
      <c r="L1466" s="17" t="n">
        <f aca="false">MAX(B1465-B1466,0)</f>
        <v>0</v>
      </c>
      <c r="M1466" s="17" t="n">
        <f aca="false">(M1465*13+K1466)/14</f>
        <v>105.499725638422</v>
      </c>
      <c r="N1466" s="17" t="n">
        <f aca="false">(N1465*13+L1466)/14</f>
        <v>144.261623748129</v>
      </c>
      <c r="O1466" s="17" t="n">
        <f aca="false">IF(N1466=0,100,100-100/(1+M1466/N1466))</f>
        <v>42.2402128662197</v>
      </c>
      <c r="P1466" s="17" t="n">
        <f aca="false">AVERAGE(B1447:B1466)+2*STDEV(B1447:B1466)</f>
        <v>15287.6939491212</v>
      </c>
      <c r="Q1466" s="17" t="n">
        <f aca="false">AVERAGE(B1447:B1466)-2*STDEV(B1447:B1466)</f>
        <v>12840.1110508788</v>
      </c>
      <c r="R1466" s="19" t="n">
        <f aca="false">B1466/B1446-1</f>
        <v>-0.107188046352233</v>
      </c>
      <c r="S1466" s="17" t="n">
        <f aca="false">STDEV(C1447:C1466)*SQRT(252)*100</f>
        <v>31.2620438340376</v>
      </c>
      <c r="T1466" s="19" t="n">
        <f aca="false">B1445/B1215-1</f>
        <v>0.0994577497914977</v>
      </c>
      <c r="U1466" s="19" t="n">
        <f aca="false">B1466/MAX(B1215:B1466)-1</f>
        <v>-0.188090028925974</v>
      </c>
      <c r="V1466" s="17" t="n">
        <f aca="false">(B1466-AVERAGE(B1447:B1466))/STDEV(B1447:B1466)</f>
        <v>-0.993375955415447</v>
      </c>
    </row>
    <row r="1467" customFormat="false" ht="15" hidden="false" customHeight="false" outlineLevel="0" collapsed="false">
      <c r="A1467" s="17" t="s">
        <v>2031</v>
      </c>
      <c r="B1467" s="17" t="n">
        <v>12854.8</v>
      </c>
      <c r="C1467" s="19" t="n">
        <f aca="false">B1467/B1466-1</f>
        <v>-0.0446832133626039</v>
      </c>
      <c r="D1467" s="17" t="n">
        <f aca="false">AVERAGE(B1418:B1467)</f>
        <v>14054.7476</v>
      </c>
      <c r="E1467" s="17" t="n">
        <f aca="false">AVERAGE(B1268:B1467)</f>
        <v>15082.14805</v>
      </c>
      <c r="F1467" s="17" t="n">
        <f aca="false">B1467*2/13+F1466*11/13</f>
        <v>13522.9422875984</v>
      </c>
      <c r="G1467" s="17" t="n">
        <f aca="false">B1467*2/27+G1466*25/27</f>
        <v>13866.0606403533</v>
      </c>
      <c r="H1467" s="17" t="n">
        <f aca="false">F1467-G1467</f>
        <v>-343.118352754846</v>
      </c>
      <c r="I1467" s="17" t="n">
        <f aca="false">H1467*2/10+I1466*8/10</f>
        <v>-220.322429031623</v>
      </c>
      <c r="J1467" s="17" t="n">
        <f aca="false">H1467-I1467</f>
        <v>-122.795923723222</v>
      </c>
      <c r="K1467" s="17" t="n">
        <f aca="false">MAX(B1467-B1466,0)</f>
        <v>0</v>
      </c>
      <c r="L1467" s="17" t="n">
        <f aca="false">MAX(B1466-B1467,0)</f>
        <v>601.26</v>
      </c>
      <c r="M1467" s="17" t="n">
        <f aca="false">(M1466*13+K1467)/14</f>
        <v>97.9640309499629</v>
      </c>
      <c r="N1467" s="17" t="n">
        <f aca="false">(N1466*13+L1467)/14</f>
        <v>176.904364908977</v>
      </c>
      <c r="O1467" s="17" t="n">
        <f aca="false">IF(N1467=0,100,100-100/(1+M1467/N1467))</f>
        <v>35.6403400412164</v>
      </c>
      <c r="P1467" s="17" t="n">
        <f aca="false">AVERAGE(B1448:B1467)+2*STDEV(B1448:B1467)</f>
        <v>15244.4468311875</v>
      </c>
      <c r="Q1467" s="17" t="n">
        <f aca="false">AVERAGE(B1448:B1467)-2*STDEV(B1448:B1467)</f>
        <v>12684.9891688125</v>
      </c>
      <c r="R1467" s="19" t="n">
        <f aca="false">B1467/B1447-1</f>
        <v>-0.133685435647428</v>
      </c>
      <c r="S1467" s="17" t="n">
        <f aca="false">STDEV(C1448:C1467)*SQRT(252)*100</f>
        <v>34.0934442974967</v>
      </c>
      <c r="T1467" s="19" t="n">
        <f aca="false">B1446/B1216-1</f>
        <v>0.0921634641862299</v>
      </c>
      <c r="U1467" s="19" t="n">
        <f aca="false">B1467/MAX(B1216:B1467)-1</f>
        <v>-0.2243687753947</v>
      </c>
      <c r="V1467" s="17" t="n">
        <f aca="false">(B1467-AVERAGE(B1448:B1467))/STDEV(B1448:B1467)</f>
        <v>-1.73461435415194</v>
      </c>
    </row>
    <row r="1468" customFormat="false" ht="15" hidden="false" customHeight="false" outlineLevel="0" collapsed="false">
      <c r="A1468" s="17" t="s">
        <v>2032</v>
      </c>
      <c r="B1468" s="17" t="n">
        <v>13075.85</v>
      </c>
      <c r="C1468" s="19" t="n">
        <f aca="false">B1468/B1467-1</f>
        <v>0.0171959112549398</v>
      </c>
      <c r="D1468" s="17" t="n">
        <f aca="false">AVERAGE(B1419:B1468)</f>
        <v>14032.8298</v>
      </c>
      <c r="E1468" s="17" t="n">
        <f aca="false">AVERAGE(B1269:B1468)</f>
        <v>15074.1204</v>
      </c>
      <c r="F1468" s="17" t="n">
        <f aca="false">B1468*2/13+F1467*11/13</f>
        <v>13454.1588587371</v>
      </c>
      <c r="G1468" s="17" t="n">
        <f aca="false">B1468*2/27+G1467*25/27</f>
        <v>13807.5265188456</v>
      </c>
      <c r="H1468" s="17" t="n">
        <f aca="false">F1468-G1468</f>
        <v>-353.367660108494</v>
      </c>
      <c r="I1468" s="17" t="n">
        <f aca="false">H1468*2/10+I1467*8/10</f>
        <v>-246.931475246997</v>
      </c>
      <c r="J1468" s="17" t="n">
        <f aca="false">H1468-I1468</f>
        <v>-106.436184861496</v>
      </c>
      <c r="K1468" s="17" t="n">
        <f aca="false">MAX(B1468-B1467,0)</f>
        <v>221.050000000001</v>
      </c>
      <c r="L1468" s="17" t="n">
        <f aca="false">MAX(B1467-B1468,0)</f>
        <v>0</v>
      </c>
      <c r="M1468" s="17" t="n">
        <f aca="false">(M1467*13+K1468)/14</f>
        <v>106.755885882109</v>
      </c>
      <c r="N1468" s="17" t="n">
        <f aca="false">(N1467*13+L1468)/14</f>
        <v>164.26833884405</v>
      </c>
      <c r="O1468" s="17" t="n">
        <f aca="false">IF(N1468=0,100,100-100/(1+M1468/N1468))</f>
        <v>39.3897947646466</v>
      </c>
      <c r="P1468" s="17" t="n">
        <f aca="false">AVERAGE(B1449:B1468)+2*STDEV(B1449:B1468)</f>
        <v>15140.8699082892</v>
      </c>
      <c r="Q1468" s="17" t="n">
        <f aca="false">AVERAGE(B1449:B1468)-2*STDEV(B1449:B1468)</f>
        <v>12610.0300917108</v>
      </c>
      <c r="R1468" s="19" t="n">
        <f aca="false">B1468/B1448-1</f>
        <v>-0.120135574424963</v>
      </c>
      <c r="S1468" s="17" t="n">
        <f aca="false">STDEV(C1449:C1468)*SQRT(252)*100</f>
        <v>35.0490793335952</v>
      </c>
      <c r="T1468" s="19" t="n">
        <f aca="false">B1447/B1217-1</f>
        <v>0.095522445360426</v>
      </c>
      <c r="U1468" s="19" t="n">
        <f aca="false">B1468/MAX(B1217:B1468)-1</f>
        <v>-0.211031089689827</v>
      </c>
      <c r="V1468" s="17" t="n">
        <f aca="false">(B1468-AVERAGE(B1449:B1468))/STDEV(B1449:B1468)</f>
        <v>-1.26377022324709</v>
      </c>
    </row>
    <row r="1469" customFormat="false" ht="15" hidden="false" customHeight="false" outlineLevel="0" collapsed="false">
      <c r="A1469" s="17" t="s">
        <v>2033</v>
      </c>
      <c r="B1469" s="17" t="n">
        <v>13089.9</v>
      </c>
      <c r="C1469" s="19" t="n">
        <f aca="false">B1469/B1468-1</f>
        <v>0.00107449993690656</v>
      </c>
      <c r="D1469" s="17" t="n">
        <f aca="false">AVERAGE(B1420:B1469)</f>
        <v>14014.437</v>
      </c>
      <c r="E1469" s="17" t="n">
        <f aca="false">AVERAGE(B1270:B1469)</f>
        <v>15066.82445</v>
      </c>
      <c r="F1469" s="17" t="n">
        <f aca="false">B1469*2/13+F1468*11/13</f>
        <v>13398.119034316</v>
      </c>
      <c r="G1469" s="17" t="n">
        <f aca="false">B1469*2/27+G1468*25/27</f>
        <v>13754.3689989311</v>
      </c>
      <c r="H1469" s="17" t="n">
        <f aca="false">F1469-G1469</f>
        <v>-356.249964615095</v>
      </c>
      <c r="I1469" s="17" t="n">
        <f aca="false">H1469*2/10+I1468*8/10</f>
        <v>-268.795173120617</v>
      </c>
      <c r="J1469" s="17" t="n">
        <f aca="false">H1469-I1469</f>
        <v>-87.4547914944786</v>
      </c>
      <c r="K1469" s="17" t="n">
        <f aca="false">MAX(B1469-B1468,0)</f>
        <v>14.0499999999993</v>
      </c>
      <c r="L1469" s="17" t="n">
        <f aca="false">MAX(B1468-B1469,0)</f>
        <v>0</v>
      </c>
      <c r="M1469" s="17" t="n">
        <f aca="false">(M1468*13+K1469)/14</f>
        <v>100.134036890529</v>
      </c>
      <c r="N1469" s="17" t="n">
        <f aca="false">(N1468*13+L1469)/14</f>
        <v>152.534886069475</v>
      </c>
      <c r="O1469" s="17" t="n">
        <f aca="false">IF(N1469=0,100,100-100/(1+M1469/N1469))</f>
        <v>39.6305314153652</v>
      </c>
      <c r="P1469" s="17" t="n">
        <f aca="false">AVERAGE(B1450:B1469)+2*STDEV(B1450:B1469)</f>
        <v>14929.0982096941</v>
      </c>
      <c r="Q1469" s="17" t="n">
        <f aca="false">AVERAGE(B1450:B1469)-2*STDEV(B1450:B1469)</f>
        <v>12614.8337903059</v>
      </c>
      <c r="R1469" s="19" t="n">
        <f aca="false">B1469/B1449-1</f>
        <v>-0.136526209829032</v>
      </c>
      <c r="S1469" s="17" t="n">
        <f aca="false">STDEV(C1450:C1469)*SQRT(252)*100</f>
        <v>33.7898269829859</v>
      </c>
      <c r="T1469" s="19" t="n">
        <f aca="false">B1448/B1218-1</f>
        <v>0.100555639073801</v>
      </c>
      <c r="U1469" s="19" t="n">
        <f aca="false">B1469/MAX(B1218:B1469)-1</f>
        <v>-0.210183342645478</v>
      </c>
      <c r="V1469" s="17" t="n">
        <f aca="false">(B1469-AVERAGE(B1450:B1469))/STDEV(B1450:B1469)</f>
        <v>-1.17889035373115</v>
      </c>
    </row>
    <row r="1470" customFormat="false" ht="15" hidden="false" customHeight="false" outlineLevel="0" collapsed="false">
      <c r="A1470" s="17" t="s">
        <v>2034</v>
      </c>
      <c r="B1470" s="17" t="n">
        <v>13535.71</v>
      </c>
      <c r="C1470" s="19" t="n">
        <f aca="false">B1470/B1469-1</f>
        <v>0.0340575558254836</v>
      </c>
      <c r="D1470" s="17" t="n">
        <f aca="false">AVERAGE(B1421:B1470)</f>
        <v>14007.7406</v>
      </c>
      <c r="E1470" s="17" t="n">
        <f aca="false">AVERAGE(B1271:B1470)</f>
        <v>15060.86195</v>
      </c>
      <c r="F1470" s="17" t="n">
        <f aca="false">B1470*2/13+F1469*11/13</f>
        <v>13419.2868751905</v>
      </c>
      <c r="G1470" s="17" t="n">
        <f aca="false">B1470*2/27+G1469*25/27</f>
        <v>13738.1720360473</v>
      </c>
      <c r="H1470" s="17" t="n">
        <f aca="false">F1470-G1470</f>
        <v>-318.885160856853</v>
      </c>
      <c r="I1470" s="17" t="n">
        <f aca="false">H1470*2/10+I1469*8/10</f>
        <v>-278.813170667864</v>
      </c>
      <c r="J1470" s="17" t="n">
        <f aca="false">H1470-I1470</f>
        <v>-40.0719901889889</v>
      </c>
      <c r="K1470" s="17" t="n">
        <f aca="false">MAX(B1470-B1469,0)</f>
        <v>445.81</v>
      </c>
      <c r="L1470" s="17" t="n">
        <f aca="false">MAX(B1469-B1470,0)</f>
        <v>0</v>
      </c>
      <c r="M1470" s="17" t="n">
        <f aca="false">(M1469*13+K1470)/14</f>
        <v>124.825177112634</v>
      </c>
      <c r="N1470" s="17" t="n">
        <f aca="false">(N1469*13+L1470)/14</f>
        <v>141.639537064513</v>
      </c>
      <c r="O1470" s="17" t="n">
        <f aca="false">IF(N1470=0,100,100-100/(1+M1470/N1470))</f>
        <v>46.844918096604</v>
      </c>
      <c r="P1470" s="17" t="n">
        <f aca="false">AVERAGE(B1451:B1470)+2*STDEV(B1451:B1470)</f>
        <v>14757.3894731866</v>
      </c>
      <c r="Q1470" s="17" t="n">
        <f aca="false">AVERAGE(B1451:B1470)-2*STDEV(B1451:B1470)</f>
        <v>12658.0495268134</v>
      </c>
      <c r="R1470" s="19" t="n">
        <f aca="false">B1470/B1450-1</f>
        <v>-0.0866986850770277</v>
      </c>
      <c r="S1470" s="17" t="n">
        <f aca="false">STDEV(C1451:C1470)*SQRT(252)*100</f>
        <v>36.2544459932583</v>
      </c>
      <c r="T1470" s="19" t="n">
        <f aca="false">B1449/B1219-1</f>
        <v>0.113550804959405</v>
      </c>
      <c r="U1470" s="19" t="n">
        <f aca="false">B1470/MAX(B1219:B1470)-1</f>
        <v>-0.183284117745729</v>
      </c>
      <c r="V1470" s="17" t="n">
        <f aca="false">(B1470-AVERAGE(B1451:B1470))/STDEV(B1451:B1470)</f>
        <v>-0.32774015527532</v>
      </c>
    </row>
    <row r="1471" customFormat="false" ht="15" hidden="false" customHeight="false" outlineLevel="0" collapsed="false">
      <c r="A1471" s="17" t="s">
        <v>2035</v>
      </c>
      <c r="B1471" s="17" t="n">
        <v>12850.55</v>
      </c>
      <c r="C1471" s="19" t="n">
        <f aca="false">B1471/B1470-1</f>
        <v>-0.0506186967658143</v>
      </c>
      <c r="D1471" s="17" t="n">
        <f aca="false">AVERAGE(B1422:B1471)</f>
        <v>13994.563</v>
      </c>
      <c r="E1471" s="17" t="n">
        <f aca="false">AVERAGE(B1272:B1471)</f>
        <v>15050.90155</v>
      </c>
      <c r="F1471" s="17" t="n">
        <f aca="false">B1471*2/13+F1470*11/13</f>
        <v>13331.7888943919</v>
      </c>
      <c r="G1471" s="17" t="n">
        <f aca="false">B1471*2/27+G1470*25/27</f>
        <v>13672.4222555994</v>
      </c>
      <c r="H1471" s="17" t="n">
        <f aca="false">F1471-G1471</f>
        <v>-340.633361207438</v>
      </c>
      <c r="I1471" s="17" t="n">
        <f aca="false">H1471*2/10+I1470*8/10</f>
        <v>-291.177208775779</v>
      </c>
      <c r="J1471" s="17" t="n">
        <f aca="false">H1471-I1471</f>
        <v>-49.4561524316589</v>
      </c>
      <c r="K1471" s="17" t="n">
        <f aca="false">MAX(B1471-B1470,0)</f>
        <v>0</v>
      </c>
      <c r="L1471" s="17" t="n">
        <f aca="false">MAX(B1470-B1471,0)</f>
        <v>685.16</v>
      </c>
      <c r="M1471" s="17" t="n">
        <f aca="false">(M1470*13+K1471)/14</f>
        <v>115.90909303316</v>
      </c>
      <c r="N1471" s="17" t="n">
        <f aca="false">(N1470*13+L1471)/14</f>
        <v>180.46242727419</v>
      </c>
      <c r="O1471" s="17" t="n">
        <f aca="false">IF(N1471=0,100,100-100/(1+M1471/N1471))</f>
        <v>39.1093897662493</v>
      </c>
      <c r="P1471" s="17" t="n">
        <f aca="false">AVERAGE(B1452:B1471)+2*STDEV(B1452:B1471)</f>
        <v>14672.2550755886</v>
      </c>
      <c r="Q1471" s="17" t="n">
        <f aca="false">AVERAGE(B1452:B1471)-2*STDEV(B1452:B1471)</f>
        <v>12578.3499244114</v>
      </c>
      <c r="R1471" s="19" t="n">
        <f aca="false">B1471/B1451-1</f>
        <v>-0.113687323650293</v>
      </c>
      <c r="S1471" s="17" t="n">
        <f aca="false">STDEV(C1452:C1471)*SQRT(252)*100</f>
        <v>39.4129452176043</v>
      </c>
      <c r="T1471" s="19" t="n">
        <f aca="false">B1450/B1220-1</f>
        <v>0.0802507064694893</v>
      </c>
      <c r="U1471" s="19" t="n">
        <f aca="false">B1471/MAX(B1220:B1471)-1</f>
        <v>-0.224625211333382</v>
      </c>
      <c r="V1471" s="17" t="n">
        <f aca="false">(B1471-AVERAGE(B1452:B1471))/STDEV(B1452:B1471)</f>
        <v>-1.48001450698842</v>
      </c>
    </row>
    <row r="1472" customFormat="false" ht="15" hidden="false" customHeight="false" outlineLevel="0" collapsed="false">
      <c r="A1472" s="17" t="s">
        <v>2036</v>
      </c>
      <c r="B1472" s="17" t="n">
        <v>12693.53</v>
      </c>
      <c r="C1472" s="19" t="n">
        <f aca="false">B1472/B1471-1</f>
        <v>-0.0122189322635995</v>
      </c>
      <c r="D1472" s="17" t="n">
        <f aca="false">AVERAGE(B1423:B1472)</f>
        <v>13968.9402</v>
      </c>
      <c r="E1472" s="17" t="n">
        <f aca="false">AVERAGE(B1273:B1472)</f>
        <v>15039.66835</v>
      </c>
      <c r="F1472" s="17" t="n">
        <f aca="false">B1472*2/13+F1471*11/13</f>
        <v>13233.5952183316</v>
      </c>
      <c r="G1472" s="17" t="n">
        <f aca="false">B1472*2/27+G1471*25/27</f>
        <v>13599.9117181476</v>
      </c>
      <c r="H1472" s="17" t="n">
        <f aca="false">F1472-G1472</f>
        <v>-366.31649981593</v>
      </c>
      <c r="I1472" s="17" t="n">
        <f aca="false">H1472*2/10+I1471*8/10</f>
        <v>-306.205066983809</v>
      </c>
      <c r="J1472" s="17" t="n">
        <f aca="false">H1472-I1472</f>
        <v>-60.111432832121</v>
      </c>
      <c r="K1472" s="17" t="n">
        <f aca="false">MAX(B1472-B1471,0)</f>
        <v>0</v>
      </c>
      <c r="L1472" s="17" t="n">
        <f aca="false">MAX(B1471-B1472,0)</f>
        <v>157.019999999999</v>
      </c>
      <c r="M1472" s="17" t="n">
        <f aca="false">(M1471*13+K1472)/14</f>
        <v>107.62987210222</v>
      </c>
      <c r="N1472" s="17" t="n">
        <f aca="false">(N1471*13+L1472)/14</f>
        <v>178.787968183177</v>
      </c>
      <c r="O1472" s="17" t="n">
        <f aca="false">IF(N1472=0,100,100-100/(1+M1472/N1472))</f>
        <v>37.5779218204334</v>
      </c>
      <c r="P1472" s="17" t="n">
        <f aca="false">AVERAGE(B1453:B1472)+2*STDEV(B1453:B1472)</f>
        <v>14567.9493302998</v>
      </c>
      <c r="Q1472" s="17" t="n">
        <f aca="false">AVERAGE(B1453:B1472)-2*STDEV(B1453:B1472)</f>
        <v>12498.8276697002</v>
      </c>
      <c r="R1472" s="19" t="n">
        <f aca="false">B1472/B1452-1</f>
        <v>-0.126500415295823</v>
      </c>
      <c r="S1472" s="17" t="n">
        <f aca="false">STDEV(C1453:C1472)*SQRT(252)*100</f>
        <v>39.3588275171537</v>
      </c>
      <c r="T1472" s="19" t="n">
        <f aca="false">B1451/B1221-1</f>
        <v>0.0853209951583491</v>
      </c>
      <c r="U1472" s="19" t="n">
        <f aca="false">B1472/MAX(B1221:B1472)-1</f>
        <v>-0.234099463355003</v>
      </c>
      <c r="V1472" s="17" t="n">
        <f aca="false">(B1472-AVERAGE(B1453:B1472))/STDEV(B1453:B1472)</f>
        <v>-1.62360390110005</v>
      </c>
    </row>
    <row r="1473" customFormat="false" ht="15" hidden="false" customHeight="false" outlineLevel="0" collapsed="false">
      <c r="A1473" s="17" t="s">
        <v>2037</v>
      </c>
      <c r="B1473" s="17" t="n">
        <v>12187.72</v>
      </c>
      <c r="C1473" s="19" t="n">
        <f aca="false">B1473/B1472-1</f>
        <v>-0.0398478595000761</v>
      </c>
      <c r="D1473" s="17" t="n">
        <f aca="false">AVERAGE(B1424:B1473)</f>
        <v>13928.9114</v>
      </c>
      <c r="E1473" s="17" t="n">
        <f aca="false">AVERAGE(B1274:B1473)</f>
        <v>15025.048</v>
      </c>
      <c r="F1473" s="17" t="n">
        <f aca="false">B1473*2/13+F1472*11/13</f>
        <v>13072.6913385883</v>
      </c>
      <c r="G1473" s="17" t="n">
        <f aca="false">B1473*2/27+G1472*25/27</f>
        <v>13495.3049242107</v>
      </c>
      <c r="H1473" s="17" t="n">
        <f aca="false">F1473-G1473</f>
        <v>-422.613585622403</v>
      </c>
      <c r="I1473" s="17" t="n">
        <f aca="false">H1473*2/10+I1472*8/10</f>
        <v>-329.486770711528</v>
      </c>
      <c r="J1473" s="17" t="n">
        <f aca="false">H1473-I1473</f>
        <v>-93.1268149108749</v>
      </c>
      <c r="K1473" s="17" t="n">
        <f aca="false">MAX(B1473-B1472,0)</f>
        <v>0</v>
      </c>
      <c r="L1473" s="17" t="n">
        <f aca="false">MAX(B1472-B1473,0)</f>
        <v>505.810000000001</v>
      </c>
      <c r="M1473" s="17" t="n">
        <f aca="false">(M1472*13+K1473)/14</f>
        <v>99.9420240949189</v>
      </c>
      <c r="N1473" s="17" t="n">
        <f aca="false">(N1472*13+L1473)/14</f>
        <v>202.146684741521</v>
      </c>
      <c r="O1473" s="17" t="n">
        <f aca="false">IF(N1473=0,100,100-100/(1+M1473/N1473))</f>
        <v>33.0836675358928</v>
      </c>
      <c r="P1473" s="17" t="n">
        <f aca="false">AVERAGE(B1454:B1473)+2*STDEV(B1454:B1473)</f>
        <v>14553.654220125</v>
      </c>
      <c r="Q1473" s="17" t="n">
        <f aca="false">AVERAGE(B1454:B1473)-2*STDEV(B1454:B1473)</f>
        <v>12299.168779875</v>
      </c>
      <c r="R1473" s="19" t="n">
        <f aca="false">B1473/B1453-1</f>
        <v>-0.149333508291188</v>
      </c>
      <c r="S1473" s="17" t="n">
        <f aca="false">STDEV(C1454:C1473)*SQRT(252)*100</f>
        <v>41.0483758237558</v>
      </c>
      <c r="T1473" s="19" t="n">
        <f aca="false">B1452/B1222-1</f>
        <v>0.0884215509086401</v>
      </c>
      <c r="U1473" s="19" t="n">
        <f aca="false">B1473/MAX(B1222:B1473)-1</f>
        <v>-0.264618960330265</v>
      </c>
      <c r="V1473" s="17" t="n">
        <f aca="false">(B1473-AVERAGE(B1454:B1473))/STDEV(B1454:B1473)</f>
        <v>-2.19773696983854</v>
      </c>
    </row>
    <row r="1474" customFormat="false" ht="15" hidden="false" customHeight="false" outlineLevel="0" collapsed="false">
      <c r="A1474" s="17" t="s">
        <v>2038</v>
      </c>
      <c r="B1474" s="17" t="n">
        <v>12345.86</v>
      </c>
      <c r="C1474" s="19" t="n">
        <f aca="false">B1474/B1473-1</f>
        <v>0.0129753555217875</v>
      </c>
      <c r="D1474" s="17" t="n">
        <f aca="false">AVERAGE(B1425:B1474)</f>
        <v>13891.0724</v>
      </c>
      <c r="E1474" s="17" t="n">
        <f aca="false">AVERAGE(B1275:B1474)</f>
        <v>15011.14755</v>
      </c>
      <c r="F1474" s="17" t="n">
        <f aca="false">B1474*2/13+F1473*11/13</f>
        <v>12960.8711326517</v>
      </c>
      <c r="G1474" s="17" t="n">
        <f aca="false">B1474*2/27+G1473*25/27</f>
        <v>13410.1608557507</v>
      </c>
      <c r="H1474" s="17" t="n">
        <f aca="false">F1474-G1474</f>
        <v>-449.289723099015</v>
      </c>
      <c r="I1474" s="17" t="n">
        <f aca="false">H1474*2/10+I1473*8/10</f>
        <v>-353.447361189025</v>
      </c>
      <c r="J1474" s="17" t="n">
        <f aca="false">H1474-I1474</f>
        <v>-95.8423619099896</v>
      </c>
      <c r="K1474" s="17" t="n">
        <f aca="false">MAX(B1474-B1473,0)</f>
        <v>158.140000000001</v>
      </c>
      <c r="L1474" s="17" t="n">
        <f aca="false">MAX(B1473-B1474,0)</f>
        <v>0</v>
      </c>
      <c r="M1474" s="17" t="n">
        <f aca="false">(M1473*13+K1474)/14</f>
        <v>104.099022373853</v>
      </c>
      <c r="N1474" s="17" t="n">
        <f aca="false">(N1473*13+L1474)/14</f>
        <v>187.707635831413</v>
      </c>
      <c r="O1474" s="17" t="n">
        <f aca="false">IF(N1474=0,100,100-100/(1+M1474/N1474))</f>
        <v>35.6739709142027</v>
      </c>
      <c r="P1474" s="17" t="n">
        <f aca="false">AVERAGE(B1455:B1474)+2*STDEV(B1455:B1474)</f>
        <v>14536.2943280173</v>
      </c>
      <c r="Q1474" s="17" t="n">
        <f aca="false">AVERAGE(B1455:B1474)-2*STDEV(B1455:B1474)</f>
        <v>12152.0936719827</v>
      </c>
      <c r="R1474" s="19" t="n">
        <f aca="false">B1474/B1454-1</f>
        <v>-0.117535762508211</v>
      </c>
      <c r="S1474" s="17" t="n">
        <f aca="false">STDEV(C1455:C1474)*SQRT(252)*100</f>
        <v>41.2303951761636</v>
      </c>
      <c r="T1474" s="19" t="n">
        <f aca="false">B1453/B1223-1</f>
        <v>0.101958754402333</v>
      </c>
      <c r="U1474" s="19" t="n">
        <f aca="false">B1474/MAX(B1223:B1474)-1</f>
        <v>-0.255077129896569</v>
      </c>
      <c r="V1474" s="17" t="n">
        <f aca="false">(B1474-AVERAGE(B1455:B1474))/STDEV(B1455:B1474)</f>
        <v>-1.67491607297924</v>
      </c>
    </row>
    <row r="1475" customFormat="false" ht="15" hidden="false" customHeight="false" outlineLevel="0" collapsed="false">
      <c r="A1475" s="17" t="s">
        <v>2039</v>
      </c>
      <c r="B1475" s="17" t="n">
        <v>11967.56</v>
      </c>
      <c r="C1475" s="19" t="n">
        <f aca="false">B1475/B1474-1</f>
        <v>-0.0306418507904676</v>
      </c>
      <c r="D1475" s="17" t="n">
        <f aca="false">AVERAGE(B1426:B1475)</f>
        <v>13850.3038</v>
      </c>
      <c r="E1475" s="17" t="n">
        <f aca="false">AVERAGE(B1276:B1475)</f>
        <v>14996.2005</v>
      </c>
      <c r="F1475" s="17" t="n">
        <f aca="false">B1475*2/13+F1474*11/13</f>
        <v>12808.0540353206</v>
      </c>
      <c r="G1475" s="17" t="n">
        <f aca="false">B1475*2/27+G1474*25/27</f>
        <v>13303.3015331025</v>
      </c>
      <c r="H1475" s="17" t="n">
        <f aca="false">F1475-G1475</f>
        <v>-495.247497781842</v>
      </c>
      <c r="I1475" s="17" t="n">
        <f aca="false">H1475*2/10+I1474*8/10</f>
        <v>-381.807388507589</v>
      </c>
      <c r="J1475" s="17" t="n">
        <f aca="false">H1475-I1475</f>
        <v>-113.440109274253</v>
      </c>
      <c r="K1475" s="17" t="n">
        <f aca="false">MAX(B1475-B1474,0)</f>
        <v>0</v>
      </c>
      <c r="L1475" s="17" t="n">
        <f aca="false">MAX(B1474-B1475,0)</f>
        <v>378.300000000001</v>
      </c>
      <c r="M1475" s="17" t="n">
        <f aca="false">(M1474*13+K1475)/14</f>
        <v>96.6633779185782</v>
      </c>
      <c r="N1475" s="17" t="n">
        <f aca="false">(N1474*13+L1475)/14</f>
        <v>201.321376129169</v>
      </c>
      <c r="O1475" s="17" t="n">
        <f aca="false">IF(N1475=0,100,100-100/(1+M1475/N1475))</f>
        <v>32.4390347511167</v>
      </c>
      <c r="P1475" s="17" t="n">
        <f aca="false">AVERAGE(B1456:B1475)+2*STDEV(B1456:B1475)</f>
        <v>14551.0558468357</v>
      </c>
      <c r="Q1475" s="17" t="n">
        <f aca="false">AVERAGE(B1456:B1475)-2*STDEV(B1456:B1475)</f>
        <v>11940.0641531643</v>
      </c>
      <c r="R1475" s="19" t="n">
        <f aca="false">B1475/B1455-1</f>
        <v>-0.141509758798988</v>
      </c>
      <c r="S1475" s="17" t="n">
        <f aca="false">STDEV(C1456:C1475)*SQRT(252)*100</f>
        <v>42.1365993936759</v>
      </c>
      <c r="T1475" s="19" t="n">
        <f aca="false">B1454/B1224-1</f>
        <v>0.0672095444784748</v>
      </c>
      <c r="U1475" s="19" t="n">
        <f aca="false">B1475/MAX(B1224:B1475)-1</f>
        <v>-0.277902945332685</v>
      </c>
      <c r="V1475" s="17" t="n">
        <f aca="false">(B1475-AVERAGE(B1456:B1475))/STDEV(B1456:B1475)</f>
        <v>-1.957876776242</v>
      </c>
    </row>
    <row r="1476" customFormat="false" ht="15" hidden="false" customHeight="false" outlineLevel="0" collapsed="false">
      <c r="A1476" s="17" t="s">
        <v>2040</v>
      </c>
      <c r="B1476" s="17" t="n">
        <v>11945.5</v>
      </c>
      <c r="C1476" s="19" t="n">
        <f aca="false">B1476/B1475-1</f>
        <v>-0.00184331643208802</v>
      </c>
      <c r="D1476" s="17" t="n">
        <f aca="false">AVERAGE(B1427:B1476)</f>
        <v>13804.34</v>
      </c>
      <c r="E1476" s="17" t="n">
        <f aca="false">AVERAGE(B1277:B1476)</f>
        <v>14980.8375</v>
      </c>
      <c r="F1476" s="17" t="n">
        <f aca="false">B1476*2/13+F1475*11/13</f>
        <v>12675.3534145021</v>
      </c>
      <c r="G1476" s="17" t="n">
        <f aca="false">B1476*2/27+G1475*25/27</f>
        <v>13202.7236417615</v>
      </c>
      <c r="H1476" s="17" t="n">
        <f aca="false">F1476-G1476</f>
        <v>-527.370227259478</v>
      </c>
      <c r="I1476" s="17" t="n">
        <f aca="false">H1476*2/10+I1475*8/10</f>
        <v>-410.919956257967</v>
      </c>
      <c r="J1476" s="17" t="n">
        <f aca="false">H1476-I1476</f>
        <v>-116.450271001512</v>
      </c>
      <c r="K1476" s="17" t="n">
        <f aca="false">MAX(B1476-B1475,0)</f>
        <v>0</v>
      </c>
      <c r="L1476" s="17" t="n">
        <f aca="false">MAX(B1475-B1476,0)</f>
        <v>22.0599999999995</v>
      </c>
      <c r="M1476" s="17" t="n">
        <f aca="false">(M1475*13+K1476)/14</f>
        <v>89.758850924394</v>
      </c>
      <c r="N1476" s="17" t="n">
        <f aca="false">(N1475*13+L1476)/14</f>
        <v>188.516992119942</v>
      </c>
      <c r="O1476" s="17" t="n">
        <f aca="false">IF(N1476=0,100,100-100/(1+M1476/N1476))</f>
        <v>32.2553513601585</v>
      </c>
      <c r="P1476" s="17" t="n">
        <f aca="false">AVERAGE(B1457:B1476)+2*STDEV(B1457:B1476)</f>
        <v>14476.2263105153</v>
      </c>
      <c r="Q1476" s="17" t="n">
        <f aca="false">AVERAGE(B1457:B1476)-2*STDEV(B1457:B1476)</f>
        <v>11787.7146894847</v>
      </c>
      <c r="R1476" s="19" t="n">
        <f aca="false">B1476/B1456-1</f>
        <v>-0.159790649272822</v>
      </c>
      <c r="S1476" s="17" t="n">
        <f aca="false">STDEV(C1457:C1476)*SQRT(252)*100</f>
        <v>40.9706004579287</v>
      </c>
      <c r="T1476" s="19" t="n">
        <f aca="false">B1455/B1225-1</f>
        <v>0.0408508249011432</v>
      </c>
      <c r="U1476" s="19" t="n">
        <f aca="false">B1476/MAX(B1225:B1476)-1</f>
        <v>-0.279233998699116</v>
      </c>
      <c r="V1476" s="17" t="n">
        <f aca="false">(B1476-AVERAGE(B1457:B1476))/STDEV(B1457:B1476)</f>
        <v>-1.76524511290029</v>
      </c>
    </row>
    <row r="1477" customFormat="false" ht="15" hidden="false" customHeight="false" outlineLevel="0" collapsed="false">
      <c r="A1477" s="17" t="s">
        <v>2041</v>
      </c>
      <c r="B1477" s="17" t="n">
        <v>12387.4</v>
      </c>
      <c r="C1477" s="19" t="n">
        <f aca="false">B1477/B1476-1</f>
        <v>0.0369930099200535</v>
      </c>
      <c r="D1477" s="17" t="n">
        <f aca="false">AVERAGE(B1428:B1477)</f>
        <v>13771.3838</v>
      </c>
      <c r="E1477" s="17" t="n">
        <f aca="false">AVERAGE(B1278:B1477)</f>
        <v>14967.5327</v>
      </c>
      <c r="F1477" s="17" t="n">
        <f aca="false">B1477*2/13+F1476*11/13</f>
        <v>12631.0528891941</v>
      </c>
      <c r="G1477" s="17" t="n">
        <f aca="false">B1477*2/27+G1476*25/27</f>
        <v>13142.3292979274</v>
      </c>
      <c r="H1477" s="17" t="n">
        <f aca="false">F1477-G1477</f>
        <v>-511.2764087333</v>
      </c>
      <c r="I1477" s="17" t="n">
        <f aca="false">H1477*2/10+I1476*8/10</f>
        <v>-430.991246753033</v>
      </c>
      <c r="J1477" s="17" t="n">
        <f aca="false">H1477-I1477</f>
        <v>-80.2851619802666</v>
      </c>
      <c r="K1477" s="17" t="n">
        <f aca="false">MAX(B1477-B1476,0)</f>
        <v>441.9</v>
      </c>
      <c r="L1477" s="17" t="n">
        <f aca="false">MAX(B1476-B1477,0)</f>
        <v>0</v>
      </c>
      <c r="M1477" s="17" t="n">
        <f aca="false">(M1476*13+K1477)/14</f>
        <v>114.91179014408</v>
      </c>
      <c r="N1477" s="17" t="n">
        <f aca="false">(N1476*13+L1477)/14</f>
        <v>175.051492682804</v>
      </c>
      <c r="O1477" s="17" t="n">
        <f aca="false">IF(N1477=0,100,100-100/(1+M1477/N1477))</f>
        <v>39.6297727849514</v>
      </c>
      <c r="P1477" s="17" t="n">
        <f aca="false">AVERAGE(B1458:B1477)+2*STDEV(B1458:B1477)</f>
        <v>14390.0484265838</v>
      </c>
      <c r="Q1477" s="17" t="n">
        <f aca="false">AVERAGE(B1458:B1477)-2*STDEV(B1458:B1477)</f>
        <v>11723.3115734162</v>
      </c>
      <c r="R1477" s="19" t="n">
        <f aca="false">B1477/B1457-1</f>
        <v>-0.10838459938344</v>
      </c>
      <c r="S1477" s="17" t="n">
        <f aca="false">STDEV(C1458:C1477)*SQRT(252)*100</f>
        <v>43.5875744636337</v>
      </c>
      <c r="T1477" s="19" t="n">
        <f aca="false">B1456/B1226-1</f>
        <v>0.0679325556921815</v>
      </c>
      <c r="U1477" s="19" t="n">
        <f aca="false">B1477/MAX(B1226:B1477)-1</f>
        <v>-0.252570694862955</v>
      </c>
      <c r="V1477" s="17" t="n">
        <f aca="false">(B1477-AVERAGE(B1458:B1477))/STDEV(B1458:B1477)</f>
        <v>-1.00389357758344</v>
      </c>
    </row>
    <row r="1478" customFormat="false" ht="15" hidden="false" customHeight="false" outlineLevel="0" collapsed="false">
      <c r="A1478" s="17" t="s">
        <v>2042</v>
      </c>
      <c r="B1478" s="17" t="n">
        <v>12243.58</v>
      </c>
      <c r="C1478" s="19" t="n">
        <f aca="false">B1478/B1477-1</f>
        <v>-0.0116101845423575</v>
      </c>
      <c r="D1478" s="17" t="n">
        <f aca="false">AVERAGE(B1429:B1478)</f>
        <v>13739.4988</v>
      </c>
      <c r="E1478" s="17" t="n">
        <f aca="false">AVERAGE(B1279:B1478)</f>
        <v>14953.9511</v>
      </c>
      <c r="F1478" s="17" t="n">
        <f aca="false">B1478*2/13+F1477*11/13</f>
        <v>12571.4416754719</v>
      </c>
      <c r="G1478" s="17" t="n">
        <f aca="false">B1478*2/27+G1477*25/27</f>
        <v>13075.7552758587</v>
      </c>
      <c r="H1478" s="17" t="n">
        <f aca="false">F1478-G1478</f>
        <v>-504.313600386769</v>
      </c>
      <c r="I1478" s="17" t="n">
        <f aca="false">H1478*2/10+I1477*8/10</f>
        <v>-445.655717479781</v>
      </c>
      <c r="J1478" s="17" t="n">
        <f aca="false">H1478-I1478</f>
        <v>-58.6578829069889</v>
      </c>
      <c r="K1478" s="17" t="n">
        <f aca="false">MAX(B1478-B1477,0)</f>
        <v>0</v>
      </c>
      <c r="L1478" s="17" t="n">
        <f aca="false">MAX(B1477-B1478,0)</f>
        <v>143.82</v>
      </c>
      <c r="M1478" s="17" t="n">
        <f aca="false">(M1477*13+K1478)/14</f>
        <v>106.703805133789</v>
      </c>
      <c r="N1478" s="17" t="n">
        <f aca="false">(N1477*13+L1478)/14</f>
        <v>172.820671776889</v>
      </c>
      <c r="O1478" s="17" t="n">
        <f aca="false">IF(N1478=0,100,100-100/(1+M1478/N1478))</f>
        <v>38.1733314781896</v>
      </c>
      <c r="P1478" s="17" t="n">
        <f aca="false">AVERAGE(B1459:B1478)+2*STDEV(B1459:B1478)</f>
        <v>14290.222744389</v>
      </c>
      <c r="Q1478" s="17" t="n">
        <f aca="false">AVERAGE(B1459:B1478)-2*STDEV(B1459:B1478)</f>
        <v>11656.419255611</v>
      </c>
      <c r="R1478" s="19" t="n">
        <f aca="false">B1478/B1458-1</f>
        <v>-0.119848232591174</v>
      </c>
      <c r="S1478" s="17" t="n">
        <f aca="false">STDEV(C1459:C1478)*SQRT(252)*100</f>
        <v>43.567691189891</v>
      </c>
      <c r="T1478" s="19" t="n">
        <f aca="false">B1457/B1227-1</f>
        <v>0.0511080613239237</v>
      </c>
      <c r="U1478" s="19" t="n">
        <f aca="false">B1478/MAX(B1227:B1478)-1</f>
        <v>-0.261248487027962</v>
      </c>
      <c r="V1478" s="17" t="n">
        <f aca="false">(B1478-AVERAGE(B1459:B1478))/STDEV(B1459:B1478)</f>
        <v>-1.10826947129391</v>
      </c>
    </row>
    <row r="1479" customFormat="false" ht="15" hidden="false" customHeight="false" outlineLevel="0" collapsed="false">
      <c r="A1479" s="17" t="s">
        <v>2043</v>
      </c>
      <c r="B1479" s="17" t="n">
        <v>12564.1</v>
      </c>
      <c r="C1479" s="19" t="n">
        <f aca="false">B1479/B1478-1</f>
        <v>0.0261786176918843</v>
      </c>
      <c r="D1479" s="17" t="n">
        <f aca="false">AVERAGE(B1430:B1479)</f>
        <v>13724.3932</v>
      </c>
      <c r="E1479" s="17" t="n">
        <f aca="false">AVERAGE(B1280:B1479)</f>
        <v>14941.9535</v>
      </c>
      <c r="F1479" s="17" t="n">
        <f aca="false">B1479*2/13+F1478*11/13</f>
        <v>12570.3121869378</v>
      </c>
      <c r="G1479" s="17" t="n">
        <f aca="false">B1479*2/27+G1478*25/27</f>
        <v>13037.8548850543</v>
      </c>
      <c r="H1479" s="17" t="n">
        <f aca="false">F1479-G1479</f>
        <v>-467.54269811656</v>
      </c>
      <c r="I1479" s="17" t="n">
        <f aca="false">H1479*2/10+I1478*8/10</f>
        <v>-450.033113607136</v>
      </c>
      <c r="J1479" s="17" t="n">
        <f aca="false">H1479-I1479</f>
        <v>-17.5095845094237</v>
      </c>
      <c r="K1479" s="17" t="n">
        <f aca="false">MAX(B1479-B1478,0)</f>
        <v>320.52</v>
      </c>
      <c r="L1479" s="17" t="n">
        <f aca="false">MAX(B1478-B1479,0)</f>
        <v>0</v>
      </c>
      <c r="M1479" s="17" t="n">
        <f aca="false">(M1478*13+K1479)/14</f>
        <v>121.976390481375</v>
      </c>
      <c r="N1479" s="17" t="n">
        <f aca="false">(N1478*13+L1479)/14</f>
        <v>160.47633807854</v>
      </c>
      <c r="O1479" s="17" t="n">
        <f aca="false">IF(N1479=0,100,100-100/(1+M1479/N1479))</f>
        <v>43.1847095630025</v>
      </c>
      <c r="P1479" s="17" t="n">
        <f aca="false">AVERAGE(B1460:B1479)+2*STDEV(B1460:B1479)</f>
        <v>14082.1685707861</v>
      </c>
      <c r="Q1479" s="17" t="n">
        <f aca="false">AVERAGE(B1460:B1479)-2*STDEV(B1460:B1479)</f>
        <v>11699.8574292139</v>
      </c>
      <c r="R1479" s="19" t="n">
        <f aca="false">B1479/B1459-1</f>
        <v>-0.115843059873641</v>
      </c>
      <c r="S1479" s="17" t="n">
        <f aca="false">STDEV(C1460:C1479)*SQRT(252)*100</f>
        <v>43.9865515519657</v>
      </c>
      <c r="T1479" s="19" t="n">
        <f aca="false">B1458/B1228-1</f>
        <v>0.0508275097806226</v>
      </c>
      <c r="U1479" s="19" t="n">
        <f aca="false">B1479/MAX(B1228:B1479)-1</f>
        <v>-0.241908993600566</v>
      </c>
      <c r="V1479" s="17" t="n">
        <f aca="false">(B1479-AVERAGE(B1460:B1479))/STDEV(B1460:B1479)</f>
        <v>-0.548900593705418</v>
      </c>
    </row>
    <row r="1480" customFormat="false" ht="15" hidden="false" customHeight="false" outlineLevel="0" collapsed="false">
      <c r="A1480" s="17" t="s">
        <v>2044</v>
      </c>
      <c r="B1480" s="17" t="n">
        <v>11928.31</v>
      </c>
      <c r="C1480" s="19" t="n">
        <f aca="false">B1480/B1479-1</f>
        <v>-0.0506037042048376</v>
      </c>
      <c r="D1480" s="17" t="n">
        <f aca="false">AVERAGE(B1431:B1480)</f>
        <v>13697.6072</v>
      </c>
      <c r="E1480" s="17" t="n">
        <f aca="false">AVERAGE(B1281:B1480)</f>
        <v>14926.28795</v>
      </c>
      <c r="F1480" s="17" t="n">
        <f aca="false">B1480*2/13+F1479*11/13</f>
        <v>12471.5426197166</v>
      </c>
      <c r="G1480" s="17" t="n">
        <f aca="false">B1480*2/27+G1479*25/27</f>
        <v>12955.6663750503</v>
      </c>
      <c r="H1480" s="17" t="n">
        <f aca="false">F1480-G1480</f>
        <v>-484.123755333729</v>
      </c>
      <c r="I1480" s="17" t="n">
        <f aca="false">H1480*2/10+I1479*8/10</f>
        <v>-456.851241952455</v>
      </c>
      <c r="J1480" s="17" t="n">
        <f aca="false">H1480-I1480</f>
        <v>-27.2725133812738</v>
      </c>
      <c r="K1480" s="17" t="n">
        <f aca="false">MAX(B1480-B1479,0)</f>
        <v>0</v>
      </c>
      <c r="L1480" s="17" t="n">
        <f aca="false">MAX(B1479-B1480,0)</f>
        <v>635.790000000001</v>
      </c>
      <c r="M1480" s="17" t="n">
        <f aca="false">(M1479*13+K1480)/14</f>
        <v>113.263791161277</v>
      </c>
      <c r="N1480" s="17" t="n">
        <f aca="false">(N1479*13+L1480)/14</f>
        <v>194.427313930073</v>
      </c>
      <c r="O1480" s="17" t="n">
        <f aca="false">IF(N1480=0,100,100-100/(1+M1480/N1480))</f>
        <v>36.8108760009979</v>
      </c>
      <c r="P1480" s="17" t="n">
        <f aca="false">AVERAGE(B1461:B1480)+2*STDEV(B1461:B1480)</f>
        <v>13932.3262971713</v>
      </c>
      <c r="Q1480" s="17" t="n">
        <f aca="false">AVERAGE(B1461:B1480)-2*STDEV(B1461:B1480)</f>
        <v>11642.6777028287</v>
      </c>
      <c r="R1480" s="19" t="n">
        <f aca="false">B1480/B1460-1</f>
        <v>-0.147888385423327</v>
      </c>
      <c r="S1480" s="17" t="n">
        <f aca="false">STDEV(C1461:C1480)*SQRT(252)*100</f>
        <v>46.7108316516062</v>
      </c>
      <c r="T1480" s="19" t="n">
        <f aca="false">B1459/B1229-1</f>
        <v>0.0530728637499824</v>
      </c>
      <c r="U1480" s="19" t="n">
        <f aca="false">B1480/MAX(B1229:B1480)-1</f>
        <v>-0.28027120664875</v>
      </c>
      <c r="V1480" s="17" t="n">
        <f aca="false">(B1480-AVERAGE(B1461:B1480))/STDEV(B1461:B1480)</f>
        <v>-1.50100238459818</v>
      </c>
    </row>
    <row r="1481" customFormat="false" ht="15" hidden="false" customHeight="false" outlineLevel="0" collapsed="false">
      <c r="A1481" s="17" t="s">
        <v>2045</v>
      </c>
      <c r="B1481" s="17" t="n">
        <v>11875.63</v>
      </c>
      <c r="C1481" s="19" t="n">
        <f aca="false">B1481/B1480-1</f>
        <v>-0.00441638421536661</v>
      </c>
      <c r="D1481" s="17" t="n">
        <f aca="false">AVERAGE(B1432:B1481)</f>
        <v>13660.2758</v>
      </c>
      <c r="E1481" s="17" t="n">
        <f aca="false">AVERAGE(B1282:B1481)</f>
        <v>14910.24915</v>
      </c>
      <c r="F1481" s="17" t="n">
        <f aca="false">B1481*2/13+F1480*11/13</f>
        <v>12379.8637551448</v>
      </c>
      <c r="G1481" s="17" t="n">
        <f aca="false">B1481*2/27+G1480*25/27</f>
        <v>12875.6636806021</v>
      </c>
      <c r="H1481" s="17" t="n">
        <f aca="false">F1481-G1481</f>
        <v>-495.799925457339</v>
      </c>
      <c r="I1481" s="17" t="n">
        <f aca="false">H1481*2/10+I1480*8/10</f>
        <v>-464.640978653432</v>
      </c>
      <c r="J1481" s="17" t="n">
        <f aca="false">H1481-I1481</f>
        <v>-31.1589468039072</v>
      </c>
      <c r="K1481" s="17" t="n">
        <f aca="false">MAX(B1481-B1480,0)</f>
        <v>0</v>
      </c>
      <c r="L1481" s="17" t="n">
        <f aca="false">MAX(B1480-B1481,0)</f>
        <v>52.6800000000003</v>
      </c>
      <c r="M1481" s="17" t="n">
        <f aca="false">(M1480*13+K1481)/14</f>
        <v>105.173520364043</v>
      </c>
      <c r="N1481" s="17" t="n">
        <f aca="false">(N1480*13+L1481)/14</f>
        <v>184.302505792211</v>
      </c>
      <c r="O1481" s="17" t="n">
        <f aca="false">IF(N1481=0,100,100-100/(1+M1481/N1481))</f>
        <v>36.3323767292813</v>
      </c>
      <c r="P1481" s="17" t="n">
        <f aca="false">AVERAGE(B1462:B1481)+2*STDEV(B1462:B1481)</f>
        <v>13820.6996953942</v>
      </c>
      <c r="Q1481" s="17" t="n">
        <f aca="false">AVERAGE(B1462:B1481)-2*STDEV(B1462:B1481)</f>
        <v>11569.8223046058</v>
      </c>
      <c r="R1481" s="19" t="n">
        <f aca="false">B1481/B1461-1</f>
        <v>-0.134457689069965</v>
      </c>
      <c r="S1481" s="17" t="n">
        <f aca="false">STDEV(C1462:C1481)*SQRT(252)*100</f>
        <v>46.4922540038976</v>
      </c>
      <c r="T1481" s="19" t="n">
        <f aca="false">B1460/B1230-1</f>
        <v>0.0437519665606403</v>
      </c>
      <c r="U1481" s="19" t="n">
        <f aca="false">B1481/MAX(B1230:B1481)-1</f>
        <v>-0.283449805531052</v>
      </c>
      <c r="V1481" s="17" t="n">
        <f aca="false">(B1481-AVERAGE(B1462:B1481))/STDEV(B1462:B1481)</f>
        <v>-1.45655379249767</v>
      </c>
    </row>
    <row r="1482" customFormat="false" ht="15" hidden="false" customHeight="false" outlineLevel="0" collapsed="false">
      <c r="A1482" s="17" t="s">
        <v>2046</v>
      </c>
      <c r="B1482" s="17" t="n">
        <v>11835.62</v>
      </c>
      <c r="C1482" s="19" t="n">
        <f aca="false">B1482/B1481-1</f>
        <v>-0.00336908441910011</v>
      </c>
      <c r="D1482" s="17" t="n">
        <f aca="false">AVERAGE(B1433:B1482)</f>
        <v>13625.1682</v>
      </c>
      <c r="E1482" s="17" t="n">
        <f aca="false">AVERAGE(B1283:B1482)</f>
        <v>14893.51905</v>
      </c>
      <c r="F1482" s="17" t="n">
        <f aca="false">B1482*2/13+F1481*11/13</f>
        <v>12296.133946661</v>
      </c>
      <c r="G1482" s="17" t="n">
        <f aca="false">B1482*2/27+G1481*25/27</f>
        <v>12798.6234079649</v>
      </c>
      <c r="H1482" s="17" t="n">
        <f aca="false">F1482-G1482</f>
        <v>-502.489461303958</v>
      </c>
      <c r="I1482" s="17" t="n">
        <f aca="false">H1482*2/10+I1481*8/10</f>
        <v>-472.210675183537</v>
      </c>
      <c r="J1482" s="17" t="n">
        <f aca="false">H1482-I1482</f>
        <v>-30.2787861204209</v>
      </c>
      <c r="K1482" s="17" t="n">
        <f aca="false">MAX(B1482-B1481,0)</f>
        <v>0</v>
      </c>
      <c r="L1482" s="17" t="n">
        <f aca="false">MAX(B1481-B1482,0)</f>
        <v>40.0099999999984</v>
      </c>
      <c r="M1482" s="17" t="n">
        <f aca="false">(M1481*13+K1482)/14</f>
        <v>97.6611260523256</v>
      </c>
      <c r="N1482" s="17" t="n">
        <f aca="false">(N1481*13+L1482)/14</f>
        <v>173.995898235624</v>
      </c>
      <c r="O1482" s="17" t="n">
        <f aca="false">IF(N1482=0,100,100-100/(1+M1482/N1482))</f>
        <v>35.9501567494192</v>
      </c>
      <c r="P1482" s="17" t="n">
        <f aca="false">AVERAGE(B1463:B1482)+2*STDEV(B1463:B1482)</f>
        <v>13761.8596896478</v>
      </c>
      <c r="Q1482" s="17" t="n">
        <f aca="false">AVERAGE(B1463:B1482)-2*STDEV(B1463:B1482)</f>
        <v>11476.5373103522</v>
      </c>
      <c r="R1482" s="19" t="n">
        <f aca="false">B1482/B1462-1</f>
        <v>-0.113892700909719</v>
      </c>
      <c r="S1482" s="17" t="n">
        <f aca="false">STDEV(C1463:C1482)*SQRT(252)*100</f>
        <v>45.9126465003676</v>
      </c>
      <c r="T1482" s="19" t="n">
        <f aca="false">B1461/B1231-1</f>
        <v>0.00576905455678345</v>
      </c>
      <c r="U1482" s="19" t="n">
        <f aca="false">B1482/MAX(B1231:B1482)-1</f>
        <v>-0.28586392362674</v>
      </c>
      <c r="V1482" s="17" t="n">
        <f aca="false">(B1482-AVERAGE(B1463:B1482))/STDEV(B1463:B1482)</f>
        <v>-1.37149753067488</v>
      </c>
    </row>
    <row r="1483" customFormat="false" ht="15" hidden="false" customHeight="false" outlineLevel="0" collapsed="false">
      <c r="A1483" s="17" t="s">
        <v>2047</v>
      </c>
      <c r="B1483" s="17" t="n">
        <v>12034.28</v>
      </c>
      <c r="C1483" s="19" t="n">
        <f aca="false">B1483/B1482-1</f>
        <v>0.0167849255045363</v>
      </c>
      <c r="D1483" s="17" t="n">
        <f aca="false">AVERAGE(B1434:B1483)</f>
        <v>13599.8172</v>
      </c>
      <c r="E1483" s="17" t="n">
        <f aca="false">AVERAGE(B1284:B1483)</f>
        <v>14878.14365</v>
      </c>
      <c r="F1483" s="17" t="n">
        <f aca="false">B1483*2/13+F1482*11/13</f>
        <v>12255.8487240977</v>
      </c>
      <c r="G1483" s="17" t="n">
        <f aca="false">B1483*2/27+G1482*25/27</f>
        <v>12742.0053777453</v>
      </c>
      <c r="H1483" s="17" t="n">
        <f aca="false">F1483-G1483</f>
        <v>-486.156653647558</v>
      </c>
      <c r="I1483" s="17" t="n">
        <f aca="false">H1483*2/10+I1482*8/10</f>
        <v>-474.999870876341</v>
      </c>
      <c r="J1483" s="17" t="n">
        <f aca="false">H1483-I1483</f>
        <v>-11.1567827712173</v>
      </c>
      <c r="K1483" s="17" t="n">
        <f aca="false">MAX(B1483-B1482,0)</f>
        <v>198.66</v>
      </c>
      <c r="L1483" s="17" t="n">
        <f aca="false">MAX(B1482-B1483,0)</f>
        <v>0</v>
      </c>
      <c r="M1483" s="17" t="n">
        <f aca="false">(M1482*13+K1483)/14</f>
        <v>104.875331334302</v>
      </c>
      <c r="N1483" s="17" t="n">
        <f aca="false">(N1482*13+L1483)/14</f>
        <v>161.567619790222</v>
      </c>
      <c r="O1483" s="17" t="n">
        <f aca="false">IF(N1483=0,100,100-100/(1+M1483/N1483))</f>
        <v>39.3612707304416</v>
      </c>
      <c r="P1483" s="17" t="n">
        <f aca="false">AVERAGE(B1464:B1483)+2*STDEV(B1464:B1483)</f>
        <v>13629.6869077662</v>
      </c>
      <c r="Q1483" s="17" t="n">
        <f aca="false">AVERAGE(B1464:B1483)-2*STDEV(B1464:B1483)</f>
        <v>11458.8160922338</v>
      </c>
      <c r="R1483" s="19" t="n">
        <f aca="false">B1483/B1463-1</f>
        <v>-0.110760040847633</v>
      </c>
      <c r="S1483" s="17" t="n">
        <f aca="false">STDEV(C1464:C1483)*SQRT(252)*100</f>
        <v>46.1246032280246</v>
      </c>
      <c r="T1483" s="19" t="n">
        <f aca="false">B1462/B1232-1</f>
        <v>-0.0220285508646019</v>
      </c>
      <c r="U1483" s="19" t="n">
        <f aca="false">B1483/MAX(B1232:B1483)-1</f>
        <v>-0.273877202784713</v>
      </c>
      <c r="V1483" s="17" t="n">
        <f aca="false">(B1483-AVERAGE(B1464:B1483))/STDEV(B1464:B1483)</f>
        <v>-0.939662547123826</v>
      </c>
    </row>
    <row r="1484" customFormat="false" ht="15" hidden="false" customHeight="false" outlineLevel="0" collapsed="false">
      <c r="A1484" s="17" t="s">
        <v>2048</v>
      </c>
      <c r="B1484" s="17" t="n">
        <v>11769.84</v>
      </c>
      <c r="C1484" s="19" t="n">
        <f aca="false">B1484/B1483-1</f>
        <v>-0.0219738945744989</v>
      </c>
      <c r="D1484" s="17" t="n">
        <f aca="false">AVERAGE(B1435:B1484)</f>
        <v>13574.2812</v>
      </c>
      <c r="E1484" s="17" t="n">
        <f aca="false">AVERAGE(B1285:B1484)</f>
        <v>14861.3273</v>
      </c>
      <c r="F1484" s="17" t="n">
        <f aca="false">B1484*2/13+F1483*11/13</f>
        <v>12181.0781511596</v>
      </c>
      <c r="G1484" s="17" t="n">
        <f aca="false">B1484*2/27+G1483*25/27</f>
        <v>12669.993127542</v>
      </c>
      <c r="H1484" s="17" t="n">
        <f aca="false">F1484-G1484</f>
        <v>-488.914976382317</v>
      </c>
      <c r="I1484" s="17" t="n">
        <f aca="false">H1484*2/10+I1483*8/10</f>
        <v>-477.782891977536</v>
      </c>
      <c r="J1484" s="17" t="n">
        <f aca="false">H1484-I1484</f>
        <v>-11.1320844047807</v>
      </c>
      <c r="K1484" s="17" t="n">
        <f aca="false">MAX(B1484-B1483,0)</f>
        <v>0</v>
      </c>
      <c r="L1484" s="17" t="n">
        <f aca="false">MAX(B1483-B1484,0)</f>
        <v>264.440000000001</v>
      </c>
      <c r="M1484" s="17" t="n">
        <f aca="false">(M1483*13+K1484)/14</f>
        <v>97.384236238995</v>
      </c>
      <c r="N1484" s="17" t="n">
        <f aca="false">(N1483*13+L1484)/14</f>
        <v>168.915646948064</v>
      </c>
      <c r="O1484" s="17" t="n">
        <f aca="false">IF(N1484=0,100,100-100/(1+M1484/N1484))</f>
        <v>36.569387516625</v>
      </c>
      <c r="P1484" s="17" t="n">
        <f aca="false">AVERAGE(B1465:B1484)+2*STDEV(B1465:B1484)</f>
        <v>13596.9923597959</v>
      </c>
      <c r="Q1484" s="17" t="n">
        <f aca="false">AVERAGE(B1465:B1484)-2*STDEV(B1465:B1484)</f>
        <v>11367.5236402041</v>
      </c>
      <c r="R1484" s="19" t="n">
        <f aca="false">B1484/B1464-1</f>
        <v>-0.0953034310526522</v>
      </c>
      <c r="S1484" s="17" t="n">
        <f aca="false">STDEV(C1465:C1484)*SQRT(252)*100</f>
        <v>44.8925899637331</v>
      </c>
      <c r="T1484" s="19" t="n">
        <f aca="false">B1463/B1233-1</f>
        <v>-0.0123712483780617</v>
      </c>
      <c r="U1484" s="19" t="n">
        <f aca="false">B1484/MAX(B1233:B1484)-1</f>
        <v>-0.289832948578862</v>
      </c>
      <c r="V1484" s="17" t="n">
        <f aca="false">(B1484-AVERAGE(B1465:B1484))/STDEV(B1465:B1484)</f>
        <v>-1.27818433824982</v>
      </c>
    </row>
    <row r="1485" customFormat="false" ht="15" hidden="false" customHeight="false" outlineLevel="0" collapsed="false">
      <c r="A1485" s="17" t="s">
        <v>2049</v>
      </c>
      <c r="B1485" s="17" t="n">
        <v>11943.93</v>
      </c>
      <c r="C1485" s="19" t="n">
        <f aca="false">B1485/B1484-1</f>
        <v>0.0147911951224486</v>
      </c>
      <c r="D1485" s="17" t="n">
        <f aca="false">AVERAGE(B1436:B1485)</f>
        <v>13543.9886</v>
      </c>
      <c r="E1485" s="17" t="n">
        <f aca="false">AVERAGE(B1286:B1485)</f>
        <v>14845.77905</v>
      </c>
      <c r="F1485" s="17" t="n">
        <f aca="false">B1485*2/13+F1484*11/13</f>
        <v>12144.593820212</v>
      </c>
      <c r="G1485" s="17" t="n">
        <f aca="false">B1485*2/27+G1484*25/27</f>
        <v>12616.21067365</v>
      </c>
      <c r="H1485" s="17" t="n">
        <f aca="false">F1485-G1485</f>
        <v>-471.616853437958</v>
      </c>
      <c r="I1485" s="17" t="n">
        <f aca="false">H1485*2/10+I1484*8/10</f>
        <v>-476.549684269621</v>
      </c>
      <c r="J1485" s="17" t="n">
        <f aca="false">H1485-I1485</f>
        <v>4.93283083166301</v>
      </c>
      <c r="K1485" s="17" t="n">
        <f aca="false">MAX(B1485-B1484,0)</f>
        <v>174.09</v>
      </c>
      <c r="L1485" s="17" t="n">
        <f aca="false">MAX(B1484-B1485,0)</f>
        <v>0</v>
      </c>
      <c r="M1485" s="17" t="n">
        <f aca="false">(M1484*13+K1485)/14</f>
        <v>102.863219364781</v>
      </c>
      <c r="N1485" s="17" t="n">
        <f aca="false">(N1484*13+L1485)/14</f>
        <v>156.85024359463</v>
      </c>
      <c r="O1485" s="17" t="n">
        <f aca="false">IF(N1485=0,100,100-100/(1+M1485/N1485))</f>
        <v>39.606425555558</v>
      </c>
      <c r="P1485" s="17" t="n">
        <f aca="false">AVERAGE(B1466:B1485)+2*STDEV(B1466:B1485)</f>
        <v>13540.4390961105</v>
      </c>
      <c r="Q1485" s="17" t="n">
        <f aca="false">AVERAGE(B1466:B1485)-2*STDEV(B1466:B1485)</f>
        <v>11318.1339038895</v>
      </c>
      <c r="R1485" s="19" t="n">
        <f aca="false">B1485/B1465-1</f>
        <v>-0.0814735576035732</v>
      </c>
      <c r="S1485" s="17" t="n">
        <f aca="false">STDEV(C1466:C1485)*SQRT(252)*100</f>
        <v>45.4034663712057</v>
      </c>
      <c r="T1485" s="19" t="n">
        <f aca="false">B1464/B1234-1</f>
        <v>-0.0474554926287814</v>
      </c>
      <c r="U1485" s="19" t="n">
        <f aca="false">B1485/MAX(B1234:B1485)-1</f>
        <v>-0.279328729151758</v>
      </c>
      <c r="V1485" s="17" t="n">
        <f aca="false">(B1485-AVERAGE(B1466:B1485))/STDEV(B1466:B1485)</f>
        <v>-0.873609082494953</v>
      </c>
    </row>
    <row r="1486" customFormat="false" ht="15" hidden="false" customHeight="false" outlineLevel="0" collapsed="false">
      <c r="A1486" s="17" t="s">
        <v>2050</v>
      </c>
      <c r="B1486" s="17" t="n">
        <v>12276.79</v>
      </c>
      <c r="C1486" s="19" t="n">
        <f aca="false">B1486/B1485-1</f>
        <v>0.0278685491291393</v>
      </c>
      <c r="D1486" s="17" t="n">
        <f aca="false">AVERAGE(B1437:B1486)</f>
        <v>13510.3886</v>
      </c>
      <c r="E1486" s="17" t="n">
        <f aca="false">AVERAGE(B1287:B1486)</f>
        <v>14832.0242</v>
      </c>
      <c r="F1486" s="17" t="n">
        <f aca="false">B1486*2/13+F1485*11/13</f>
        <v>12164.9316940255</v>
      </c>
      <c r="G1486" s="17" t="n">
        <f aca="false">B1486*2/27+G1485*25/27</f>
        <v>12591.0684015277</v>
      </c>
      <c r="H1486" s="17" t="n">
        <f aca="false">F1486-G1486</f>
        <v>-426.136707502199</v>
      </c>
      <c r="I1486" s="17" t="n">
        <f aca="false">H1486*2/10+I1485*8/10</f>
        <v>-466.467088916136</v>
      </c>
      <c r="J1486" s="17" t="n">
        <f aca="false">H1486-I1486</f>
        <v>40.3303814139373</v>
      </c>
      <c r="K1486" s="17" t="n">
        <f aca="false">MAX(B1486-B1485,0)</f>
        <v>332.860000000001</v>
      </c>
      <c r="L1486" s="17" t="n">
        <f aca="false">MAX(B1485-B1486,0)</f>
        <v>0</v>
      </c>
      <c r="M1486" s="17" t="n">
        <f aca="false">(M1485*13+K1486)/14</f>
        <v>119.291560838725</v>
      </c>
      <c r="N1486" s="17" t="n">
        <f aca="false">(N1485*13+L1486)/14</f>
        <v>145.646654766443</v>
      </c>
      <c r="O1486" s="17" t="n">
        <f aca="false">IF(N1486=0,100,100-100/(1+M1486/N1486))</f>
        <v>45.0261811291517</v>
      </c>
      <c r="P1486" s="17" t="n">
        <f aca="false">AVERAGE(B1467:B1486)+2*STDEV(B1467:B1486)</f>
        <v>13371.8053656981</v>
      </c>
      <c r="Q1486" s="17" t="n">
        <f aca="false">AVERAGE(B1467:B1486)-2*STDEV(B1467:B1486)</f>
        <v>11368.8406343019</v>
      </c>
      <c r="R1486" s="19" t="n">
        <f aca="false">B1486/B1466-1</f>
        <v>-0.0876385806840931</v>
      </c>
      <c r="S1486" s="17" t="n">
        <f aca="false">STDEV(C1467:C1486)*SQRT(252)*100</f>
        <v>44.6802206389051</v>
      </c>
      <c r="T1486" s="19" t="n">
        <f aca="false">B1465/B1235-1</f>
        <v>-0.0499141125093249</v>
      </c>
      <c r="U1486" s="19" t="n">
        <f aca="false">B1486/MAX(B1235:B1486)-1</f>
        <v>-0.259244666434165</v>
      </c>
      <c r="V1486" s="17" t="n">
        <f aca="false">(B1486-AVERAGE(B1467:B1486))/STDEV(B1467:B1486)</f>
        <v>-0.18678911023022</v>
      </c>
    </row>
    <row r="1487" customFormat="false" ht="15" hidden="false" customHeight="false" outlineLevel="0" collapsed="false">
      <c r="A1487" s="17" t="s">
        <v>2051</v>
      </c>
      <c r="B1487" s="17" t="n">
        <v>12681.42</v>
      </c>
      <c r="C1487" s="19" t="n">
        <f aca="false">B1487/B1486-1</f>
        <v>0.0329589412216058</v>
      </c>
      <c r="D1487" s="17" t="n">
        <f aca="false">AVERAGE(B1438:B1487)</f>
        <v>13481.645</v>
      </c>
      <c r="E1487" s="17" t="n">
        <f aca="false">AVERAGE(B1288:B1487)</f>
        <v>14819.9864</v>
      </c>
      <c r="F1487" s="17" t="n">
        <f aca="false">B1487*2/13+F1486*11/13</f>
        <v>12244.3914334062</v>
      </c>
      <c r="G1487" s="17" t="n">
        <f aca="false">B1487*2/27+G1486*25/27</f>
        <v>12597.7611125257</v>
      </c>
      <c r="H1487" s="17" t="n">
        <f aca="false">F1487-G1487</f>
        <v>-353.369679119458</v>
      </c>
      <c r="I1487" s="17" t="n">
        <f aca="false">H1487*2/10+I1486*8/10</f>
        <v>-443.847606956801</v>
      </c>
      <c r="J1487" s="17" t="n">
        <f aca="false">H1487-I1487</f>
        <v>90.4779278373427</v>
      </c>
      <c r="K1487" s="17" t="n">
        <f aca="false">MAX(B1487-B1486,0)</f>
        <v>404.629999999999</v>
      </c>
      <c r="L1487" s="17" t="n">
        <f aca="false">MAX(B1486-B1487,0)</f>
        <v>0</v>
      </c>
      <c r="M1487" s="17" t="n">
        <f aca="false">(M1486*13+K1487)/14</f>
        <v>139.672877921673</v>
      </c>
      <c r="N1487" s="17" t="n">
        <f aca="false">(N1486*13+L1487)/14</f>
        <v>135.243322283125</v>
      </c>
      <c r="O1487" s="17" t="n">
        <f aca="false">IF(N1487=0,100,100-100/(1+M1487/N1487))</f>
        <v>50.8056192460191</v>
      </c>
      <c r="P1487" s="17" t="n">
        <f aca="false">AVERAGE(B1468:B1487)+2*STDEV(B1468:B1487)</f>
        <v>13348.3713925358</v>
      </c>
      <c r="Q1487" s="17" t="n">
        <f aca="false">AVERAGE(B1468:B1487)-2*STDEV(B1468:B1487)</f>
        <v>11374.9366074642</v>
      </c>
      <c r="R1487" s="19" t="n">
        <f aca="false">B1487/B1467-1</f>
        <v>-0.0134875688458785</v>
      </c>
      <c r="S1487" s="17" t="n">
        <f aca="false">STDEV(C1468:C1487)*SQRT(252)*100</f>
        <v>43.8408142378657</v>
      </c>
      <c r="T1487" s="19" t="n">
        <f aca="false">B1466/B1236-1</f>
        <v>-0.0145394332601712</v>
      </c>
      <c r="U1487" s="19" t="n">
        <f aca="false">B1487/MAX(B1236:B1487)-1</f>
        <v>-0.234830154935577</v>
      </c>
      <c r="V1487" s="17" t="n">
        <f aca="false">(B1487-AVERAGE(B1468:B1487))/STDEV(B1468:B1487)</f>
        <v>0.648141002517907</v>
      </c>
    </row>
    <row r="1488" customFormat="false" ht="15" hidden="false" customHeight="false" outlineLevel="0" collapsed="false">
      <c r="A1488" s="17" t="s">
        <v>2052</v>
      </c>
      <c r="B1488" s="17" t="n">
        <v>12642.1</v>
      </c>
      <c r="C1488" s="19" t="n">
        <f aca="false">B1488/B1487-1</f>
        <v>-0.00310059914425986</v>
      </c>
      <c r="D1488" s="17" t="n">
        <f aca="false">AVERAGE(B1439:B1488)</f>
        <v>13446.0854</v>
      </c>
      <c r="E1488" s="17" t="n">
        <f aca="false">AVERAGE(B1289:B1488)</f>
        <v>14807.5135</v>
      </c>
      <c r="F1488" s="17" t="n">
        <f aca="false">B1488*2/13+F1487*11/13</f>
        <v>12305.5773667283</v>
      </c>
      <c r="G1488" s="17" t="n">
        <f aca="false">B1488*2/27+G1487*25/27</f>
        <v>12601.0454745608</v>
      </c>
      <c r="H1488" s="17" t="n">
        <f aca="false">F1488-G1488</f>
        <v>-295.468107832474</v>
      </c>
      <c r="I1488" s="17" t="n">
        <f aca="false">H1488*2/10+I1487*8/10</f>
        <v>-414.171707131935</v>
      </c>
      <c r="J1488" s="17" t="n">
        <f aca="false">H1488-I1488</f>
        <v>118.703599299461</v>
      </c>
      <c r="K1488" s="17" t="n">
        <f aca="false">MAX(B1488-B1487,0)</f>
        <v>0</v>
      </c>
      <c r="L1488" s="17" t="n">
        <f aca="false">MAX(B1487-B1488,0)</f>
        <v>39.3199999999997</v>
      </c>
      <c r="M1488" s="17" t="n">
        <f aca="false">(M1487*13+K1488)/14</f>
        <v>129.696243784411</v>
      </c>
      <c r="N1488" s="17" t="n">
        <f aca="false">(N1487*13+L1488)/14</f>
        <v>128.391656405759</v>
      </c>
      <c r="O1488" s="17" t="n">
        <f aca="false">IF(N1488=0,100,100-100/(1+M1488/N1488))</f>
        <v>50.2527409029425</v>
      </c>
      <c r="P1488" s="17" t="n">
        <f aca="false">AVERAGE(B1469:B1488)+2*STDEV(B1469:B1488)</f>
        <v>13278.478237846</v>
      </c>
      <c r="Q1488" s="17" t="n">
        <f aca="false">AVERAGE(B1469:B1488)-2*STDEV(B1469:B1488)</f>
        <v>11401.454762154</v>
      </c>
      <c r="R1488" s="19" t="n">
        <f aca="false">B1488/B1468-1</f>
        <v>-0.033171839689198</v>
      </c>
      <c r="S1488" s="17" t="n">
        <f aca="false">STDEV(C1469:C1488)*SQRT(252)*100</f>
        <v>43.3549827435651</v>
      </c>
      <c r="T1488" s="19" t="n">
        <f aca="false">B1467/B1237-1</f>
        <v>-0.0600323637610699</v>
      </c>
      <c r="U1488" s="19" t="n">
        <f aca="false">B1488/MAX(B1237:B1488)-1</f>
        <v>-0.237202639902397</v>
      </c>
      <c r="V1488" s="17" t="n">
        <f aca="false">(B1488-AVERAGE(B1469:B1488))/STDEV(B1469:B1488)</f>
        <v>0.643856624944153</v>
      </c>
    </row>
    <row r="1489" customFormat="false" ht="15" hidden="false" customHeight="false" outlineLevel="0" collapsed="false">
      <c r="A1489" s="17" t="s">
        <v>2053</v>
      </c>
      <c r="B1489" s="17" t="n">
        <v>12548.36</v>
      </c>
      <c r="C1489" s="19" t="n">
        <f aca="false">B1489/B1488-1</f>
        <v>-0.00741490733343353</v>
      </c>
      <c r="D1489" s="17" t="n">
        <f aca="false">AVERAGE(B1440:B1489)</f>
        <v>13409.5308</v>
      </c>
      <c r="E1489" s="17" t="n">
        <f aca="false">AVERAGE(B1290:B1489)</f>
        <v>14794.55145</v>
      </c>
      <c r="F1489" s="17" t="n">
        <f aca="false">B1489*2/13+F1488*11/13</f>
        <v>12342.9285410778</v>
      </c>
      <c r="G1489" s="17" t="n">
        <f aca="false">B1489*2/27+G1488*25/27</f>
        <v>12597.1428468156</v>
      </c>
      <c r="H1489" s="17" t="n">
        <f aca="false">F1489-G1489</f>
        <v>-254.214305737743</v>
      </c>
      <c r="I1489" s="17" t="n">
        <f aca="false">H1489*2/10+I1488*8/10</f>
        <v>-382.180226853097</v>
      </c>
      <c r="J1489" s="17" t="n">
        <f aca="false">H1489-I1489</f>
        <v>127.965921115353</v>
      </c>
      <c r="K1489" s="17" t="n">
        <f aca="false">MAX(B1489-B1488,0)</f>
        <v>0</v>
      </c>
      <c r="L1489" s="17" t="n">
        <f aca="false">MAX(B1488-B1489,0)</f>
        <v>93.7399999999998</v>
      </c>
      <c r="M1489" s="17" t="n">
        <f aca="false">(M1488*13+K1489)/14</f>
        <v>120.432226371239</v>
      </c>
      <c r="N1489" s="17" t="n">
        <f aca="false">(N1488*13+L1489)/14</f>
        <v>125.916538091062</v>
      </c>
      <c r="O1489" s="17" t="n">
        <f aca="false">IF(N1489=0,100,100-100/(1+M1489/N1489))</f>
        <v>48.8868806117632</v>
      </c>
      <c r="P1489" s="17" t="n">
        <f aca="false">AVERAGE(B1470:B1489)+2*STDEV(B1470:B1489)</f>
        <v>13189.5079620094</v>
      </c>
      <c r="Q1489" s="17" t="n">
        <f aca="false">AVERAGE(B1470:B1489)-2*STDEV(B1470:B1489)</f>
        <v>11436.2710379906</v>
      </c>
      <c r="R1489" s="19" t="n">
        <f aca="false">B1489/B1469-1</f>
        <v>-0.0413708278902054</v>
      </c>
      <c r="S1489" s="17" t="n">
        <f aca="false">STDEV(C1470:C1489)*SQRT(252)*100</f>
        <v>43.3972912713065</v>
      </c>
      <c r="T1489" s="19" t="n">
        <f aca="false">B1468/B1238-1</f>
        <v>-0.0335432914895253</v>
      </c>
      <c r="U1489" s="19" t="n">
        <f aca="false">B1489/MAX(B1238:B1489)-1</f>
        <v>-0.242858711641709</v>
      </c>
      <c r="V1489" s="17" t="n">
        <f aca="false">(B1489-AVERAGE(B1470:B1489))/STDEV(B1470:B1489)</f>
        <v>0.537224597027629</v>
      </c>
    </row>
    <row r="1490" customFormat="false" ht="15" hidden="false" customHeight="false" outlineLevel="0" collapsed="false">
      <c r="A1490" s="17" t="s">
        <v>2054</v>
      </c>
      <c r="B1490" s="17" t="n">
        <v>12892.89</v>
      </c>
      <c r="C1490" s="19" t="n">
        <f aca="false">B1490/B1489-1</f>
        <v>0.0274561775403319</v>
      </c>
      <c r="D1490" s="17" t="n">
        <f aca="false">AVERAGE(B1441:B1490)</f>
        <v>13374.302</v>
      </c>
      <c r="E1490" s="17" t="n">
        <f aca="false">AVERAGE(B1291:B1490)</f>
        <v>14784.00175</v>
      </c>
      <c r="F1490" s="17" t="n">
        <f aca="false">B1490*2/13+F1489*11/13</f>
        <v>12427.5379962966</v>
      </c>
      <c r="G1490" s="17" t="n">
        <f aca="false">B1490*2/27+G1489*25/27</f>
        <v>12619.0500433478</v>
      </c>
      <c r="H1490" s="17" t="n">
        <f aca="false">F1490-G1490</f>
        <v>-191.512047051128</v>
      </c>
      <c r="I1490" s="17" t="n">
        <f aca="false">H1490*2/10+I1489*8/10</f>
        <v>-344.046590892703</v>
      </c>
      <c r="J1490" s="17" t="n">
        <f aca="false">H1490-I1490</f>
        <v>152.534543841575</v>
      </c>
      <c r="K1490" s="17" t="n">
        <f aca="false">MAX(B1490-B1489,0)</f>
        <v>344.529999999999</v>
      </c>
      <c r="L1490" s="17" t="n">
        <f aca="false">MAX(B1489-B1490,0)</f>
        <v>0</v>
      </c>
      <c r="M1490" s="17" t="n">
        <f aca="false">(M1489*13+K1490)/14</f>
        <v>136.439210201865</v>
      </c>
      <c r="N1490" s="17" t="n">
        <f aca="false">(N1489*13+L1490)/14</f>
        <v>116.922499655986</v>
      </c>
      <c r="O1490" s="17" t="n">
        <f aca="false">IF(N1490=0,100,100-100/(1+M1490/N1490))</f>
        <v>53.8515509223608</v>
      </c>
      <c r="P1490" s="17" t="n">
        <f aca="false">AVERAGE(B1471:B1490)+2*STDEV(B1471:B1490)</f>
        <v>13001.9513526748</v>
      </c>
      <c r="Q1490" s="17" t="n">
        <f aca="false">AVERAGE(B1471:B1490)-2*STDEV(B1471:B1490)</f>
        <v>11559.5456473252</v>
      </c>
      <c r="R1490" s="19" t="n">
        <f aca="false">B1490/B1470-1</f>
        <v>-0.0474906746672321</v>
      </c>
      <c r="S1490" s="17" t="n">
        <f aca="false">STDEV(C1471:C1490)*SQRT(252)*100</f>
        <v>42.7329914128911</v>
      </c>
      <c r="T1490" s="19" t="n">
        <f aca="false">B1469/B1239-1</f>
        <v>-0.0494431320833911</v>
      </c>
      <c r="U1490" s="19" t="n">
        <f aca="false">B1490/MAX(B1239:B1490)-1</f>
        <v>-0.222070506005428</v>
      </c>
      <c r="V1490" s="17" t="n">
        <f aca="false">(B1490-AVERAGE(B1471:B1490))/STDEV(B1471:B1490)</f>
        <v>1.69755706797237</v>
      </c>
    </row>
    <row r="1491" customFormat="false" ht="15" hidden="false" customHeight="false" outlineLevel="0" collapsed="false">
      <c r="A1491" s="17" t="s">
        <v>2055</v>
      </c>
      <c r="B1491" s="17" t="n">
        <v>12548.03</v>
      </c>
      <c r="C1491" s="19" t="n">
        <f aca="false">B1491/B1490-1</f>
        <v>-0.0267480758774796</v>
      </c>
      <c r="D1491" s="17" t="n">
        <f aca="false">AVERAGE(B1442:B1491)</f>
        <v>13336.3116</v>
      </c>
      <c r="E1491" s="17" t="n">
        <f aca="false">AVERAGE(B1292:B1491)</f>
        <v>14772.4523</v>
      </c>
      <c r="F1491" s="17" t="n">
        <f aca="false">B1491*2/13+F1490*11/13</f>
        <v>12446.0752276356</v>
      </c>
      <c r="G1491" s="17" t="n">
        <f aca="false">B1491*2/27+G1490*25/27</f>
        <v>12613.7892993961</v>
      </c>
      <c r="H1491" s="17" t="n">
        <f aca="false">F1491-G1491</f>
        <v>-167.714071760463</v>
      </c>
      <c r="I1491" s="17" t="n">
        <f aca="false">H1491*2/10+I1490*8/10</f>
        <v>-308.780087066255</v>
      </c>
      <c r="J1491" s="17" t="n">
        <f aca="false">H1491-I1491</f>
        <v>141.066015305792</v>
      </c>
      <c r="K1491" s="17" t="n">
        <f aca="false">MAX(B1491-B1490,0)</f>
        <v>0</v>
      </c>
      <c r="L1491" s="17" t="n">
        <f aca="false">MAX(B1490-B1491,0)</f>
        <v>344.859999999999</v>
      </c>
      <c r="M1491" s="17" t="n">
        <f aca="false">(M1490*13+K1491)/14</f>
        <v>126.693552330303</v>
      </c>
      <c r="N1491" s="17" t="n">
        <f aca="false">(N1490*13+L1491)/14</f>
        <v>133.203749680558</v>
      </c>
      <c r="O1491" s="17" t="n">
        <f aca="false">IF(N1491=0,100,100-100/(1+M1491/N1491))</f>
        <v>48.7475442607743</v>
      </c>
      <c r="P1491" s="17" t="n">
        <f aca="false">AVERAGE(B1472:B1491)+2*STDEV(B1472:B1491)</f>
        <v>12948.1601979255</v>
      </c>
      <c r="Q1491" s="17" t="n">
        <f aca="false">AVERAGE(B1472:B1491)-2*STDEV(B1472:B1491)</f>
        <v>11583.0848020745</v>
      </c>
      <c r="R1491" s="19" t="n">
        <f aca="false">B1491/B1471-1</f>
        <v>-0.0235414048425942</v>
      </c>
      <c r="S1491" s="17" t="n">
        <f aca="false">STDEV(C1472:C1491)*SQRT(252)*100</f>
        <v>39.8820009365601</v>
      </c>
      <c r="T1491" s="19" t="n">
        <f aca="false">B1470/B1240-1</f>
        <v>-0.0193568158552303</v>
      </c>
      <c r="U1491" s="19" t="n">
        <f aca="false">B1491/MAX(B1240:B1491)-1</f>
        <v>-0.242878623138124</v>
      </c>
      <c r="V1491" s="17" t="n">
        <f aca="false">(B1491-AVERAGE(B1472:B1491))/STDEV(B1472:B1491)</f>
        <v>0.827522057340823</v>
      </c>
    </row>
    <row r="1492" customFormat="false" ht="15" hidden="false" customHeight="false" outlineLevel="0" collapsed="false">
      <c r="A1492" s="17" t="s">
        <v>2056</v>
      </c>
      <c r="B1492" s="17" t="n">
        <v>12599.63</v>
      </c>
      <c r="C1492" s="19" t="n">
        <f aca="false">B1492/B1491-1</f>
        <v>0.00411219928546536</v>
      </c>
      <c r="D1492" s="17" t="n">
        <f aca="false">AVERAGE(B1443:B1492)</f>
        <v>13292.9904</v>
      </c>
      <c r="E1492" s="17" t="n">
        <f aca="false">AVERAGE(B1293:B1492)</f>
        <v>14760.78075</v>
      </c>
      <c r="F1492" s="17" t="n">
        <f aca="false">B1492*2/13+F1491*11/13</f>
        <v>12469.6990387686</v>
      </c>
      <c r="G1492" s="17" t="n">
        <f aca="false">B1492*2/27+G1491*25/27</f>
        <v>12612.7404624038</v>
      </c>
      <c r="H1492" s="17" t="n">
        <f aca="false">F1492-G1492</f>
        <v>-143.041423635179</v>
      </c>
      <c r="I1492" s="17" t="n">
        <f aca="false">H1492*2/10+I1491*8/10</f>
        <v>-275.63235438004</v>
      </c>
      <c r="J1492" s="17" t="n">
        <f aca="false">H1492-I1492</f>
        <v>132.590930744861</v>
      </c>
      <c r="K1492" s="17" t="n">
        <f aca="false">MAX(B1492-B1491,0)</f>
        <v>51.5999999999985</v>
      </c>
      <c r="L1492" s="17" t="n">
        <f aca="false">MAX(B1491-B1492,0)</f>
        <v>0</v>
      </c>
      <c r="M1492" s="17" t="n">
        <f aca="false">(M1491*13+K1492)/14</f>
        <v>121.329727163852</v>
      </c>
      <c r="N1492" s="17" t="n">
        <f aca="false">(N1491*13+L1492)/14</f>
        <v>123.689196131947</v>
      </c>
      <c r="O1492" s="17" t="n">
        <f aca="false">IF(N1492=0,100,100-100/(1+M1492/N1492))</f>
        <v>49.518512909869</v>
      </c>
      <c r="P1492" s="17" t="n">
        <f aca="false">AVERAGE(B1473:B1492)+2*STDEV(B1473:B1492)</f>
        <v>12932.2717036886</v>
      </c>
      <c r="Q1492" s="17" t="n">
        <f aca="false">AVERAGE(B1473:B1492)-2*STDEV(B1473:B1492)</f>
        <v>11589.5832963114</v>
      </c>
      <c r="R1492" s="19" t="n">
        <f aca="false">B1492/B1472-1</f>
        <v>-0.00739746941946029</v>
      </c>
      <c r="S1492" s="17" t="n">
        <f aca="false">STDEV(C1473:C1492)*SQRT(252)*100</f>
        <v>39.6874989086443</v>
      </c>
      <c r="T1492" s="19" t="n">
        <f aca="false">B1471/B1241-1</f>
        <v>-0.0695329617417019</v>
      </c>
      <c r="U1492" s="19" t="n">
        <f aca="false">B1492/MAX(B1241:B1492)-1</f>
        <v>-0.239765189153182</v>
      </c>
      <c r="V1492" s="17" t="n">
        <f aca="false">(B1492-AVERAGE(B1473:B1492))/STDEV(B1473:B1492)</f>
        <v>1.00902785229704</v>
      </c>
    </row>
    <row r="1493" customFormat="false" ht="15" hidden="false" customHeight="false" outlineLevel="0" collapsed="false">
      <c r="A1493" s="17" t="s">
        <v>2057</v>
      </c>
      <c r="B1493" s="17" t="n">
        <v>12711.68</v>
      </c>
      <c r="C1493" s="19" t="n">
        <f aca="false">B1493/B1492-1</f>
        <v>0.00889311828998163</v>
      </c>
      <c r="D1493" s="17" t="n">
        <f aca="false">AVERAGE(B1444:B1493)</f>
        <v>13252.1378</v>
      </c>
      <c r="E1493" s="17" t="n">
        <f aca="false">AVERAGE(B1294:B1493)</f>
        <v>14748.8763</v>
      </c>
      <c r="F1493" s="17" t="n">
        <f aca="false">B1493*2/13+F1492*11/13</f>
        <v>12506.926878958</v>
      </c>
      <c r="G1493" s="17" t="n">
        <f aca="false">B1493*2/27+G1492*25/27</f>
        <v>12620.0693170405</v>
      </c>
      <c r="H1493" s="17" t="n">
        <f aca="false">F1493-G1493</f>
        <v>-113.142438082488</v>
      </c>
      <c r="I1493" s="17" t="n">
        <f aca="false">H1493*2/10+I1492*8/10</f>
        <v>-243.13437112053</v>
      </c>
      <c r="J1493" s="17" t="n">
        <f aca="false">H1493-I1493</f>
        <v>129.991933038041</v>
      </c>
      <c r="K1493" s="17" t="n">
        <f aca="false">MAX(B1493-B1492,0)</f>
        <v>112.050000000001</v>
      </c>
      <c r="L1493" s="17" t="n">
        <f aca="false">MAX(B1492-B1493,0)</f>
        <v>0</v>
      </c>
      <c r="M1493" s="17" t="n">
        <f aca="false">(M1492*13+K1493)/14</f>
        <v>120.666889509292</v>
      </c>
      <c r="N1493" s="17" t="n">
        <f aca="false">(N1492*13+L1493)/14</f>
        <v>114.854253551094</v>
      </c>
      <c r="O1493" s="17" t="n">
        <f aca="false">IF(N1493=0,100,100-100/(1+M1493/N1493))</f>
        <v>51.2339945116323</v>
      </c>
      <c r="P1493" s="17" t="n">
        <f aca="false">AVERAGE(B1474:B1493)+2*STDEV(B1474:B1493)</f>
        <v>12986.7391096439</v>
      </c>
      <c r="Q1493" s="17" t="n">
        <f aca="false">AVERAGE(B1474:B1493)-2*STDEV(B1474:B1493)</f>
        <v>11587.5118903561</v>
      </c>
      <c r="R1493" s="19" t="n">
        <f aca="false">B1493/B1473-1</f>
        <v>0.042990813704286</v>
      </c>
      <c r="S1493" s="17" t="n">
        <f aca="false">STDEV(C1474:C1493)*SQRT(252)*100</f>
        <v>36.8804986907708</v>
      </c>
      <c r="T1493" s="19" t="n">
        <f aca="false">B1472/B1242-1</f>
        <v>-0.0811737148333616</v>
      </c>
      <c r="U1493" s="19" t="n">
        <f aca="false">B1493/MAX(B1242:B1493)-1</f>
        <v>-0.23300433105216</v>
      </c>
      <c r="V1493" s="17" t="n">
        <f aca="false">(B1493-AVERAGE(B1474:B1493))/STDEV(B1474:B1493)</f>
        <v>1.21368279332389</v>
      </c>
    </row>
    <row r="1494" customFormat="false" ht="15" hidden="false" customHeight="false" outlineLevel="0" collapsed="false">
      <c r="A1494" s="17" t="s">
        <v>2058</v>
      </c>
      <c r="B1494" s="17" t="n">
        <v>12615.13</v>
      </c>
      <c r="C1494" s="19" t="n">
        <f aca="false">B1494/B1493-1</f>
        <v>-0.0075953768502669</v>
      </c>
      <c r="D1494" s="17" t="n">
        <f aca="false">AVERAGE(B1445:B1494)</f>
        <v>13204.6924</v>
      </c>
      <c r="E1494" s="17" t="n">
        <f aca="false">AVERAGE(B1295:B1494)</f>
        <v>14735.38785</v>
      </c>
      <c r="F1494" s="17" t="n">
        <f aca="false">B1494*2/13+F1493*11/13</f>
        <v>12523.5735129645</v>
      </c>
      <c r="G1494" s="17" t="n">
        <f aca="false">B1494*2/27+G1493*25/27</f>
        <v>12619.7034417042</v>
      </c>
      <c r="H1494" s="17" t="n">
        <f aca="false">F1494-G1494</f>
        <v>-96.1299287396942</v>
      </c>
      <c r="I1494" s="17" t="n">
        <f aca="false">H1494*2/10+I1493*8/10</f>
        <v>-213.733482644363</v>
      </c>
      <c r="J1494" s="17" t="n">
        <f aca="false">H1494-I1494</f>
        <v>117.603553904668</v>
      </c>
      <c r="K1494" s="17" t="n">
        <f aca="false">MAX(B1494-B1493,0)</f>
        <v>0</v>
      </c>
      <c r="L1494" s="17" t="n">
        <f aca="false">MAX(B1493-B1494,0)</f>
        <v>96.5500000000011</v>
      </c>
      <c r="M1494" s="17" t="n">
        <f aca="false">(M1493*13+K1494)/14</f>
        <v>112.047825972914</v>
      </c>
      <c r="N1494" s="17" t="n">
        <f aca="false">(N1493*13+L1494)/14</f>
        <v>113.546806868873</v>
      </c>
      <c r="O1494" s="17" t="n">
        <f aca="false">IF(N1494=0,100,100-100/(1+M1494/N1494))</f>
        <v>49.6677711528247</v>
      </c>
      <c r="P1494" s="17" t="n">
        <f aca="false">AVERAGE(B1475:B1494)+2*STDEV(B1475:B1494)</f>
        <v>13015.1655190038</v>
      </c>
      <c r="Q1494" s="17" t="n">
        <f aca="false">AVERAGE(B1475:B1494)-2*STDEV(B1475:B1494)</f>
        <v>11586.0124809962</v>
      </c>
      <c r="R1494" s="19" t="n">
        <f aca="false">B1494/B1474-1</f>
        <v>0.0218105502573331</v>
      </c>
      <c r="S1494" s="17" t="n">
        <f aca="false">STDEV(C1475:C1494)*SQRT(252)*100</f>
        <v>36.8183233976359</v>
      </c>
      <c r="T1494" s="19" t="n">
        <f aca="false">B1473/B1243-1</f>
        <v>-0.126976042864255</v>
      </c>
      <c r="U1494" s="19" t="n">
        <f aca="false">B1494/MAX(B1243:B1494)-1</f>
        <v>-0.238829952200341</v>
      </c>
      <c r="V1494" s="17" t="n">
        <f aca="false">(B1494-AVERAGE(B1475:B1494))/STDEV(B1475:B1494)</f>
        <v>0.880356383494122</v>
      </c>
    </row>
    <row r="1495" customFormat="false" ht="15" hidden="false" customHeight="false" outlineLevel="0" collapsed="false">
      <c r="A1495" s="17" t="s">
        <v>2059</v>
      </c>
      <c r="B1495" s="17" t="n">
        <v>12269.78</v>
      </c>
      <c r="C1495" s="19" t="n">
        <f aca="false">B1495/B1494-1</f>
        <v>-0.0273758574029755</v>
      </c>
      <c r="D1495" s="17" t="n">
        <f aca="false">AVERAGE(B1446:B1495)</f>
        <v>13145.3016</v>
      </c>
      <c r="E1495" s="17" t="n">
        <f aca="false">AVERAGE(B1296:B1495)</f>
        <v>14719.94835</v>
      </c>
      <c r="F1495" s="17" t="n">
        <f aca="false">B1495*2/13+F1494*11/13</f>
        <v>12484.5283571238</v>
      </c>
      <c r="G1495" s="17" t="n">
        <f aca="false">B1495*2/27+G1494*25/27</f>
        <v>12593.7831867631</v>
      </c>
      <c r="H1495" s="17" t="n">
        <f aca="false">F1495-G1495</f>
        <v>-109.254829639332</v>
      </c>
      <c r="I1495" s="17" t="n">
        <f aca="false">H1495*2/10+I1494*8/10</f>
        <v>-192.837752043357</v>
      </c>
      <c r="J1495" s="17" t="n">
        <f aca="false">H1495-I1495</f>
        <v>83.5829224040241</v>
      </c>
      <c r="K1495" s="17" t="n">
        <f aca="false">MAX(B1495-B1494,0)</f>
        <v>0</v>
      </c>
      <c r="L1495" s="17" t="n">
        <f aca="false">MAX(B1494-B1495,0)</f>
        <v>345.349999999999</v>
      </c>
      <c r="M1495" s="17" t="n">
        <f aca="false">(M1494*13+K1495)/14</f>
        <v>104.044409831991</v>
      </c>
      <c r="N1495" s="17" t="n">
        <f aca="false">(N1494*13+L1495)/14</f>
        <v>130.10417780681</v>
      </c>
      <c r="O1495" s="17" t="n">
        <f aca="false">IF(N1495=0,100,100-100/(1+M1495/N1495))</f>
        <v>44.4352070969954</v>
      </c>
      <c r="P1495" s="17" t="n">
        <f aca="false">AVERAGE(B1476:B1495)+2*STDEV(B1476:B1495)</f>
        <v>13013.2018793259</v>
      </c>
      <c r="Q1495" s="17" t="n">
        <f aca="false">AVERAGE(B1476:B1495)-2*STDEV(B1476:B1495)</f>
        <v>11618.1981206741</v>
      </c>
      <c r="R1495" s="19" t="n">
        <f aca="false">B1495/B1475-1</f>
        <v>0.0252532680011632</v>
      </c>
      <c r="S1495" s="17" t="n">
        <f aca="false">STDEV(C1476:C1495)*SQRT(252)*100</f>
        <v>36.4585934100786</v>
      </c>
      <c r="T1495" s="19" t="n">
        <f aca="false">B1474/B1244-1</f>
        <v>-0.118045762699756</v>
      </c>
      <c r="U1495" s="19" t="n">
        <f aca="false">B1495/MAX(B1244:B1495)-1</f>
        <v>-0.259667634888321</v>
      </c>
      <c r="V1495" s="17" t="n">
        <f aca="false">(B1495-AVERAGE(B1476:B1495))/STDEV(B1476:B1495)</f>
        <v>-0.131669896128107</v>
      </c>
    </row>
    <row r="1496" customFormat="false" ht="15" hidden="false" customHeight="false" outlineLevel="0" collapsed="false">
      <c r="A1496" s="17" t="s">
        <v>2060</v>
      </c>
      <c r="B1496" s="17" t="n">
        <v>11832.82</v>
      </c>
      <c r="C1496" s="19" t="n">
        <f aca="false">B1496/B1495-1</f>
        <v>-0.0356127004722172</v>
      </c>
      <c r="D1496" s="17" t="n">
        <f aca="false">AVERAGE(B1447:B1496)</f>
        <v>13080.527</v>
      </c>
      <c r="E1496" s="17" t="n">
        <f aca="false">AVERAGE(B1297:B1496)</f>
        <v>14702.26785</v>
      </c>
      <c r="F1496" s="17" t="n">
        <f aca="false">B1496*2/13+F1495*11/13</f>
        <v>12384.2655329509</v>
      </c>
      <c r="G1496" s="17" t="n">
        <f aca="false">B1496*2/27+G1495*25/27</f>
        <v>12537.4155432992</v>
      </c>
      <c r="H1496" s="17" t="n">
        <f aca="false">F1496-G1496</f>
        <v>-153.150010348289</v>
      </c>
      <c r="I1496" s="17" t="n">
        <f aca="false">H1496*2/10+I1495*8/10</f>
        <v>-184.900203704343</v>
      </c>
      <c r="J1496" s="17" t="n">
        <f aca="false">H1496-I1496</f>
        <v>31.7501933560544</v>
      </c>
      <c r="K1496" s="17" t="n">
        <f aca="false">MAX(B1496-B1495,0)</f>
        <v>0</v>
      </c>
      <c r="L1496" s="17" t="n">
        <f aca="false">MAX(B1495-B1496,0)</f>
        <v>436.960000000001</v>
      </c>
      <c r="M1496" s="17" t="n">
        <f aca="false">(M1495*13+K1496)/14</f>
        <v>96.6126662725633</v>
      </c>
      <c r="N1496" s="17" t="n">
        <f aca="false">(N1495*13+L1496)/14</f>
        <v>152.02245082061</v>
      </c>
      <c r="O1496" s="17" t="n">
        <f aca="false">IF(N1496=0,100,100-100/(1+M1496/N1496))</f>
        <v>38.857208668701</v>
      </c>
      <c r="P1496" s="17" t="n">
        <f aca="false">AVERAGE(B1477:B1496)+2*STDEV(B1477:B1496)</f>
        <v>13021.8328683495</v>
      </c>
      <c r="Q1496" s="17" t="n">
        <f aca="false">AVERAGE(B1477:B1496)-2*STDEV(B1477:B1496)</f>
        <v>11598.2991316505</v>
      </c>
      <c r="R1496" s="19" t="n">
        <f aca="false">B1496/B1476-1</f>
        <v>-0.00943284081871842</v>
      </c>
      <c r="S1496" s="17" t="n">
        <f aca="false">STDEV(C1477:C1496)*SQRT(252)*100</f>
        <v>38.7667115715427</v>
      </c>
      <c r="T1496" s="19" t="n">
        <f aca="false">B1475/B1245-1</f>
        <v>-0.152931017397829</v>
      </c>
      <c r="U1496" s="19" t="n">
        <f aca="false">B1496/MAX(B1245:B1496)-1</f>
        <v>-0.286032869656931</v>
      </c>
      <c r="V1496" s="17" t="n">
        <f aca="false">(B1496-AVERAGE(B1477:B1496))/STDEV(B1477:B1496)</f>
        <v>-1.34101774393265</v>
      </c>
    </row>
    <row r="1497" customFormat="false" ht="15" hidden="false" customHeight="false" outlineLevel="0" collapsed="false">
      <c r="A1497" s="17" t="s">
        <v>2061</v>
      </c>
      <c r="B1497" s="17" t="n">
        <v>11288.32</v>
      </c>
      <c r="C1497" s="19" t="n">
        <f aca="false">B1497/B1496-1</f>
        <v>-0.0460160806975852</v>
      </c>
      <c r="D1497" s="17" t="n">
        <f aca="false">AVERAGE(B1448:B1497)</f>
        <v>13009.5236</v>
      </c>
      <c r="E1497" s="17" t="n">
        <f aca="false">AVERAGE(B1298:B1497)</f>
        <v>14682.31685</v>
      </c>
      <c r="F1497" s="17" t="n">
        <f aca="false">B1497*2/13+F1496*11/13</f>
        <v>12215.6585278815</v>
      </c>
      <c r="G1497" s="17" t="n">
        <f aca="false">B1497*2/27+G1496*25/27</f>
        <v>12444.8899474993</v>
      </c>
      <c r="H1497" s="17" t="n">
        <f aca="false">F1497-G1497</f>
        <v>-229.231419617718</v>
      </c>
      <c r="I1497" s="17" t="n">
        <f aca="false">H1497*2/10+I1496*8/10</f>
        <v>-193.766446887018</v>
      </c>
      <c r="J1497" s="17" t="n">
        <f aca="false">H1497-I1497</f>
        <v>-35.4649727306997</v>
      </c>
      <c r="K1497" s="17" t="n">
        <f aca="false">MAX(B1497-B1496,0)</f>
        <v>0</v>
      </c>
      <c r="L1497" s="17" t="n">
        <f aca="false">MAX(B1496-B1497,0)</f>
        <v>544.5</v>
      </c>
      <c r="M1497" s="17" t="n">
        <f aca="false">(M1496*13+K1497)/14</f>
        <v>89.7117615388088</v>
      </c>
      <c r="N1497" s="17" t="n">
        <f aca="false">(N1496*13+L1497)/14</f>
        <v>180.05656147628</v>
      </c>
      <c r="O1497" s="17" t="n">
        <f aca="false">IF(N1497=0,100,100-100/(1+M1497/N1497))</f>
        <v>33.2551133269234</v>
      </c>
      <c r="P1497" s="17" t="n">
        <f aca="false">AVERAGE(B1478:B1497)+2*STDEV(B1478:B1497)</f>
        <v>13099.1614939741</v>
      </c>
      <c r="Q1497" s="17" t="n">
        <f aca="false">AVERAGE(B1478:B1497)-2*STDEV(B1478:B1497)</f>
        <v>11411.0625060259</v>
      </c>
      <c r="R1497" s="19" t="n">
        <f aca="false">B1497/B1477-1</f>
        <v>-0.0887256405702569</v>
      </c>
      <c r="S1497" s="17" t="n">
        <f aca="false">STDEV(C1478:C1497)*SQRT(252)*100</f>
        <v>39.3997148543904</v>
      </c>
      <c r="T1497" s="19" t="n">
        <f aca="false">B1476/B1246-1</f>
        <v>-0.148599363810466</v>
      </c>
      <c r="U1497" s="19" t="n">
        <f aca="false">B1497/MAX(B1246:B1497)-1</f>
        <v>-0.318886838742221</v>
      </c>
      <c r="V1497" s="17" t="n">
        <f aca="false">(B1497-AVERAGE(B1478:B1497))/STDEV(B1478:B1497)</f>
        <v>-2.29084196342091</v>
      </c>
    </row>
    <row r="1498" customFormat="false" ht="15" hidden="false" customHeight="false" outlineLevel="0" collapsed="false">
      <c r="A1498" s="17" t="s">
        <v>2062</v>
      </c>
      <c r="B1498" s="17" t="n">
        <v>11311.69</v>
      </c>
      <c r="C1498" s="19" t="n">
        <f aca="false">B1498/B1497-1</f>
        <v>0.00207028149450061</v>
      </c>
      <c r="D1498" s="17" t="n">
        <f aca="false">AVERAGE(B1449:B1498)</f>
        <v>12938.5332</v>
      </c>
      <c r="E1498" s="17" t="n">
        <f aca="false">AVERAGE(B1299:B1498)</f>
        <v>14661.71055</v>
      </c>
      <c r="F1498" s="17" t="n">
        <f aca="false">B1498*2/13+F1497*11/13</f>
        <v>12076.586446669</v>
      </c>
      <c r="G1498" s="17" t="n">
        <f aca="false">B1498*2/27+G1497*25/27</f>
        <v>12360.9492106475</v>
      </c>
      <c r="H1498" s="17" t="n">
        <f aca="false">F1498-G1498</f>
        <v>-284.362763978466</v>
      </c>
      <c r="I1498" s="17" t="n">
        <f aca="false">H1498*2/10+I1497*8/10</f>
        <v>-211.885710305308</v>
      </c>
      <c r="J1498" s="17" t="n">
        <f aca="false">H1498-I1498</f>
        <v>-72.4770536731588</v>
      </c>
      <c r="K1498" s="17" t="n">
        <f aca="false">MAX(B1498-B1497,0)</f>
        <v>23.3700000000008</v>
      </c>
      <c r="L1498" s="17" t="n">
        <f aca="false">MAX(B1497-B1498,0)</f>
        <v>0</v>
      </c>
      <c r="M1498" s="17" t="n">
        <f aca="false">(M1497*13+K1498)/14</f>
        <v>84.9730642860368</v>
      </c>
      <c r="N1498" s="17" t="n">
        <f aca="false">(N1497*13+L1498)/14</f>
        <v>167.195378513689</v>
      </c>
      <c r="O1498" s="17" t="n">
        <f aca="false">IF(N1498=0,100,100-100/(1+M1498/N1498))</f>
        <v>33.6969461137225</v>
      </c>
      <c r="P1498" s="17" t="n">
        <f aca="false">AVERAGE(B1479:B1498)+2*STDEV(B1479:B1498)</f>
        <v>13152.2485041337</v>
      </c>
      <c r="Q1498" s="17" t="n">
        <f aca="false">AVERAGE(B1479:B1498)-2*STDEV(B1479:B1498)</f>
        <v>11264.7864958663</v>
      </c>
      <c r="R1498" s="19" t="n">
        <f aca="false">B1498/B1478-1</f>
        <v>-0.0761125422466304</v>
      </c>
      <c r="S1498" s="17" t="n">
        <f aca="false">STDEV(C1479:C1498)*SQRT(252)*100</f>
        <v>39.3641319977479</v>
      </c>
      <c r="T1498" s="19" t="n">
        <f aca="false">B1477/B1247-1</f>
        <v>-0.11411062425043</v>
      </c>
      <c r="U1498" s="19" t="n">
        <f aca="false">B1498/MAX(B1247:B1498)-1</f>
        <v>-0.317476742768808</v>
      </c>
      <c r="V1498" s="17" t="n">
        <f aca="false">(B1498-AVERAGE(B1479:B1498))/STDEV(B1479:B1498)</f>
        <v>-1.90059984481122</v>
      </c>
    </row>
    <row r="1499" customFormat="false" ht="15" hidden="false" customHeight="false" outlineLevel="0" collapsed="false">
      <c r="A1499" s="17" t="s">
        <v>2063</v>
      </c>
      <c r="B1499" s="17" t="n">
        <v>11593.77</v>
      </c>
      <c r="C1499" s="19" t="n">
        <f aca="false">B1499/B1498-1</f>
        <v>0.0249370341655402</v>
      </c>
      <c r="D1499" s="17" t="n">
        <f aca="false">AVERAGE(B1450:B1499)</f>
        <v>12867.217</v>
      </c>
      <c r="E1499" s="17" t="n">
        <f aca="false">AVERAGE(B1300:B1499)</f>
        <v>14641.65395</v>
      </c>
      <c r="F1499" s="17" t="n">
        <f aca="false">B1499*2/13+F1498*11/13</f>
        <v>12002.3069933353</v>
      </c>
      <c r="G1499" s="17" t="n">
        <f aca="false">B1499*2/27+G1498*25/27</f>
        <v>12304.1211209699</v>
      </c>
      <c r="H1499" s="17" t="n">
        <f aca="false">F1499-G1499</f>
        <v>-301.814127634569</v>
      </c>
      <c r="I1499" s="17" t="n">
        <f aca="false">H1499*2/10+I1498*8/10</f>
        <v>-229.87139377116</v>
      </c>
      <c r="J1499" s="17" t="n">
        <f aca="false">H1499-I1499</f>
        <v>-71.9427338634089</v>
      </c>
      <c r="K1499" s="17" t="n">
        <f aca="false">MAX(B1499-B1498,0)</f>
        <v>282.08</v>
      </c>
      <c r="L1499" s="17" t="n">
        <f aca="false">MAX(B1498-B1499,0)</f>
        <v>0</v>
      </c>
      <c r="M1499" s="17" t="n">
        <f aca="false">(M1498*13+K1499)/14</f>
        <v>99.0521311227484</v>
      </c>
      <c r="N1499" s="17" t="n">
        <f aca="false">(N1498*13+L1499)/14</f>
        <v>155.252851476997</v>
      </c>
      <c r="O1499" s="17" t="n">
        <f aca="false">IF(N1499=0,100,100-100/(1+M1499/N1499))</f>
        <v>38.9501338550838</v>
      </c>
      <c r="P1499" s="17" t="n">
        <f aca="false">AVERAGE(B1480:B1499)+2*STDEV(B1480:B1499)</f>
        <v>13126.2615672091</v>
      </c>
      <c r="Q1499" s="17" t="n">
        <f aca="false">AVERAGE(B1480:B1499)-2*STDEV(B1480:B1499)</f>
        <v>11193.7404327909</v>
      </c>
      <c r="R1499" s="19" t="n">
        <f aca="false">B1499/B1479-1</f>
        <v>-0.077230362700074</v>
      </c>
      <c r="S1499" s="17" t="n">
        <f aca="false">STDEV(C1480:C1499)*SQRT(252)*100</f>
        <v>39.2416018862208</v>
      </c>
      <c r="T1499" s="19" t="n">
        <f aca="false">B1478/B1248-1</f>
        <v>-0.135572984952495</v>
      </c>
      <c r="U1499" s="19" t="n">
        <f aca="false">B1499/MAX(B1248:B1499)-1</f>
        <v>-0.300456636984458</v>
      </c>
      <c r="V1499" s="17" t="n">
        <f aca="false">(B1499-AVERAGE(B1480:B1499))/STDEV(B1480:B1499)</f>
        <v>-1.17200477638346</v>
      </c>
    </row>
    <row r="1500" customFormat="false" ht="15" hidden="false" customHeight="false" outlineLevel="0" collapsed="false">
      <c r="A1500" s="17" t="s">
        <v>2064</v>
      </c>
      <c r="B1500" s="17" t="n">
        <v>11127.57</v>
      </c>
      <c r="C1500" s="19" t="n">
        <f aca="false">B1500/B1499-1</f>
        <v>-0.0402112513875987</v>
      </c>
      <c r="D1500" s="17" t="n">
        <f aca="false">AVERAGE(B1451:B1500)</f>
        <v>12793.3556</v>
      </c>
      <c r="E1500" s="17" t="n">
        <f aca="false">AVERAGE(B1301:B1500)</f>
        <v>14619.37925</v>
      </c>
      <c r="F1500" s="17" t="n">
        <f aca="false">B1500*2/13+F1499*11/13</f>
        <v>11867.7320712837</v>
      </c>
      <c r="G1500" s="17" t="n">
        <f aca="false">B1500*2/27+G1499*25/27</f>
        <v>12216.9691860832</v>
      </c>
      <c r="H1500" s="17" t="n">
        <f aca="false">F1500-G1500</f>
        <v>-349.237114799498</v>
      </c>
      <c r="I1500" s="17" t="n">
        <f aca="false">H1500*2/10+I1499*8/10</f>
        <v>-253.744537976827</v>
      </c>
      <c r="J1500" s="17" t="n">
        <f aca="false">H1500-I1500</f>
        <v>-95.4925768226707</v>
      </c>
      <c r="K1500" s="17" t="n">
        <f aca="false">MAX(B1500-B1499,0)</f>
        <v>0</v>
      </c>
      <c r="L1500" s="17" t="n">
        <f aca="false">MAX(B1499-B1500,0)</f>
        <v>466.200000000001</v>
      </c>
      <c r="M1500" s="17" t="n">
        <f aca="false">(M1499*13+K1500)/14</f>
        <v>91.976978899695</v>
      </c>
      <c r="N1500" s="17" t="n">
        <f aca="false">(N1499*13+L1500)/14</f>
        <v>177.463362085783</v>
      </c>
      <c r="O1500" s="17" t="n">
        <f aca="false">IF(N1500=0,100,100-100/(1+M1500/N1500))</f>
        <v>34.1363058565355</v>
      </c>
      <c r="P1500" s="17" t="n">
        <f aca="false">AVERAGE(B1481:B1500)+2*STDEV(B1481:B1500)</f>
        <v>13187.6773826602</v>
      </c>
      <c r="Q1500" s="17" t="n">
        <f aca="false">AVERAGE(B1481:B1500)-2*STDEV(B1481:B1500)</f>
        <v>11052.2506173399</v>
      </c>
      <c r="R1500" s="19" t="n">
        <f aca="false">B1500/B1480-1</f>
        <v>-0.0671293754102634</v>
      </c>
      <c r="S1500" s="17" t="n">
        <f aca="false">STDEV(C1481:C1500)*SQRT(252)*100</f>
        <v>37.7393621803872</v>
      </c>
      <c r="T1500" s="19" t="n">
        <f aca="false">B1479/B1249-1</f>
        <v>-0.105731274529203</v>
      </c>
      <c r="U1500" s="19" t="n">
        <f aca="false">B1500/MAX(B1249:B1500)-1</f>
        <v>-0.328586151011202</v>
      </c>
      <c r="V1500" s="17" t="n">
        <f aca="false">(B1500-AVERAGE(B1481:B1500))/STDEV(B1481:B1500)</f>
        <v>-1.8589146040813</v>
      </c>
    </row>
    <row r="1501" customFormat="false" ht="15" hidden="false" customHeight="false" outlineLevel="0" collapsed="false">
      <c r="A1501" s="17" t="s">
        <v>2065</v>
      </c>
      <c r="B1501" s="17" t="n">
        <v>11265.99</v>
      </c>
      <c r="C1501" s="19" t="n">
        <f aca="false">B1501/B1500-1</f>
        <v>0.0124393735559516</v>
      </c>
      <c r="D1501" s="17" t="n">
        <f aca="false">AVERAGE(B1452:B1501)</f>
        <v>12728.6976</v>
      </c>
      <c r="E1501" s="17" t="n">
        <f aca="false">AVERAGE(B1302:B1501)</f>
        <v>14597.65135</v>
      </c>
      <c r="F1501" s="17" t="n">
        <f aca="false">B1501*2/13+F1500*11/13</f>
        <v>11775.1563680093</v>
      </c>
      <c r="G1501" s="17" t="n">
        <f aca="false">B1501*2/27+G1500*25/27</f>
        <v>12146.5262834104</v>
      </c>
      <c r="H1501" s="17" t="n">
        <f aca="false">F1501-G1501</f>
        <v>-371.369915401085</v>
      </c>
      <c r="I1501" s="17" t="n">
        <f aca="false">H1501*2/10+I1500*8/10</f>
        <v>-277.269613461679</v>
      </c>
      <c r="J1501" s="17" t="n">
        <f aca="false">H1501-I1501</f>
        <v>-94.1003019394058</v>
      </c>
      <c r="K1501" s="17" t="n">
        <f aca="false">MAX(B1501-B1500,0)</f>
        <v>138.42</v>
      </c>
      <c r="L1501" s="17" t="n">
        <f aca="false">MAX(B1500-B1501,0)</f>
        <v>0</v>
      </c>
      <c r="M1501" s="17" t="n">
        <f aca="false">(M1500*13+K1501)/14</f>
        <v>95.2943375497168</v>
      </c>
      <c r="N1501" s="17" t="n">
        <f aca="false">(N1500*13+L1501)/14</f>
        <v>164.787407651084</v>
      </c>
      <c r="O1501" s="17" t="n">
        <f aca="false">IF(N1501=0,100,100-100/(1+M1501/N1501))</f>
        <v>36.6401484564567</v>
      </c>
      <c r="P1501" s="17" t="n">
        <f aca="false">AVERAGE(B1482:B1501)+2*STDEV(B1482:B1501)</f>
        <v>13219.5538014748</v>
      </c>
      <c r="Q1501" s="17" t="n">
        <f aca="false">AVERAGE(B1482:B1501)-2*STDEV(B1482:B1501)</f>
        <v>10959.4101985252</v>
      </c>
      <c r="R1501" s="19" t="n">
        <f aca="false">B1501/B1481-1</f>
        <v>-0.051335381786061</v>
      </c>
      <c r="S1501" s="17" t="n">
        <f aca="false">STDEV(C1482:C1501)*SQRT(252)*100</f>
        <v>38.1393614571941</v>
      </c>
      <c r="T1501" s="19" t="n">
        <f aca="false">B1480/B1250-1</f>
        <v>-0.156248430562423</v>
      </c>
      <c r="U1501" s="19" t="n">
        <f aca="false">B1501/MAX(B1250:B1501)-1</f>
        <v>-0.320234183332992</v>
      </c>
      <c r="V1501" s="17" t="n">
        <f aca="false">(B1501-AVERAGE(B1482:B1501))/STDEV(B1482:B1501)</f>
        <v>-1.45741535878575</v>
      </c>
    </row>
    <row r="1502" customFormat="false" ht="15" hidden="false" customHeight="false" outlineLevel="0" collapsed="false">
      <c r="A1502" s="17" t="s">
        <v>2066</v>
      </c>
      <c r="B1502" s="17" t="n">
        <v>11546.76</v>
      </c>
      <c r="C1502" s="19" t="n">
        <f aca="false">B1502/B1501-1</f>
        <v>0.0249219109905121</v>
      </c>
      <c r="D1502" s="17" t="n">
        <f aca="false">AVERAGE(B1453:B1502)</f>
        <v>12668.9966</v>
      </c>
      <c r="E1502" s="17" t="n">
        <f aca="false">AVERAGE(B1303:B1502)</f>
        <v>14577.3639</v>
      </c>
      <c r="F1502" s="17" t="n">
        <f aca="false">B1502*2/13+F1501*11/13</f>
        <v>11740.0184652386</v>
      </c>
      <c r="G1502" s="17" t="n">
        <f aca="false">B1502*2/27+G1501*25/27</f>
        <v>12102.0991513059</v>
      </c>
      <c r="H1502" s="17" t="n">
        <f aca="false">F1502-G1502</f>
        <v>-362.080686067271</v>
      </c>
      <c r="I1502" s="17" t="n">
        <f aca="false">H1502*2/10+I1501*8/10</f>
        <v>-294.231827982797</v>
      </c>
      <c r="J1502" s="17" t="n">
        <f aca="false">H1502-I1502</f>
        <v>-67.8488580844737</v>
      </c>
      <c r="K1502" s="17" t="n">
        <f aca="false">MAX(B1502-B1501,0)</f>
        <v>280.77</v>
      </c>
      <c r="L1502" s="17" t="n">
        <f aca="false">MAX(B1501-B1502,0)</f>
        <v>0</v>
      </c>
      <c r="M1502" s="17" t="n">
        <f aca="false">(M1501*13+K1502)/14</f>
        <v>108.542599153308</v>
      </c>
      <c r="N1502" s="17" t="n">
        <f aca="false">(N1501*13+L1502)/14</f>
        <v>153.01687853315</v>
      </c>
      <c r="O1502" s="17" t="n">
        <f aca="false">IF(N1502=0,100,100-100/(1+M1502/N1502))</f>
        <v>41.4982474018483</v>
      </c>
      <c r="P1502" s="17" t="n">
        <f aca="false">AVERAGE(B1483:B1502)+2*STDEV(B1483:B1502)</f>
        <v>13225.963119551</v>
      </c>
      <c r="Q1502" s="17" t="n">
        <f aca="false">AVERAGE(B1483:B1502)-2*STDEV(B1483:B1502)</f>
        <v>10924.114880449</v>
      </c>
      <c r="R1502" s="19" t="n">
        <f aca="false">B1502/B1482-1</f>
        <v>-0.0244059880259758</v>
      </c>
      <c r="S1502" s="17" t="n">
        <f aca="false">STDEV(C1483:C1502)*SQRT(252)*100</f>
        <v>39.3427354539889</v>
      </c>
      <c r="T1502" s="19" t="n">
        <f aca="false">B1481/B1251-1</f>
        <v>-0.167814962699066</v>
      </c>
      <c r="U1502" s="19" t="n">
        <f aca="false">B1502/MAX(B1251:B1502)-1</f>
        <v>-0.303293120155623</v>
      </c>
      <c r="V1502" s="17" t="n">
        <f aca="false">(B1502-AVERAGE(B1483:B1502))/STDEV(B1483:B1502)</f>
        <v>-0.918008391736721</v>
      </c>
    </row>
    <row r="1503" customFormat="false" ht="15" hidden="false" customHeight="false" outlineLevel="0" collapsed="false">
      <c r="A1503" s="17" t="s">
        <v>2067</v>
      </c>
      <c r="B1503" s="17" t="n">
        <v>11527.71</v>
      </c>
      <c r="C1503" s="19" t="n">
        <f aca="false">B1503/B1502-1</f>
        <v>-0.00164981345416382</v>
      </c>
      <c r="D1503" s="17" t="n">
        <f aca="false">AVERAGE(B1454:B1503)</f>
        <v>12613.0056</v>
      </c>
      <c r="E1503" s="17" t="n">
        <f aca="false">AVERAGE(B1304:B1503)</f>
        <v>14556.73815</v>
      </c>
      <c r="F1503" s="17" t="n">
        <f aca="false">B1503*2/13+F1502*11/13</f>
        <v>11707.3556244327</v>
      </c>
      <c r="G1503" s="17" t="n">
        <f aca="false">B1503*2/27+G1502*25/27</f>
        <v>12059.5518067647</v>
      </c>
      <c r="H1503" s="17" t="n">
        <f aca="false">F1503-G1503</f>
        <v>-352.196182332038</v>
      </c>
      <c r="I1503" s="17" t="n">
        <f aca="false">H1503*2/10+I1502*8/10</f>
        <v>-305.824698852646</v>
      </c>
      <c r="J1503" s="17" t="n">
        <f aca="false">H1503-I1503</f>
        <v>-46.3714834793925</v>
      </c>
      <c r="K1503" s="17" t="n">
        <f aca="false">MAX(B1503-B1502,0)</f>
        <v>0</v>
      </c>
      <c r="L1503" s="17" t="n">
        <f aca="false">MAX(B1502-B1503,0)</f>
        <v>19.0500000000011</v>
      </c>
      <c r="M1503" s="17" t="n">
        <f aca="false">(M1502*13+K1503)/14</f>
        <v>100.789556356644</v>
      </c>
      <c r="N1503" s="17" t="n">
        <f aca="false">(N1502*13+L1503)/14</f>
        <v>143.447815780782</v>
      </c>
      <c r="O1503" s="17" t="n">
        <f aca="false">IF(N1503=0,100,100-100/(1+M1503/N1503))</f>
        <v>41.2670491311756</v>
      </c>
      <c r="P1503" s="17" t="n">
        <f aca="false">AVERAGE(B1484:B1503)+2*STDEV(B1484:B1503)</f>
        <v>13226.4188565246</v>
      </c>
      <c r="Q1503" s="17" t="n">
        <f aca="false">AVERAGE(B1484:B1503)-2*STDEV(B1484:B1503)</f>
        <v>10873.0021434754</v>
      </c>
      <c r="R1503" s="19" t="n">
        <f aca="false">B1503/B1483-1</f>
        <v>-0.0420939183731808</v>
      </c>
      <c r="S1503" s="17" t="n">
        <f aca="false">STDEV(C1484:C1503)*SQRT(252)*100</f>
        <v>38.7813234517123</v>
      </c>
      <c r="T1503" s="19" t="n">
        <f aca="false">B1482/B1252-1</f>
        <v>-0.17084061918533</v>
      </c>
      <c r="U1503" s="19" t="n">
        <f aca="false">B1503/MAX(B1252:B1503)-1</f>
        <v>-0.304442556539599</v>
      </c>
      <c r="V1503" s="17" t="n">
        <f aca="false">(B1503-AVERAGE(B1484:B1503))/STDEV(B1484:B1503)</f>
        <v>-0.887221539824433</v>
      </c>
    </row>
    <row r="1504" customFormat="false" ht="15" hidden="false" customHeight="false" outlineLevel="0" collapsed="false">
      <c r="A1504" s="17" t="s">
        <v>2068</v>
      </c>
      <c r="B1504" s="17" t="n">
        <v>11697.68</v>
      </c>
      <c r="C1504" s="19" t="n">
        <f aca="false">B1504/B1503-1</f>
        <v>0.0147444722325598</v>
      </c>
      <c r="D1504" s="17" t="n">
        <f aca="false">AVERAGE(B1455:B1504)</f>
        <v>12567.155</v>
      </c>
      <c r="E1504" s="17" t="n">
        <f aca="false">AVERAGE(B1305:B1504)</f>
        <v>14536.84775</v>
      </c>
      <c r="F1504" s="17" t="n">
        <f aca="false">B1504*2/13+F1503*11/13</f>
        <v>11705.8670668277</v>
      </c>
      <c r="G1504" s="17" t="n">
        <f aca="false">B1504*2/27+G1503*25/27</f>
        <v>12032.7464877451</v>
      </c>
      <c r="H1504" s="17" t="n">
        <f aca="false">F1504-G1504</f>
        <v>-326.879420917456</v>
      </c>
      <c r="I1504" s="17" t="n">
        <f aca="false">H1504*2/10+I1503*8/10</f>
        <v>-310.035643265608</v>
      </c>
      <c r="J1504" s="17" t="n">
        <f aca="false">H1504-I1504</f>
        <v>-16.8437776518482</v>
      </c>
      <c r="K1504" s="17" t="n">
        <f aca="false">MAX(B1504-B1503,0)</f>
        <v>169.970000000001</v>
      </c>
      <c r="L1504" s="17" t="n">
        <f aca="false">MAX(B1503-B1504,0)</f>
        <v>0</v>
      </c>
      <c r="M1504" s="17" t="n">
        <f aca="false">(M1503*13+K1504)/14</f>
        <v>105.731016616883</v>
      </c>
      <c r="N1504" s="17" t="n">
        <f aca="false">(N1503*13+L1504)/14</f>
        <v>133.201543225012</v>
      </c>
      <c r="O1504" s="17" t="n">
        <f aca="false">IF(N1504=0,100,100-100/(1+M1504/N1504))</f>
        <v>44.2514057886657</v>
      </c>
      <c r="P1504" s="17" t="n">
        <f aca="false">AVERAGE(B1485:B1504)+2*STDEV(B1485:B1504)</f>
        <v>13226.8595956917</v>
      </c>
      <c r="Q1504" s="17" t="n">
        <f aca="false">AVERAGE(B1485:B1504)-2*STDEV(B1485:B1504)</f>
        <v>10865.3454043083</v>
      </c>
      <c r="R1504" s="19" t="n">
        <f aca="false">B1504/B1484-1</f>
        <v>-0.00613092446456365</v>
      </c>
      <c r="S1504" s="17" t="n">
        <f aca="false">STDEV(C1485:C1504)*SQRT(252)*100</f>
        <v>38.4445496881686</v>
      </c>
      <c r="T1504" s="19" t="n">
        <f aca="false">B1483/B1253-1</f>
        <v>-0.162305895324782</v>
      </c>
      <c r="U1504" s="19" t="n">
        <f aca="false">B1504/MAX(B1253:B1504)-1</f>
        <v>-0.294186929128347</v>
      </c>
      <c r="V1504" s="17" t="n">
        <f aca="false">(B1504-AVERAGE(B1485:B1504))/STDEV(B1485:B1504)</f>
        <v>-0.590167954562893</v>
      </c>
    </row>
    <row r="1505" customFormat="false" ht="15" hidden="false" customHeight="false" outlineLevel="0" collapsed="false">
      <c r="A1505" s="17" t="s">
        <v>2069</v>
      </c>
      <c r="B1505" s="17" t="n">
        <v>12105.85</v>
      </c>
      <c r="C1505" s="19" t="n">
        <f aca="false">B1505/B1504-1</f>
        <v>0.0348932437885119</v>
      </c>
      <c r="D1505" s="17" t="n">
        <f aca="false">AVERAGE(B1456:B1505)</f>
        <v>12530.4672</v>
      </c>
      <c r="E1505" s="17" t="n">
        <f aca="false">AVERAGE(B1306:B1505)</f>
        <v>14519.27275</v>
      </c>
      <c r="F1505" s="17" t="n">
        <f aca="false">B1505*2/13+F1504*11/13</f>
        <v>11767.4029027003</v>
      </c>
      <c r="G1505" s="17" t="n">
        <f aca="false">B1505*2/27+G1504*25/27</f>
        <v>12038.161562727</v>
      </c>
      <c r="H1505" s="17" t="n">
        <f aca="false">F1505-G1505</f>
        <v>-270.758660026633</v>
      </c>
      <c r="I1505" s="17" t="n">
        <f aca="false">H1505*2/10+I1504*8/10</f>
        <v>-302.180246617813</v>
      </c>
      <c r="J1505" s="17" t="n">
        <f aca="false">H1505-I1505</f>
        <v>31.4215865911795</v>
      </c>
      <c r="K1505" s="17" t="n">
        <f aca="false">MAX(B1505-B1504,0)</f>
        <v>408.17</v>
      </c>
      <c r="L1505" s="17" t="n">
        <f aca="false">MAX(B1504-B1505,0)</f>
        <v>0</v>
      </c>
      <c r="M1505" s="17" t="n">
        <f aca="false">(M1504*13+K1505)/14</f>
        <v>127.333801144249</v>
      </c>
      <c r="N1505" s="17" t="n">
        <f aca="false">(N1504*13+L1505)/14</f>
        <v>123.687147280368</v>
      </c>
      <c r="O1505" s="17" t="n">
        <f aca="false">IF(N1505=0,100,100-100/(1+M1505/N1505))</f>
        <v>50.7263644502116</v>
      </c>
      <c r="P1505" s="17" t="n">
        <f aca="false">AVERAGE(B1486:B1505)+2*STDEV(B1486:B1505)</f>
        <v>13234.226100485</v>
      </c>
      <c r="Q1505" s="17" t="n">
        <f aca="false">AVERAGE(B1486:B1505)-2*STDEV(B1486:B1505)</f>
        <v>10874.170899515</v>
      </c>
      <c r="R1505" s="19" t="n">
        <f aca="false">B1505/B1485-1</f>
        <v>0.0135566769061775</v>
      </c>
      <c r="S1505" s="17" t="n">
        <f aca="false">STDEV(C1486:C1505)*SQRT(252)*100</f>
        <v>40.0987817435957</v>
      </c>
      <c r="T1505" s="19" t="n">
        <f aca="false">B1484/B1254-1</f>
        <v>-0.179526502978701</v>
      </c>
      <c r="U1505" s="19" t="n">
        <f aca="false">B1505/MAX(B1254:B1505)-1</f>
        <v>-0.269558821577304</v>
      </c>
      <c r="V1505" s="17" t="n">
        <f aca="false">(B1505-AVERAGE(B1486:B1505))/STDEV(B1486:B1505)</f>
        <v>0.0875428676054223</v>
      </c>
    </row>
    <row r="1506" customFormat="false" ht="15" hidden="false" customHeight="false" outlineLevel="0" collapsed="false">
      <c r="A1506" s="17" t="s">
        <v>2070</v>
      </c>
      <c r="B1506" s="17" t="n">
        <v>12008.24</v>
      </c>
      <c r="C1506" s="19" t="n">
        <f aca="false">B1506/B1505-1</f>
        <v>-0.00806304390026313</v>
      </c>
      <c r="D1506" s="17" t="n">
        <f aca="false">AVERAGE(B1457:B1506)</f>
        <v>12486.2862</v>
      </c>
      <c r="E1506" s="17" t="n">
        <f aca="false">AVERAGE(B1307:B1506)</f>
        <v>14501.5087</v>
      </c>
      <c r="F1506" s="17" t="n">
        <f aca="false">B1506*2/13+F1505*11/13</f>
        <v>11804.4547638234</v>
      </c>
      <c r="G1506" s="17" t="n">
        <f aca="false">B1506*2/27+G1505*25/27</f>
        <v>12035.9451506731</v>
      </c>
      <c r="H1506" s="17" t="n">
        <f aca="false">F1506-G1506</f>
        <v>-231.490386849757</v>
      </c>
      <c r="I1506" s="17" t="n">
        <f aca="false">H1506*2/10+I1505*8/10</f>
        <v>-288.042274664201</v>
      </c>
      <c r="J1506" s="17" t="n">
        <f aca="false">H1506-I1506</f>
        <v>56.5518878144447</v>
      </c>
      <c r="K1506" s="17" t="n">
        <f aca="false">MAX(B1506-B1505,0)</f>
        <v>0</v>
      </c>
      <c r="L1506" s="17" t="n">
        <f aca="false">MAX(B1505-B1506,0)</f>
        <v>97.6100000000006</v>
      </c>
      <c r="M1506" s="17" t="n">
        <f aca="false">(M1505*13+K1506)/14</f>
        <v>118.238529633945</v>
      </c>
      <c r="N1506" s="17" t="n">
        <f aca="false">(N1505*13+L1506)/14</f>
        <v>121.824493903199</v>
      </c>
      <c r="O1506" s="17" t="n">
        <f aca="false">IF(N1506=0,100,100-100/(1+M1506/N1506))</f>
        <v>49.2531202397568</v>
      </c>
      <c r="P1506" s="17" t="n">
        <f aca="false">AVERAGE(B1487:B1506)+2*STDEV(B1487:B1506)</f>
        <v>13216.2367448975</v>
      </c>
      <c r="Q1506" s="17" t="n">
        <f aca="false">AVERAGE(B1487:B1506)-2*STDEV(B1487:B1506)</f>
        <v>10865.3052551025</v>
      </c>
      <c r="R1506" s="19" t="n">
        <f aca="false">B1506/B1486-1</f>
        <v>-0.0218746105455906</v>
      </c>
      <c r="S1506" s="17" t="n">
        <f aca="false">STDEV(C1487:C1506)*SQRT(252)*100</f>
        <v>38.9138886480088</v>
      </c>
      <c r="T1506" s="19" t="n">
        <f aca="false">B1485/B1255-1</f>
        <v>-0.177697318688218</v>
      </c>
      <c r="U1506" s="19" t="n">
        <f aca="false">B1506/MAX(B1255:B1506)-1</f>
        <v>-0.275448400865486</v>
      </c>
      <c r="V1506" s="17" t="n">
        <f aca="false">(B1506-AVERAGE(B1487:B1506))/STDEV(B1487:B1506)</f>
        <v>-0.0553499753458802</v>
      </c>
    </row>
    <row r="1507" customFormat="false" ht="15" hidden="false" customHeight="false" outlineLevel="0" collapsed="false">
      <c r="A1507" s="17" t="s">
        <v>2071</v>
      </c>
      <c r="B1507" s="17" t="n">
        <v>11637.77</v>
      </c>
      <c r="C1507" s="19" t="n">
        <f aca="false">B1507/B1506-1</f>
        <v>-0.0308513154300712</v>
      </c>
      <c r="D1507" s="17" t="n">
        <f aca="false">AVERAGE(B1458:B1507)</f>
        <v>12441.1774</v>
      </c>
      <c r="E1507" s="17" t="n">
        <f aca="false">AVERAGE(B1308:B1507)</f>
        <v>14482.4938</v>
      </c>
      <c r="F1507" s="17" t="n">
        <f aca="false">B1507*2/13+F1506*11/13</f>
        <v>11778.8109540044</v>
      </c>
      <c r="G1507" s="17" t="n">
        <f aca="false">B1507*2/27+G1506*25/27</f>
        <v>12006.4506950677</v>
      </c>
      <c r="H1507" s="17" t="n">
        <f aca="false">F1507-G1507</f>
        <v>-227.639741063318</v>
      </c>
      <c r="I1507" s="17" t="n">
        <f aca="false">H1507*2/10+I1506*8/10</f>
        <v>-275.961767944025</v>
      </c>
      <c r="J1507" s="17" t="n">
        <f aca="false">H1507-I1507</f>
        <v>48.3220268807067</v>
      </c>
      <c r="K1507" s="17" t="n">
        <f aca="false">MAX(B1507-B1506,0)</f>
        <v>0</v>
      </c>
      <c r="L1507" s="17" t="n">
        <f aca="false">MAX(B1506-B1507,0)</f>
        <v>370.469999999999</v>
      </c>
      <c r="M1507" s="17" t="n">
        <f aca="false">(M1506*13+K1507)/14</f>
        <v>109.792920374378</v>
      </c>
      <c r="N1507" s="17" t="n">
        <f aca="false">(N1506*13+L1507)/14</f>
        <v>139.584887195827</v>
      </c>
      <c r="O1507" s="17" t="n">
        <f aca="false">IF(N1507=0,100,100-100/(1+M1507/N1507))</f>
        <v>44.0267405685122</v>
      </c>
      <c r="P1507" s="17" t="n">
        <f aca="false">AVERAGE(B1488:B1507)+2*STDEV(B1488:B1507)</f>
        <v>13136.6474620339</v>
      </c>
      <c r="Q1507" s="17" t="n">
        <f aca="false">AVERAGE(B1488:B1507)-2*STDEV(B1488:B1507)</f>
        <v>10840.5295379661</v>
      </c>
      <c r="R1507" s="19" t="n">
        <f aca="false">B1507/B1487-1</f>
        <v>-0.0822975660454428</v>
      </c>
      <c r="S1507" s="17" t="n">
        <f aca="false">STDEV(C1488:C1507)*SQRT(252)*100</f>
        <v>38.1523857488433</v>
      </c>
      <c r="T1507" s="19" t="n">
        <f aca="false">B1486/B1256-1</f>
        <v>-0.157551594585785</v>
      </c>
      <c r="U1507" s="19" t="n">
        <f aca="false">B1507/MAX(B1256:B1507)-1</f>
        <v>-0.297801770795748</v>
      </c>
      <c r="V1507" s="17" t="n">
        <f aca="false">(B1507-AVERAGE(B1488:B1507))/STDEV(B1488:B1507)</f>
        <v>-0.611150666649551</v>
      </c>
    </row>
    <row r="1508" customFormat="false" ht="15" hidden="false" customHeight="false" outlineLevel="0" collapsed="false">
      <c r="A1508" s="17" t="s">
        <v>2072</v>
      </c>
      <c r="B1508" s="17" t="n">
        <v>11658.26</v>
      </c>
      <c r="C1508" s="19" t="n">
        <f aca="false">B1508/B1507-1</f>
        <v>0.00176064658435426</v>
      </c>
      <c r="D1508" s="17" t="n">
        <f aca="false">AVERAGE(B1459:B1508)</f>
        <v>12396.1274</v>
      </c>
      <c r="E1508" s="17" t="n">
        <f aca="false">AVERAGE(B1309:B1508)</f>
        <v>14463.6126</v>
      </c>
      <c r="F1508" s="17" t="n">
        <f aca="false">B1508*2/13+F1507*11/13</f>
        <v>11760.2646533883</v>
      </c>
      <c r="G1508" s="17" t="n">
        <f aca="false">B1508*2/27+G1507*25/27</f>
        <v>11980.6587917294</v>
      </c>
      <c r="H1508" s="17" t="n">
        <f aca="false">F1508-G1508</f>
        <v>-220.394138341027</v>
      </c>
      <c r="I1508" s="17" t="n">
        <f aca="false">H1508*2/10+I1507*8/10</f>
        <v>-264.848242023425</v>
      </c>
      <c r="J1508" s="17" t="n">
        <f aca="false">H1508-I1508</f>
        <v>44.4541036823978</v>
      </c>
      <c r="K1508" s="17" t="n">
        <f aca="false">MAX(B1508-B1507,0)</f>
        <v>20.4899999999998</v>
      </c>
      <c r="L1508" s="17" t="n">
        <f aca="false">MAX(B1507-B1508,0)</f>
        <v>0</v>
      </c>
      <c r="M1508" s="17" t="n">
        <f aca="false">(M1507*13+K1508)/14</f>
        <v>103.414140347637</v>
      </c>
      <c r="N1508" s="17" t="n">
        <f aca="false">(N1507*13+L1508)/14</f>
        <v>129.614538110411</v>
      </c>
      <c r="O1508" s="17" t="n">
        <f aca="false">IF(N1508=0,100,100-100/(1+M1508/N1508))</f>
        <v>44.3782889865439</v>
      </c>
      <c r="P1508" s="17" t="n">
        <f aca="false">AVERAGE(B1489:B1508)+2*STDEV(B1489:B1508)</f>
        <v>13053.3585740454</v>
      </c>
      <c r="Q1508" s="17" t="n">
        <f aca="false">AVERAGE(B1489:B1508)-2*STDEV(B1489:B1508)</f>
        <v>10825.4344259546</v>
      </c>
      <c r="R1508" s="19" t="n">
        <f aca="false">B1508/B1488-1</f>
        <v>-0.0778225136646602</v>
      </c>
      <c r="S1508" s="17" t="n">
        <f aca="false">STDEV(C1489:C1508)*SQRT(252)*100</f>
        <v>38.2067135269302</v>
      </c>
      <c r="T1508" s="19" t="n">
        <f aca="false">B1487/B1257-1</f>
        <v>-0.128712177426004</v>
      </c>
      <c r="U1508" s="19" t="n">
        <f aca="false">B1508/MAX(B1257:B1508)-1</f>
        <v>-0.29656544788196</v>
      </c>
      <c r="V1508" s="17" t="n">
        <f aca="false">(B1508-AVERAGE(B1489:B1508))/STDEV(B1489:B1508)</f>
        <v>-0.504750577331657</v>
      </c>
    </row>
    <row r="1509" customFormat="false" ht="15" hidden="false" customHeight="false" outlineLevel="0" collapsed="false">
      <c r="A1509" s="17" t="s">
        <v>2073</v>
      </c>
      <c r="B1509" s="17" t="n">
        <v>11503.72</v>
      </c>
      <c r="C1509" s="19" t="n">
        <f aca="false">B1509/B1508-1</f>
        <v>-0.0132558374920443</v>
      </c>
      <c r="D1509" s="17" t="n">
        <f aca="false">AVERAGE(B1460:B1509)</f>
        <v>12341.9966</v>
      </c>
      <c r="E1509" s="17" t="n">
        <f aca="false">AVERAGE(B1310:B1509)</f>
        <v>14444.2167</v>
      </c>
      <c r="F1509" s="17" t="n">
        <f aca="false">B1509*2/13+F1508*11/13</f>
        <v>11720.7962451747</v>
      </c>
      <c r="G1509" s="17" t="n">
        <f aca="false">B1509*2/27+G1508*25/27</f>
        <v>11945.329992342</v>
      </c>
      <c r="H1509" s="17" t="n">
        <f aca="false">F1509-G1509</f>
        <v>-224.533747167256</v>
      </c>
      <c r="I1509" s="17" t="n">
        <f aca="false">H1509*2/10+I1508*8/10</f>
        <v>-256.785343052191</v>
      </c>
      <c r="J1509" s="17" t="n">
        <f aca="false">H1509-I1509</f>
        <v>32.2515958849357</v>
      </c>
      <c r="K1509" s="17" t="n">
        <f aca="false">MAX(B1509-B1508,0)</f>
        <v>0</v>
      </c>
      <c r="L1509" s="17" t="n">
        <f aca="false">MAX(B1508-B1509,0)</f>
        <v>154.540000000001</v>
      </c>
      <c r="M1509" s="17" t="n">
        <f aca="false">(M1508*13+K1509)/14</f>
        <v>96.0274160370911</v>
      </c>
      <c r="N1509" s="17" t="n">
        <f aca="false">(N1508*13+L1509)/14</f>
        <v>131.394928245382</v>
      </c>
      <c r="O1509" s="17" t="n">
        <f aca="false">IF(N1509=0,100,100-100/(1+M1509/N1509))</f>
        <v>42.224266195154</v>
      </c>
      <c r="P1509" s="17" t="n">
        <f aca="false">AVERAGE(B1490:B1509)+2*STDEV(B1490:B1509)</f>
        <v>12978.6380060357</v>
      </c>
      <c r="Q1509" s="17" t="n">
        <f aca="false">AVERAGE(B1490:B1509)-2*STDEV(B1490:B1509)</f>
        <v>10795.6909939643</v>
      </c>
      <c r="R1509" s="19" t="n">
        <f aca="false">B1509/B1489-1</f>
        <v>-0.083249125782174</v>
      </c>
      <c r="S1509" s="17" t="n">
        <f aca="false">STDEV(C1490:C1509)*SQRT(252)*100</f>
        <v>38.3367443538154</v>
      </c>
      <c r="T1509" s="19" t="n">
        <f aca="false">B1488/B1258-1</f>
        <v>-0.131726882806034</v>
      </c>
      <c r="U1509" s="19" t="n">
        <f aca="false">B1509/MAX(B1258:B1509)-1</f>
        <v>-0.305890061991126</v>
      </c>
      <c r="V1509" s="17" t="n">
        <f aca="false">(B1509-AVERAGE(B1490:B1509))/STDEV(B1490:B1509)</f>
        <v>-0.702618062425887</v>
      </c>
    </row>
    <row r="1510" customFormat="false" ht="15" hidden="false" customHeight="false" outlineLevel="0" collapsed="false">
      <c r="A1510" s="17" t="s">
        <v>2074</v>
      </c>
      <c r="B1510" s="17" t="n">
        <v>11585.68</v>
      </c>
      <c r="C1510" s="19" t="n">
        <f aca="false">B1510/B1509-1</f>
        <v>0.00712465185174893</v>
      </c>
      <c r="D1510" s="17" t="n">
        <f aca="false">AVERAGE(B1461:B1510)</f>
        <v>12293.7396</v>
      </c>
      <c r="E1510" s="17" t="n">
        <f aca="false">AVERAGE(B1311:B1510)</f>
        <v>14424.62745</v>
      </c>
      <c r="F1510" s="17" t="n">
        <f aca="false">B1510*2/13+F1509*11/13</f>
        <v>11700.0091305325</v>
      </c>
      <c r="G1510" s="17" t="n">
        <f aca="false">B1510*2/27+G1509*25/27</f>
        <v>11918.6892521685</v>
      </c>
      <c r="H1510" s="17" t="n">
        <f aca="false">F1510-G1510</f>
        <v>-218.680121636042</v>
      </c>
      <c r="I1510" s="17" t="n">
        <f aca="false">H1510*2/10+I1509*8/10</f>
        <v>-249.164298768961</v>
      </c>
      <c r="J1510" s="17" t="n">
        <f aca="false">H1510-I1510</f>
        <v>30.4841771329196</v>
      </c>
      <c r="K1510" s="17" t="n">
        <f aca="false">MAX(B1510-B1509,0)</f>
        <v>81.960000000001</v>
      </c>
      <c r="L1510" s="17" t="n">
        <f aca="false">MAX(B1509-B1510,0)</f>
        <v>0</v>
      </c>
      <c r="M1510" s="17" t="n">
        <f aca="false">(M1509*13+K1510)/14</f>
        <v>95.0226006058704</v>
      </c>
      <c r="N1510" s="17" t="n">
        <f aca="false">(N1509*13+L1510)/14</f>
        <v>122.009576227855</v>
      </c>
      <c r="O1510" s="17" t="n">
        <f aca="false">IF(N1510=0,100,100-100/(1+M1510/N1510))</f>
        <v>43.7827247517635</v>
      </c>
      <c r="P1510" s="17" t="n">
        <f aca="false">AVERAGE(B1491:B1510)+2*STDEV(B1491:B1510)</f>
        <v>12811.510250038</v>
      </c>
      <c r="Q1510" s="17" t="n">
        <f aca="false">AVERAGE(B1491:B1510)-2*STDEV(B1491:B1510)</f>
        <v>10832.097749962</v>
      </c>
      <c r="R1510" s="19" t="n">
        <f aca="false">B1510/B1490-1</f>
        <v>-0.101389990917475</v>
      </c>
      <c r="S1510" s="17" t="n">
        <f aca="false">STDEV(C1491:C1510)*SQRT(252)*100</f>
        <v>36.767251056156</v>
      </c>
      <c r="T1510" s="19" t="n">
        <f aca="false">B1489/B1259-1</f>
        <v>-0.147971533776989</v>
      </c>
      <c r="U1510" s="19" t="n">
        <f aca="false">B1510/MAX(B1259:B1510)-1</f>
        <v>-0.300944770335973</v>
      </c>
      <c r="V1510" s="17" t="n">
        <f aca="false">(B1510-AVERAGE(B1491:B1510))/STDEV(B1491:B1510)</f>
        <v>-0.477159763295305</v>
      </c>
    </row>
    <row r="1511" customFormat="false" ht="15" hidden="false" customHeight="false" outlineLevel="0" collapsed="false">
      <c r="A1511" s="17" t="s">
        <v>2075</v>
      </c>
      <c r="B1511" s="17" t="n">
        <v>11779.9</v>
      </c>
      <c r="C1511" s="19" t="n">
        <f aca="false">B1511/B1510-1</f>
        <v>0.0167637980679598</v>
      </c>
      <c r="D1511" s="17" t="n">
        <f aca="false">AVERAGE(B1462:B1511)</f>
        <v>12254.9286</v>
      </c>
      <c r="E1511" s="17" t="n">
        <f aca="false">AVERAGE(B1312:B1511)</f>
        <v>14405.9474</v>
      </c>
      <c r="F1511" s="17" t="n">
        <f aca="false">B1511*2/13+F1510*11/13</f>
        <v>11712.3000335275</v>
      </c>
      <c r="G1511" s="17" t="n">
        <f aca="false">B1511*2/27+G1510*25/27</f>
        <v>11908.4085668227</v>
      </c>
      <c r="H1511" s="17" t="n">
        <f aca="false">F1511-G1511</f>
        <v>-196.108533295224</v>
      </c>
      <c r="I1511" s="17" t="n">
        <f aca="false">H1511*2/10+I1510*8/10</f>
        <v>-238.553145674214</v>
      </c>
      <c r="J1511" s="17" t="n">
        <f aca="false">H1511-I1511</f>
        <v>42.4446123789896</v>
      </c>
      <c r="K1511" s="17" t="n">
        <f aca="false">MAX(B1511-B1510,0)</f>
        <v>194.219999999999</v>
      </c>
      <c r="L1511" s="17" t="n">
        <f aca="false">MAX(B1510-B1511,0)</f>
        <v>0</v>
      </c>
      <c r="M1511" s="17" t="n">
        <f aca="false">(M1510*13+K1511)/14</f>
        <v>102.108129134022</v>
      </c>
      <c r="N1511" s="17" t="n">
        <f aca="false">(N1510*13+L1511)/14</f>
        <v>113.294606497294</v>
      </c>
      <c r="O1511" s="17" t="n">
        <f aca="false">IF(N1511=0,100,100-100/(1+M1511/N1511))</f>
        <v>47.4033576383129</v>
      </c>
      <c r="P1511" s="17" t="n">
        <f aca="false">AVERAGE(B1492:B1511)+2*STDEV(B1492:B1511)</f>
        <v>12712.1842863396</v>
      </c>
      <c r="Q1511" s="17" t="n">
        <f aca="false">AVERAGE(B1492:B1511)-2*STDEV(B1492:B1511)</f>
        <v>10854.6107136605</v>
      </c>
      <c r="R1511" s="19" t="n">
        <f aca="false">B1511/B1491-1</f>
        <v>-0.0612151867663689</v>
      </c>
      <c r="S1511" s="17" t="n">
        <f aca="false">STDEV(C1492:C1511)*SQRT(252)*100</f>
        <v>36.6090363040082</v>
      </c>
      <c r="T1511" s="19" t="n">
        <f aca="false">B1490/B1260-1</f>
        <v>-0.12805518058535</v>
      </c>
      <c r="U1511" s="19" t="n">
        <f aca="false">B1511/MAX(B1260:B1511)-1</f>
        <v>-0.289225949627534</v>
      </c>
      <c r="V1511" s="17" t="n">
        <f aca="false">(B1511-AVERAGE(B1492:B1511))/STDEV(B1492:B1511)</f>
        <v>-0.00753133022872847</v>
      </c>
    </row>
    <row r="1512" customFormat="false" ht="15" hidden="false" customHeight="false" outlineLevel="0" collapsed="false">
      <c r="A1512" s="17" t="s">
        <v>2076</v>
      </c>
      <c r="B1512" s="17" t="n">
        <v>11852.59</v>
      </c>
      <c r="C1512" s="19" t="n">
        <f aca="false">B1512/B1511-1</f>
        <v>0.00617068056604908</v>
      </c>
      <c r="D1512" s="17" t="n">
        <f aca="false">AVERAGE(B1463:B1512)</f>
        <v>12224.843</v>
      </c>
      <c r="E1512" s="17" t="n">
        <f aca="false">AVERAGE(B1313:B1512)</f>
        <v>14388.543</v>
      </c>
      <c r="F1512" s="17" t="n">
        <f aca="false">B1512*2/13+F1511*11/13</f>
        <v>11733.8831052925</v>
      </c>
      <c r="G1512" s="17" t="n">
        <f aca="false">B1512*2/27+G1511*25/27</f>
        <v>11904.2738581692</v>
      </c>
      <c r="H1512" s="17" t="n">
        <f aca="false">F1512-G1512</f>
        <v>-170.390752876687</v>
      </c>
      <c r="I1512" s="17" t="n">
        <f aca="false">H1512*2/10+I1511*8/10</f>
        <v>-224.920667114709</v>
      </c>
      <c r="J1512" s="17" t="n">
        <f aca="false">H1512-I1512</f>
        <v>54.5299142380218</v>
      </c>
      <c r="K1512" s="17" t="n">
        <f aca="false">MAX(B1512-B1511,0)</f>
        <v>72.6900000000005</v>
      </c>
      <c r="L1512" s="17" t="n">
        <f aca="false">MAX(B1511-B1512,0)</f>
        <v>0</v>
      </c>
      <c r="M1512" s="17" t="n">
        <f aca="false">(M1511*13+K1512)/14</f>
        <v>100.006834195878</v>
      </c>
      <c r="N1512" s="17" t="n">
        <f aca="false">(N1511*13+L1512)/14</f>
        <v>105.20213460463</v>
      </c>
      <c r="O1512" s="17" t="n">
        <f aca="false">IF(N1512=0,100,100-100/(1+M1512/N1512))</f>
        <v>48.734143921896</v>
      </c>
      <c r="P1512" s="17" t="n">
        <f aca="false">AVERAGE(B1493:B1512)+2*STDEV(B1493:B1512)</f>
        <v>12593.1100186009</v>
      </c>
      <c r="Q1512" s="17" t="n">
        <f aca="false">AVERAGE(B1493:B1512)-2*STDEV(B1493:B1512)</f>
        <v>10898.9809813991</v>
      </c>
      <c r="R1512" s="19" t="n">
        <f aca="false">B1512/B1492-1</f>
        <v>-0.0592906299629433</v>
      </c>
      <c r="S1512" s="17" t="n">
        <f aca="false">STDEV(C1493:C1512)*SQRT(252)*100</f>
        <v>36.6685638725298</v>
      </c>
      <c r="T1512" s="19" t="n">
        <f aca="false">B1491/B1261-1</f>
        <v>-0.152763504909342</v>
      </c>
      <c r="U1512" s="19" t="n">
        <f aca="false">B1512/MAX(B1261:B1512)-1</f>
        <v>-0.284839990008049</v>
      </c>
      <c r="V1512" s="17" t="n">
        <f aca="false">(B1512-AVERAGE(B1493:B1512))/STDEV(B1493:B1512)</f>
        <v>0.251561711440767</v>
      </c>
    </row>
    <row r="1513" customFormat="false" ht="15" hidden="false" customHeight="false" outlineLevel="0" collapsed="false">
      <c r="A1513" s="17" t="s">
        <v>2077</v>
      </c>
      <c r="B1513" s="17" t="n">
        <v>12109.05</v>
      </c>
      <c r="C1513" s="19" t="n">
        <f aca="false">B1513/B1512-1</f>
        <v>0.0216374648916395</v>
      </c>
      <c r="D1513" s="17" t="n">
        <f aca="false">AVERAGE(B1464:B1513)</f>
        <v>12196.3596</v>
      </c>
      <c r="E1513" s="17" t="n">
        <f aca="false">AVERAGE(B1314:B1513)</f>
        <v>14374.0273</v>
      </c>
      <c r="F1513" s="17" t="n">
        <f aca="false">B1513*2/13+F1512*11/13</f>
        <v>11791.6010890936</v>
      </c>
      <c r="G1513" s="17" t="n">
        <f aca="false">B1513*2/27+G1512*25/27</f>
        <v>11919.4424612677</v>
      </c>
      <c r="H1513" s="17" t="n">
        <f aca="false">F1513-G1513</f>
        <v>-127.841372174113</v>
      </c>
      <c r="I1513" s="17" t="n">
        <f aca="false">H1513*2/10+I1512*8/10</f>
        <v>-205.504808126589</v>
      </c>
      <c r="J1513" s="17" t="n">
        <f aca="false">H1513-I1513</f>
        <v>77.6634359524767</v>
      </c>
      <c r="K1513" s="17" t="n">
        <f aca="false">MAX(B1513-B1512,0)</f>
        <v>256.459999999999</v>
      </c>
      <c r="L1513" s="17" t="n">
        <f aca="false">MAX(B1512-B1513,0)</f>
        <v>0</v>
      </c>
      <c r="M1513" s="17" t="n">
        <f aca="false">(M1512*13+K1513)/14</f>
        <v>111.182060324744</v>
      </c>
      <c r="N1513" s="17" t="n">
        <f aca="false">(N1512*13+L1513)/14</f>
        <v>97.6876964185848</v>
      </c>
      <c r="O1513" s="17" t="n">
        <f aca="false">IF(N1513=0,100,100-100/(1+M1513/N1513))</f>
        <v>53.2303297798019</v>
      </c>
      <c r="P1513" s="17" t="n">
        <f aca="false">AVERAGE(B1494:B1513)+2*STDEV(B1494:B1513)</f>
        <v>12454.2444141643</v>
      </c>
      <c r="Q1513" s="17" t="n">
        <f aca="false">AVERAGE(B1494:B1513)-2*STDEV(B1494:B1513)</f>
        <v>10977.5835858357</v>
      </c>
      <c r="R1513" s="19" t="n">
        <f aca="false">B1513/B1493-1</f>
        <v>-0.0474075810593093</v>
      </c>
      <c r="S1513" s="17" t="n">
        <f aca="false">STDEV(C1494:C1513)*SQRT(252)*100</f>
        <v>37.4775032386354</v>
      </c>
      <c r="T1513" s="19" t="n">
        <f aca="false">B1492/B1262-1</f>
        <v>-0.144171295749123</v>
      </c>
      <c r="U1513" s="19" t="n">
        <f aca="false">B1513/MAX(B1262:B1513)-1</f>
        <v>-0.269365740399944</v>
      </c>
      <c r="V1513" s="17" t="n">
        <f aca="false">(B1513-AVERAGE(B1494:B1513))/STDEV(B1494:B1513)</f>
        <v>1.06493242715726</v>
      </c>
    </row>
    <row r="1514" customFormat="false" ht="15" hidden="false" customHeight="false" outlineLevel="0" collapsed="false">
      <c r="A1514" s="17" t="s">
        <v>2078</v>
      </c>
      <c r="B1514" s="17" t="n">
        <v>12125.69</v>
      </c>
      <c r="C1514" s="19" t="n">
        <f aca="false">B1514/B1513-1</f>
        <v>0.00137417881667035</v>
      </c>
      <c r="D1514" s="17" t="n">
        <f aca="false">AVERAGE(B1465:B1514)</f>
        <v>12178.6792</v>
      </c>
      <c r="E1514" s="17" t="n">
        <f aca="false">AVERAGE(B1315:B1514)</f>
        <v>14359.5169</v>
      </c>
      <c r="F1514" s="17" t="n">
        <f aca="false">B1514*2/13+F1513*11/13</f>
        <v>11842.9993830792</v>
      </c>
      <c r="G1514" s="17" t="n">
        <f aca="false">B1514*2/27+G1513*25/27</f>
        <v>11934.7200567294</v>
      </c>
      <c r="H1514" s="17" t="n">
        <f aca="false">F1514-G1514</f>
        <v>-91.7206736501648</v>
      </c>
      <c r="I1514" s="17" t="n">
        <f aca="false">H1514*2/10+I1513*8/10</f>
        <v>-182.747981231304</v>
      </c>
      <c r="J1514" s="17" t="n">
        <f aca="false">H1514-I1514</f>
        <v>91.0273075811396</v>
      </c>
      <c r="K1514" s="17" t="n">
        <f aca="false">MAX(B1514-B1513,0)</f>
        <v>16.6400000000012</v>
      </c>
      <c r="L1514" s="17" t="n">
        <f aca="false">MAX(B1513-B1514,0)</f>
        <v>0</v>
      </c>
      <c r="M1514" s="17" t="n">
        <f aca="false">(M1513*13+K1514)/14</f>
        <v>104.429056015834</v>
      </c>
      <c r="N1514" s="17" t="n">
        <f aca="false">(N1513*13+L1514)/14</f>
        <v>90.7100038172573</v>
      </c>
      <c r="O1514" s="17" t="n">
        <f aca="false">IF(N1514=0,100,100-100/(1+M1514/N1514))</f>
        <v>53.5151989074639</v>
      </c>
      <c r="P1514" s="17" t="n">
        <f aca="false">AVERAGE(B1495:B1514)+2*STDEV(B1495:B1514)</f>
        <v>12329.9806988429</v>
      </c>
      <c r="Q1514" s="17" t="n">
        <f aca="false">AVERAGE(B1495:B1514)-2*STDEV(B1495:B1514)</f>
        <v>11052.9033011571</v>
      </c>
      <c r="R1514" s="19" t="n">
        <f aca="false">B1514/B1494-1</f>
        <v>-0.038797856225025</v>
      </c>
      <c r="S1514" s="17" t="n">
        <f aca="false">STDEV(C1495:C1514)*SQRT(252)*100</f>
        <v>37.4401405643571</v>
      </c>
      <c r="T1514" s="19" t="n">
        <f aca="false">B1493/B1263-1</f>
        <v>-0.142614134947245</v>
      </c>
      <c r="U1514" s="19" t="n">
        <f aca="false">B1514/MAX(B1263:B1514)-1</f>
        <v>-0.268361718277668</v>
      </c>
      <c r="V1514" s="17" t="n">
        <f aca="false">(B1514-AVERAGE(B1495:B1514))/STDEV(B1495:B1514)</f>
        <v>1.36013056307126</v>
      </c>
    </row>
    <row r="1515" customFormat="false" ht="15" hidden="false" customHeight="false" outlineLevel="0" collapsed="false">
      <c r="A1515" s="17" t="s">
        <v>2079</v>
      </c>
      <c r="B1515" s="17" t="n">
        <v>11860.28</v>
      </c>
      <c r="C1515" s="19" t="n">
        <f aca="false">B1515/B1514-1</f>
        <v>-0.0218882389373306</v>
      </c>
      <c r="D1515" s="17" t="n">
        <f aca="false">AVERAGE(B1466:B1515)</f>
        <v>12155.8176</v>
      </c>
      <c r="E1515" s="17" t="n">
        <f aca="false">AVERAGE(B1316:B1515)</f>
        <v>14342.93575</v>
      </c>
      <c r="F1515" s="17" t="n">
        <f aca="false">B1515*2/13+F1514*11/13</f>
        <v>11845.6579395286</v>
      </c>
      <c r="G1515" s="17" t="n">
        <f aca="false">B1515*2/27+G1514*25/27</f>
        <v>11929.2059784531</v>
      </c>
      <c r="H1515" s="17" t="n">
        <f aca="false">F1515-G1515</f>
        <v>-83.5480389245658</v>
      </c>
      <c r="I1515" s="17" t="n">
        <f aca="false">H1515*2/10+I1514*8/10</f>
        <v>-162.907992769957</v>
      </c>
      <c r="J1515" s="17" t="n">
        <f aca="false">H1515-I1515</f>
        <v>79.3599538453909</v>
      </c>
      <c r="K1515" s="17" t="n">
        <f aca="false">MAX(B1515-B1514,0)</f>
        <v>0</v>
      </c>
      <c r="L1515" s="17" t="n">
        <f aca="false">MAX(B1514-B1515,0)</f>
        <v>265.41</v>
      </c>
      <c r="M1515" s="17" t="n">
        <f aca="false">(M1514*13+K1515)/14</f>
        <v>96.9698377289883</v>
      </c>
      <c r="N1515" s="17" t="n">
        <f aca="false">(N1514*13+L1515)/14</f>
        <v>103.188574973167</v>
      </c>
      <c r="O1515" s="17" t="n">
        <f aca="false">IF(N1515=0,100,100-100/(1+M1515/N1515))</f>
        <v>48.4465461230868</v>
      </c>
      <c r="P1515" s="17" t="n">
        <f aca="false">AVERAGE(B1496:B1515)+2*STDEV(B1496:B1515)</f>
        <v>12255.3915658621</v>
      </c>
      <c r="Q1515" s="17" t="n">
        <f aca="false">AVERAGE(B1496:B1515)-2*STDEV(B1496:B1515)</f>
        <v>11086.5424341379</v>
      </c>
      <c r="R1515" s="19" t="n">
        <f aca="false">B1515/B1495-1</f>
        <v>-0.0333746815346322</v>
      </c>
      <c r="S1515" s="17" t="n">
        <f aca="false">STDEV(C1496:C1515)*SQRT(252)*100</f>
        <v>36.9891539674453</v>
      </c>
      <c r="T1515" s="19" t="n">
        <f aca="false">B1494/B1264-1</f>
        <v>-0.15208877065229</v>
      </c>
      <c r="U1515" s="19" t="n">
        <f aca="false">B1515/MAX(B1264:B1515)-1</f>
        <v>-0.284375991803704</v>
      </c>
      <c r="V1515" s="17" t="n">
        <f aca="false">(B1515-AVERAGE(B1496:B1515))/STDEV(B1496:B1515)</f>
        <v>0.647861199060736</v>
      </c>
    </row>
    <row r="1516" customFormat="false" ht="15" hidden="false" customHeight="false" outlineLevel="0" collapsed="false">
      <c r="A1516" s="17" t="s">
        <v>2080</v>
      </c>
      <c r="B1516" s="17" t="n">
        <v>11744.99</v>
      </c>
      <c r="C1516" s="19" t="n">
        <f aca="false">B1516/B1515-1</f>
        <v>-0.00972068113063107</v>
      </c>
      <c r="D1516" s="17" t="n">
        <f aca="false">AVERAGE(B1467:B1516)</f>
        <v>12121.5962</v>
      </c>
      <c r="E1516" s="17" t="n">
        <f aca="false">AVERAGE(B1317:B1516)</f>
        <v>14325.0778</v>
      </c>
      <c r="F1516" s="17" t="n">
        <f aca="false">B1516*2/13+F1515*11/13</f>
        <v>11830.1705642165</v>
      </c>
      <c r="G1516" s="17" t="n">
        <f aca="false">B1516*2/27+G1515*25/27</f>
        <v>11915.5603504196</v>
      </c>
      <c r="H1516" s="17" t="n">
        <f aca="false">F1516-G1516</f>
        <v>-85.3897862030899</v>
      </c>
      <c r="I1516" s="17" t="n">
        <f aca="false">H1516*2/10+I1515*8/10</f>
        <v>-147.404351456583</v>
      </c>
      <c r="J1516" s="17" t="n">
        <f aca="false">H1516-I1516</f>
        <v>62.0145652534935</v>
      </c>
      <c r="K1516" s="17" t="n">
        <f aca="false">MAX(B1516-B1515,0)</f>
        <v>0</v>
      </c>
      <c r="L1516" s="17" t="n">
        <f aca="false">MAX(B1515-B1516,0)</f>
        <v>115.290000000001</v>
      </c>
      <c r="M1516" s="17" t="n">
        <f aca="false">(M1515*13+K1516)/14</f>
        <v>90.0434207483463</v>
      </c>
      <c r="N1516" s="17" t="n">
        <f aca="false">(N1515*13+L1516)/14</f>
        <v>104.052962475084</v>
      </c>
      <c r="O1516" s="17" t="n">
        <f aca="false">IF(N1516=0,100,100-100/(1+M1516/N1516))</f>
        <v>46.391086352544</v>
      </c>
      <c r="P1516" s="17" t="n">
        <f aca="false">AVERAGE(B1497:B1516)+2*STDEV(B1497:B1516)</f>
        <v>12247.1867302148</v>
      </c>
      <c r="Q1516" s="17" t="n">
        <f aca="false">AVERAGE(B1497:B1516)-2*STDEV(B1497:B1516)</f>
        <v>11085.9642697852</v>
      </c>
      <c r="R1516" s="19" t="n">
        <f aca="false">B1516/B1496-1</f>
        <v>-0.0074225755145434</v>
      </c>
      <c r="S1516" s="17" t="n">
        <f aca="false">STDEV(C1497:C1516)*SQRT(252)*100</f>
        <v>34.8988806466874</v>
      </c>
      <c r="T1516" s="19" t="n">
        <f aca="false">B1495/B1265-1</f>
        <v>-0.17511533129764</v>
      </c>
      <c r="U1516" s="19" t="n">
        <f aca="false">B1516/MAX(B1265:B1516)-1</f>
        <v>-0.291332344596804</v>
      </c>
      <c r="V1516" s="17" t="n">
        <f aca="false">(B1516-AVERAGE(B1497:B1516))/STDEV(B1497:B1516)</f>
        <v>0.270110173277169</v>
      </c>
    </row>
    <row r="1517" customFormat="false" ht="15" hidden="false" customHeight="false" outlineLevel="0" collapsed="false">
      <c r="A1517" s="17" t="s">
        <v>2081</v>
      </c>
      <c r="B1517" s="17" t="n">
        <v>11728.53</v>
      </c>
      <c r="C1517" s="19" t="n">
        <f aca="false">B1517/B1516-1</f>
        <v>-0.00140144861766589</v>
      </c>
      <c r="D1517" s="17" t="n">
        <f aca="false">AVERAGE(B1468:B1517)</f>
        <v>12099.0708</v>
      </c>
      <c r="E1517" s="17" t="n">
        <f aca="false">AVERAGE(B1318:B1517)</f>
        <v>14307.07205</v>
      </c>
      <c r="F1517" s="17" t="n">
        <f aca="false">B1517*2/13+F1516*11/13</f>
        <v>11814.533554337</v>
      </c>
      <c r="G1517" s="17" t="n">
        <f aca="false">B1517*2/27+G1516*25/27</f>
        <v>11901.7062503885</v>
      </c>
      <c r="H1517" s="17" t="n">
        <f aca="false">F1517-G1517</f>
        <v>-87.1726960514679</v>
      </c>
      <c r="I1517" s="17" t="n">
        <f aca="false">H1517*2/10+I1516*8/10</f>
        <v>-135.35802037556</v>
      </c>
      <c r="J1517" s="17" t="n">
        <f aca="false">H1517-I1517</f>
        <v>48.1853243240924</v>
      </c>
      <c r="K1517" s="17" t="n">
        <f aca="false">MAX(B1517-B1516,0)</f>
        <v>0</v>
      </c>
      <c r="L1517" s="17" t="n">
        <f aca="false">MAX(B1516-B1517,0)</f>
        <v>16.4599999999991</v>
      </c>
      <c r="M1517" s="17" t="n">
        <f aca="false">(M1516*13+K1517)/14</f>
        <v>83.6117478377501</v>
      </c>
      <c r="N1517" s="17" t="n">
        <f aca="false">(N1516*13+L1517)/14</f>
        <v>97.7963222982923</v>
      </c>
      <c r="O1517" s="17" t="n">
        <f aca="false">IF(N1517=0,100,100-100/(1+M1517/N1517))</f>
        <v>46.0904235269399</v>
      </c>
      <c r="P1517" s="17" t="n">
        <f aca="false">AVERAGE(B1498:B1517)+2*STDEV(B1498:B1517)</f>
        <v>12241.5381817491</v>
      </c>
      <c r="Q1517" s="17" t="n">
        <f aca="false">AVERAGE(B1498:B1517)-2*STDEV(B1498:B1517)</f>
        <v>11135.6338182509</v>
      </c>
      <c r="R1517" s="19" t="n">
        <f aca="false">B1517/B1497-1</f>
        <v>0.0389969455153647</v>
      </c>
      <c r="S1517" s="17" t="n">
        <f aca="false">STDEV(C1498:C1517)*SQRT(252)*100</f>
        <v>30.4272176352222</v>
      </c>
      <c r="T1517" s="19" t="n">
        <f aca="false">B1496/B1266-1</f>
        <v>-0.205874457398573</v>
      </c>
      <c r="U1517" s="19" t="n">
        <f aca="false">B1517/MAX(B1266:B1517)-1</f>
        <v>-0.292325505902854</v>
      </c>
      <c r="V1517" s="17" t="n">
        <f aca="false">(B1517-AVERAGE(B1498:B1517))/STDEV(B1498:B1517)</f>
        <v>0.144475422354435</v>
      </c>
    </row>
    <row r="1518" customFormat="false" ht="15" hidden="false" customHeight="false" outlineLevel="0" collapsed="false">
      <c r="A1518" s="17" t="s">
        <v>2082</v>
      </c>
      <c r="B1518" s="17" t="n">
        <v>11768.4</v>
      </c>
      <c r="C1518" s="19" t="n">
        <f aca="false">B1518/B1517-1</f>
        <v>0.00339940299423702</v>
      </c>
      <c r="D1518" s="17" t="n">
        <f aca="false">AVERAGE(B1469:B1518)</f>
        <v>12072.9218</v>
      </c>
      <c r="E1518" s="17" t="n">
        <f aca="false">AVERAGE(B1319:B1518)</f>
        <v>14289.88995</v>
      </c>
      <c r="F1518" s="17" t="n">
        <f aca="false">B1518*2/13+F1517*11/13</f>
        <v>11807.436084439</v>
      </c>
      <c r="G1518" s="17" t="n">
        <f aca="false">B1518*2/27+G1517*25/27</f>
        <v>11891.8317133227</v>
      </c>
      <c r="H1518" s="17" t="n">
        <f aca="false">F1518-G1518</f>
        <v>-84.395628883658</v>
      </c>
      <c r="I1518" s="17" t="n">
        <f aca="false">H1518*2/10+I1517*8/10</f>
        <v>-125.16554207718</v>
      </c>
      <c r="J1518" s="17" t="n">
        <f aca="false">H1518-I1518</f>
        <v>40.7699131935218</v>
      </c>
      <c r="K1518" s="17" t="n">
        <f aca="false">MAX(B1518-B1517,0)</f>
        <v>39.869999999999</v>
      </c>
      <c r="L1518" s="17" t="n">
        <f aca="false">MAX(B1517-B1518,0)</f>
        <v>0</v>
      </c>
      <c r="M1518" s="17" t="n">
        <f aca="false">(M1517*13+K1518)/14</f>
        <v>80.4873372779108</v>
      </c>
      <c r="N1518" s="17" t="n">
        <f aca="false">(N1517*13+L1518)/14</f>
        <v>90.8108707055572</v>
      </c>
      <c r="O1518" s="17" t="n">
        <f aca="false">IF(N1518=0,100,100-100/(1+M1518/N1518))</f>
        <v>46.9866779258302</v>
      </c>
      <c r="P1518" s="17" t="n">
        <f aca="false">AVERAGE(B1499:B1518)+2*STDEV(B1499:B1518)</f>
        <v>12235.8223162214</v>
      </c>
      <c r="Q1518" s="17" t="n">
        <f aca="false">AVERAGE(B1499:B1518)-2*STDEV(B1499:B1518)</f>
        <v>11187.0206837786</v>
      </c>
      <c r="R1518" s="19" t="n">
        <f aca="false">B1518/B1498-1</f>
        <v>0.0403750456386269</v>
      </c>
      <c r="S1518" s="17" t="n">
        <f aca="false">STDEV(C1499:C1518)*SQRT(252)*100</f>
        <v>30.4307620118167</v>
      </c>
      <c r="T1518" s="19" t="n">
        <f aca="false">B1497/B1267-1</f>
        <v>-0.23700192433907</v>
      </c>
      <c r="U1518" s="19" t="n">
        <f aca="false">B1518/MAX(B1267:B1518)-1</f>
        <v>-0.289919835108675</v>
      </c>
      <c r="V1518" s="17" t="n">
        <f aca="false">(B1518-AVERAGE(B1499:B1518))/STDEV(B1499:B1518)</f>
        <v>0.217308967634946</v>
      </c>
    </row>
    <row r="1519" customFormat="false" ht="15" hidden="false" customHeight="false" outlineLevel="0" collapsed="false">
      <c r="A1519" s="17" t="s">
        <v>2083</v>
      </c>
      <c r="B1519" s="17" t="n">
        <v>11983.62</v>
      </c>
      <c r="C1519" s="19" t="n">
        <f aca="false">B1519/B1518-1</f>
        <v>0.0182879575813195</v>
      </c>
      <c r="D1519" s="17" t="n">
        <f aca="false">AVERAGE(B1470:B1519)</f>
        <v>12050.7962</v>
      </c>
      <c r="E1519" s="17" t="n">
        <f aca="false">AVERAGE(B1320:B1519)</f>
        <v>14275.95655</v>
      </c>
      <c r="F1519" s="17" t="n">
        <f aca="false">B1519*2/13+F1518*11/13</f>
        <v>11834.5413022176</v>
      </c>
      <c r="G1519" s="17" t="n">
        <f aca="false">B1519*2/27+G1518*25/27</f>
        <v>11898.6308456692</v>
      </c>
      <c r="H1519" s="17" t="n">
        <f aca="false">F1519-G1519</f>
        <v>-64.0895434515151</v>
      </c>
      <c r="I1519" s="17" t="n">
        <f aca="false">H1519*2/10+I1518*8/10</f>
        <v>-112.950342352047</v>
      </c>
      <c r="J1519" s="17" t="n">
        <f aca="false">H1519-I1519</f>
        <v>48.8607989005318</v>
      </c>
      <c r="K1519" s="17" t="n">
        <f aca="false">MAX(B1519-B1518,0)</f>
        <v>215.220000000001</v>
      </c>
      <c r="L1519" s="17" t="n">
        <f aca="false">MAX(B1518-B1519,0)</f>
        <v>0</v>
      </c>
      <c r="M1519" s="17" t="n">
        <f aca="false">(M1518*13+K1519)/14</f>
        <v>90.1110989009172</v>
      </c>
      <c r="N1519" s="17" t="n">
        <f aca="false">(N1518*13+L1519)/14</f>
        <v>84.3243799408745</v>
      </c>
      <c r="O1519" s="17" t="n">
        <f aca="false">IF(N1519=0,100,100-100/(1+M1519/N1519))</f>
        <v>51.6586989637845</v>
      </c>
      <c r="P1519" s="17" t="n">
        <f aca="false">AVERAGE(B1500:B1519)+2*STDEV(B1500:B1519)</f>
        <v>12265.7790637665</v>
      </c>
      <c r="Q1519" s="17" t="n">
        <f aca="false">AVERAGE(B1500:B1519)-2*STDEV(B1500:B1519)</f>
        <v>11196.0489362335</v>
      </c>
      <c r="R1519" s="19" t="n">
        <f aca="false">B1519/B1499-1</f>
        <v>0.0336258180039797</v>
      </c>
      <c r="S1519" s="17" t="n">
        <f aca="false">STDEV(C1500:C1519)*SQRT(252)*100</f>
        <v>29.8566920677995</v>
      </c>
      <c r="T1519" s="19" t="n">
        <f aca="false">B1498/B1268-1</f>
        <v>-0.229521339274646</v>
      </c>
      <c r="U1519" s="19" t="n">
        <f aca="false">B1519/MAX(B1268:B1519)-1</f>
        <v>-0.276933919173806</v>
      </c>
      <c r="V1519" s="17" t="n">
        <f aca="false">(B1519-AVERAGE(B1500:B1519))/STDEV(B1500:B1519)</f>
        <v>0.94493365567934</v>
      </c>
    </row>
    <row r="1520" customFormat="false" ht="15" hidden="false" customHeight="false" outlineLevel="0" collapsed="false">
      <c r="A1520" s="17" t="s">
        <v>2084</v>
      </c>
      <c r="B1520" s="17" t="n">
        <v>11877.5</v>
      </c>
      <c r="C1520" s="19" t="n">
        <f aca="false">B1520/B1519-1</f>
        <v>-0.0088554209829752</v>
      </c>
      <c r="D1520" s="17" t="n">
        <f aca="false">AVERAGE(B1471:B1520)</f>
        <v>12017.632</v>
      </c>
      <c r="E1520" s="17" t="n">
        <f aca="false">AVERAGE(B1321:B1520)</f>
        <v>14261.5796</v>
      </c>
      <c r="F1520" s="17" t="n">
        <f aca="false">B1520*2/13+F1519*11/13</f>
        <v>11841.1503326457</v>
      </c>
      <c r="G1520" s="17" t="n">
        <f aca="false">B1520*2/27+G1519*25/27</f>
        <v>11897.0655978418</v>
      </c>
      <c r="H1520" s="17" t="n">
        <f aca="false">F1520-G1520</f>
        <v>-55.9152651961158</v>
      </c>
      <c r="I1520" s="17" t="n">
        <f aca="false">H1520*2/10+I1519*8/10</f>
        <v>-101.543326920861</v>
      </c>
      <c r="J1520" s="17" t="n">
        <f aca="false">H1520-I1520</f>
        <v>45.6280617247449</v>
      </c>
      <c r="K1520" s="17" t="n">
        <f aca="false">MAX(B1520-B1519,0)</f>
        <v>0</v>
      </c>
      <c r="L1520" s="17" t="n">
        <f aca="false">MAX(B1519-B1520,0)</f>
        <v>106.120000000001</v>
      </c>
      <c r="M1520" s="17" t="n">
        <f aca="false">(M1519*13+K1520)/14</f>
        <v>83.674591836566</v>
      </c>
      <c r="N1520" s="17" t="n">
        <f aca="false">(N1519*13+L1520)/14</f>
        <v>85.8812099450978</v>
      </c>
      <c r="O1520" s="17" t="n">
        <f aca="false">IF(N1520=0,100,100-100/(1+M1520/N1520))</f>
        <v>49.3492944253912</v>
      </c>
      <c r="P1520" s="17" t="n">
        <f aca="false">AVERAGE(B1501:B1520)+2*STDEV(B1501:B1520)</f>
        <v>12224.5330010651</v>
      </c>
      <c r="Q1520" s="17" t="n">
        <f aca="false">AVERAGE(B1501:B1520)-2*STDEV(B1501:B1520)</f>
        <v>11312.2879989349</v>
      </c>
      <c r="R1520" s="19" t="n">
        <f aca="false">B1520/B1500-1</f>
        <v>0.0673938694611671</v>
      </c>
      <c r="S1520" s="17" t="n">
        <f aca="false">STDEV(C1501:C1520)*SQRT(252)*100</f>
        <v>25.800682170201</v>
      </c>
      <c r="T1520" s="19" t="n">
        <f aca="false">B1499/B1269-1</f>
        <v>-0.203127480825261</v>
      </c>
      <c r="U1520" s="19" t="n">
        <f aca="false">B1520/MAX(B1269:B1520)-1</f>
        <v>-0.283336973718031</v>
      </c>
      <c r="V1520" s="17" t="n">
        <f aca="false">(B1520-AVERAGE(B1501:B1520))/STDEV(B1501:B1520)</f>
        <v>0.478334218308721</v>
      </c>
    </row>
    <row r="1521" customFormat="false" ht="15" hidden="false" customHeight="false" outlineLevel="0" collapsed="false">
      <c r="A1521" s="17" t="s">
        <v>2085</v>
      </c>
      <c r="B1521" s="17" t="n">
        <v>12249.42</v>
      </c>
      <c r="C1521" s="19" t="n">
        <f aca="false">B1521/B1520-1</f>
        <v>0.0313129867396338</v>
      </c>
      <c r="D1521" s="17" t="n">
        <f aca="false">AVERAGE(B1472:B1521)</f>
        <v>12005.6094</v>
      </c>
      <c r="E1521" s="17" t="n">
        <f aca="false">AVERAGE(B1322:B1521)</f>
        <v>14249.3786</v>
      </c>
      <c r="F1521" s="17" t="n">
        <f aca="false">B1521*2/13+F1520*11/13</f>
        <v>11903.9610507002</v>
      </c>
      <c r="G1521" s="17" t="n">
        <f aca="false">B1521*2/27+G1520*25/27</f>
        <v>11923.1659239276</v>
      </c>
      <c r="H1521" s="17" t="n">
        <f aca="false">F1521-G1521</f>
        <v>-19.2048732273961</v>
      </c>
      <c r="I1521" s="17" t="n">
        <f aca="false">H1521*2/10+I1520*8/10</f>
        <v>-85.0756361821678</v>
      </c>
      <c r="J1521" s="17" t="n">
        <f aca="false">H1521-I1521</f>
        <v>65.8707629547717</v>
      </c>
      <c r="K1521" s="17" t="n">
        <f aca="false">MAX(B1521-B1520,0)</f>
        <v>371.92</v>
      </c>
      <c r="L1521" s="17" t="n">
        <f aca="false">MAX(B1520-B1521,0)</f>
        <v>0</v>
      </c>
      <c r="M1521" s="17" t="n">
        <f aca="false">(M1520*13+K1521)/14</f>
        <v>104.263549562526</v>
      </c>
      <c r="N1521" s="17" t="n">
        <f aca="false">(N1520*13+L1521)/14</f>
        <v>79.7468378061623</v>
      </c>
      <c r="O1521" s="17" t="n">
        <f aca="false">IF(N1521=0,100,100-100/(1+M1521/N1521))</f>
        <v>56.6617738560707</v>
      </c>
      <c r="P1521" s="17" t="n">
        <f aca="false">AVERAGE(B1502:B1521)+2*STDEV(B1502:B1521)</f>
        <v>12257.3938731601</v>
      </c>
      <c r="Q1521" s="17" t="n">
        <f aca="false">AVERAGE(B1502:B1521)-2*STDEV(B1502:B1521)</f>
        <v>11377.7701268399</v>
      </c>
      <c r="R1521" s="19" t="n">
        <f aca="false">B1521/B1501-1</f>
        <v>0.0872919290714798</v>
      </c>
      <c r="S1521" s="17" t="n">
        <f aca="false">STDEV(C1502:C1521)*SQRT(252)*100</f>
        <v>27.4928267506783</v>
      </c>
      <c r="T1521" s="19" t="n">
        <f aca="false">B1500/B1270-1</f>
        <v>-0.244472342531781</v>
      </c>
      <c r="U1521" s="19" t="n">
        <f aca="false">B1521/MAX(B1270:B1521)-1</f>
        <v>-0.260896113879278</v>
      </c>
      <c r="V1521" s="17" t="n">
        <f aca="false">(B1521-AVERAGE(B1502:B1521))/STDEV(B1502:B1521)</f>
        <v>1.96373961847439</v>
      </c>
    </row>
    <row r="1522" customFormat="false" ht="15" hidden="false" customHeight="false" outlineLevel="0" collapsed="false">
      <c r="A1522" s="17" t="s">
        <v>2086</v>
      </c>
      <c r="B1522" s="17" t="n">
        <v>12439.68</v>
      </c>
      <c r="C1522" s="19" t="n">
        <f aca="false">B1522/B1521-1</f>
        <v>0.0155321639718453</v>
      </c>
      <c r="D1522" s="17" t="n">
        <f aca="false">AVERAGE(B1473:B1522)</f>
        <v>12000.5324</v>
      </c>
      <c r="E1522" s="17" t="n">
        <f aca="false">AVERAGE(B1323:B1522)</f>
        <v>14237.61765</v>
      </c>
      <c r="F1522" s="17" t="n">
        <f aca="false">B1522*2/13+F1521*11/13</f>
        <v>11986.3793505925</v>
      </c>
      <c r="G1522" s="17" t="n">
        <f aca="false">B1522*2/27+G1521*25/27</f>
        <v>11961.4262258589</v>
      </c>
      <c r="H1522" s="17" t="n">
        <f aca="false">F1522-G1522</f>
        <v>24.9531247335908</v>
      </c>
      <c r="I1522" s="17" t="n">
        <f aca="false">H1522*2/10+I1521*8/10</f>
        <v>-63.069883999016</v>
      </c>
      <c r="J1522" s="17" t="n">
        <f aca="false">H1522-I1522</f>
        <v>88.0230087326069</v>
      </c>
      <c r="K1522" s="17" t="n">
        <f aca="false">MAX(B1522-B1521,0)</f>
        <v>190.26</v>
      </c>
      <c r="L1522" s="17" t="n">
        <f aca="false">MAX(B1521-B1522,0)</f>
        <v>0</v>
      </c>
      <c r="M1522" s="17" t="n">
        <f aca="false">(M1521*13+K1522)/14</f>
        <v>110.406153165202</v>
      </c>
      <c r="N1522" s="17" t="n">
        <f aca="false">(N1521*13+L1522)/14</f>
        <v>74.0506351057221</v>
      </c>
      <c r="O1522" s="17" t="n">
        <f aca="false">IF(N1522=0,100,100-100/(1+M1522/N1522))</f>
        <v>59.8547519991735</v>
      </c>
      <c r="P1522" s="17" t="n">
        <f aca="false">AVERAGE(B1503:B1522)+2*STDEV(B1503:B1522)</f>
        <v>12363.3026047026</v>
      </c>
      <c r="Q1522" s="17" t="n">
        <f aca="false">AVERAGE(B1503:B1522)-2*STDEV(B1503:B1522)</f>
        <v>11361.1533952974</v>
      </c>
      <c r="R1522" s="19" t="n">
        <f aca="false">B1522/B1502-1</f>
        <v>0.0773307837003627</v>
      </c>
      <c r="S1522" s="17" t="n">
        <f aca="false">STDEV(C1503:C1522)*SQRT(252)*100</f>
        <v>26.7523527142735</v>
      </c>
      <c r="T1522" s="19" t="n">
        <f aca="false">B1501/B1271-1</f>
        <v>-0.240970771352516</v>
      </c>
      <c r="U1522" s="19" t="n">
        <f aca="false">B1522/MAX(B1271:B1522)-1</f>
        <v>-0.249416231127823</v>
      </c>
      <c r="V1522" s="17" t="n">
        <f aca="false">(B1522-AVERAGE(B1503:B1522))/STDEV(B1503:B1522)</f>
        <v>2.30485438527742</v>
      </c>
    </row>
    <row r="1523" customFormat="false" ht="15" hidden="false" customHeight="false" outlineLevel="0" collapsed="false">
      <c r="A1523" s="17" t="s">
        <v>2087</v>
      </c>
      <c r="B1523" s="17" t="n">
        <v>12619.41</v>
      </c>
      <c r="C1523" s="19" t="n">
        <f aca="false">B1523/B1522-1</f>
        <v>0.0144481208519833</v>
      </c>
      <c r="D1523" s="17" t="n">
        <f aca="false">AVERAGE(B1474:B1523)</f>
        <v>12009.1662</v>
      </c>
      <c r="E1523" s="17" t="n">
        <f aca="false">AVERAGE(B1324:B1523)</f>
        <v>14228.3541</v>
      </c>
      <c r="F1523" s="17" t="n">
        <f aca="false">B1523*2/13+F1522*11/13</f>
        <v>12083.7686812706</v>
      </c>
      <c r="G1523" s="17" t="n">
        <f aca="false">B1523*2/27+G1522*25/27</f>
        <v>12010.1657646842</v>
      </c>
      <c r="H1523" s="17" t="n">
        <f aca="false">F1523-G1523</f>
        <v>73.6029165864038</v>
      </c>
      <c r="I1523" s="17" t="n">
        <f aca="false">H1523*2/10+I1522*8/10</f>
        <v>-35.7353238819321</v>
      </c>
      <c r="J1523" s="17" t="n">
        <f aca="false">H1523-I1523</f>
        <v>109.338240468336</v>
      </c>
      <c r="K1523" s="17" t="n">
        <f aca="false">MAX(B1523-B1522,0)</f>
        <v>179.73</v>
      </c>
      <c r="L1523" s="17" t="n">
        <f aca="false">MAX(B1522-B1523,0)</f>
        <v>0</v>
      </c>
      <c r="M1523" s="17" t="n">
        <f aca="false">(M1522*13+K1523)/14</f>
        <v>115.357856510545</v>
      </c>
      <c r="N1523" s="17" t="n">
        <f aca="false">(N1522*13+L1523)/14</f>
        <v>68.7613040267419</v>
      </c>
      <c r="O1523" s="17" t="n">
        <f aca="false">IF(N1523=0,100,100-100/(1+M1523/N1523))</f>
        <v>62.6539118329204</v>
      </c>
      <c r="P1523" s="17" t="n">
        <f aca="false">AVERAGE(B1504:B1523)+2*STDEV(B1504:B1523)</f>
        <v>12496.1850197121</v>
      </c>
      <c r="Q1523" s="17" t="n">
        <f aca="false">AVERAGE(B1504:B1523)-2*STDEV(B1504:B1523)</f>
        <v>11337.4409802879</v>
      </c>
      <c r="R1523" s="19" t="n">
        <f aca="false">B1523/B1503-1</f>
        <v>0.0947022435505405</v>
      </c>
      <c r="S1523" s="17" t="n">
        <f aca="false">STDEV(C1504:C1523)*SQRT(252)*100</f>
        <v>26.9218828554994</v>
      </c>
      <c r="T1523" s="19" t="n">
        <f aca="false">B1502/B1272-1</f>
        <v>-0.227133292325322</v>
      </c>
      <c r="U1523" s="19" t="n">
        <f aca="false">B1523/MAX(B1272:B1523)-1</f>
        <v>-0.238571706125621</v>
      </c>
      <c r="V1523" s="17" t="n">
        <f aca="false">(B1523-AVERAGE(B1504:B1523))/STDEV(B1504:B1523)</f>
        <v>2.42537428835154</v>
      </c>
    </row>
    <row r="1524" customFormat="false" ht="15" hidden="false" customHeight="false" outlineLevel="0" collapsed="false">
      <c r="A1524" s="17" t="s">
        <v>2088</v>
      </c>
      <c r="B1524" s="17" t="n">
        <v>12396.47</v>
      </c>
      <c r="C1524" s="19" t="n">
        <f aca="false">B1524/B1523-1</f>
        <v>-0.0176664360695151</v>
      </c>
      <c r="D1524" s="17" t="n">
        <f aca="false">AVERAGE(B1475:B1524)</f>
        <v>12010.1784</v>
      </c>
      <c r="E1524" s="17" t="n">
        <f aca="false">AVERAGE(B1325:B1524)</f>
        <v>14216.9657</v>
      </c>
      <c r="F1524" s="17" t="n">
        <f aca="false">B1524*2/13+F1523*11/13</f>
        <v>12131.8765764597</v>
      </c>
      <c r="G1524" s="17" t="n">
        <f aca="false">B1524*2/27+G1523*25/27</f>
        <v>12038.7808932261</v>
      </c>
      <c r="H1524" s="17" t="n">
        <f aca="false">F1524-G1524</f>
        <v>93.0956832336324</v>
      </c>
      <c r="I1524" s="17" t="n">
        <f aca="false">H1524*2/10+I1523*8/10</f>
        <v>-9.96912245881918</v>
      </c>
      <c r="J1524" s="17" t="n">
        <f aca="false">H1524-I1524</f>
        <v>103.064805692452</v>
      </c>
      <c r="K1524" s="17" t="n">
        <f aca="false">MAX(B1524-B1523,0)</f>
        <v>0</v>
      </c>
      <c r="L1524" s="17" t="n">
        <f aca="false">MAX(B1523-B1524,0)</f>
        <v>222.940000000001</v>
      </c>
      <c r="M1524" s="17" t="n">
        <f aca="false">(M1523*13+K1524)/14</f>
        <v>107.118009616935</v>
      </c>
      <c r="N1524" s="17" t="n">
        <f aca="false">(N1523*13+L1524)/14</f>
        <v>79.7740680248319</v>
      </c>
      <c r="O1524" s="17" t="n">
        <f aca="false">IF(N1524=0,100,100-100/(1+M1524/N1524))</f>
        <v>57.3154362499291</v>
      </c>
      <c r="P1524" s="17" t="n">
        <f aca="false">AVERAGE(B1505:B1524)+2*STDEV(B1505:B1524)</f>
        <v>12559.0897243828</v>
      </c>
      <c r="Q1524" s="17" t="n">
        <f aca="false">AVERAGE(B1505:B1524)-2*STDEV(B1505:B1524)</f>
        <v>11344.4152756172</v>
      </c>
      <c r="R1524" s="19" t="n">
        <f aca="false">B1524/B1504-1</f>
        <v>0.0597374864075611</v>
      </c>
      <c r="S1524" s="17" t="n">
        <f aca="false">STDEV(C1505:C1524)*SQRT(252)*100</f>
        <v>27.7585675484104</v>
      </c>
      <c r="T1524" s="19" t="n">
        <f aca="false">B1503/B1273-1</f>
        <v>-0.23717110944501</v>
      </c>
      <c r="U1524" s="19" t="n">
        <f aca="false">B1524/MAX(B1273:B1524)-1</f>
        <v>-0.252023430400873</v>
      </c>
      <c r="V1524" s="17" t="n">
        <f aca="false">(B1524-AVERAGE(B1505:B1524))/STDEV(B1505:B1524)</f>
        <v>1.46448293351988</v>
      </c>
    </row>
    <row r="1525" customFormat="false" ht="15" hidden="false" customHeight="false" outlineLevel="0" collapsed="false">
      <c r="A1525" s="17" t="s">
        <v>2089</v>
      </c>
      <c r="B1525" s="17" t="n">
        <v>12328.41</v>
      </c>
      <c r="C1525" s="19" t="n">
        <f aca="false">B1525/B1524-1</f>
        <v>-0.00549027263406432</v>
      </c>
      <c r="D1525" s="17" t="n">
        <f aca="false">AVERAGE(B1476:B1525)</f>
        <v>12017.3954</v>
      </c>
      <c r="E1525" s="17" t="n">
        <f aca="false">AVERAGE(B1326:B1525)</f>
        <v>14204.774</v>
      </c>
      <c r="F1525" s="17" t="n">
        <f aca="false">B1525*2/13+F1524*11/13</f>
        <v>12162.1124877736</v>
      </c>
      <c r="G1525" s="17" t="n">
        <f aca="false">B1525*2/27+G1524*25/27</f>
        <v>12060.2349011352</v>
      </c>
      <c r="H1525" s="17" t="n">
        <f aca="false">F1525-G1525</f>
        <v>101.877586638346</v>
      </c>
      <c r="I1525" s="17" t="n">
        <f aca="false">H1525*2/10+I1524*8/10</f>
        <v>12.4002193606138</v>
      </c>
      <c r="J1525" s="17" t="n">
        <f aca="false">H1525-I1525</f>
        <v>89.4773672777319</v>
      </c>
      <c r="K1525" s="17" t="n">
        <f aca="false">MAX(B1525-B1524,0)</f>
        <v>0</v>
      </c>
      <c r="L1525" s="17" t="n">
        <f aca="false">MAX(B1524-B1525,0)</f>
        <v>68.0599999999995</v>
      </c>
      <c r="M1525" s="17" t="n">
        <f aca="false">(M1524*13+K1525)/14</f>
        <v>99.466723215725</v>
      </c>
      <c r="N1525" s="17" t="n">
        <f aca="false">(N1524*13+L1525)/14</f>
        <v>78.937348880201</v>
      </c>
      <c r="O1525" s="17" t="n">
        <f aca="false">IF(N1525=0,100,100-100/(1+M1525/N1525))</f>
        <v>55.753617082374</v>
      </c>
      <c r="P1525" s="17" t="n">
        <f aca="false">AVERAGE(B1506:B1525)+2*STDEV(B1506:B1525)</f>
        <v>12589.941494212</v>
      </c>
      <c r="Q1525" s="17" t="n">
        <f aca="false">AVERAGE(B1506:B1525)-2*STDEV(B1506:B1525)</f>
        <v>11335.819505788</v>
      </c>
      <c r="R1525" s="19" t="n">
        <f aca="false">B1525/B1505-1</f>
        <v>0.0183845000557581</v>
      </c>
      <c r="S1525" s="17" t="n">
        <f aca="false">STDEV(C1506:C1525)*SQRT(252)*100</f>
        <v>25.1974386033709</v>
      </c>
      <c r="T1525" s="19" t="n">
        <f aca="false">B1504/B1274-1</f>
        <v>-0.226648243581395</v>
      </c>
      <c r="U1525" s="19" t="n">
        <f aca="false">B1525/MAX(B1274:B1525)-1</f>
        <v>-0.256130025691864</v>
      </c>
      <c r="V1525" s="17" t="n">
        <f aca="false">(B1525-AVERAGE(B1506:B1525))/STDEV(B1506:B1525)</f>
        <v>1.16584990415283</v>
      </c>
    </row>
    <row r="1526" customFormat="false" ht="15" hidden="false" customHeight="false" outlineLevel="0" collapsed="false">
      <c r="A1526" s="17" t="s">
        <v>2090</v>
      </c>
      <c r="B1526" s="17" t="n">
        <v>12086.9</v>
      </c>
      <c r="C1526" s="19" t="n">
        <f aca="false">B1526/B1525-1</f>
        <v>-0.019589711893099</v>
      </c>
      <c r="D1526" s="17" t="n">
        <f aca="false">AVERAGE(B1477:B1526)</f>
        <v>12020.2234</v>
      </c>
      <c r="E1526" s="17" t="n">
        <f aca="false">AVERAGE(B1327:B1526)</f>
        <v>14190.72285</v>
      </c>
      <c r="F1526" s="17" t="n">
        <f aca="false">B1526*2/13+F1525*11/13</f>
        <v>12150.5413358084</v>
      </c>
      <c r="G1526" s="17" t="n">
        <f aca="false">B1526*2/27+G1525*25/27</f>
        <v>12062.2100936438</v>
      </c>
      <c r="H1526" s="17" t="n">
        <f aca="false">F1526-G1526</f>
        <v>88.3312421646733</v>
      </c>
      <c r="I1526" s="17" t="n">
        <f aca="false">H1526*2/10+I1525*8/10</f>
        <v>27.5864239214257</v>
      </c>
      <c r="J1526" s="17" t="n">
        <f aca="false">H1526-I1526</f>
        <v>60.7448182432476</v>
      </c>
      <c r="K1526" s="17" t="n">
        <f aca="false">MAX(B1526-B1525,0)</f>
        <v>0</v>
      </c>
      <c r="L1526" s="17" t="n">
        <f aca="false">MAX(B1525-B1526,0)</f>
        <v>241.51</v>
      </c>
      <c r="M1526" s="17" t="n">
        <f aca="false">(M1525*13+K1526)/14</f>
        <v>92.3619572717447</v>
      </c>
      <c r="N1526" s="17" t="n">
        <f aca="false">(N1525*13+L1526)/14</f>
        <v>90.5496811030438</v>
      </c>
      <c r="O1526" s="17" t="n">
        <f aca="false">IF(N1526=0,100,100-100/(1+M1526/N1526))</f>
        <v>50.4953966256066</v>
      </c>
      <c r="P1526" s="17" t="n">
        <f aca="false">AVERAGE(B1507:B1526)+2*STDEV(B1507:B1526)</f>
        <v>12596.055326504</v>
      </c>
      <c r="Q1526" s="17" t="n">
        <f aca="false">AVERAGE(B1507:B1526)-2*STDEV(B1507:B1526)</f>
        <v>11337.571673496</v>
      </c>
      <c r="R1526" s="19" t="n">
        <f aca="false">B1526/B1506-1</f>
        <v>0.00655050198863449</v>
      </c>
      <c r="S1526" s="17" t="n">
        <f aca="false">STDEV(C1507:C1526)*SQRT(252)*100</f>
        <v>26.0664082539202</v>
      </c>
      <c r="T1526" s="19" t="n">
        <f aca="false">B1505/B1275-1</f>
        <v>-0.190621496198762</v>
      </c>
      <c r="U1526" s="19" t="n">
        <f aca="false">B1526/MAX(B1275:B1526)-1</f>
        <v>-0.270702224174488</v>
      </c>
      <c r="V1526" s="17" t="n">
        <f aca="false">(B1526-AVERAGE(B1507:B1526))/STDEV(B1507:B1526)</f>
        <v>0.38168632453181</v>
      </c>
    </row>
    <row r="1527" customFormat="false" ht="15" hidden="false" customHeight="false" outlineLevel="0" collapsed="false">
      <c r="A1527" s="17" t="s">
        <v>2091</v>
      </c>
      <c r="B1527" s="17" t="n">
        <v>12601.47</v>
      </c>
      <c r="C1527" s="19" t="n">
        <f aca="false">B1527/B1526-1</f>
        <v>0.0425725372097063</v>
      </c>
      <c r="D1527" s="17" t="n">
        <f aca="false">AVERAGE(B1478:B1527)</f>
        <v>12024.5048</v>
      </c>
      <c r="E1527" s="17" t="n">
        <f aca="false">AVERAGE(B1328:B1527)</f>
        <v>14179.62645</v>
      </c>
      <c r="F1527" s="17" t="n">
        <f aca="false">B1527*2/13+F1526*11/13</f>
        <v>12219.9149764533</v>
      </c>
      <c r="G1527" s="17" t="n">
        <f aca="false">B1527*2/27+G1526*25/27</f>
        <v>12102.1552718924</v>
      </c>
      <c r="H1527" s="17" t="n">
        <f aca="false">F1527-G1527</f>
        <v>117.75970456092</v>
      </c>
      <c r="I1527" s="17" t="n">
        <f aca="false">H1527*2/10+I1526*8/10</f>
        <v>45.6210800493246</v>
      </c>
      <c r="J1527" s="17" t="n">
        <f aca="false">H1527-I1527</f>
        <v>72.1386245115954</v>
      </c>
      <c r="K1527" s="17" t="n">
        <f aca="false">MAX(B1527-B1526,0)</f>
        <v>514.57</v>
      </c>
      <c r="L1527" s="17" t="n">
        <f aca="false">MAX(B1526-B1527,0)</f>
        <v>0</v>
      </c>
      <c r="M1527" s="17" t="n">
        <f aca="false">(M1526*13+K1527)/14</f>
        <v>122.519674609477</v>
      </c>
      <c r="N1527" s="17" t="n">
        <f aca="false">(N1526*13+L1527)/14</f>
        <v>84.0818467385407</v>
      </c>
      <c r="O1527" s="17" t="n">
        <f aca="false">IF(N1527=0,100,100-100/(1+M1527/N1527))</f>
        <v>59.3024067829076</v>
      </c>
      <c r="P1527" s="17" t="n">
        <f aca="false">AVERAGE(B1508:B1527)+2*STDEV(B1508:B1527)</f>
        <v>12684.456006321</v>
      </c>
      <c r="Q1527" s="17" t="n">
        <f aca="false">AVERAGE(B1508:B1527)-2*STDEV(B1508:B1527)</f>
        <v>11345.540993679</v>
      </c>
      <c r="R1527" s="19" t="n">
        <f aca="false">B1527/B1507-1</f>
        <v>0.082807960631633</v>
      </c>
      <c r="S1527" s="17" t="n">
        <f aca="false">STDEV(C1508:C1527)*SQRT(252)*100</f>
        <v>27.3678033033767</v>
      </c>
      <c r="T1527" s="19" t="n">
        <f aca="false">B1506/B1276-1</f>
        <v>-0.200415498631651</v>
      </c>
      <c r="U1527" s="19" t="n">
        <f aca="false">B1527/MAX(B1276:B1527)-1</f>
        <v>-0.2396541674762</v>
      </c>
      <c r="V1527" s="17" t="n">
        <f aca="false">(B1527-AVERAGE(B1508:B1527))/STDEV(B1508:B1527)</f>
        <v>1.75207983916108</v>
      </c>
    </row>
    <row r="1528" customFormat="false" ht="15" hidden="false" customHeight="false" outlineLevel="0" collapsed="false">
      <c r="A1528" s="17" t="s">
        <v>2092</v>
      </c>
      <c r="B1528" s="17" t="n">
        <v>12717.87</v>
      </c>
      <c r="C1528" s="19" t="n">
        <f aca="false">B1528/B1527-1</f>
        <v>0.00923701758604367</v>
      </c>
      <c r="D1528" s="17" t="n">
        <f aca="false">AVERAGE(B1479:B1528)</f>
        <v>12033.9906</v>
      </c>
      <c r="E1528" s="17" t="n">
        <f aca="false">AVERAGE(B1329:B1528)</f>
        <v>14169.64715</v>
      </c>
      <c r="F1528" s="17" t="n">
        <f aca="false">B1528*2/13+F1527*11/13</f>
        <v>12296.5234416143</v>
      </c>
      <c r="G1528" s="17" t="n">
        <f aca="false">B1528*2/27+G1527*25/27</f>
        <v>12147.7637702707</v>
      </c>
      <c r="H1528" s="17" t="n">
        <f aca="false">F1528-G1528</f>
        <v>148.759671343611</v>
      </c>
      <c r="I1528" s="17" t="n">
        <f aca="false">H1528*2/10+I1527*8/10</f>
        <v>66.2487983081818</v>
      </c>
      <c r="J1528" s="17" t="n">
        <f aca="false">H1528-I1528</f>
        <v>82.5108730354288</v>
      </c>
      <c r="K1528" s="17" t="n">
        <f aca="false">MAX(B1528-B1527,0)</f>
        <v>116.400000000001</v>
      </c>
      <c r="L1528" s="17" t="n">
        <f aca="false">MAX(B1527-B1528,0)</f>
        <v>0</v>
      </c>
      <c r="M1528" s="17" t="n">
        <f aca="false">(M1527*13+K1528)/14</f>
        <v>122.082554994515</v>
      </c>
      <c r="N1528" s="17" t="n">
        <f aca="false">(N1527*13+L1528)/14</f>
        <v>78.0760005429306</v>
      </c>
      <c r="O1528" s="17" t="n">
        <f aca="false">IF(N1528=0,100,100-100/(1+M1528/N1528))</f>
        <v>60.9929236682944</v>
      </c>
      <c r="P1528" s="17" t="n">
        <f aca="false">AVERAGE(B1509:B1528)+2*STDEV(B1509:B1528)</f>
        <v>12784.6159918886</v>
      </c>
      <c r="Q1528" s="17" t="n">
        <f aca="false">AVERAGE(B1509:B1528)-2*STDEV(B1509:B1528)</f>
        <v>11351.3420081114</v>
      </c>
      <c r="R1528" s="19" t="n">
        <f aca="false">B1528/B1508-1</f>
        <v>0.0908892064510485</v>
      </c>
      <c r="S1528" s="17" t="n">
        <f aca="false">STDEV(C1509:C1528)*SQRT(252)*100</f>
        <v>27.4107447816625</v>
      </c>
      <c r="T1528" s="19" t="n">
        <f aca="false">B1507/B1277-1</f>
        <v>-0.226641972945889</v>
      </c>
      <c r="U1528" s="19" t="n">
        <f aca="false">B1528/MAX(B1277:B1528)-1</f>
        <v>-0.232630839649702</v>
      </c>
      <c r="V1528" s="17" t="n">
        <f aca="false">(B1528-AVERAGE(B1509:B1528))/STDEV(B1509:B1528)</f>
        <v>1.81372440260805</v>
      </c>
    </row>
    <row r="1529" customFormat="false" ht="15" hidden="false" customHeight="false" outlineLevel="0" collapsed="false">
      <c r="A1529" s="17" t="s">
        <v>2093</v>
      </c>
      <c r="B1529" s="17" t="n">
        <v>12947.97</v>
      </c>
      <c r="C1529" s="19" t="n">
        <f aca="false">B1529/B1528-1</f>
        <v>0.0180926523073437</v>
      </c>
      <c r="D1529" s="17" t="n">
        <f aca="false">AVERAGE(B1480:B1529)</f>
        <v>12041.668</v>
      </c>
      <c r="E1529" s="17" t="n">
        <f aca="false">AVERAGE(B1330:B1529)</f>
        <v>14161.07645</v>
      </c>
      <c r="F1529" s="17" t="n">
        <f aca="false">B1529*2/13+F1528*11/13</f>
        <v>12396.7459890583</v>
      </c>
      <c r="G1529" s="17" t="n">
        <f aca="false">B1529*2/27+G1528*25/27</f>
        <v>12207.0383058062</v>
      </c>
      <c r="H1529" s="17" t="n">
        <f aca="false">F1529-G1529</f>
        <v>189.70768325206</v>
      </c>
      <c r="I1529" s="17" t="n">
        <f aca="false">H1529*2/10+I1528*8/10</f>
        <v>90.9405752969574</v>
      </c>
      <c r="J1529" s="17" t="n">
        <f aca="false">H1529-I1529</f>
        <v>98.7671079551024</v>
      </c>
      <c r="K1529" s="17" t="n">
        <f aca="false">MAX(B1529-B1528,0)</f>
        <v>230.099999999999</v>
      </c>
      <c r="L1529" s="17" t="n">
        <f aca="false">MAX(B1528-B1529,0)</f>
        <v>0</v>
      </c>
      <c r="M1529" s="17" t="n">
        <f aca="false">(M1528*13+K1529)/14</f>
        <v>129.798086780621</v>
      </c>
      <c r="N1529" s="17" t="n">
        <f aca="false">(N1528*13+L1529)/14</f>
        <v>72.4991433612927</v>
      </c>
      <c r="O1529" s="17" t="n">
        <f aca="false">IF(N1529=0,100,100-100/(1+M1529/N1529))</f>
        <v>64.1620682050694</v>
      </c>
      <c r="P1529" s="17" t="n">
        <f aca="false">AVERAGE(B1510:B1529)+2*STDEV(B1510:B1529)</f>
        <v>12906.7496014893</v>
      </c>
      <c r="Q1529" s="17" t="n">
        <f aca="false">AVERAGE(B1510:B1529)-2*STDEV(B1510:B1529)</f>
        <v>11373.6333985107</v>
      </c>
      <c r="R1529" s="19" t="n">
        <f aca="false">B1529/B1509-1</f>
        <v>0.125546345008397</v>
      </c>
      <c r="S1529" s="17" t="n">
        <f aca="false">STDEV(C1510:C1529)*SQRT(252)*100</f>
        <v>26.9726741125001</v>
      </c>
      <c r="T1529" s="19" t="n">
        <f aca="false">B1508/B1278-1</f>
        <v>-0.22069933622551</v>
      </c>
      <c r="U1529" s="19" t="n">
        <f aca="false">B1529/MAX(B1278:B1529)-1</f>
        <v>-0.218747096240106</v>
      </c>
      <c r="V1529" s="17" t="n">
        <f aca="false">(B1529-AVERAGE(B1510:B1529))/STDEV(B1510:B1529)</f>
        <v>2.10754670371514</v>
      </c>
    </row>
    <row r="1530" customFormat="false" ht="15" hidden="false" customHeight="false" outlineLevel="0" collapsed="false">
      <c r="A1530" s="17" t="s">
        <v>2094</v>
      </c>
      <c r="B1530" s="17" t="n">
        <v>12940.78</v>
      </c>
      <c r="C1530" s="19" t="n">
        <f aca="false">B1530/B1529-1</f>
        <v>-0.000555299402145604</v>
      </c>
      <c r="D1530" s="17" t="n">
        <f aca="false">AVERAGE(B1481:B1530)</f>
        <v>12061.9174</v>
      </c>
      <c r="E1530" s="17" t="n">
        <f aca="false">AVERAGE(B1331:B1530)</f>
        <v>14151.90735</v>
      </c>
      <c r="F1530" s="17" t="n">
        <f aca="false">B1530*2/13+F1529*11/13</f>
        <v>12480.4435292032</v>
      </c>
      <c r="G1530" s="17" t="n">
        <f aca="false">B1530*2/27+G1529*25/27</f>
        <v>12261.3895424132</v>
      </c>
      <c r="H1530" s="17" t="n">
        <f aca="false">F1530-G1530</f>
        <v>219.053986789995</v>
      </c>
      <c r="I1530" s="17" t="n">
        <f aca="false">H1530*2/10+I1529*8/10</f>
        <v>116.563257595565</v>
      </c>
      <c r="J1530" s="17" t="n">
        <f aca="false">H1530-I1530</f>
        <v>102.49072919443</v>
      </c>
      <c r="K1530" s="17" t="n">
        <f aca="false">MAX(B1530-B1529,0)</f>
        <v>0</v>
      </c>
      <c r="L1530" s="17" t="n">
        <f aca="false">MAX(B1529-B1530,0)</f>
        <v>7.18999999999869</v>
      </c>
      <c r="M1530" s="17" t="n">
        <f aca="false">(M1529*13+K1530)/14</f>
        <v>120.526794867719</v>
      </c>
      <c r="N1530" s="17" t="n">
        <f aca="false">(N1529*13+L1530)/14</f>
        <v>67.8342045497717</v>
      </c>
      <c r="O1530" s="17" t="n">
        <f aca="false">IF(N1530=0,100,100-100/(1+M1530/N1530))</f>
        <v>63.9871285671928</v>
      </c>
      <c r="P1530" s="17" t="n">
        <f aca="false">AVERAGE(B1511:B1530)+2*STDEV(B1511:B1530)</f>
        <v>13006.9982967869</v>
      </c>
      <c r="Q1530" s="17" t="n">
        <f aca="false">AVERAGE(B1511:B1530)-2*STDEV(B1511:B1530)</f>
        <v>11408.8947032131</v>
      </c>
      <c r="R1530" s="19" t="n">
        <f aca="false">B1530/B1510-1</f>
        <v>0.116963354762086</v>
      </c>
      <c r="S1530" s="17" t="n">
        <f aca="false">STDEV(C1511:C1530)*SQRT(252)*100</f>
        <v>27.070321808634</v>
      </c>
      <c r="T1530" s="19" t="n">
        <f aca="false">B1509/B1279-1</f>
        <v>-0.231220787483243</v>
      </c>
      <c r="U1530" s="19" t="n">
        <f aca="false">B1530/MAX(B1279:B1530)-1</f>
        <v>-0.219180925510489</v>
      </c>
      <c r="V1530" s="17" t="n">
        <f aca="false">(B1530-AVERAGE(B1511:B1530))/STDEV(B1511:B1530)</f>
        <v>1.83425781143801</v>
      </c>
    </row>
    <row r="1531" customFormat="false" ht="15" hidden="false" customHeight="false" outlineLevel="0" collapsed="false">
      <c r="A1531" s="17" t="s">
        <v>2095</v>
      </c>
      <c r="B1531" s="17" t="n">
        <v>12901.6</v>
      </c>
      <c r="C1531" s="19" t="n">
        <f aca="false">B1531/B1530-1</f>
        <v>-0.00302763821037066</v>
      </c>
      <c r="D1531" s="17" t="n">
        <f aca="false">AVERAGE(B1482:B1531)</f>
        <v>12082.4368</v>
      </c>
      <c r="E1531" s="17" t="n">
        <f aca="false">AVERAGE(B1332:B1531)</f>
        <v>14141.15325</v>
      </c>
      <c r="F1531" s="17" t="n">
        <f aca="false">B1531*2/13+F1530*11/13</f>
        <v>12545.2368324027</v>
      </c>
      <c r="G1531" s="17" t="n">
        <f aca="false">B1531*2/27+G1530*25/27</f>
        <v>12308.8125392714</v>
      </c>
      <c r="H1531" s="17" t="n">
        <f aca="false">F1531-G1531</f>
        <v>236.424293131227</v>
      </c>
      <c r="I1531" s="17" t="n">
        <f aca="false">H1531*2/10+I1530*8/10</f>
        <v>140.535464702697</v>
      </c>
      <c r="J1531" s="17" t="n">
        <f aca="false">H1531-I1531</f>
        <v>95.88882842853</v>
      </c>
      <c r="K1531" s="17" t="n">
        <f aca="false">MAX(B1531-B1530,0)</f>
        <v>0</v>
      </c>
      <c r="L1531" s="17" t="n">
        <f aca="false">MAX(B1530-B1531,0)</f>
        <v>39.1800000000003</v>
      </c>
      <c r="M1531" s="17" t="n">
        <f aca="false">(M1530*13+K1531)/14</f>
        <v>111.917738091454</v>
      </c>
      <c r="N1531" s="17" t="n">
        <f aca="false">(N1530*13+L1531)/14</f>
        <v>65.7874756533595</v>
      </c>
      <c r="O1531" s="17" t="n">
        <f aca="false">IF(N1531=0,100,100-100/(1+M1531/N1531))</f>
        <v>62.9794341612109</v>
      </c>
      <c r="P1531" s="17" t="n">
        <f aca="false">AVERAGE(B1512:B1531)+2*STDEV(B1512:B1531)</f>
        <v>13093.4661525645</v>
      </c>
      <c r="Q1531" s="17" t="n">
        <f aca="false">AVERAGE(B1512:B1531)-2*STDEV(B1512:B1531)</f>
        <v>11434.5968474355</v>
      </c>
      <c r="R1531" s="19" t="n">
        <f aca="false">B1531/B1511-1</f>
        <v>0.0952215214051053</v>
      </c>
      <c r="S1531" s="17" t="n">
        <f aca="false">STDEV(C1512:C1531)*SQRT(252)*100</f>
        <v>26.9069416874461</v>
      </c>
      <c r="T1531" s="19" t="n">
        <f aca="false">B1510/B1280-1</f>
        <v>-0.230771069394519</v>
      </c>
      <c r="U1531" s="19" t="n">
        <f aca="false">B1531/MAX(B1280:B1531)-1</f>
        <v>-0.221544963175799</v>
      </c>
      <c r="V1531" s="17" t="n">
        <f aca="false">(B1531-AVERAGE(B1512:B1531))/STDEV(B1512:B1531)</f>
        <v>1.53735679605078</v>
      </c>
    </row>
    <row r="1532" customFormat="false" ht="15" hidden="false" customHeight="false" outlineLevel="0" collapsed="false">
      <c r="A1532" s="17" t="s">
        <v>2096</v>
      </c>
      <c r="B1532" s="17" t="n">
        <v>13253.26</v>
      </c>
      <c r="C1532" s="19" t="n">
        <f aca="false">B1532/B1531-1</f>
        <v>0.0272570843926334</v>
      </c>
      <c r="D1532" s="17" t="n">
        <f aca="false">AVERAGE(B1483:B1532)</f>
        <v>12110.7896</v>
      </c>
      <c r="E1532" s="17" t="n">
        <f aca="false">AVERAGE(B1333:B1532)</f>
        <v>14131.68495</v>
      </c>
      <c r="F1532" s="17" t="n">
        <f aca="false">B1532*2/13+F1531*11/13</f>
        <v>12654.1634735715</v>
      </c>
      <c r="G1532" s="17" t="n">
        <f aca="false">B1532*2/27+G1531*25/27</f>
        <v>12378.7716104365</v>
      </c>
      <c r="H1532" s="17" t="n">
        <f aca="false">F1532-G1532</f>
        <v>275.39186313497</v>
      </c>
      <c r="I1532" s="17" t="n">
        <f aca="false">H1532*2/10+I1531*8/10</f>
        <v>167.506744389152</v>
      </c>
      <c r="J1532" s="17" t="n">
        <f aca="false">H1532-I1532</f>
        <v>107.885118745818</v>
      </c>
      <c r="K1532" s="17" t="n">
        <f aca="false">MAX(B1532-B1531,0)</f>
        <v>351.66</v>
      </c>
      <c r="L1532" s="17" t="n">
        <f aca="false">MAX(B1531-B1532,0)</f>
        <v>0</v>
      </c>
      <c r="M1532" s="17" t="n">
        <f aca="false">(M1531*13+K1532)/14</f>
        <v>129.042185370635</v>
      </c>
      <c r="N1532" s="17" t="n">
        <f aca="false">(N1531*13+L1532)/14</f>
        <v>61.0883702495481</v>
      </c>
      <c r="O1532" s="17" t="n">
        <f aca="false">IF(N1532=0,100,100-100/(1+M1532/N1532))</f>
        <v>67.8703036183295</v>
      </c>
      <c r="P1532" s="17" t="n">
        <f aca="false">AVERAGE(B1513:B1532)+2*STDEV(B1513:B1532)</f>
        <v>13249.3174930313</v>
      </c>
      <c r="Q1532" s="17" t="n">
        <f aca="false">AVERAGE(B1513:B1532)-2*STDEV(B1513:B1532)</f>
        <v>11418.8125069687</v>
      </c>
      <c r="R1532" s="19" t="n">
        <f aca="false">B1532/B1512-1</f>
        <v>0.118174171214899</v>
      </c>
      <c r="S1532" s="17" t="n">
        <f aca="false">STDEV(C1513:C1532)*SQRT(252)*100</f>
        <v>28.0761504865768</v>
      </c>
      <c r="T1532" s="19" t="n">
        <f aca="false">B1511/B1281-1</f>
        <v>-0.219015088783092</v>
      </c>
      <c r="U1532" s="19" t="n">
        <f aca="false">B1532/MAX(B1281:B1532)-1</f>
        <v>-0.200326548541211</v>
      </c>
      <c r="V1532" s="17" t="n">
        <f aca="false">(B1532-AVERAGE(B1513:B1532))/STDEV(B1513:B1532)</f>
        <v>2.00861512423889</v>
      </c>
    </row>
    <row r="1533" customFormat="false" ht="15" hidden="false" customHeight="false" outlineLevel="0" collapsed="false">
      <c r="A1533" s="17" t="s">
        <v>2097</v>
      </c>
      <c r="B1533" s="17" t="n">
        <v>13311.04</v>
      </c>
      <c r="C1533" s="19" t="n">
        <f aca="false">B1533/B1532-1</f>
        <v>0.0043596820706755</v>
      </c>
      <c r="D1533" s="17" t="n">
        <f aca="false">AVERAGE(B1484:B1533)</f>
        <v>12136.3248</v>
      </c>
      <c r="E1533" s="17" t="n">
        <f aca="false">AVERAGE(B1334:B1533)</f>
        <v>14121.7357</v>
      </c>
      <c r="F1533" s="17" t="n">
        <f aca="false">B1533*2/13+F1532*11/13</f>
        <v>12755.2214007143</v>
      </c>
      <c r="G1533" s="17" t="n">
        <f aca="false">B1533*2/27+G1532*25/27</f>
        <v>12447.828528182</v>
      </c>
      <c r="H1533" s="17" t="n">
        <f aca="false">F1533-G1533</f>
        <v>307.392872532377</v>
      </c>
      <c r="I1533" s="17" t="n">
        <f aca="false">H1533*2/10+I1532*8/10</f>
        <v>195.483970017797</v>
      </c>
      <c r="J1533" s="17" t="n">
        <f aca="false">H1533-I1533</f>
        <v>111.90890251458</v>
      </c>
      <c r="K1533" s="17" t="n">
        <f aca="false">MAX(B1533-B1532,0)</f>
        <v>57.7800000000007</v>
      </c>
      <c r="L1533" s="17" t="n">
        <f aca="false">MAX(B1532-B1533,0)</f>
        <v>0</v>
      </c>
      <c r="M1533" s="17" t="n">
        <f aca="false">(M1532*13+K1533)/14</f>
        <v>123.952029272733</v>
      </c>
      <c r="N1533" s="17" t="n">
        <f aca="false">(N1532*13+L1533)/14</f>
        <v>56.7249152317232</v>
      </c>
      <c r="O1533" s="17" t="n">
        <f aca="false">IF(N1533=0,100,100-100/(1+M1533/N1533))</f>
        <v>68.6042314987654</v>
      </c>
      <c r="P1533" s="17" t="n">
        <f aca="false">AVERAGE(B1514:B1533)+2*STDEV(B1514:B1533)</f>
        <v>13400.525662636</v>
      </c>
      <c r="Q1533" s="17" t="n">
        <f aca="false">AVERAGE(B1514:B1533)-2*STDEV(B1514:B1533)</f>
        <v>11387.803337364</v>
      </c>
      <c r="R1533" s="19" t="n">
        <f aca="false">B1533/B1513-1</f>
        <v>0.0992637737890256</v>
      </c>
      <c r="S1533" s="17" t="n">
        <f aca="false">STDEV(C1514:C1533)*SQRT(252)*100</f>
        <v>27.4419241690408</v>
      </c>
      <c r="T1533" s="19" t="n">
        <f aca="false">B1512/B1282-1</f>
        <v>-0.219281316116045</v>
      </c>
      <c r="U1533" s="19" t="n">
        <f aca="false">B1533/MAX(B1282:B1533)-1</f>
        <v>-0.196840226532491</v>
      </c>
      <c r="V1533" s="17" t="n">
        <f aca="false">(B1533-AVERAGE(B1514:B1533))/STDEV(B1514:B1533)</f>
        <v>1.82215994424583</v>
      </c>
    </row>
    <row r="1534" customFormat="false" ht="15" hidden="false" customHeight="false" outlineLevel="0" collapsed="false">
      <c r="A1534" s="17" t="s">
        <v>2098</v>
      </c>
      <c r="B1534" s="17" t="n">
        <v>13207.69</v>
      </c>
      <c r="C1534" s="19" t="n">
        <f aca="false">B1534/B1533-1</f>
        <v>-0.00776423179556218</v>
      </c>
      <c r="D1534" s="17" t="n">
        <f aca="false">AVERAGE(B1485:B1534)</f>
        <v>12165.0818</v>
      </c>
      <c r="E1534" s="17" t="n">
        <f aca="false">AVERAGE(B1335:B1534)</f>
        <v>14110.72055</v>
      </c>
      <c r="F1534" s="17" t="n">
        <f aca="false">B1534*2/13+F1533*11/13</f>
        <v>12824.8319544506</v>
      </c>
      <c r="G1534" s="17" t="n">
        <f aca="false">B1534*2/27+G1533*25/27</f>
        <v>12504.1145631314</v>
      </c>
      <c r="H1534" s="17" t="n">
        <f aca="false">F1534-G1534</f>
        <v>320.717391319147</v>
      </c>
      <c r="I1534" s="17" t="n">
        <f aca="false">H1534*2/10+I1533*8/10</f>
        <v>220.530654278067</v>
      </c>
      <c r="J1534" s="17" t="n">
        <f aca="false">H1534-I1534</f>
        <v>100.18673704108</v>
      </c>
      <c r="K1534" s="17" t="n">
        <f aca="false">MAX(B1534-B1533,0)</f>
        <v>0</v>
      </c>
      <c r="L1534" s="17" t="n">
        <f aca="false">MAX(B1533-B1534,0)</f>
        <v>103.35</v>
      </c>
      <c r="M1534" s="17" t="n">
        <f aca="false">(M1533*13+K1534)/14</f>
        <v>115.098312896109</v>
      </c>
      <c r="N1534" s="17" t="n">
        <f aca="false">(N1533*13+L1534)/14</f>
        <v>60.0552784294573</v>
      </c>
      <c r="O1534" s="17" t="n">
        <f aca="false">IF(N1534=0,100,100-100/(1+M1534/N1534))</f>
        <v>65.7127907141626</v>
      </c>
      <c r="P1534" s="17" t="n">
        <f aca="false">AVERAGE(B1515:B1534)+2*STDEV(B1515:B1534)</f>
        <v>13508.7343296306</v>
      </c>
      <c r="Q1534" s="17" t="n">
        <f aca="false">AVERAGE(B1515:B1534)-2*STDEV(B1515:B1534)</f>
        <v>11387.7946703694</v>
      </c>
      <c r="R1534" s="19" t="n">
        <f aca="false">B1534/B1514-1</f>
        <v>0.089232035455302</v>
      </c>
      <c r="S1534" s="17" t="n">
        <f aca="false">STDEV(C1515:C1534)*SQRT(252)*100</f>
        <v>27.7864979106436</v>
      </c>
      <c r="T1534" s="19" t="n">
        <f aca="false">B1513/B1283-1</f>
        <v>-0.198572937569824</v>
      </c>
      <c r="U1534" s="19" t="n">
        <f aca="false">B1534/MAX(B1283:B1534)-1</f>
        <v>-0.203076145182564</v>
      </c>
      <c r="V1534" s="17" t="n">
        <f aca="false">(B1534-AVERAGE(B1515:B1534))/STDEV(B1515:B1534)</f>
        <v>1.43224348073062</v>
      </c>
    </row>
    <row r="1535" customFormat="false" ht="15" hidden="false" customHeight="false" outlineLevel="0" collapsed="false">
      <c r="A1535" s="17" t="s">
        <v>2099</v>
      </c>
      <c r="B1535" s="17" t="n">
        <v>13159.16</v>
      </c>
      <c r="C1535" s="19" t="n">
        <f aca="false">B1535/B1534-1</f>
        <v>-0.0036743745499781</v>
      </c>
      <c r="D1535" s="17" t="n">
        <f aca="false">AVERAGE(B1486:B1535)</f>
        <v>12189.3864</v>
      </c>
      <c r="E1535" s="17" t="n">
        <f aca="false">AVERAGE(B1336:B1535)</f>
        <v>14099.5728</v>
      </c>
      <c r="F1535" s="17" t="n">
        <f aca="false">B1535*2/13+F1534*11/13</f>
        <v>12876.2670383813</v>
      </c>
      <c r="G1535" s="17" t="n">
        <f aca="false">B1535*2/27+G1534*25/27</f>
        <v>12552.6364473439</v>
      </c>
      <c r="H1535" s="17" t="n">
        <f aca="false">F1535-G1535</f>
        <v>323.630591037341</v>
      </c>
      <c r="I1535" s="17" t="n">
        <f aca="false">H1535*2/10+I1534*8/10</f>
        <v>241.150641629922</v>
      </c>
      <c r="J1535" s="17" t="n">
        <f aca="false">H1535-I1535</f>
        <v>82.4799494074194</v>
      </c>
      <c r="K1535" s="17" t="n">
        <f aca="false">MAX(B1535-B1534,0)</f>
        <v>0</v>
      </c>
      <c r="L1535" s="17" t="n">
        <f aca="false">MAX(B1534-B1535,0)</f>
        <v>48.5300000000007</v>
      </c>
      <c r="M1535" s="17" t="n">
        <f aca="false">(M1534*13+K1535)/14</f>
        <v>106.877004832101</v>
      </c>
      <c r="N1535" s="17" t="n">
        <f aca="false">(N1534*13+L1535)/14</f>
        <v>59.2320442559247</v>
      </c>
      <c r="O1535" s="17" t="n">
        <f aca="false">IF(N1535=0,100,100-100/(1+M1535/N1535))</f>
        <v>64.34147050921</v>
      </c>
      <c r="P1535" s="17" t="n">
        <f aca="false">AVERAGE(B1516:B1535)+2*STDEV(B1516:B1535)</f>
        <v>13581.1257459418</v>
      </c>
      <c r="Q1535" s="17" t="n">
        <f aca="false">AVERAGE(B1516:B1535)-2*STDEV(B1516:B1535)</f>
        <v>11445.2912540582</v>
      </c>
      <c r="R1535" s="19" t="n">
        <f aca="false">B1535/B1515-1</f>
        <v>0.109515121059536</v>
      </c>
      <c r="S1535" s="17" t="n">
        <f aca="false">STDEV(C1516:C1535)*SQRT(252)*100</f>
        <v>26.2058781572677</v>
      </c>
      <c r="T1535" s="19" t="n">
        <f aca="false">B1514/B1284-1</f>
        <v>-0.198731126648785</v>
      </c>
      <c r="U1535" s="19" t="n">
        <f aca="false">B1535/MAX(B1284:B1535)-1</f>
        <v>-0.206004341912976</v>
      </c>
      <c r="V1535" s="17" t="n">
        <f aca="false">(B1535-AVERAGE(B1516:B1535))/STDEV(B1516:B1535)</f>
        <v>1.20974074059514</v>
      </c>
    </row>
    <row r="1536" customFormat="false" ht="15" hidden="false" customHeight="false" outlineLevel="0" collapsed="false">
      <c r="A1536" s="17" t="s">
        <v>2100</v>
      </c>
      <c r="B1536" s="17" t="n">
        <v>13008.17</v>
      </c>
      <c r="C1536" s="19" t="n">
        <f aca="false">B1536/B1535-1</f>
        <v>-0.01147413664702</v>
      </c>
      <c r="D1536" s="17" t="n">
        <f aca="false">AVERAGE(B1487:B1536)</f>
        <v>12204.014</v>
      </c>
      <c r="E1536" s="17" t="n">
        <f aca="false">AVERAGE(B1337:B1536)</f>
        <v>14087.1657</v>
      </c>
      <c r="F1536" s="17" t="n">
        <f aca="false">B1536*2/13+F1535*11/13</f>
        <v>12896.5598017072</v>
      </c>
      <c r="G1536" s="17" t="n">
        <f aca="false">B1536*2/27+G1535*25/27</f>
        <v>12586.3796734666</v>
      </c>
      <c r="H1536" s="17" t="n">
        <f aca="false">F1536-G1536</f>
        <v>310.180128240627</v>
      </c>
      <c r="I1536" s="17" t="n">
        <f aca="false">H1536*2/10+I1535*8/10</f>
        <v>254.956538952063</v>
      </c>
      <c r="J1536" s="17" t="n">
        <f aca="false">H1536-I1536</f>
        <v>55.223589288564</v>
      </c>
      <c r="K1536" s="17" t="n">
        <f aca="false">MAX(B1536-B1535,0)</f>
        <v>0</v>
      </c>
      <c r="L1536" s="17" t="n">
        <f aca="false">MAX(B1535-B1536,0)</f>
        <v>150.99</v>
      </c>
      <c r="M1536" s="17" t="n">
        <f aca="false">(M1535*13+K1536)/14</f>
        <v>99.2429330583798</v>
      </c>
      <c r="N1536" s="17" t="n">
        <f aca="false">(N1535*13+L1536)/14</f>
        <v>65.78618395193</v>
      </c>
      <c r="O1536" s="17" t="n">
        <f aca="false">IF(N1536=0,100,100-100/(1+M1536/N1536))</f>
        <v>60.1366200439525</v>
      </c>
      <c r="P1536" s="17" t="n">
        <f aca="false">AVERAGE(B1517:B1536)+2*STDEV(B1517:B1536)</f>
        <v>13601.5422421756</v>
      </c>
      <c r="Q1536" s="17" t="n">
        <f aca="false">AVERAGE(B1517:B1536)-2*STDEV(B1517:B1536)</f>
        <v>11551.1927578244</v>
      </c>
      <c r="R1536" s="19" t="n">
        <f aca="false">B1536/B1516-1</f>
        <v>0.107550538570063</v>
      </c>
      <c r="S1536" s="17" t="n">
        <f aca="false">STDEV(C1517:C1536)*SQRT(252)*100</f>
        <v>26.3465275576302</v>
      </c>
      <c r="T1536" s="19" t="n">
        <f aca="false">B1515/B1285-1</f>
        <v>-0.212128942085537</v>
      </c>
      <c r="U1536" s="19" t="n">
        <f aca="false">B1536/MAX(B1285:B1536)-1</f>
        <v>-0.215114756591007</v>
      </c>
      <c r="V1536" s="17" t="n">
        <f aca="false">(B1536-AVERAGE(B1517:B1536))/STDEV(B1517:B1536)</f>
        <v>0.842397851284658</v>
      </c>
    </row>
    <row r="1537" customFormat="false" ht="15" hidden="false" customHeight="false" outlineLevel="0" collapsed="false">
      <c r="A1537" s="17" t="s">
        <v>2101</v>
      </c>
      <c r="B1537" s="17" t="n">
        <v>13378.32</v>
      </c>
      <c r="C1537" s="19" t="n">
        <f aca="false">B1537/B1536-1</f>
        <v>0.0284551939281237</v>
      </c>
      <c r="D1537" s="17" t="n">
        <f aca="false">AVERAGE(B1488:B1537)</f>
        <v>12217.952</v>
      </c>
      <c r="E1537" s="17" t="n">
        <f aca="false">AVERAGE(B1338:B1537)</f>
        <v>14077.28195</v>
      </c>
      <c r="F1537" s="17" t="n">
        <f aca="false">B1537*2/13+F1536*11/13</f>
        <v>12970.6767552907</v>
      </c>
      <c r="G1537" s="17" t="n">
        <f aca="false">B1537*2/27+G1536*25/27</f>
        <v>12645.0419198765</v>
      </c>
      <c r="H1537" s="17" t="n">
        <f aca="false">F1537-G1537</f>
        <v>325.63483541425</v>
      </c>
      <c r="I1537" s="17" t="n">
        <f aca="false">H1537*2/10+I1536*8/10</f>
        <v>269.0921982445</v>
      </c>
      <c r="J1537" s="17" t="n">
        <f aca="false">H1537-I1537</f>
        <v>56.5426371697499</v>
      </c>
      <c r="K1537" s="17" t="n">
        <f aca="false">MAX(B1537-B1536,0)</f>
        <v>370.15</v>
      </c>
      <c r="L1537" s="17" t="n">
        <f aca="false">MAX(B1536-B1537,0)</f>
        <v>0</v>
      </c>
      <c r="M1537" s="17" t="n">
        <f aca="false">(M1536*13+K1537)/14</f>
        <v>118.593437839924</v>
      </c>
      <c r="N1537" s="17" t="n">
        <f aca="false">(N1536*13+L1537)/14</f>
        <v>61.0871708125065</v>
      </c>
      <c r="O1537" s="17" t="n">
        <f aca="false">IF(N1537=0,100,100-100/(1+M1537/N1537))</f>
        <v>66.0023575884742</v>
      </c>
      <c r="P1537" s="17" t="n">
        <f aca="false">AVERAGE(B1518:B1537)+2*STDEV(B1518:B1537)</f>
        <v>13662.0497432605</v>
      </c>
      <c r="Q1537" s="17" t="n">
        <f aca="false">AVERAGE(B1518:B1537)-2*STDEV(B1518:B1537)</f>
        <v>11655.6642567395</v>
      </c>
      <c r="R1537" s="19" t="n">
        <f aca="false">B1537/B1517-1</f>
        <v>0.140664686878918</v>
      </c>
      <c r="S1537" s="17" t="n">
        <f aca="false">STDEV(C1518:C1537)*SQRT(252)*100</f>
        <v>27.4550447046556</v>
      </c>
      <c r="T1537" s="19" t="n">
        <f aca="false">B1516/B1286-1</f>
        <v>-0.218447060639776</v>
      </c>
      <c r="U1537" s="19" t="n">
        <f aca="false">B1537/MAX(B1286:B1537)-1</f>
        <v>-0.192780694778482</v>
      </c>
      <c r="V1537" s="17" t="n">
        <f aca="false">(B1537-AVERAGE(B1518:B1537))/STDEV(B1518:B1537)</f>
        <v>1.43434649987929</v>
      </c>
    </row>
    <row r="1538" customFormat="false" ht="15" hidden="false" customHeight="false" outlineLevel="0" collapsed="false">
      <c r="A1538" s="17" t="s">
        <v>2102</v>
      </c>
      <c r="B1538" s="17" t="n">
        <v>13291.99</v>
      </c>
      <c r="C1538" s="19" t="n">
        <f aca="false">B1538/B1537-1</f>
        <v>-0.00645297765339747</v>
      </c>
      <c r="D1538" s="17" t="n">
        <f aca="false">AVERAGE(B1489:B1538)</f>
        <v>12230.9498</v>
      </c>
      <c r="E1538" s="17" t="n">
        <f aca="false">AVERAGE(B1339:B1538)</f>
        <v>14066.17095</v>
      </c>
      <c r="F1538" s="17" t="n">
        <f aca="false">B1538*2/13+F1537*11/13</f>
        <v>13020.1095621691</v>
      </c>
      <c r="G1538" s="17" t="n">
        <f aca="false">B1538*2/27+G1537*25/27</f>
        <v>12692.9639998856</v>
      </c>
      <c r="H1538" s="17" t="n">
        <f aca="false">F1538-G1538</f>
        <v>327.145562283447</v>
      </c>
      <c r="I1538" s="17" t="n">
        <f aca="false">H1538*2/10+I1537*8/10</f>
        <v>280.70287105229</v>
      </c>
      <c r="J1538" s="17" t="n">
        <f aca="false">H1538-I1538</f>
        <v>46.4426912311577</v>
      </c>
      <c r="K1538" s="17" t="n">
        <f aca="false">MAX(B1538-B1537,0)</f>
        <v>0</v>
      </c>
      <c r="L1538" s="17" t="n">
        <f aca="false">MAX(B1537-B1538,0)</f>
        <v>86.3299999999999</v>
      </c>
      <c r="M1538" s="17" t="n">
        <f aca="false">(M1537*13+K1538)/14</f>
        <v>110.122477994215</v>
      </c>
      <c r="N1538" s="17" t="n">
        <f aca="false">(N1537*13+L1538)/14</f>
        <v>62.8902300401846</v>
      </c>
      <c r="O1538" s="17" t="n">
        <f aca="false">IF(N1538=0,100,100-100/(1+M1538/N1538))</f>
        <v>63.6499360337853</v>
      </c>
      <c r="P1538" s="17" t="n">
        <f aca="false">AVERAGE(B1519:B1538)+2*STDEV(B1519:B1538)</f>
        <v>13683.4153808782</v>
      </c>
      <c r="Q1538" s="17" t="n">
        <f aca="false">AVERAGE(B1519:B1538)-2*STDEV(B1519:B1538)</f>
        <v>11786.6576191218</v>
      </c>
      <c r="R1538" s="19" t="n">
        <f aca="false">B1538/B1518-1</f>
        <v>0.129464498147582</v>
      </c>
      <c r="S1538" s="17" t="n">
        <f aca="false">STDEV(C1519:C1538)*SQRT(252)*100</f>
        <v>27.8343002685785</v>
      </c>
      <c r="T1538" s="19" t="n">
        <f aca="false">B1517/B1287-1</f>
        <v>-0.222708890859422</v>
      </c>
      <c r="U1538" s="19" t="n">
        <f aca="false">B1538/MAX(B1287:B1538)-1</f>
        <v>-0.197989662916467</v>
      </c>
      <c r="V1538" s="17" t="n">
        <f aca="false">(B1538-AVERAGE(B1519:B1538))/STDEV(B1519:B1538)</f>
        <v>1.17453796416103</v>
      </c>
    </row>
    <row r="1539" customFormat="false" ht="15" hidden="false" customHeight="false" outlineLevel="0" collapsed="false">
      <c r="A1539" s="17" t="s">
        <v>2103</v>
      </c>
      <c r="B1539" s="17" t="n">
        <v>13565.87</v>
      </c>
      <c r="C1539" s="19" t="n">
        <f aca="false">B1539/B1538-1</f>
        <v>0.0206048906145733</v>
      </c>
      <c r="D1539" s="17" t="n">
        <f aca="false">AVERAGE(B1490:B1539)</f>
        <v>12251.3</v>
      </c>
      <c r="E1539" s="17" t="n">
        <f aca="false">AVERAGE(B1340:B1539)</f>
        <v>14056.20285</v>
      </c>
      <c r="F1539" s="17" t="n">
        <f aca="false">B1539*2/13+F1538*11/13</f>
        <v>13104.0727064508</v>
      </c>
      <c r="G1539" s="17" t="n">
        <f aca="false">B1539*2/27+G1538*25/27</f>
        <v>12757.6237035978</v>
      </c>
      <c r="H1539" s="17" t="n">
        <f aca="false">F1539-G1539</f>
        <v>346.449002852953</v>
      </c>
      <c r="I1539" s="17" t="n">
        <f aca="false">H1539*2/10+I1538*8/10</f>
        <v>293.852097412422</v>
      </c>
      <c r="J1539" s="17" t="n">
        <f aca="false">H1539-I1539</f>
        <v>52.5969054405304</v>
      </c>
      <c r="K1539" s="17" t="n">
        <f aca="false">MAX(B1539-B1538,0)</f>
        <v>273.880000000001</v>
      </c>
      <c r="L1539" s="17" t="n">
        <f aca="false">MAX(B1538-B1539,0)</f>
        <v>0</v>
      </c>
      <c r="M1539" s="17" t="n">
        <f aca="false">(M1538*13+K1539)/14</f>
        <v>121.819443851771</v>
      </c>
      <c r="N1539" s="17" t="n">
        <f aca="false">(N1538*13+L1539)/14</f>
        <v>58.3980707516</v>
      </c>
      <c r="O1539" s="17" t="n">
        <f aca="false">IF(N1539=0,100,100-100/(1+M1539/N1539))</f>
        <v>67.5957850821967</v>
      </c>
      <c r="P1539" s="17" t="n">
        <f aca="false">AVERAGE(B1520:B1539)+2*STDEV(B1520:B1539)</f>
        <v>13762.5813551252</v>
      </c>
      <c r="Q1539" s="17" t="n">
        <f aca="false">AVERAGE(B1520:B1539)-2*STDEV(B1520:B1539)</f>
        <v>11865.7166448748</v>
      </c>
      <c r="R1539" s="19" t="n">
        <f aca="false">B1539/B1519-1</f>
        <v>0.13203439361395</v>
      </c>
      <c r="S1539" s="17" t="n">
        <f aca="false">STDEV(C1520:C1539)*SQRT(252)*100</f>
        <v>27.9789743158706</v>
      </c>
      <c r="T1539" s="19" t="n">
        <f aca="false">B1518/B1288-1</f>
        <v>-0.222524358049453</v>
      </c>
      <c r="U1539" s="19" t="n">
        <f aca="false">B1539/MAX(B1288:B1539)-1</f>
        <v>-0.181464327649104</v>
      </c>
      <c r="V1539" s="17" t="n">
        <f aca="false">(B1539-AVERAGE(B1520:B1539))/STDEV(B1520:B1539)</f>
        <v>1.58518632549336</v>
      </c>
    </row>
    <row r="1540" customFormat="false" ht="15" hidden="false" customHeight="false" outlineLevel="0" collapsed="false">
      <c r="A1540" s="17" t="s">
        <v>2104</v>
      </c>
      <c r="B1540" s="17" t="n">
        <v>13667.18</v>
      </c>
      <c r="C1540" s="19" t="n">
        <f aca="false">B1540/B1539-1</f>
        <v>0.00746800610650111</v>
      </c>
      <c r="D1540" s="17" t="n">
        <f aca="false">AVERAGE(B1491:B1540)</f>
        <v>12266.7858</v>
      </c>
      <c r="E1540" s="17" t="n">
        <f aca="false">AVERAGE(B1341:B1540)</f>
        <v>14046.5468</v>
      </c>
      <c r="F1540" s="17" t="n">
        <f aca="false">B1540*2/13+F1539*11/13</f>
        <v>13190.704597766</v>
      </c>
      <c r="G1540" s="17" t="n">
        <f aca="false">B1540*2/27+G1539*25/27</f>
        <v>12824.998244072</v>
      </c>
      <c r="H1540" s="17" t="n">
        <f aca="false">F1540-G1540</f>
        <v>365.706353693984</v>
      </c>
      <c r="I1540" s="17" t="n">
        <f aca="false">H1540*2/10+I1539*8/10</f>
        <v>308.222948668735</v>
      </c>
      <c r="J1540" s="17" t="n">
        <f aca="false">H1540-I1540</f>
        <v>57.4834050252495</v>
      </c>
      <c r="K1540" s="17" t="n">
        <f aca="false">MAX(B1540-B1539,0)</f>
        <v>101.309999999999</v>
      </c>
      <c r="L1540" s="17" t="n">
        <f aca="false">MAX(B1539-B1540,0)</f>
        <v>0</v>
      </c>
      <c r="M1540" s="17" t="n">
        <f aca="false">(M1539*13+K1540)/14</f>
        <v>120.354483576645</v>
      </c>
      <c r="N1540" s="17" t="n">
        <f aca="false">(N1539*13+L1540)/14</f>
        <v>54.2267799836285</v>
      </c>
      <c r="O1540" s="17" t="n">
        <f aca="false">IF(N1540=0,100,100-100/(1+M1540/N1540))</f>
        <v>68.9389463234656</v>
      </c>
      <c r="P1540" s="17" t="n">
        <f aca="false">AVERAGE(B1521:B1540)+2*STDEV(B1521:B1540)</f>
        <v>13817.035141311</v>
      </c>
      <c r="Q1540" s="17" t="n">
        <f aca="false">AVERAGE(B1521:B1540)-2*STDEV(B1521:B1540)</f>
        <v>11990.230858689</v>
      </c>
      <c r="R1540" s="19" t="n">
        <f aca="false">B1540/B1520-1</f>
        <v>0.150678173016207</v>
      </c>
      <c r="S1540" s="17" t="n">
        <f aca="false">STDEV(C1521:C1540)*SQRT(252)*100</f>
        <v>27.3950184323892</v>
      </c>
      <c r="T1540" s="19" t="n">
        <f aca="false">B1519/B1289-1</f>
        <v>-0.208519778056202</v>
      </c>
      <c r="U1540" s="19" t="n">
        <f aca="false">B1540/MAX(B1289:B1540)-1</f>
        <v>-0.175351498249598</v>
      </c>
      <c r="V1540" s="17" t="n">
        <f aca="false">(B1540-AVERAGE(B1521:B1540))/STDEV(B1521:B1540)</f>
        <v>1.67187477555956</v>
      </c>
    </row>
    <row r="1541" customFormat="false" ht="15" hidden="false" customHeight="false" outlineLevel="0" collapsed="false">
      <c r="A1541" s="17" t="s">
        <v>2105</v>
      </c>
      <c r="B1541" s="17" t="n">
        <v>13635.21</v>
      </c>
      <c r="C1541" s="19" t="n">
        <f aca="false">B1541/B1540-1</f>
        <v>-0.00233918043078385</v>
      </c>
      <c r="D1541" s="17" t="n">
        <f aca="false">AVERAGE(B1492:B1541)</f>
        <v>12288.5294</v>
      </c>
      <c r="E1541" s="17" t="n">
        <f aca="false">AVERAGE(B1342:B1541)</f>
        <v>14035.83205</v>
      </c>
      <c r="F1541" s="17" t="n">
        <f aca="false">B1541*2/13+F1540*11/13</f>
        <v>13259.0900442636</v>
      </c>
      <c r="G1541" s="17" t="n">
        <f aca="false">B1541*2/27+G1540*25/27</f>
        <v>12885.0139296963</v>
      </c>
      <c r="H1541" s="17" t="n">
        <f aca="false">F1541-G1541</f>
        <v>374.076114567224</v>
      </c>
      <c r="I1541" s="17" t="n">
        <f aca="false">H1541*2/10+I1540*8/10</f>
        <v>321.393581848433</v>
      </c>
      <c r="J1541" s="17" t="n">
        <f aca="false">H1541-I1541</f>
        <v>52.6825327187916</v>
      </c>
      <c r="K1541" s="17" t="n">
        <f aca="false">MAX(B1541-B1540,0)</f>
        <v>0</v>
      </c>
      <c r="L1541" s="17" t="n">
        <f aca="false">MAX(B1540-B1541,0)</f>
        <v>31.9700000000012</v>
      </c>
      <c r="M1541" s="17" t="n">
        <f aca="false">(M1540*13+K1541)/14</f>
        <v>111.757734749742</v>
      </c>
      <c r="N1541" s="17" t="n">
        <f aca="false">(N1540*13+L1541)/14</f>
        <v>52.637009984798</v>
      </c>
      <c r="O1541" s="17" t="n">
        <f aca="false">IF(N1541=0,100,100-100/(1+M1541/N1541))</f>
        <v>67.9813305043328</v>
      </c>
      <c r="P1541" s="17" t="n">
        <f aca="false">AVERAGE(B1522:B1541)+2*STDEV(B1522:B1541)</f>
        <v>13887.6132504064</v>
      </c>
      <c r="Q1541" s="17" t="n">
        <f aca="false">AVERAGE(B1522:B1541)-2*STDEV(B1522:B1541)</f>
        <v>12058.2317495936</v>
      </c>
      <c r="R1541" s="19" t="n">
        <f aca="false">B1541/B1521-1</f>
        <v>0.113131070695592</v>
      </c>
      <c r="S1541" s="17" t="n">
        <f aca="false">STDEV(C1522:C1541)*SQRT(252)*100</f>
        <v>26.0340314604719</v>
      </c>
      <c r="T1541" s="19" t="n">
        <f aca="false">B1520/B1290-1</f>
        <v>-0.208316031042143</v>
      </c>
      <c r="U1541" s="19" t="n">
        <f aca="false">B1541/MAX(B1290:B1541)-1</f>
        <v>-0.177280499887168</v>
      </c>
      <c r="V1541" s="17" t="n">
        <f aca="false">(B1541-AVERAGE(B1522:B1541))/STDEV(B1522:B1541)</f>
        <v>1.44811238050843</v>
      </c>
    </row>
    <row r="1542" customFormat="false" ht="15" hidden="false" customHeight="false" outlineLevel="0" collapsed="false">
      <c r="A1542" s="17" t="s">
        <v>2106</v>
      </c>
      <c r="B1542" s="17" t="n">
        <v>13470.86</v>
      </c>
      <c r="C1542" s="19" t="n">
        <f aca="false">B1542/B1541-1</f>
        <v>-0.0120533530470011</v>
      </c>
      <c r="D1542" s="17" t="n">
        <f aca="false">AVERAGE(B1493:B1542)</f>
        <v>12305.954</v>
      </c>
      <c r="E1542" s="17" t="n">
        <f aca="false">AVERAGE(B1343:B1542)</f>
        <v>14023.934</v>
      </c>
      <c r="F1542" s="17" t="n">
        <f aca="false">B1542*2/13+F1541*11/13</f>
        <v>13291.6700374538</v>
      </c>
      <c r="G1542" s="17" t="n">
        <f aca="false">B1542*2/27+G1541*25/27</f>
        <v>12928.409934904</v>
      </c>
      <c r="H1542" s="17" t="n">
        <f aca="false">F1542-G1542</f>
        <v>363.260102549766</v>
      </c>
      <c r="I1542" s="17" t="n">
        <f aca="false">H1542*2/10+I1541*8/10</f>
        <v>329.766885988699</v>
      </c>
      <c r="J1542" s="17" t="n">
        <f aca="false">H1542-I1542</f>
        <v>33.4932165610668</v>
      </c>
      <c r="K1542" s="17" t="n">
        <f aca="false">MAX(B1542-B1541,0)</f>
        <v>0</v>
      </c>
      <c r="L1542" s="17" t="n">
        <f aca="false">MAX(B1541-B1542,0)</f>
        <v>164.349999999999</v>
      </c>
      <c r="M1542" s="17" t="n">
        <f aca="false">(M1541*13+K1542)/14</f>
        <v>103.775039410474</v>
      </c>
      <c r="N1542" s="17" t="n">
        <f aca="false">(N1541*13+L1542)/14</f>
        <v>60.6165092715981</v>
      </c>
      <c r="O1542" s="17" t="n">
        <f aca="false">IF(N1542=0,100,100-100/(1+M1542/N1542))</f>
        <v>63.1267484505373</v>
      </c>
      <c r="P1542" s="17" t="n">
        <f aca="false">AVERAGE(B1523:B1542)+2*STDEV(B1523:B1542)</f>
        <v>13928.8054560031</v>
      </c>
      <c r="Q1542" s="17" t="n">
        <f aca="false">AVERAGE(B1523:B1542)-2*STDEV(B1523:B1542)</f>
        <v>12120.1575439969</v>
      </c>
      <c r="R1542" s="19" t="n">
        <f aca="false">B1542/B1522-1</f>
        <v>0.0828944152904254</v>
      </c>
      <c r="S1542" s="17" t="n">
        <f aca="false">STDEV(C1523:C1542)*SQRT(252)*100</f>
        <v>26.462043559108</v>
      </c>
      <c r="T1542" s="19" t="n">
        <f aca="false">B1521/B1291-1</f>
        <v>-0.175562932092783</v>
      </c>
      <c r="U1542" s="19" t="n">
        <f aca="false">B1542/MAX(B1291:B1542)-1</f>
        <v>-0.18719702848068</v>
      </c>
      <c r="V1542" s="17" t="n">
        <f aca="false">(B1542-AVERAGE(B1523:B1542))/STDEV(B1523:B1542)</f>
        <v>0.987209278349544</v>
      </c>
    </row>
    <row r="1543" customFormat="false" ht="15" hidden="false" customHeight="false" outlineLevel="0" collapsed="false">
      <c r="A1543" s="17" t="s">
        <v>2107</v>
      </c>
      <c r="B1543" s="17" t="n">
        <v>13505.99</v>
      </c>
      <c r="C1543" s="19" t="n">
        <f aca="false">B1543/B1542-1</f>
        <v>0.00260785131758468</v>
      </c>
      <c r="D1543" s="17" t="n">
        <f aca="false">AVERAGE(B1494:B1543)</f>
        <v>12321.8402</v>
      </c>
      <c r="E1543" s="17" t="n">
        <f aca="false">AVERAGE(B1344:B1543)</f>
        <v>14011.93755</v>
      </c>
      <c r="F1543" s="17" t="n">
        <f aca="false">B1543*2/13+F1542*11/13</f>
        <v>13324.642339384</v>
      </c>
      <c r="G1543" s="17" t="n">
        <f aca="false">B1543*2/27+G1542*25/27</f>
        <v>12971.1936434296</v>
      </c>
      <c r="H1543" s="17" t="n">
        <f aca="false">F1543-G1543</f>
        <v>353.448695954325</v>
      </c>
      <c r="I1543" s="17" t="n">
        <f aca="false">H1543*2/10+I1542*8/10</f>
        <v>334.503247981824</v>
      </c>
      <c r="J1543" s="17" t="n">
        <f aca="false">H1543-I1543</f>
        <v>18.9454479725003</v>
      </c>
      <c r="K1543" s="17" t="n">
        <f aca="false">MAX(B1543-B1542,0)</f>
        <v>35.1299999999992</v>
      </c>
      <c r="L1543" s="17" t="n">
        <f aca="false">MAX(B1542-B1543,0)</f>
        <v>0</v>
      </c>
      <c r="M1543" s="17" t="n">
        <f aca="false">(M1542*13+K1543)/14</f>
        <v>98.8718223097261</v>
      </c>
      <c r="N1543" s="17" t="n">
        <f aca="false">(N1542*13+L1543)/14</f>
        <v>56.2867586093411</v>
      </c>
      <c r="O1543" s="17" t="n">
        <f aca="false">IF(N1543=0,100,100-100/(1+M1543/N1543))</f>
        <v>63.7230772053136</v>
      </c>
      <c r="P1543" s="17" t="n">
        <f aca="false">AVERAGE(B1524:B1543)+2*STDEV(B1524:B1543)</f>
        <v>13976.4418816215</v>
      </c>
      <c r="Q1543" s="17" t="n">
        <f aca="false">AVERAGE(B1524:B1543)-2*STDEV(B1524:B1543)</f>
        <v>12161.1791183785</v>
      </c>
      <c r="R1543" s="19" t="n">
        <f aca="false">B1543/B1523-1</f>
        <v>0.0702552654997342</v>
      </c>
      <c r="S1543" s="17" t="n">
        <f aca="false">STDEV(C1524:C1543)*SQRT(252)*100</f>
        <v>26.181418939477</v>
      </c>
      <c r="T1543" s="19" t="n">
        <f aca="false">B1522/B1292-1</f>
        <v>-0.167019554116328</v>
      </c>
      <c r="U1543" s="19" t="n">
        <f aca="false">B1543/MAX(B1292:B1543)-1</f>
        <v>-0.185077359180467</v>
      </c>
      <c r="V1543" s="17" t="n">
        <f aca="false">(B1543-AVERAGE(B1524:B1543))/STDEV(B1524:B1543)</f>
        <v>0.963341525761164</v>
      </c>
    </row>
    <row r="1544" customFormat="false" ht="15" hidden="false" customHeight="false" outlineLevel="0" collapsed="false">
      <c r="A1544" s="17" t="s">
        <v>2108</v>
      </c>
      <c r="B1544" s="17" t="n">
        <v>13242.9</v>
      </c>
      <c r="C1544" s="19" t="n">
        <f aca="false">B1544/B1543-1</f>
        <v>-0.0194795050196246</v>
      </c>
      <c r="D1544" s="17" t="n">
        <f aca="false">AVERAGE(B1495:B1544)</f>
        <v>12334.3956</v>
      </c>
      <c r="E1544" s="17" t="n">
        <f aca="false">AVERAGE(B1345:B1544)</f>
        <v>13998.2896</v>
      </c>
      <c r="F1544" s="17" t="n">
        <f aca="false">B1544*2/13+F1543*11/13</f>
        <v>13312.0665948634</v>
      </c>
      <c r="G1544" s="17" t="n">
        <f aca="false">B1544*2/27+G1543*25/27</f>
        <v>12991.3200402126</v>
      </c>
      <c r="H1544" s="17" t="n">
        <f aca="false">F1544-G1544</f>
        <v>320.746554650725</v>
      </c>
      <c r="I1544" s="17" t="n">
        <f aca="false">H1544*2/10+I1543*8/10</f>
        <v>331.751909315604</v>
      </c>
      <c r="J1544" s="17" t="n">
        <f aca="false">H1544-I1544</f>
        <v>-11.0053546648797</v>
      </c>
      <c r="K1544" s="17" t="n">
        <f aca="false">MAX(B1544-B1543,0)</f>
        <v>0</v>
      </c>
      <c r="L1544" s="17" t="n">
        <f aca="false">MAX(B1543-B1544,0)</f>
        <v>263.09</v>
      </c>
      <c r="M1544" s="17" t="n">
        <f aca="false">(M1543*13+K1544)/14</f>
        <v>91.8095492876028</v>
      </c>
      <c r="N1544" s="17" t="n">
        <f aca="false">(N1543*13+L1544)/14</f>
        <v>71.0584187086738</v>
      </c>
      <c r="O1544" s="17" t="n">
        <f aca="false">IF(N1544=0,100,100-100/(1+M1544/N1544))</f>
        <v>56.3705376920412</v>
      </c>
      <c r="P1544" s="17" t="n">
        <f aca="false">AVERAGE(B1525:B1544)+2*STDEV(B1525:B1544)</f>
        <v>13964.0487494539</v>
      </c>
      <c r="Q1544" s="17" t="n">
        <f aca="false">AVERAGE(B1525:B1544)-2*STDEV(B1525:B1544)</f>
        <v>12258.2152505461</v>
      </c>
      <c r="R1544" s="19" t="n">
        <f aca="false">B1544/B1524-1</f>
        <v>0.0682799216228491</v>
      </c>
      <c r="S1544" s="17" t="n">
        <f aca="false">STDEV(C1525:C1544)*SQRT(252)*100</f>
        <v>26.3832204887858</v>
      </c>
      <c r="T1544" s="19" t="n">
        <f aca="false">B1523/B1293-1</f>
        <v>-0.163866061247355</v>
      </c>
      <c r="U1544" s="19" t="n">
        <f aca="false">B1544/MAX(B1293:B1544)-1</f>
        <v>-0.200951648852917</v>
      </c>
      <c r="V1544" s="17" t="n">
        <f aca="false">(B1544-AVERAGE(B1525:B1544))/STDEV(B1525:B1544)</f>
        <v>0.308982090184936</v>
      </c>
    </row>
    <row r="1545" customFormat="false" ht="15" hidden="false" customHeight="false" outlineLevel="0" collapsed="false">
      <c r="A1545" s="17" t="s">
        <v>2109</v>
      </c>
      <c r="B1545" s="17" t="n">
        <v>12890.54</v>
      </c>
      <c r="C1545" s="19" t="n">
        <f aca="false">B1545/B1544-1</f>
        <v>-0.0266074651322594</v>
      </c>
      <c r="D1545" s="17" t="n">
        <f aca="false">AVERAGE(B1496:B1545)</f>
        <v>12346.8108</v>
      </c>
      <c r="E1545" s="17" t="n">
        <f aca="false">AVERAGE(B1346:B1545)</f>
        <v>13982.0198</v>
      </c>
      <c r="F1545" s="17" t="n">
        <f aca="false">B1545*2/13+F1544*11/13</f>
        <v>13247.2163494998</v>
      </c>
      <c r="G1545" s="17" t="n">
        <f aca="false">B1545*2/27+G1544*25/27</f>
        <v>12983.8548520487</v>
      </c>
      <c r="H1545" s="17" t="n">
        <f aca="false">F1545-G1545</f>
        <v>263.361497451027</v>
      </c>
      <c r="I1545" s="17" t="n">
        <f aca="false">H1545*2/10+I1544*8/10</f>
        <v>318.073826942689</v>
      </c>
      <c r="J1545" s="17" t="n">
        <f aca="false">H1545-I1545</f>
        <v>-54.7123294916616</v>
      </c>
      <c r="K1545" s="17" t="n">
        <f aca="false">MAX(B1545-B1544,0)</f>
        <v>0</v>
      </c>
      <c r="L1545" s="17" t="n">
        <f aca="false">MAX(B1544-B1545,0)</f>
        <v>352.359999999999</v>
      </c>
      <c r="M1545" s="17" t="n">
        <f aca="false">(M1544*13+K1545)/14</f>
        <v>85.2517243384883</v>
      </c>
      <c r="N1545" s="17" t="n">
        <f aca="false">(N1544*13+L1545)/14</f>
        <v>91.1513888009113</v>
      </c>
      <c r="O1545" s="17" t="n">
        <f aca="false">IF(N1545=0,100,100-100/(1+M1545/N1545))</f>
        <v>48.3277890176006</v>
      </c>
      <c r="P1545" s="17" t="n">
        <f aca="false">AVERAGE(B1526:B1545)+2*STDEV(B1526:B1545)</f>
        <v>13917.3165310557</v>
      </c>
      <c r="Q1545" s="17" t="n">
        <f aca="false">AVERAGE(B1526:B1545)-2*STDEV(B1526:B1545)</f>
        <v>12361.1604689443</v>
      </c>
      <c r="R1545" s="19" t="n">
        <f aca="false">B1545/B1525-1</f>
        <v>0.0455963096619922</v>
      </c>
      <c r="S1545" s="17" t="n">
        <f aca="false">STDEV(C1526:C1545)*SQRT(252)*100</f>
        <v>28.3244302896556</v>
      </c>
      <c r="T1545" s="19" t="n">
        <f aca="false">B1524/B1294-1</f>
        <v>-0.190451530155778</v>
      </c>
      <c r="U1545" s="19" t="n">
        <f aca="false">B1545/MAX(B1294:B1545)-1</f>
        <v>-0.222212299995052</v>
      </c>
      <c r="V1545" s="17" t="n">
        <f aca="false">(B1545-AVERAGE(B1526:B1545))/STDEV(B1526:B1545)</f>
        <v>-0.639263647278543</v>
      </c>
    </row>
    <row r="1546" customFormat="false" ht="15" hidden="false" customHeight="false" outlineLevel="0" collapsed="false">
      <c r="A1546" s="17" t="s">
        <v>2110</v>
      </c>
      <c r="B1546" s="17" t="n">
        <v>12881.79</v>
      </c>
      <c r="C1546" s="19" t="n">
        <f aca="false">B1546/B1545-1</f>
        <v>-0.000678792354703472</v>
      </c>
      <c r="D1546" s="17" t="n">
        <f aca="false">AVERAGE(B1497:B1546)</f>
        <v>12367.7902</v>
      </c>
      <c r="E1546" s="17" t="n">
        <f aca="false">AVERAGE(B1347:B1546)</f>
        <v>13964.69755</v>
      </c>
      <c r="F1546" s="17" t="n">
        <f aca="false">B1546*2/13+F1545*11/13</f>
        <v>13190.9969111152</v>
      </c>
      <c r="G1546" s="17" t="n">
        <f aca="false">B1546*2/27+G1545*25/27</f>
        <v>12976.2944926377</v>
      </c>
      <c r="H1546" s="17" t="n">
        <f aca="false">F1546-G1546</f>
        <v>214.702418477465</v>
      </c>
      <c r="I1546" s="17" t="n">
        <f aca="false">H1546*2/10+I1545*8/10</f>
        <v>297.399545249644</v>
      </c>
      <c r="J1546" s="17" t="n">
        <f aca="false">H1546-I1546</f>
        <v>-82.6971267721788</v>
      </c>
      <c r="K1546" s="17" t="n">
        <f aca="false">MAX(B1546-B1545,0)</f>
        <v>0</v>
      </c>
      <c r="L1546" s="17" t="n">
        <f aca="false">MAX(B1545-B1546,0)</f>
        <v>8.75</v>
      </c>
      <c r="M1546" s="17" t="n">
        <f aca="false">(M1545*13+K1546)/14</f>
        <v>79.1623154571677</v>
      </c>
      <c r="N1546" s="17" t="n">
        <f aca="false">(N1545*13+L1546)/14</f>
        <v>85.265575315132</v>
      </c>
      <c r="O1546" s="17" t="n">
        <f aca="false">IF(N1546=0,100,100-100/(1+M1546/N1546))</f>
        <v>48.1440922737323</v>
      </c>
      <c r="P1546" s="17" t="n">
        <f aca="false">AVERAGE(B1527:B1546)+2*STDEV(B1527:B1546)</f>
        <v>13795.0736738494</v>
      </c>
      <c r="Q1546" s="17" t="n">
        <f aca="false">AVERAGE(B1527:B1546)-2*STDEV(B1527:B1546)</f>
        <v>12562.8923261506</v>
      </c>
      <c r="R1546" s="19" t="n">
        <f aca="false">B1546/B1526-1</f>
        <v>0.0657645881077862</v>
      </c>
      <c r="S1546" s="17" t="n">
        <f aca="false">STDEV(C1527:C1546)*SQRT(252)*100</f>
        <v>27.1498864501456</v>
      </c>
      <c r="T1546" s="19" t="n">
        <f aca="false">B1525/B1295-1</f>
        <v>-0.197247891608628</v>
      </c>
      <c r="U1546" s="19" t="n">
        <f aca="false">B1546/MAX(B1295:B1546)-1</f>
        <v>-0.222740256339398</v>
      </c>
      <c r="V1546" s="17" t="n">
        <f aca="false">(B1546-AVERAGE(B1527:B1546))/STDEV(B1527:B1546)</f>
        <v>-0.964770325585702</v>
      </c>
    </row>
    <row r="1547" customFormat="false" ht="15" hidden="false" customHeight="false" outlineLevel="0" collapsed="false">
      <c r="A1547" s="17" t="s">
        <v>2111</v>
      </c>
      <c r="B1547" s="17" t="n">
        <v>12917.86</v>
      </c>
      <c r="C1547" s="19" t="n">
        <f aca="false">B1547/B1546-1</f>
        <v>0.00280007669741544</v>
      </c>
      <c r="D1547" s="17" t="n">
        <f aca="false">AVERAGE(B1498:B1547)</f>
        <v>12400.381</v>
      </c>
      <c r="E1547" s="17" t="n">
        <f aca="false">AVERAGE(B1348:B1547)</f>
        <v>13947.48995</v>
      </c>
      <c r="F1547" s="17" t="n">
        <f aca="false">B1547*2/13+F1546*11/13</f>
        <v>13148.9758478667</v>
      </c>
      <c r="G1547" s="17" t="n">
        <f aca="false">B1547*2/27+G1546*25/27</f>
        <v>12971.9660117016</v>
      </c>
      <c r="H1547" s="17" t="n">
        <f aca="false">F1547-G1547</f>
        <v>177.009836165102</v>
      </c>
      <c r="I1547" s="17" t="n">
        <f aca="false">H1547*2/10+I1546*8/10</f>
        <v>273.321603432736</v>
      </c>
      <c r="J1547" s="17" t="n">
        <f aca="false">H1547-I1547</f>
        <v>-96.3117672676341</v>
      </c>
      <c r="K1547" s="17" t="n">
        <f aca="false">MAX(B1547-B1546,0)</f>
        <v>36.0699999999997</v>
      </c>
      <c r="L1547" s="17" t="n">
        <f aca="false">MAX(B1546-B1547,0)</f>
        <v>0</v>
      </c>
      <c r="M1547" s="17" t="n">
        <f aca="false">(M1546*13+K1547)/14</f>
        <v>76.0842929245129</v>
      </c>
      <c r="N1547" s="17" t="n">
        <f aca="false">(N1546*13+L1547)/14</f>
        <v>79.1751770783368</v>
      </c>
      <c r="O1547" s="17" t="n">
        <f aca="false">IF(N1547=0,100,100-100/(1+M1547/N1547))</f>
        <v>49.0046068836358</v>
      </c>
      <c r="P1547" s="17" t="n">
        <f aca="false">AVERAGE(B1528:B1547)+2*STDEV(B1528:B1547)</f>
        <v>13762.8287200722</v>
      </c>
      <c r="Q1547" s="17" t="n">
        <f aca="false">AVERAGE(B1528:B1547)-2*STDEV(B1528:B1547)</f>
        <v>12626.7762799278</v>
      </c>
      <c r="R1547" s="19" t="n">
        <f aca="false">B1547/B1527-1</f>
        <v>0.0251073882650199</v>
      </c>
      <c r="S1547" s="17" t="n">
        <f aca="false">STDEV(C1528:C1547)*SQRT(252)*100</f>
        <v>22.8557745450375</v>
      </c>
      <c r="T1547" s="19" t="n">
        <f aca="false">B1526/B1296-1</f>
        <v>-0.213549162855946</v>
      </c>
      <c r="U1547" s="19" t="n">
        <f aca="false">B1547/MAX(B1296:B1547)-1</f>
        <v>-0.220563869443335</v>
      </c>
      <c r="V1547" s="17" t="n">
        <f aca="false">(B1547-AVERAGE(B1528:B1547))/STDEV(B1528:B1547)</f>
        <v>-0.975104635010737</v>
      </c>
    </row>
    <row r="1548" customFormat="false" ht="15" hidden="false" customHeight="false" outlineLevel="0" collapsed="false">
      <c r="A1548" s="17" t="s">
        <v>2112</v>
      </c>
      <c r="B1548" s="17" t="n">
        <v>13143.58</v>
      </c>
      <c r="C1548" s="19" t="n">
        <f aca="false">B1548/B1547-1</f>
        <v>0.0174734824498795</v>
      </c>
      <c r="D1548" s="17" t="n">
        <f aca="false">AVERAGE(B1499:B1548)</f>
        <v>12437.0188</v>
      </c>
      <c r="E1548" s="17" t="n">
        <f aca="false">AVERAGE(B1349:B1548)</f>
        <v>13931.5277</v>
      </c>
      <c r="F1548" s="17" t="n">
        <f aca="false">B1548*2/13+F1547*11/13</f>
        <v>13148.1457174257</v>
      </c>
      <c r="G1548" s="17" t="n">
        <f aca="false">B1548*2/27+G1547*25/27</f>
        <v>12984.678158983</v>
      </c>
      <c r="H1548" s="17" t="n">
        <f aca="false">F1548-G1548</f>
        <v>163.467558442708</v>
      </c>
      <c r="I1548" s="17" t="n">
        <f aca="false">H1548*2/10+I1547*8/10</f>
        <v>251.35079443473</v>
      </c>
      <c r="J1548" s="17" t="n">
        <f aca="false">H1548-I1548</f>
        <v>-87.8832359920224</v>
      </c>
      <c r="K1548" s="17" t="n">
        <f aca="false">MAX(B1548-B1547,0)</f>
        <v>225.719999999999</v>
      </c>
      <c r="L1548" s="17" t="n">
        <f aca="false">MAX(B1547-B1548,0)</f>
        <v>0</v>
      </c>
      <c r="M1548" s="17" t="n">
        <f aca="false">(M1547*13+K1548)/14</f>
        <v>86.772557715619</v>
      </c>
      <c r="N1548" s="17" t="n">
        <f aca="false">(N1547*13+L1548)/14</f>
        <v>73.519807287027</v>
      </c>
      <c r="O1548" s="17" t="n">
        <f aca="false">IF(N1548=0,100,100-100/(1+M1548/N1548))</f>
        <v>54.1339306548921</v>
      </c>
      <c r="P1548" s="17" t="n">
        <f aca="false">AVERAGE(B1529:B1548)+2*STDEV(B1529:B1548)</f>
        <v>13738.9753626358</v>
      </c>
      <c r="Q1548" s="17" t="n">
        <f aca="false">AVERAGE(B1529:B1548)-2*STDEV(B1529:B1548)</f>
        <v>12693.2006373642</v>
      </c>
      <c r="R1548" s="19" t="n">
        <f aca="false">B1548/B1528-1</f>
        <v>0.0334733725065597</v>
      </c>
      <c r="S1548" s="17" t="n">
        <f aca="false">STDEV(C1529:C1548)*SQRT(252)*100</f>
        <v>23.4134685858622</v>
      </c>
      <c r="T1548" s="19" t="n">
        <f aca="false">B1527/B1297-1</f>
        <v>-0.175216578569129</v>
      </c>
      <c r="U1548" s="19" t="n">
        <f aca="false">B1548/MAX(B1297:B1548)-1</f>
        <v>-0.206944405895251</v>
      </c>
      <c r="V1548" s="17" t="n">
        <f aca="false">(B1548-AVERAGE(B1529:B1548))/STDEV(B1529:B1548)</f>
        <v>-0.277336976110874</v>
      </c>
    </row>
    <row r="1549" customFormat="false" ht="15" hidden="false" customHeight="false" outlineLevel="0" collapsed="false">
      <c r="A1549" s="17" t="s">
        <v>2113</v>
      </c>
      <c r="B1549" s="17" t="n">
        <v>12605.17</v>
      </c>
      <c r="C1549" s="19" t="n">
        <f aca="false">B1549/B1548-1</f>
        <v>-0.0409637252559805</v>
      </c>
      <c r="D1549" s="17" t="n">
        <f aca="false">AVERAGE(B1500:B1549)</f>
        <v>12457.2468</v>
      </c>
      <c r="E1549" s="17" t="n">
        <f aca="false">AVERAGE(B1350:B1549)</f>
        <v>13913.45385</v>
      </c>
      <c r="F1549" s="17" t="n">
        <f aca="false">B1549*2/13+F1548*11/13</f>
        <v>13064.6109916679</v>
      </c>
      <c r="G1549" s="17" t="n">
        <f aca="false">B1549*2/27+G1548*25/27</f>
        <v>12956.5664435027</v>
      </c>
      <c r="H1549" s="17" t="n">
        <f aca="false">F1549-G1549</f>
        <v>108.044548165131</v>
      </c>
      <c r="I1549" s="17" t="n">
        <f aca="false">H1549*2/10+I1548*8/10</f>
        <v>222.68954518081</v>
      </c>
      <c r="J1549" s="17" t="n">
        <f aca="false">H1549-I1549</f>
        <v>-114.644997015679</v>
      </c>
      <c r="K1549" s="17" t="n">
        <f aca="false">MAX(B1549-B1548,0)</f>
        <v>0</v>
      </c>
      <c r="L1549" s="17" t="n">
        <f aca="false">MAX(B1548-B1549,0)</f>
        <v>538.41</v>
      </c>
      <c r="M1549" s="17" t="n">
        <f aca="false">(M1548*13+K1549)/14</f>
        <v>80.5745178787891</v>
      </c>
      <c r="N1549" s="17" t="n">
        <f aca="false">(N1548*13+L1549)/14</f>
        <v>106.726249623668</v>
      </c>
      <c r="O1549" s="17" t="n">
        <f aca="false">IF(N1549=0,100,100-100/(1+M1549/N1549))</f>
        <v>43.0187868171614</v>
      </c>
      <c r="P1549" s="17" t="n">
        <f aca="false">AVERAGE(B1530:B1549)+2*STDEV(B1530:B1549)</f>
        <v>13778.2690400424</v>
      </c>
      <c r="Q1549" s="17" t="n">
        <f aca="false">AVERAGE(B1530:B1549)-2*STDEV(B1530:B1549)</f>
        <v>12619.6269599576</v>
      </c>
      <c r="R1549" s="19" t="n">
        <f aca="false">B1549/B1529-1</f>
        <v>-0.0264751926363747</v>
      </c>
      <c r="S1549" s="17" t="n">
        <f aca="false">STDEV(C1530:C1549)*SQRT(252)*100</f>
        <v>27.0486412433301</v>
      </c>
      <c r="T1549" s="19" t="n">
        <f aca="false">B1528/B1298-1</f>
        <v>-0.175927479840212</v>
      </c>
      <c r="U1549" s="19" t="n">
        <f aca="false">B1549/MAX(B1298:B1549)-1</f>
        <v>-0.239430917364876</v>
      </c>
      <c r="V1549" s="17" t="n">
        <f aca="false">(B1549-AVERAGE(B1530:B1549))/STDEV(B1530:B1549)</f>
        <v>-2.04991001174947</v>
      </c>
    </row>
    <row r="1550" customFormat="false" ht="15" hidden="false" customHeight="false" outlineLevel="0" collapsed="false">
      <c r="A1550" s="17" t="s">
        <v>2114</v>
      </c>
      <c r="B1550" s="17" t="n">
        <v>12484.32</v>
      </c>
      <c r="C1550" s="19" t="n">
        <f aca="false">B1550/B1549-1</f>
        <v>-0.00958733598991524</v>
      </c>
      <c r="D1550" s="17" t="n">
        <f aca="false">AVERAGE(B1501:B1550)</f>
        <v>12484.3818</v>
      </c>
      <c r="E1550" s="17" t="n">
        <f aca="false">AVERAGE(B1351:B1550)</f>
        <v>13895.9476</v>
      </c>
      <c r="F1550" s="17" t="n">
        <f aca="false">B1550*2/13+F1549*11/13</f>
        <v>12975.3354544882</v>
      </c>
      <c r="G1550" s="17" t="n">
        <f aca="false">B1550*2/27+G1549*25/27</f>
        <v>12921.5852254655</v>
      </c>
      <c r="H1550" s="17" t="n">
        <f aca="false">F1550-G1550</f>
        <v>53.7502290226985</v>
      </c>
      <c r="I1550" s="17" t="n">
        <f aca="false">H1550*2/10+I1549*8/10</f>
        <v>188.901681949188</v>
      </c>
      <c r="J1550" s="17" t="n">
        <f aca="false">H1550-I1550</f>
        <v>-135.15145292649</v>
      </c>
      <c r="K1550" s="17" t="n">
        <f aca="false">MAX(B1550-B1549,0)</f>
        <v>0</v>
      </c>
      <c r="L1550" s="17" t="n">
        <f aca="false">MAX(B1549-B1550,0)</f>
        <v>120.85</v>
      </c>
      <c r="M1550" s="17" t="n">
        <f aca="false">(M1549*13+K1550)/14</f>
        <v>74.8191951731613</v>
      </c>
      <c r="N1550" s="17" t="n">
        <f aca="false">(N1549*13+L1550)/14</f>
        <v>107.735088936263</v>
      </c>
      <c r="O1550" s="17" t="n">
        <f aca="false">IF(N1550=0,100,100-100/(1+M1550/N1550))</f>
        <v>40.984628510999</v>
      </c>
      <c r="P1550" s="17" t="n">
        <f aca="false">AVERAGE(B1531:B1550)+2*STDEV(B1531:B1550)</f>
        <v>13829.5025882452</v>
      </c>
      <c r="Q1550" s="17" t="n">
        <f aca="false">AVERAGE(B1531:B1550)-2*STDEV(B1531:B1550)</f>
        <v>12522.7474117548</v>
      </c>
      <c r="R1550" s="19" t="n">
        <f aca="false">B1550/B1530-1</f>
        <v>-0.035272989727049</v>
      </c>
      <c r="S1550" s="17" t="n">
        <f aca="false">STDEV(C1531:C1550)*SQRT(252)*100</f>
        <v>27.2095175363927</v>
      </c>
      <c r="T1550" s="19" t="n">
        <f aca="false">B1529/B1299-1</f>
        <v>-0.170272648219267</v>
      </c>
      <c r="U1550" s="19" t="n">
        <f aca="false">B1550/MAX(B1299:B1550)-1</f>
        <v>-0.246722748703641</v>
      </c>
      <c r="V1550" s="17" t="n">
        <f aca="false">(B1550-AVERAGE(B1531:B1550))/STDEV(B1531:B1550)</f>
        <v>-2.11762696623267</v>
      </c>
    </row>
    <row r="1551" customFormat="false" ht="15" hidden="false" customHeight="false" outlineLevel="0" collapsed="false">
      <c r="A1551" s="17" t="s">
        <v>2115</v>
      </c>
      <c r="B1551" s="17" t="n">
        <v>12342.7</v>
      </c>
      <c r="C1551" s="19" t="n">
        <f aca="false">B1551/B1550-1</f>
        <v>-0.0113438296999756</v>
      </c>
      <c r="D1551" s="17" t="n">
        <f aca="false">AVERAGE(B1502:B1551)</f>
        <v>12505.916</v>
      </c>
      <c r="E1551" s="17" t="n">
        <f aca="false">AVERAGE(B1352:B1551)</f>
        <v>13877.49875</v>
      </c>
      <c r="F1551" s="17" t="n">
        <f aca="false">B1551*2/13+F1550*11/13</f>
        <v>12878.0069230285</v>
      </c>
      <c r="G1551" s="17" t="n">
        <f aca="false">B1551*2/27+G1550*25/27</f>
        <v>12878.704838394</v>
      </c>
      <c r="H1551" s="17" t="n">
        <f aca="false">F1551-G1551</f>
        <v>-0.69791536550656</v>
      </c>
      <c r="I1551" s="17" t="n">
        <f aca="false">H1551*2/10+I1550*8/10</f>
        <v>150.981762486249</v>
      </c>
      <c r="J1551" s="17" t="n">
        <f aca="false">H1551-I1551</f>
        <v>-151.679677851756</v>
      </c>
      <c r="K1551" s="17" t="n">
        <f aca="false">MAX(B1551-B1550,0)</f>
        <v>0</v>
      </c>
      <c r="L1551" s="17" t="n">
        <f aca="false">MAX(B1550-B1551,0)</f>
        <v>141.619999999999</v>
      </c>
      <c r="M1551" s="17" t="n">
        <f aca="false">(M1550*13+K1551)/14</f>
        <v>69.4749669465069</v>
      </c>
      <c r="N1551" s="17" t="n">
        <f aca="false">(N1550*13+L1551)/14</f>
        <v>110.15543972653</v>
      </c>
      <c r="O1551" s="17" t="n">
        <f aca="false">IF(N1551=0,100,100-100/(1+M1551/N1551))</f>
        <v>38.6766184151468</v>
      </c>
      <c r="P1551" s="17" t="n">
        <f aca="false">AVERAGE(B1532:B1551)+2*STDEV(B1532:B1551)</f>
        <v>13892.477703653</v>
      </c>
      <c r="Q1551" s="17" t="n">
        <f aca="false">AVERAGE(B1532:B1551)-2*STDEV(B1532:B1551)</f>
        <v>12403.882296347</v>
      </c>
      <c r="R1551" s="19" t="n">
        <f aca="false">B1551/B1531-1</f>
        <v>-0.0433202083462516</v>
      </c>
      <c r="S1551" s="17" t="n">
        <f aca="false">STDEV(C1532:C1551)*SQRT(252)*100</f>
        <v>27.4244871015669</v>
      </c>
      <c r="T1551" s="19" t="n">
        <f aca="false">B1530/B1300-1</f>
        <v>-0.169531737826576</v>
      </c>
      <c r="U1551" s="19" t="n">
        <f aca="false">B1551/MAX(B1300:B1551)-1</f>
        <v>-0.255267797559213</v>
      </c>
      <c r="V1551" s="17" t="n">
        <f aca="false">(B1551-AVERAGE(B1532:B1551))/STDEV(B1532:B1551)</f>
        <v>-2.16440275456096</v>
      </c>
    </row>
    <row r="1552" customFormat="false" ht="15" hidden="false" customHeight="false" outlineLevel="0" collapsed="false">
      <c r="A1552" s="17" t="s">
        <v>2116</v>
      </c>
      <c r="B1552" s="17" t="n">
        <v>12272.03</v>
      </c>
      <c r="C1552" s="19" t="n">
        <f aca="false">B1552/B1551-1</f>
        <v>-0.00572565159973104</v>
      </c>
      <c r="D1552" s="17" t="n">
        <f aca="false">AVERAGE(B1503:B1552)</f>
        <v>12520.4214</v>
      </c>
      <c r="E1552" s="17" t="n">
        <f aca="false">AVERAGE(B1353:B1552)</f>
        <v>13857.85945</v>
      </c>
      <c r="F1552" s="17" t="n">
        <f aca="false">B1552*2/13+F1551*11/13</f>
        <v>12784.779704101</v>
      </c>
      <c r="G1552" s="17" t="n">
        <f aca="false">B1552*2/27+G1551*25/27</f>
        <v>12833.7659614759</v>
      </c>
      <c r="H1552" s="17" t="n">
        <f aca="false">F1552-G1552</f>
        <v>-48.9862573748906</v>
      </c>
      <c r="I1552" s="17" t="n">
        <f aca="false">H1552*2/10+I1551*8/10</f>
        <v>110.988158514021</v>
      </c>
      <c r="J1552" s="17" t="n">
        <f aca="false">H1552-I1552</f>
        <v>-159.974415888912</v>
      </c>
      <c r="K1552" s="17" t="n">
        <f aca="false">MAX(B1552-B1551,0)</f>
        <v>0</v>
      </c>
      <c r="L1552" s="17" t="n">
        <f aca="false">MAX(B1551-B1552,0)</f>
        <v>70.6700000000001</v>
      </c>
      <c r="M1552" s="17" t="n">
        <f aca="false">(M1551*13+K1552)/14</f>
        <v>64.5124693074707</v>
      </c>
      <c r="N1552" s="17" t="n">
        <f aca="false">(N1551*13+L1552)/14</f>
        <v>107.335051174635</v>
      </c>
      <c r="O1552" s="17" t="n">
        <f aca="false">IF(N1552=0,100,100-100/(1+M1552/N1552))</f>
        <v>37.5405296081583</v>
      </c>
      <c r="P1552" s="17" t="n">
        <f aca="false">AVERAGE(B1533:B1552)+2*STDEV(B1533:B1552)</f>
        <v>13937.6456537335</v>
      </c>
      <c r="Q1552" s="17" t="n">
        <f aca="false">AVERAGE(B1533:B1552)-2*STDEV(B1533:B1552)</f>
        <v>12260.5913462665</v>
      </c>
      <c r="R1552" s="19" t="n">
        <f aca="false">B1552/B1532-1</f>
        <v>-0.0740368784736736</v>
      </c>
      <c r="S1552" s="17" t="n">
        <f aca="false">STDEV(C1533:C1552)*SQRT(252)*100</f>
        <v>25.1513508676527</v>
      </c>
      <c r="T1552" s="19" t="n">
        <f aca="false">B1531/B1301-1</f>
        <v>-0.173587281740402</v>
      </c>
      <c r="U1552" s="19" t="n">
        <f aca="false">B1552/MAX(B1301:B1552)-1</f>
        <v>-0.259531874685489</v>
      </c>
      <c r="V1552" s="17" t="n">
        <f aca="false">(B1552-AVERAGE(B1533:B1552))/STDEV(B1533:B1552)</f>
        <v>-1.97271727294082</v>
      </c>
    </row>
    <row r="1553" customFormat="false" ht="15" hidden="false" customHeight="false" outlineLevel="0" collapsed="false">
      <c r="A1553" s="17" t="s">
        <v>2117</v>
      </c>
      <c r="B1553" s="17" t="n">
        <v>12274.62</v>
      </c>
      <c r="C1553" s="19" t="n">
        <f aca="false">B1553/B1552-1</f>
        <v>0.000211049027748489</v>
      </c>
      <c r="D1553" s="17" t="n">
        <f aca="false">AVERAGE(B1504:B1553)</f>
        <v>12535.3596</v>
      </c>
      <c r="E1553" s="17" t="n">
        <f aca="false">AVERAGE(B1354:B1553)</f>
        <v>13838.28695</v>
      </c>
      <c r="F1553" s="17" t="n">
        <f aca="false">B1553*2/13+F1552*11/13</f>
        <v>12706.2935957778</v>
      </c>
      <c r="G1553" s="17" t="n">
        <f aca="false">B1553*2/27+G1552*25/27</f>
        <v>12792.3477421073</v>
      </c>
      <c r="H1553" s="17" t="n">
        <f aca="false">F1553-G1553</f>
        <v>-86.0541463295358</v>
      </c>
      <c r="I1553" s="17" t="n">
        <f aca="false">H1553*2/10+I1552*8/10</f>
        <v>71.5796975453098</v>
      </c>
      <c r="J1553" s="17" t="n">
        <f aca="false">H1553-I1553</f>
        <v>-157.633843874846</v>
      </c>
      <c r="K1553" s="17" t="n">
        <f aca="false">MAX(B1553-B1552,0)</f>
        <v>2.59000000000015</v>
      </c>
      <c r="L1553" s="17" t="n">
        <f aca="false">MAX(B1552-B1553,0)</f>
        <v>0</v>
      </c>
      <c r="M1553" s="17" t="n">
        <f aca="false">(M1552*13+K1553)/14</f>
        <v>60.0894357855085</v>
      </c>
      <c r="N1553" s="17" t="n">
        <f aca="false">(N1552*13+L1553)/14</f>
        <v>99.6682618050182</v>
      </c>
      <c r="O1553" s="17" t="n">
        <f aca="false">IF(N1553=0,100,100-100/(1+M1553/N1553))</f>
        <v>37.6128579040511</v>
      </c>
      <c r="P1553" s="17" t="n">
        <f aca="false">AVERAGE(B1534:B1553)+2*STDEV(B1534:B1553)</f>
        <v>13955.8574623204</v>
      </c>
      <c r="Q1553" s="17" t="n">
        <f aca="false">AVERAGE(B1534:B1553)-2*STDEV(B1534:B1553)</f>
        <v>12138.7375376796</v>
      </c>
      <c r="R1553" s="19" t="n">
        <f aca="false">B1553/B1533-1</f>
        <v>-0.07786168473688</v>
      </c>
      <c r="S1553" s="17" t="n">
        <f aca="false">STDEV(C1534:C1553)*SQRT(252)*100</f>
        <v>25.0173716954759</v>
      </c>
      <c r="T1553" s="19" t="n">
        <f aca="false">B1532/B1302-1</f>
        <v>-0.150663441049714</v>
      </c>
      <c r="U1553" s="19" t="n">
        <f aca="false">B1553/MAX(B1302:B1553)-1</f>
        <v>-0.259375599607563</v>
      </c>
      <c r="V1553" s="17" t="n">
        <f aca="false">(B1553-AVERAGE(B1534:B1553))/STDEV(B1534:B1553)</f>
        <v>-1.70088388668738</v>
      </c>
    </row>
    <row r="1554" customFormat="false" ht="15" hidden="false" customHeight="false" outlineLevel="0" collapsed="false">
      <c r="A1554" s="17" t="s">
        <v>2118</v>
      </c>
      <c r="B1554" s="17" t="n">
        <v>12098.44</v>
      </c>
      <c r="C1554" s="19" t="n">
        <f aca="false">B1554/B1553-1</f>
        <v>-0.0143531938259596</v>
      </c>
      <c r="D1554" s="17" t="n">
        <f aca="false">AVERAGE(B1505:B1554)</f>
        <v>12543.3748</v>
      </c>
      <c r="E1554" s="17" t="n">
        <f aca="false">AVERAGE(B1355:B1554)</f>
        <v>13817.2303</v>
      </c>
      <c r="F1554" s="17" t="n">
        <f aca="false">B1554*2/13+F1553*11/13</f>
        <v>12612.7776579658</v>
      </c>
      <c r="G1554" s="17" t="n">
        <f aca="false">B1554*2/27+G1553*25/27</f>
        <v>12740.9471686179</v>
      </c>
      <c r="H1554" s="17" t="n">
        <f aca="false">F1554-G1554</f>
        <v>-128.169510652071</v>
      </c>
      <c r="I1554" s="17" t="n">
        <f aca="false">H1554*2/10+I1553*8/10</f>
        <v>31.6298559058336</v>
      </c>
      <c r="J1554" s="17" t="n">
        <f aca="false">H1554-I1554</f>
        <v>-159.799366557905</v>
      </c>
      <c r="K1554" s="17" t="n">
        <f aca="false">MAX(B1554-B1553,0)</f>
        <v>0</v>
      </c>
      <c r="L1554" s="17" t="n">
        <f aca="false">MAX(B1553-B1554,0)</f>
        <v>176.18</v>
      </c>
      <c r="M1554" s="17" t="n">
        <f aca="false">(M1553*13+K1554)/14</f>
        <v>55.7973332294008</v>
      </c>
      <c r="N1554" s="17" t="n">
        <f aca="false">(N1553*13+L1554)/14</f>
        <v>105.133385961803</v>
      </c>
      <c r="O1554" s="17" t="n">
        <f aca="false">IF(N1554=0,100,100-100/(1+M1554/N1554))</f>
        <v>34.6716484645218</v>
      </c>
      <c r="P1554" s="17" t="n">
        <f aca="false">AVERAGE(B1535:B1554)+2*STDEV(B1535:B1554)</f>
        <v>13990.1618895613</v>
      </c>
      <c r="Q1554" s="17" t="n">
        <f aca="false">AVERAGE(B1535:B1554)-2*STDEV(B1535:B1554)</f>
        <v>11993.5081104387</v>
      </c>
      <c r="R1554" s="19" t="n">
        <f aca="false">B1554/B1534-1</f>
        <v>-0.0839851631890209</v>
      </c>
      <c r="S1554" s="17" t="n">
        <f aca="false">STDEV(C1535:C1554)*SQRT(252)*100</f>
        <v>25.2595971622069</v>
      </c>
      <c r="T1554" s="19" t="n">
        <f aca="false">B1533/B1303-1</f>
        <v>-0.149609719885056</v>
      </c>
      <c r="U1554" s="19" t="n">
        <f aca="false">B1554/MAX(B1303:B1554)-1</f>
        <v>-0.27000592517863</v>
      </c>
      <c r="V1554" s="17" t="n">
        <f aca="false">(B1554-AVERAGE(B1535:B1554))/STDEV(B1535:B1554)</f>
        <v>-1.789784507142</v>
      </c>
    </row>
    <row r="1555" customFormat="false" ht="15" hidden="false" customHeight="false" outlineLevel="0" collapsed="false">
      <c r="A1555" s="17" t="s">
        <v>2119</v>
      </c>
      <c r="B1555" s="17" t="n">
        <v>12011.31</v>
      </c>
      <c r="C1555" s="19" t="n">
        <f aca="false">B1555/B1554-1</f>
        <v>-0.00720175493700026</v>
      </c>
      <c r="D1555" s="17" t="n">
        <f aca="false">AVERAGE(B1506:B1555)</f>
        <v>12541.484</v>
      </c>
      <c r="E1555" s="17" t="n">
        <f aca="false">AVERAGE(B1356:B1555)</f>
        <v>13795.7465</v>
      </c>
      <c r="F1555" s="17" t="n">
        <f aca="false">B1555*2/13+F1554*11/13</f>
        <v>12520.2441721249</v>
      </c>
      <c r="G1555" s="17" t="n">
        <f aca="false">B1555*2/27+G1554*25/27</f>
        <v>12686.8999709425</v>
      </c>
      <c r="H1555" s="17" t="n">
        <f aca="false">F1555-G1555</f>
        <v>-166.65579881757</v>
      </c>
      <c r="I1555" s="17" t="n">
        <f aca="false">H1555*2/10+I1554*8/10</f>
        <v>-8.02727503884711</v>
      </c>
      <c r="J1555" s="17" t="n">
        <f aca="false">H1555-I1555</f>
        <v>-158.628523778723</v>
      </c>
      <c r="K1555" s="17" t="n">
        <f aca="false">MAX(B1555-B1554,0)</f>
        <v>0</v>
      </c>
      <c r="L1555" s="17" t="n">
        <f aca="false">MAX(B1554-B1555,0)</f>
        <v>87.130000000001</v>
      </c>
      <c r="M1555" s="17" t="n">
        <f aca="false">(M1554*13+K1555)/14</f>
        <v>51.8118094273007</v>
      </c>
      <c r="N1555" s="17" t="n">
        <f aca="false">(N1554*13+L1555)/14</f>
        <v>103.847429821674</v>
      </c>
      <c r="O1555" s="17" t="n">
        <f aca="false">IF(N1555=0,100,100-100/(1+M1555/N1555))</f>
        <v>33.2854057859222</v>
      </c>
      <c r="P1555" s="17" t="n">
        <f aca="false">AVERAGE(B1536:B1555)+2*STDEV(B1536:B1555)</f>
        <v>14020.3980468633</v>
      </c>
      <c r="Q1555" s="17" t="n">
        <f aca="false">AVERAGE(B1536:B1555)-2*STDEV(B1536:B1555)</f>
        <v>11848.4869531367</v>
      </c>
      <c r="R1555" s="19" t="n">
        <f aca="false">B1555/B1535-1</f>
        <v>-0.0872282121351211</v>
      </c>
      <c r="S1555" s="17" t="n">
        <f aca="false">STDEV(C1536:C1555)*SQRT(252)*100</f>
        <v>25.2798556945852</v>
      </c>
      <c r="T1555" s="19" t="n">
        <f aca="false">B1534/B1304-1</f>
        <v>-0.15744499788208</v>
      </c>
      <c r="U1555" s="19" t="n">
        <f aca="false">B1555/MAX(B1304:B1555)-1</f>
        <v>-0.275263163610956</v>
      </c>
      <c r="V1555" s="17" t="n">
        <f aca="false">(B1555-AVERAGE(B1536:B1555))/STDEV(B1536:B1555)</f>
        <v>-1.7001294439103</v>
      </c>
    </row>
    <row r="1556" customFormat="false" ht="15" hidden="false" customHeight="false" outlineLevel="0" collapsed="false">
      <c r="A1556" s="17" t="s">
        <v>2120</v>
      </c>
      <c r="B1556" s="17" t="n">
        <v>12259.39</v>
      </c>
      <c r="C1556" s="19" t="n">
        <f aca="false">B1556/B1555-1</f>
        <v>0.0206538670636258</v>
      </c>
      <c r="D1556" s="17" t="n">
        <f aca="false">AVERAGE(B1507:B1556)</f>
        <v>12546.507</v>
      </c>
      <c r="E1556" s="17" t="n">
        <f aca="false">AVERAGE(B1357:B1556)</f>
        <v>13774.6286</v>
      </c>
      <c r="F1556" s="17" t="n">
        <f aca="false">B1556*2/13+F1555*11/13</f>
        <v>12480.1127610288</v>
      </c>
      <c r="G1556" s="17" t="n">
        <f aca="false">B1556*2/27+G1555*25/27</f>
        <v>12655.2325656875</v>
      </c>
      <c r="H1556" s="17" t="n">
        <f aca="false">F1556-G1556</f>
        <v>-175.119804658714</v>
      </c>
      <c r="I1556" s="17" t="n">
        <f aca="false">H1556*2/10+I1555*8/10</f>
        <v>-41.4457809628205</v>
      </c>
      <c r="J1556" s="17" t="n">
        <f aca="false">H1556-I1556</f>
        <v>-133.674023695894</v>
      </c>
      <c r="K1556" s="17" t="n">
        <f aca="false">MAX(B1556-B1555,0)</f>
        <v>248.08</v>
      </c>
      <c r="L1556" s="17" t="n">
        <f aca="false">MAX(B1555-B1556,0)</f>
        <v>0</v>
      </c>
      <c r="M1556" s="17" t="n">
        <f aca="false">(M1555*13+K1556)/14</f>
        <v>65.8309658967792</v>
      </c>
      <c r="N1556" s="17" t="n">
        <f aca="false">(N1555*13+L1556)/14</f>
        <v>96.4297562629829</v>
      </c>
      <c r="O1556" s="17" t="n">
        <f aca="false">IF(N1556=0,100,100-100/(1+M1556/N1556))</f>
        <v>40.5711037277167</v>
      </c>
      <c r="P1556" s="17" t="n">
        <f aca="false">AVERAGE(B1537:B1556)+2*STDEV(B1537:B1556)</f>
        <v>14023.142590732</v>
      </c>
      <c r="Q1556" s="17" t="n">
        <f aca="false">AVERAGE(B1537:B1556)-2*STDEV(B1537:B1556)</f>
        <v>11770.864409268</v>
      </c>
      <c r="R1556" s="19" t="n">
        <f aca="false">B1556/B1536-1</f>
        <v>-0.0575622858557353</v>
      </c>
      <c r="S1556" s="17" t="n">
        <f aca="false">STDEV(C1537:C1556)*SQRT(252)*100</f>
        <v>26.6291908577782</v>
      </c>
      <c r="T1556" s="19" t="n">
        <f aca="false">B1535/B1305-1</f>
        <v>-0.157590015908225</v>
      </c>
      <c r="U1556" s="19" t="n">
        <f aca="false">B1556/MAX(B1305:B1556)-1</f>
        <v>-0.260294545336064</v>
      </c>
      <c r="V1556" s="17" t="n">
        <f aca="false">(B1556-AVERAGE(B1537:B1556))/STDEV(B1537:B1556)</f>
        <v>-1.13238853929764</v>
      </c>
    </row>
    <row r="1557" customFormat="false" ht="15" hidden="false" customHeight="false" outlineLevel="0" collapsed="false">
      <c r="A1557" s="17" t="s">
        <v>2121</v>
      </c>
      <c r="B1557" s="17" t="n">
        <v>12321.19</v>
      </c>
      <c r="C1557" s="19" t="n">
        <f aca="false">B1557/B1556-1</f>
        <v>0.0050410338524185</v>
      </c>
      <c r="D1557" s="17" t="n">
        <f aca="false">AVERAGE(B1508:B1557)</f>
        <v>12560.1754</v>
      </c>
      <c r="E1557" s="17" t="n">
        <f aca="false">AVERAGE(B1358:B1557)</f>
        <v>13753.36785</v>
      </c>
      <c r="F1557" s="17" t="n">
        <f aca="false">B1557*2/13+F1556*11/13</f>
        <v>12455.6631054859</v>
      </c>
      <c r="G1557" s="17" t="n">
        <f aca="false">B1557*2/27+G1556*25/27</f>
        <v>12630.4886719329</v>
      </c>
      <c r="H1557" s="17" t="n">
        <f aca="false">F1557-G1557</f>
        <v>-174.825566446976</v>
      </c>
      <c r="I1557" s="17" t="n">
        <f aca="false">H1557*2/10+I1556*8/10</f>
        <v>-68.1217380596517</v>
      </c>
      <c r="J1557" s="17" t="n">
        <f aca="false">H1557-I1557</f>
        <v>-106.703828387325</v>
      </c>
      <c r="K1557" s="17" t="n">
        <f aca="false">MAX(B1557-B1556,0)</f>
        <v>61.8000000000011</v>
      </c>
      <c r="L1557" s="17" t="n">
        <f aca="false">MAX(B1556-B1557,0)</f>
        <v>0</v>
      </c>
      <c r="M1557" s="17" t="n">
        <f aca="false">(M1556*13+K1557)/14</f>
        <v>65.5430397612951</v>
      </c>
      <c r="N1557" s="17" t="n">
        <f aca="false">(N1556*13+L1557)/14</f>
        <v>89.5419165299127</v>
      </c>
      <c r="O1557" s="17" t="n">
        <f aca="false">IF(N1557=0,100,100-100/(1+M1557/N1557))</f>
        <v>42.2626677201513</v>
      </c>
      <c r="P1557" s="17" t="n">
        <f aca="false">AVERAGE(B1538:B1557)+2*STDEV(B1538:B1557)</f>
        <v>13974.3932113903</v>
      </c>
      <c r="Q1557" s="17" t="n">
        <f aca="false">AVERAGE(B1538:B1557)-2*STDEV(B1538:B1557)</f>
        <v>11713.9007886097</v>
      </c>
      <c r="R1557" s="19" t="n">
        <f aca="false">B1557/B1537-1</f>
        <v>-0.0790181427862392</v>
      </c>
      <c r="S1557" s="17" t="n">
        <f aca="false">STDEV(C1538:C1557)*SQRT(252)*100</f>
        <v>24.164177203516</v>
      </c>
      <c r="T1557" s="19" t="n">
        <f aca="false">B1536/B1306-1</f>
        <v>-0.164055767444999</v>
      </c>
      <c r="U1557" s="19" t="n">
        <f aca="false">B1557/MAX(B1306:B1557)-1</f>
        <v>-0.256565665098284</v>
      </c>
      <c r="V1557" s="17" t="n">
        <f aca="false">(B1557-AVERAGE(B1538:B1557))/STDEV(B1538:B1557)</f>
        <v>-0.925385981797228</v>
      </c>
    </row>
    <row r="1558" customFormat="false" ht="15" hidden="false" customHeight="false" outlineLevel="0" collapsed="false">
      <c r="A1558" s="17" t="s">
        <v>2122</v>
      </c>
      <c r="B1558" s="17" t="n">
        <v>12588.29</v>
      </c>
      <c r="C1558" s="19" t="n">
        <f aca="false">B1558/B1557-1</f>
        <v>0.0216781008977218</v>
      </c>
      <c r="D1558" s="17" t="n">
        <f aca="false">AVERAGE(B1509:B1558)</f>
        <v>12578.776</v>
      </c>
      <c r="E1558" s="17" t="n">
        <f aca="false">AVERAGE(B1359:B1558)</f>
        <v>13734.4044</v>
      </c>
      <c r="F1558" s="17" t="n">
        <f aca="false">B1558*2/13+F1557*11/13</f>
        <v>12476.0672431034</v>
      </c>
      <c r="G1558" s="17" t="n">
        <f aca="false">B1558*2/27+G1557*25/27</f>
        <v>12627.3628443823</v>
      </c>
      <c r="H1558" s="17" t="n">
        <f aca="false">F1558-G1558</f>
        <v>-151.295601278838</v>
      </c>
      <c r="I1558" s="17" t="n">
        <f aca="false">H1558*2/10+I1557*8/10</f>
        <v>-84.7565107034889</v>
      </c>
      <c r="J1558" s="17" t="n">
        <f aca="false">H1558-I1558</f>
        <v>-66.5390905753492</v>
      </c>
      <c r="K1558" s="17" t="n">
        <f aca="false">MAX(B1558-B1557,0)</f>
        <v>267.1</v>
      </c>
      <c r="L1558" s="17" t="n">
        <f aca="false">MAX(B1557-B1558,0)</f>
        <v>0</v>
      </c>
      <c r="M1558" s="17" t="n">
        <f aca="false">(M1557*13+K1558)/14</f>
        <v>79.9399654926312</v>
      </c>
      <c r="N1558" s="17" t="n">
        <f aca="false">(N1557*13+L1558)/14</f>
        <v>83.1460653492047</v>
      </c>
      <c r="O1558" s="17" t="n">
        <f aca="false">IF(N1558=0,100,100-100/(1+M1558/N1558))</f>
        <v>49.0170525826081</v>
      </c>
      <c r="P1558" s="17" t="n">
        <f aca="false">AVERAGE(B1539:B1558)+2*STDEV(B1539:B1558)</f>
        <v>13924.2205854996</v>
      </c>
      <c r="Q1558" s="17" t="n">
        <f aca="false">AVERAGE(B1539:B1558)-2*STDEV(B1539:B1558)</f>
        <v>11693.7034145004</v>
      </c>
      <c r="R1558" s="19" t="n">
        <f aca="false">B1558/B1538-1</f>
        <v>-0.052941658848675</v>
      </c>
      <c r="S1558" s="17" t="n">
        <f aca="false">STDEV(C1539:C1558)*SQRT(252)*100</f>
        <v>25.7931509331702</v>
      </c>
      <c r="T1558" s="19" t="n">
        <f aca="false">B1537/B1307-1</f>
        <v>-0.133570584330424</v>
      </c>
      <c r="U1558" s="19" t="n">
        <f aca="false">B1558/MAX(B1307:B1558)-1</f>
        <v>-0.240449420575454</v>
      </c>
      <c r="V1558" s="17" t="n">
        <f aca="false">(B1558-AVERAGE(B1539:B1558))/STDEV(B1539:B1558)</f>
        <v>-0.395732438860623</v>
      </c>
    </row>
    <row r="1559" customFormat="false" ht="15" hidden="false" customHeight="false" outlineLevel="0" collapsed="false">
      <c r="A1559" s="17" t="s">
        <v>2123</v>
      </c>
      <c r="B1559" s="17" t="n">
        <v>12739.72</v>
      </c>
      <c r="C1559" s="19" t="n">
        <f aca="false">B1559/B1558-1</f>
        <v>0.0120294337038627</v>
      </c>
      <c r="D1559" s="17" t="n">
        <f aca="false">AVERAGE(B1510:B1559)</f>
        <v>12603.496</v>
      </c>
      <c r="E1559" s="17" t="n">
        <f aca="false">AVERAGE(B1360:B1559)</f>
        <v>13716.5694</v>
      </c>
      <c r="F1559" s="17" t="n">
        <f aca="false">B1559*2/13+F1558*11/13</f>
        <v>12516.6292057029</v>
      </c>
      <c r="G1559" s="17" t="n">
        <f aca="false">B1559*2/27+G1558*25/27</f>
        <v>12635.6855966503</v>
      </c>
      <c r="H1559" s="17" t="n">
        <f aca="false">F1559-G1559</f>
        <v>-119.056390947348</v>
      </c>
      <c r="I1559" s="17" t="n">
        <f aca="false">H1559*2/10+I1558*8/10</f>
        <v>-91.6164867522607</v>
      </c>
      <c r="J1559" s="17" t="n">
        <f aca="false">H1559-I1559</f>
        <v>-27.4399041950869</v>
      </c>
      <c r="K1559" s="17" t="n">
        <f aca="false">MAX(B1559-B1558,0)</f>
        <v>151.429999999998</v>
      </c>
      <c r="L1559" s="17" t="n">
        <f aca="false">MAX(B1558-B1559,0)</f>
        <v>0</v>
      </c>
      <c r="M1559" s="17" t="n">
        <f aca="false">(M1558*13+K1559)/14</f>
        <v>85.0463965288717</v>
      </c>
      <c r="N1559" s="17" t="n">
        <f aca="false">(N1558*13+L1559)/14</f>
        <v>77.2070606814043</v>
      </c>
      <c r="O1559" s="17" t="n">
        <f aca="false">IF(N1559=0,100,100-100/(1+M1559/N1559))</f>
        <v>52.4157685088053</v>
      </c>
      <c r="P1559" s="17" t="n">
        <f aca="false">AVERAGE(B1540:B1559)+2*STDEV(B1540:B1559)</f>
        <v>13824.5433481611</v>
      </c>
      <c r="Q1559" s="17" t="n">
        <f aca="false">AVERAGE(B1540:B1559)-2*STDEV(B1540:B1559)</f>
        <v>11710.7656518389</v>
      </c>
      <c r="R1559" s="19" t="n">
        <f aca="false">B1559/B1539-1</f>
        <v>-0.0608991535375174</v>
      </c>
      <c r="S1559" s="17" t="n">
        <f aca="false">STDEV(C1540:C1559)*SQRT(252)*100</f>
        <v>24.935724555766</v>
      </c>
      <c r="T1559" s="19" t="n">
        <f aca="false">B1538/B1308-1</f>
        <v>-0.138813048689624</v>
      </c>
      <c r="U1559" s="19" t="n">
        <f aca="false">B1559/MAX(B1308:B1559)-1</f>
        <v>-0.231312457235536</v>
      </c>
      <c r="V1559" s="17" t="n">
        <f aca="false">(B1559-AVERAGE(B1540:B1559))/STDEV(B1540:B1559)</f>
        <v>-0.0528617556114894</v>
      </c>
    </row>
    <row r="1560" customFormat="false" ht="15" hidden="false" customHeight="false" outlineLevel="0" collapsed="false">
      <c r="A1560" s="17" t="s">
        <v>2124</v>
      </c>
      <c r="B1560" s="17" t="n">
        <v>12033.62</v>
      </c>
      <c r="C1560" s="19" t="n">
        <f aca="false">B1560/B1559-1</f>
        <v>-0.0554250799860593</v>
      </c>
      <c r="D1560" s="17" t="n">
        <f aca="false">AVERAGE(B1511:B1560)</f>
        <v>12612.4548</v>
      </c>
      <c r="E1560" s="17" t="n">
        <f aca="false">AVERAGE(B1361:B1560)</f>
        <v>13694.89845</v>
      </c>
      <c r="F1560" s="17" t="n">
        <f aca="false">B1560*2/13+F1559*11/13</f>
        <v>12442.3200971332</v>
      </c>
      <c r="G1560" s="17" t="n">
        <f aca="false">B1560*2/27+G1559*25/27</f>
        <v>12591.0881450465</v>
      </c>
      <c r="H1560" s="17" t="n">
        <f aca="false">F1560-G1560</f>
        <v>-148.768047913303</v>
      </c>
      <c r="I1560" s="17" t="n">
        <f aca="false">H1560*2/10+I1559*8/10</f>
        <v>-103.046798984469</v>
      </c>
      <c r="J1560" s="17" t="n">
        <f aca="false">H1560-I1560</f>
        <v>-45.7212489288341</v>
      </c>
      <c r="K1560" s="17" t="n">
        <f aca="false">MAX(B1560-B1559,0)</f>
        <v>0</v>
      </c>
      <c r="L1560" s="17" t="n">
        <f aca="false">MAX(B1559-B1560,0)</f>
        <v>706.099999999999</v>
      </c>
      <c r="M1560" s="17" t="n">
        <f aca="false">(M1559*13+K1560)/14</f>
        <v>78.9716539196666</v>
      </c>
      <c r="N1560" s="17" t="n">
        <f aca="false">(N1559*13+L1560)/14</f>
        <v>122.127984918447</v>
      </c>
      <c r="O1560" s="17" t="n">
        <f aca="false">IF(N1560=0,100,100-100/(1+M1560/N1560))</f>
        <v>39.2699133503861</v>
      </c>
      <c r="P1560" s="17" t="n">
        <f aca="false">AVERAGE(B1541:B1560)+2*STDEV(B1541:B1560)</f>
        <v>13701.8558220763</v>
      </c>
      <c r="Q1560" s="17" t="n">
        <f aca="false">AVERAGE(B1541:B1560)-2*STDEV(B1541:B1560)</f>
        <v>11670.0971779238</v>
      </c>
      <c r="R1560" s="19" t="n">
        <f aca="false">B1560/B1540-1</f>
        <v>-0.119524291038824</v>
      </c>
      <c r="S1560" s="17" t="n">
        <f aca="false">STDEV(C1541:C1560)*SQRT(252)*100</f>
        <v>30.7447397283172</v>
      </c>
      <c r="T1560" s="19" t="n">
        <f aca="false">B1539/B1309-1</f>
        <v>-0.118120120393424</v>
      </c>
      <c r="U1560" s="19" t="n">
        <f aca="false">B1560/MAX(B1309:B1560)-1</f>
        <v>-0.273917025777544</v>
      </c>
      <c r="V1560" s="17" t="n">
        <f aca="false">(B1560-AVERAGE(B1541:B1560))/STDEV(B1541:B1560)</f>
        <v>-1.2843188867487</v>
      </c>
    </row>
    <row r="1561" customFormat="false" ht="15" hidden="false" customHeight="false" outlineLevel="0" collapsed="false">
      <c r="A1561" s="17" t="s">
        <v>2125</v>
      </c>
      <c r="B1561" s="17" t="n">
        <v>12134.4</v>
      </c>
      <c r="C1561" s="19" t="n">
        <f aca="false">B1561/B1560-1</f>
        <v>0.00837486973994506</v>
      </c>
      <c r="D1561" s="17" t="n">
        <f aca="false">AVERAGE(B1512:B1561)</f>
        <v>12619.5448</v>
      </c>
      <c r="E1561" s="17" t="n">
        <f aca="false">AVERAGE(B1362:B1561)</f>
        <v>13675.44255</v>
      </c>
      <c r="F1561" s="17" t="n">
        <f aca="false">B1561*2/13+F1560*11/13</f>
        <v>12394.9477744974</v>
      </c>
      <c r="G1561" s="17" t="n">
        <f aca="false">B1561*2/27+G1560*25/27</f>
        <v>12557.2593935616</v>
      </c>
      <c r="H1561" s="17" t="n">
        <f aca="false">F1561-G1561</f>
        <v>-162.31161906426</v>
      </c>
      <c r="I1561" s="17" t="n">
        <f aca="false">H1561*2/10+I1560*8/10</f>
        <v>-114.899763000427</v>
      </c>
      <c r="J1561" s="17" t="n">
        <f aca="false">H1561-I1561</f>
        <v>-47.4118560638323</v>
      </c>
      <c r="K1561" s="17" t="n">
        <f aca="false">MAX(B1561-B1560,0)</f>
        <v>100.779999999999</v>
      </c>
      <c r="L1561" s="17" t="n">
        <f aca="false">MAX(B1560-B1561,0)</f>
        <v>0</v>
      </c>
      <c r="M1561" s="17" t="n">
        <f aca="false">(M1560*13+K1561)/14</f>
        <v>80.5293929254046</v>
      </c>
      <c r="N1561" s="17" t="n">
        <f aca="false">(N1560*13+L1561)/14</f>
        <v>113.404557424272</v>
      </c>
      <c r="O1561" s="17" t="n">
        <f aca="false">IF(N1561=0,100,100-100/(1+M1561/N1561))</f>
        <v>41.5241337477035</v>
      </c>
      <c r="P1561" s="17" t="n">
        <f aca="false">AVERAGE(B1542:B1561)+2*STDEV(B1542:B1561)</f>
        <v>13550.4344273122</v>
      </c>
      <c r="Q1561" s="17" t="n">
        <f aca="false">AVERAGE(B1542:B1561)-2*STDEV(B1542:B1561)</f>
        <v>11671.4375726878</v>
      </c>
      <c r="R1561" s="19" t="n">
        <f aca="false">B1561/B1541-1</f>
        <v>-0.110068711813019</v>
      </c>
      <c r="S1561" s="17" t="n">
        <f aca="false">STDEV(C1542:C1561)*SQRT(252)*100</f>
        <v>31.1539835974532</v>
      </c>
      <c r="T1561" s="19" t="n">
        <f aca="false">B1540/B1310-1</f>
        <v>-0.118447218149673</v>
      </c>
      <c r="U1561" s="19" t="n">
        <f aca="false">B1561/MAX(B1310:B1561)-1</f>
        <v>-0.267836175448039</v>
      </c>
      <c r="V1561" s="17" t="n">
        <f aca="false">(B1561-AVERAGE(B1542:B1561))/STDEV(B1542:B1561)</f>
        <v>-1.01444768005267</v>
      </c>
    </row>
    <row r="1562" customFormat="false" ht="15" hidden="false" customHeight="false" outlineLevel="0" collapsed="false">
      <c r="A1562" s="17" t="s">
        <v>2126</v>
      </c>
      <c r="B1562" s="17" t="n">
        <v>11927.49</v>
      </c>
      <c r="C1562" s="19" t="n">
        <f aca="false">B1562/B1561-1</f>
        <v>-0.0170515229430379</v>
      </c>
      <c r="D1562" s="17" t="n">
        <f aca="false">AVERAGE(B1513:B1562)</f>
        <v>12621.0428</v>
      </c>
      <c r="E1562" s="17" t="n">
        <f aca="false">AVERAGE(B1363:B1562)</f>
        <v>13653.0838</v>
      </c>
      <c r="F1562" s="17" t="n">
        <f aca="false">B1562*2/13+F1561*11/13</f>
        <v>12323.0311938055</v>
      </c>
      <c r="G1562" s="17" t="n">
        <f aca="false">B1562*2/27+G1561*25/27</f>
        <v>12510.6098088533</v>
      </c>
      <c r="H1562" s="17" t="n">
        <f aca="false">F1562-G1562</f>
        <v>-187.578615047889</v>
      </c>
      <c r="I1562" s="17" t="n">
        <f aca="false">H1562*2/10+I1561*8/10</f>
        <v>-129.43553340992</v>
      </c>
      <c r="J1562" s="17" t="n">
        <f aca="false">H1562-I1562</f>
        <v>-58.1430816379693</v>
      </c>
      <c r="K1562" s="17" t="n">
        <f aca="false">MAX(B1562-B1561,0)</f>
        <v>0</v>
      </c>
      <c r="L1562" s="17" t="n">
        <f aca="false">MAX(B1561-B1562,0)</f>
        <v>206.91</v>
      </c>
      <c r="M1562" s="17" t="n">
        <f aca="false">(M1561*13+K1562)/14</f>
        <v>74.7772934307328</v>
      </c>
      <c r="N1562" s="17" t="n">
        <f aca="false">(N1561*13+L1562)/14</f>
        <v>120.083517608253</v>
      </c>
      <c r="O1562" s="17" t="n">
        <f aca="false">IF(N1562=0,100,100-100/(1+M1562/N1562))</f>
        <v>38.3747214393829</v>
      </c>
      <c r="P1562" s="17" t="n">
        <f aca="false">AVERAGE(B1543:B1562)+2*STDEV(B1543:B1562)</f>
        <v>13428.3302278968</v>
      </c>
      <c r="Q1562" s="17" t="n">
        <f aca="false">AVERAGE(B1543:B1562)-2*STDEV(B1543:B1562)</f>
        <v>11639.2047721032</v>
      </c>
      <c r="R1562" s="19" t="n">
        <f aca="false">B1562/B1542-1</f>
        <v>-0.114571007344743</v>
      </c>
      <c r="S1562" s="17" t="n">
        <f aca="false">STDEV(C1543:C1562)*SQRT(252)*100</f>
        <v>31.3406761974517</v>
      </c>
      <c r="T1562" s="19" t="n">
        <f aca="false">B1541/B1311-1</f>
        <v>-0.121211066576179</v>
      </c>
      <c r="U1562" s="19" t="n">
        <f aca="false">B1562/MAX(B1311:B1562)-1</f>
        <v>-0.280320683700449</v>
      </c>
      <c r="V1562" s="17" t="n">
        <f aca="false">(B1562-AVERAGE(B1543:B1562))/STDEV(B1543:B1562)</f>
        <v>-1.35547230192663</v>
      </c>
    </row>
    <row r="1563" customFormat="false" ht="15" hidden="false" customHeight="false" outlineLevel="0" collapsed="false">
      <c r="A1563" s="17" t="s">
        <v>2127</v>
      </c>
      <c r="B1563" s="17" t="n">
        <v>11861.38</v>
      </c>
      <c r="C1563" s="19" t="n">
        <f aca="false">B1563/B1562-1</f>
        <v>-0.00554265817871158</v>
      </c>
      <c r="D1563" s="17" t="n">
        <f aca="false">AVERAGE(B1514:B1563)</f>
        <v>12616.0894</v>
      </c>
      <c r="E1563" s="17" t="n">
        <f aca="false">AVERAGE(B1364:B1563)</f>
        <v>13631.7111</v>
      </c>
      <c r="F1563" s="17" t="n">
        <f aca="false">B1563*2/13+F1562*11/13</f>
        <v>12252.00793322</v>
      </c>
      <c r="G1563" s="17" t="n">
        <f aca="false">B1563*2/27+G1562*25/27</f>
        <v>12462.5187119012</v>
      </c>
      <c r="H1563" s="17" t="n">
        <f aca="false">F1563-G1563</f>
        <v>-210.510778681242</v>
      </c>
      <c r="I1563" s="17" t="n">
        <f aca="false">H1563*2/10+I1562*8/10</f>
        <v>-145.650582464184</v>
      </c>
      <c r="J1563" s="17" t="n">
        <f aca="false">H1563-I1563</f>
        <v>-64.8601962170582</v>
      </c>
      <c r="K1563" s="17" t="n">
        <f aca="false">MAX(B1563-B1562,0)</f>
        <v>0</v>
      </c>
      <c r="L1563" s="17" t="n">
        <f aca="false">MAX(B1562-B1563,0)</f>
        <v>66.1100000000006</v>
      </c>
      <c r="M1563" s="17" t="n">
        <f aca="false">(M1562*13+K1563)/14</f>
        <v>69.4360581856805</v>
      </c>
      <c r="N1563" s="17" t="n">
        <f aca="false">(N1562*13+L1563)/14</f>
        <v>116.22826635052</v>
      </c>
      <c r="O1563" s="17" t="n">
        <f aca="false">IF(N1563=0,100,100-100/(1+M1563/N1563))</f>
        <v>37.3987077803641</v>
      </c>
      <c r="P1563" s="17" t="n">
        <f aca="false">AVERAGE(B1544:B1563)+2*STDEV(B1544:B1563)</f>
        <v>13268.8242986089</v>
      </c>
      <c r="Q1563" s="17" t="n">
        <f aca="false">AVERAGE(B1544:B1563)-2*STDEV(B1544:B1563)</f>
        <v>11634.2497013911</v>
      </c>
      <c r="R1563" s="19" t="n">
        <f aca="false">B1563/B1543-1</f>
        <v>-0.121768933636113</v>
      </c>
      <c r="S1563" s="17" t="n">
        <f aca="false">STDEV(C1544:C1563)*SQRT(252)*100</f>
        <v>31.1811303363745</v>
      </c>
      <c r="T1563" s="19" t="n">
        <f aca="false">B1542/B1312-1</f>
        <v>-0.12147348251896</v>
      </c>
      <c r="U1563" s="19" t="n">
        <f aca="false">B1563/MAX(B1312:B1563)-1</f>
        <v>-0.284309620148986</v>
      </c>
      <c r="V1563" s="17" t="n">
        <f aca="false">(B1563-AVERAGE(B1544:B1563))/STDEV(B1544:B1563)</f>
        <v>-1.44418492983932</v>
      </c>
    </row>
    <row r="1564" customFormat="false" ht="15" hidden="false" customHeight="false" outlineLevel="0" collapsed="false">
      <c r="A1564" s="17" t="s">
        <v>2128</v>
      </c>
      <c r="B1564" s="17" t="n">
        <v>11953.27</v>
      </c>
      <c r="C1564" s="19" t="n">
        <f aca="false">B1564/B1563-1</f>
        <v>0.00774699065370155</v>
      </c>
      <c r="D1564" s="17" t="n">
        <f aca="false">AVERAGE(B1515:B1564)</f>
        <v>12612.641</v>
      </c>
      <c r="E1564" s="17" t="n">
        <f aca="false">AVERAGE(B1365:B1564)</f>
        <v>13612.08885</v>
      </c>
      <c r="F1564" s="17" t="n">
        <f aca="false">B1564*2/13+F1563*11/13</f>
        <v>12206.0482511862</v>
      </c>
      <c r="G1564" s="17" t="n">
        <f aca="false">B1564*2/27+G1563*25/27</f>
        <v>12424.7965850937</v>
      </c>
      <c r="H1564" s="17" t="n">
        <f aca="false">F1564-G1564</f>
        <v>-218.74833390759</v>
      </c>
      <c r="I1564" s="17" t="n">
        <f aca="false">H1564*2/10+I1563*8/10</f>
        <v>-160.270132752865</v>
      </c>
      <c r="J1564" s="17" t="n">
        <f aca="false">H1564-I1564</f>
        <v>-58.4782011547245</v>
      </c>
      <c r="K1564" s="17" t="n">
        <f aca="false">MAX(B1564-B1563,0)</f>
        <v>91.8900000000012</v>
      </c>
      <c r="L1564" s="17" t="n">
        <f aca="false">MAX(B1563-B1564,0)</f>
        <v>0</v>
      </c>
      <c r="M1564" s="17" t="n">
        <f aca="false">(M1563*13+K1564)/14</f>
        <v>71.0399111724177</v>
      </c>
      <c r="N1564" s="17" t="n">
        <f aca="false">(N1563*13+L1564)/14</f>
        <v>107.926247325483</v>
      </c>
      <c r="O1564" s="17" t="n">
        <f aca="false">IF(N1564=0,100,100-100/(1+M1564/N1564))</f>
        <v>39.6946058230618</v>
      </c>
      <c r="P1564" s="17" t="n">
        <f aca="false">AVERAGE(B1545:B1564)+2*STDEV(B1545:B1564)</f>
        <v>13142.6187738692</v>
      </c>
      <c r="Q1564" s="17" t="n">
        <f aca="false">AVERAGE(B1545:B1564)-2*STDEV(B1545:B1564)</f>
        <v>11631.4922261308</v>
      </c>
      <c r="R1564" s="19" t="n">
        <f aca="false">B1564/B1544-1</f>
        <v>-0.0973827484916445</v>
      </c>
      <c r="S1564" s="17" t="n">
        <f aca="false">STDEV(C1545:C1564)*SQRT(252)*100</f>
        <v>31.1507745023314</v>
      </c>
      <c r="T1564" s="19" t="n">
        <f aca="false">B1543/B1313-1</f>
        <v>-0.100331797026283</v>
      </c>
      <c r="U1564" s="19" t="n">
        <f aca="false">B1564/MAX(B1313:B1564)-1</f>
        <v>-0.278765173465336</v>
      </c>
      <c r="V1564" s="17" t="n">
        <f aca="false">(B1564-AVERAGE(B1545:B1564))/STDEV(B1545:B1564)</f>
        <v>-1.14824400550489</v>
      </c>
    </row>
    <row r="1565" customFormat="false" ht="15" hidden="false" customHeight="false" outlineLevel="0" collapsed="false">
      <c r="A1565" s="17" t="s">
        <v>2129</v>
      </c>
      <c r="B1565" s="17" t="n">
        <v>11851.54</v>
      </c>
      <c r="C1565" s="19" t="n">
        <f aca="false">B1565/B1564-1</f>
        <v>-0.00851064185783468</v>
      </c>
      <c r="D1565" s="17" t="n">
        <f aca="false">AVERAGE(B1516:B1565)</f>
        <v>12612.4662</v>
      </c>
      <c r="E1565" s="17" t="n">
        <f aca="false">AVERAGE(B1366:B1565)</f>
        <v>13591.39275</v>
      </c>
      <c r="F1565" s="17" t="n">
        <f aca="false">B1565*2/13+F1564*11/13</f>
        <v>12151.5085202344</v>
      </c>
      <c r="G1565" s="17" t="n">
        <f aca="false">B1565*2/27+G1564*25/27</f>
        <v>12382.3331343461</v>
      </c>
      <c r="H1565" s="17" t="n">
        <f aca="false">F1565-G1565</f>
        <v>-230.824614111622</v>
      </c>
      <c r="I1565" s="17" t="n">
        <f aca="false">H1565*2/10+I1564*8/10</f>
        <v>-174.381029024617</v>
      </c>
      <c r="J1565" s="17" t="n">
        <f aca="false">H1565-I1565</f>
        <v>-56.443585087005</v>
      </c>
      <c r="K1565" s="17" t="n">
        <f aca="false">MAX(B1565-B1564,0)</f>
        <v>0</v>
      </c>
      <c r="L1565" s="17" t="n">
        <f aca="false">MAX(B1564-B1565,0)</f>
        <v>101.73</v>
      </c>
      <c r="M1565" s="17" t="n">
        <f aca="false">(M1564*13+K1565)/14</f>
        <v>65.9656318029593</v>
      </c>
      <c r="N1565" s="17" t="n">
        <f aca="false">(N1564*13+L1565)/14</f>
        <v>107.483658230806</v>
      </c>
      <c r="O1565" s="17" t="n">
        <f aca="false">IF(N1565=0,100,100-100/(1+M1565/N1565))</f>
        <v>38.0316528191715</v>
      </c>
      <c r="P1565" s="17" t="n">
        <f aca="false">AVERAGE(B1546:B1565)+2*STDEV(B1546:B1565)</f>
        <v>13087.7799592864</v>
      </c>
      <c r="Q1565" s="17" t="n">
        <f aca="false">AVERAGE(B1546:B1565)-2*STDEV(B1546:B1565)</f>
        <v>11582.4310407136</v>
      </c>
      <c r="R1565" s="19" t="n">
        <f aca="false">B1565/B1545-1</f>
        <v>-0.0806017436042245</v>
      </c>
      <c r="S1565" s="17" t="n">
        <f aca="false">STDEV(C1546:C1565)*SQRT(252)*100</f>
        <v>30.1254622970143</v>
      </c>
      <c r="T1565" s="19" t="n">
        <f aca="false">B1544/B1314-1</f>
        <v>-0.118771447792986</v>
      </c>
      <c r="U1565" s="19" t="n">
        <f aca="false">B1565/MAX(B1314:B1565)-1</f>
        <v>-0.284903344769371</v>
      </c>
      <c r="V1565" s="17" t="n">
        <f aca="false">(B1565-AVERAGE(B1546:B1565))/STDEV(B1546:B1565)</f>
        <v>-1.28492602355193</v>
      </c>
    </row>
    <row r="1566" customFormat="false" ht="15" hidden="false" customHeight="false" outlineLevel="0" collapsed="false">
      <c r="A1566" s="17" t="s">
        <v>2130</v>
      </c>
      <c r="B1566" s="17" t="n">
        <v>11637.79</v>
      </c>
      <c r="C1566" s="19" t="n">
        <f aca="false">B1566/B1565-1</f>
        <v>-0.0180356308125358</v>
      </c>
      <c r="D1566" s="17" t="n">
        <f aca="false">AVERAGE(B1517:B1566)</f>
        <v>12610.3222</v>
      </c>
      <c r="E1566" s="17" t="n">
        <f aca="false">AVERAGE(B1367:B1566)</f>
        <v>13571.0215</v>
      </c>
      <c r="F1566" s="17" t="n">
        <f aca="false">B1566*2/13+F1565*11/13</f>
        <v>12072.4749017368</v>
      </c>
      <c r="G1566" s="17" t="n">
        <f aca="false">B1566*2/27+G1565*25/27</f>
        <v>12327.1817910612</v>
      </c>
      <c r="H1566" s="17" t="n">
        <f aca="false">F1566-G1566</f>
        <v>-254.706889324334</v>
      </c>
      <c r="I1566" s="17" t="n">
        <f aca="false">H1566*2/10+I1565*8/10</f>
        <v>-190.44620108456</v>
      </c>
      <c r="J1566" s="17" t="n">
        <f aca="false">H1566-I1566</f>
        <v>-64.260688239774</v>
      </c>
      <c r="K1566" s="17" t="n">
        <f aca="false">MAX(B1566-B1565,0)</f>
        <v>0</v>
      </c>
      <c r="L1566" s="17" t="n">
        <f aca="false">MAX(B1565-B1566,0)</f>
        <v>213.75</v>
      </c>
      <c r="M1566" s="17" t="n">
        <f aca="false">(M1565*13+K1566)/14</f>
        <v>61.2538009598908</v>
      </c>
      <c r="N1566" s="17" t="n">
        <f aca="false">(N1565*13+L1566)/14</f>
        <v>115.07411121432</v>
      </c>
      <c r="O1566" s="17" t="n">
        <f aca="false">IF(N1566=0,100,100-100/(1+M1566/N1566))</f>
        <v>34.738573266479</v>
      </c>
      <c r="P1566" s="17" t="n">
        <f aca="false">AVERAGE(B1547:B1566)+2*STDEV(B1547:B1566)</f>
        <v>13040.8107383828</v>
      </c>
      <c r="Q1566" s="17" t="n">
        <f aca="false">AVERAGE(B1547:B1566)-2*STDEV(B1547:B1566)</f>
        <v>11505.0002616172</v>
      </c>
      <c r="R1566" s="19" t="n">
        <f aca="false">B1566/B1546-1</f>
        <v>-0.0965704300411666</v>
      </c>
      <c r="S1566" s="17" t="n">
        <f aca="false">STDEV(C1547:C1566)*SQRT(252)*100</f>
        <v>30.4979434569512</v>
      </c>
      <c r="T1566" s="19" t="n">
        <f aca="false">B1545/B1315-1</f>
        <v>-0.150625539073212</v>
      </c>
      <c r="U1566" s="19" t="n">
        <f aca="false">B1566/MAX(B1315:B1566)-1</f>
        <v>-0.297800564038389</v>
      </c>
      <c r="V1566" s="17" t="n">
        <f aca="false">(B1566-AVERAGE(B1547:B1566))/STDEV(B1547:B1566)</f>
        <v>-1.6541507161418</v>
      </c>
    </row>
    <row r="1567" customFormat="false" ht="15" hidden="false" customHeight="false" outlineLevel="0" collapsed="false">
      <c r="A1567" s="17" t="s">
        <v>2131</v>
      </c>
      <c r="B1567" s="17" t="n">
        <v>11501.65</v>
      </c>
      <c r="C1567" s="19" t="n">
        <f aca="false">B1567/B1566-1</f>
        <v>-0.0116980973191646</v>
      </c>
      <c r="D1567" s="17" t="n">
        <f aca="false">AVERAGE(B1518:B1567)</f>
        <v>12605.7846</v>
      </c>
      <c r="E1567" s="17" t="n">
        <f aca="false">AVERAGE(B1368:B1567)</f>
        <v>13549.29895</v>
      </c>
      <c r="F1567" s="17" t="n">
        <f aca="false">B1567*2/13+F1566*11/13</f>
        <v>11984.655686085</v>
      </c>
      <c r="G1567" s="17" t="n">
        <f aca="false">B1567*2/27+G1566*25/27</f>
        <v>12266.0312880196</v>
      </c>
      <c r="H1567" s="17" t="n">
        <f aca="false">F1567-G1567</f>
        <v>-281.375601934587</v>
      </c>
      <c r="I1567" s="17" t="n">
        <f aca="false">H1567*2/10+I1566*8/10</f>
        <v>-208.632081254566</v>
      </c>
      <c r="J1567" s="17" t="n">
        <f aca="false">H1567-I1567</f>
        <v>-72.7435206800219</v>
      </c>
      <c r="K1567" s="17" t="n">
        <f aca="false">MAX(B1567-B1566,0)</f>
        <v>0</v>
      </c>
      <c r="L1567" s="17" t="n">
        <f aca="false">MAX(B1566-B1567,0)</f>
        <v>136.140000000001</v>
      </c>
      <c r="M1567" s="17" t="n">
        <f aca="false">(M1566*13+K1567)/14</f>
        <v>56.8785294627557</v>
      </c>
      <c r="N1567" s="17" t="n">
        <f aca="false">(N1566*13+L1567)/14</f>
        <v>116.578817556154</v>
      </c>
      <c r="O1567" s="17" t="n">
        <f aca="false">IF(N1567=0,100,100-100/(1+M1567/N1567))</f>
        <v>32.7910754086162</v>
      </c>
      <c r="P1567" s="17" t="n">
        <f aca="false">AVERAGE(B1548:B1567)+2*STDEV(B1548:B1567)</f>
        <v>12980.6981842378</v>
      </c>
      <c r="Q1567" s="17" t="n">
        <f aca="false">AVERAGE(B1548:B1567)-2*STDEV(B1548:B1567)</f>
        <v>11423.4918157622</v>
      </c>
      <c r="R1567" s="19" t="n">
        <f aca="false">B1567/B1547-1</f>
        <v>-0.109631935939854</v>
      </c>
      <c r="S1567" s="17" t="n">
        <f aca="false">STDEV(C1548:C1567)*SQRT(252)*100</f>
        <v>30.447457978109</v>
      </c>
      <c r="T1567" s="19" t="n">
        <f aca="false">B1546/B1316-1</f>
        <v>-0.158964337991902</v>
      </c>
      <c r="U1567" s="19" t="n">
        <f aca="false">B1567/MAX(B1316:B1567)-1</f>
        <v>-0.306014961377731</v>
      </c>
      <c r="V1567" s="17" t="n">
        <f aca="false">(B1567-AVERAGE(B1548:B1567))/STDEV(B1548:B1567)</f>
        <v>-1.79923487131812</v>
      </c>
    </row>
    <row r="1568" customFormat="false" ht="15" hidden="false" customHeight="false" outlineLevel="0" collapsed="false">
      <c r="A1568" s="17" t="s">
        <v>2132</v>
      </c>
      <c r="B1568" s="17" t="n">
        <v>11311.24</v>
      </c>
      <c r="C1568" s="19" t="n">
        <f aca="false">B1568/B1567-1</f>
        <v>-0.0165550160194407</v>
      </c>
      <c r="D1568" s="17" t="n">
        <f aca="false">AVERAGE(B1519:B1568)</f>
        <v>12596.6414</v>
      </c>
      <c r="E1568" s="17" t="n">
        <f aca="false">AVERAGE(B1369:B1568)</f>
        <v>13524.22685</v>
      </c>
      <c r="F1568" s="17" t="n">
        <f aca="false">B1568*2/13+F1567*11/13</f>
        <v>11881.0532728412</v>
      </c>
      <c r="G1568" s="17" t="n">
        <f aca="false">B1568*2/27+G1567*25/27</f>
        <v>12195.3060074256</v>
      </c>
      <c r="H1568" s="17" t="n">
        <f aca="false">F1568-G1568</f>
        <v>-314.25273458439</v>
      </c>
      <c r="I1568" s="17" t="n">
        <f aca="false">H1568*2/10+I1567*8/10</f>
        <v>-229.75621192053</v>
      </c>
      <c r="J1568" s="17" t="n">
        <f aca="false">H1568-I1568</f>
        <v>-84.4965226638597</v>
      </c>
      <c r="K1568" s="17" t="n">
        <f aca="false">MAX(B1568-B1567,0)</f>
        <v>0</v>
      </c>
      <c r="L1568" s="17" t="n">
        <f aca="false">MAX(B1567-B1568,0)</f>
        <v>190.41</v>
      </c>
      <c r="M1568" s="17" t="n">
        <f aca="false">(M1567*13+K1568)/14</f>
        <v>52.8157773582732</v>
      </c>
      <c r="N1568" s="17" t="n">
        <f aca="false">(N1567*13+L1568)/14</f>
        <v>121.852473445</v>
      </c>
      <c r="O1568" s="17" t="n">
        <f aca="false">IF(N1568=0,100,100-100/(1+M1568/N1568))</f>
        <v>30.237766231345</v>
      </c>
      <c r="P1568" s="17" t="n">
        <f aca="false">AVERAGE(B1549:B1568)+2*STDEV(B1549:B1568)</f>
        <v>12853.0076726192</v>
      </c>
      <c r="Q1568" s="17" t="n">
        <f aca="false">AVERAGE(B1549:B1568)-2*STDEV(B1549:B1568)</f>
        <v>11367.9483273808</v>
      </c>
      <c r="R1568" s="19" t="n">
        <f aca="false">B1568/B1548-1</f>
        <v>-0.139409506390192</v>
      </c>
      <c r="S1568" s="17" t="n">
        <f aca="false">STDEV(C1549:C1568)*SQRT(252)*100</f>
        <v>29.4035896887992</v>
      </c>
      <c r="T1568" s="19" t="n">
        <f aca="false">B1547/B1317-1</f>
        <v>-0.157330094300729</v>
      </c>
      <c r="U1568" s="19" t="n">
        <f aca="false">B1568/MAX(B1317:B1568)-1</f>
        <v>-0.317503894809375</v>
      </c>
      <c r="V1568" s="17" t="n">
        <f aca="false">(B1568-AVERAGE(B1549:B1568))/STDEV(B1549:B1568)</f>
        <v>-2.15274359927126</v>
      </c>
    </row>
    <row r="1569" customFormat="false" ht="15" hidden="false" customHeight="false" outlineLevel="0" collapsed="false">
      <c r="A1569" s="17" t="s">
        <v>2133</v>
      </c>
      <c r="B1569" s="17" t="n">
        <v>11254.11</v>
      </c>
      <c r="C1569" s="19" t="n">
        <f aca="false">B1569/B1568-1</f>
        <v>-0.00505072830211362</v>
      </c>
      <c r="D1569" s="17" t="n">
        <f aca="false">AVERAGE(B1520:B1569)</f>
        <v>12582.0512</v>
      </c>
      <c r="E1569" s="17" t="n">
        <f aca="false">AVERAGE(B1370:B1569)</f>
        <v>13498.5257</v>
      </c>
      <c r="F1569" s="17" t="n">
        <f aca="false">B1569*2/13+F1568*11/13</f>
        <v>11784.6004616348</v>
      </c>
      <c r="G1569" s="17" t="n">
        <f aca="false">B1569*2/27+G1568*25/27</f>
        <v>12125.5877846533</v>
      </c>
      <c r="H1569" s="17" t="n">
        <f aca="false">F1569-G1569</f>
        <v>-340.98732301846</v>
      </c>
      <c r="I1569" s="17" t="n">
        <f aca="false">H1569*2/10+I1568*8/10</f>
        <v>-252.002434140116</v>
      </c>
      <c r="J1569" s="17" t="n">
        <f aca="false">H1569-I1569</f>
        <v>-88.9848888783439</v>
      </c>
      <c r="K1569" s="17" t="n">
        <f aca="false">MAX(B1569-B1568,0)</f>
        <v>0</v>
      </c>
      <c r="L1569" s="17" t="n">
        <f aca="false">MAX(B1568-B1569,0)</f>
        <v>57.1299999999992</v>
      </c>
      <c r="M1569" s="17" t="n">
        <f aca="false">(M1568*13+K1569)/14</f>
        <v>49.0432218326822</v>
      </c>
      <c r="N1569" s="17" t="n">
        <f aca="false">(N1568*13+L1569)/14</f>
        <v>117.2294396275</v>
      </c>
      <c r="O1569" s="17" t="n">
        <f aca="false">IF(N1569=0,100,100-100/(1+M1569/N1569))</f>
        <v>29.495661765435</v>
      </c>
      <c r="P1569" s="17" t="n">
        <f aca="false">AVERAGE(B1550:B1569)+2*STDEV(B1550:B1569)</f>
        <v>12839.7993961385</v>
      </c>
      <c r="Q1569" s="17" t="n">
        <f aca="false">AVERAGE(B1550:B1569)-2*STDEV(B1550:B1569)</f>
        <v>11246.0506038615</v>
      </c>
      <c r="R1569" s="19" t="n">
        <f aca="false">B1569/B1549-1</f>
        <v>-0.107183005068555</v>
      </c>
      <c r="S1569" s="17" t="n">
        <f aca="false">STDEV(C1550:C1569)*SQRT(252)*100</f>
        <v>26.5802195970352</v>
      </c>
      <c r="T1569" s="19" t="n">
        <f aca="false">B1548/B1318-1</f>
        <v>-0.135564906391526</v>
      </c>
      <c r="U1569" s="19" t="n">
        <f aca="false">B1569/MAX(B1318:B1569)-1</f>
        <v>-0.320950997203943</v>
      </c>
      <c r="V1569" s="17" t="n">
        <f aca="false">(B1569-AVERAGE(B1550:B1569))/STDEV(B1550:B1569)</f>
        <v>-1.97977248063804</v>
      </c>
    </row>
    <row r="1570" customFormat="false" ht="15" hidden="false" customHeight="false" outlineLevel="0" collapsed="false">
      <c r="A1570" s="17" t="s">
        <v>2134</v>
      </c>
      <c r="B1570" s="17" t="n">
        <v>11271.75</v>
      </c>
      <c r="C1570" s="19" t="n">
        <f aca="false">B1570/B1569-1</f>
        <v>0.00156742736653537</v>
      </c>
      <c r="D1570" s="17" t="n">
        <f aca="false">AVERAGE(B1521:B1570)</f>
        <v>12569.9362</v>
      </c>
      <c r="E1570" s="17" t="n">
        <f aca="false">AVERAGE(B1371:B1570)</f>
        <v>13474.1366</v>
      </c>
      <c r="F1570" s="17" t="n">
        <f aca="false">B1570*2/13+F1569*11/13</f>
        <v>11705.7003906141</v>
      </c>
      <c r="G1570" s="17" t="n">
        <f aca="false">B1570*2/27+G1569*25/27</f>
        <v>12062.3405413456</v>
      </c>
      <c r="H1570" s="17" t="n">
        <f aca="false">F1570-G1570</f>
        <v>-356.640150731555</v>
      </c>
      <c r="I1570" s="17" t="n">
        <f aca="false">H1570*2/10+I1569*8/10</f>
        <v>-272.929977458404</v>
      </c>
      <c r="J1570" s="17" t="n">
        <f aca="false">H1570-I1570</f>
        <v>-83.7101732731509</v>
      </c>
      <c r="K1570" s="17" t="n">
        <f aca="false">MAX(B1570-B1569,0)</f>
        <v>17.6399999999994</v>
      </c>
      <c r="L1570" s="17" t="n">
        <f aca="false">MAX(B1569-B1570,0)</f>
        <v>0</v>
      </c>
      <c r="M1570" s="17" t="n">
        <f aca="false">(M1569*13+K1570)/14</f>
        <v>46.8001345589192</v>
      </c>
      <c r="N1570" s="17" t="n">
        <f aca="false">(N1569*13+L1570)/14</f>
        <v>108.855908225536</v>
      </c>
      <c r="O1570" s="17" t="n">
        <f aca="false">IF(N1570=0,100,100-100/(1+M1570/N1570))</f>
        <v>30.0663782283903</v>
      </c>
      <c r="P1570" s="17" t="n">
        <f aca="false">AVERAGE(B1551:B1570)+2*STDEV(B1551:B1570)</f>
        <v>12821.1750558746</v>
      </c>
      <c r="Q1570" s="17" t="n">
        <f aca="false">AVERAGE(B1551:B1570)-2*STDEV(B1551:B1570)</f>
        <v>11143.4179441254</v>
      </c>
      <c r="R1570" s="19" t="n">
        <f aca="false">B1570/B1550-1</f>
        <v>-0.097127436656542</v>
      </c>
      <c r="S1570" s="17" t="n">
        <f aca="false">STDEV(C1551:C1570)*SQRT(252)*100</f>
        <v>26.6485091855611</v>
      </c>
      <c r="T1570" s="19" t="n">
        <f aca="false">B1549/B1319-1</f>
        <v>-0.146586731481419</v>
      </c>
      <c r="U1570" s="19" t="n">
        <f aca="false">B1570/MAX(B1319:B1570)-1</f>
        <v>-0.319886637213742</v>
      </c>
      <c r="V1570" s="17" t="n">
        <f aca="false">(B1570-AVERAGE(B1551:B1570))/STDEV(B1551:B1570)</f>
        <v>-1.69403901202163</v>
      </c>
    </row>
    <row r="1571" customFormat="false" ht="15" hidden="false" customHeight="false" outlineLevel="0" collapsed="false">
      <c r="A1571" s="17" t="s">
        <v>2135</v>
      </c>
      <c r="B1571" s="17" t="n">
        <v>11493.83</v>
      </c>
      <c r="C1571" s="19" t="n">
        <f aca="false">B1571/B1570-1</f>
        <v>0.0197023532282032</v>
      </c>
      <c r="D1571" s="17" t="n">
        <f aca="false">AVERAGE(B1522:B1571)</f>
        <v>12554.8244</v>
      </c>
      <c r="E1571" s="17" t="n">
        <f aca="false">AVERAGE(B1372:B1571)</f>
        <v>13449.94585</v>
      </c>
      <c r="F1571" s="17" t="n">
        <f aca="false">B1571*2/13+F1570*11/13</f>
        <v>11673.1049459042</v>
      </c>
      <c r="G1571" s="17" t="n">
        <f aca="false">B1571*2/27+G1570*25/27</f>
        <v>12020.2286493941</v>
      </c>
      <c r="H1571" s="17" t="n">
        <f aca="false">F1571-G1571</f>
        <v>-347.123703489886</v>
      </c>
      <c r="I1571" s="17" t="n">
        <f aca="false">H1571*2/10+I1570*8/10</f>
        <v>-287.768722664701</v>
      </c>
      <c r="J1571" s="17" t="n">
        <f aca="false">H1571-I1571</f>
        <v>-59.3549808251854</v>
      </c>
      <c r="K1571" s="17" t="n">
        <f aca="false">MAX(B1571-B1570,0)</f>
        <v>222.08</v>
      </c>
      <c r="L1571" s="17" t="n">
        <f aca="false">MAX(B1570-B1571,0)</f>
        <v>0</v>
      </c>
      <c r="M1571" s="17" t="n">
        <f aca="false">(M1570*13+K1571)/14</f>
        <v>59.3201249475678</v>
      </c>
      <c r="N1571" s="17" t="n">
        <f aca="false">(N1570*13+L1571)/14</f>
        <v>101.080486209426</v>
      </c>
      <c r="O1571" s="17" t="n">
        <f aca="false">IF(N1571=0,100,100-100/(1+M1571/N1571))</f>
        <v>36.9824806275255</v>
      </c>
      <c r="P1571" s="17" t="n">
        <f aca="false">AVERAGE(B1552:B1571)+2*STDEV(B1552:B1571)</f>
        <v>12787.8024367522</v>
      </c>
      <c r="Q1571" s="17" t="n">
        <f aca="false">AVERAGE(B1552:B1571)-2*STDEV(B1552:B1571)</f>
        <v>11091.9035632478</v>
      </c>
      <c r="R1571" s="19" t="n">
        <f aca="false">B1571/B1551-1</f>
        <v>-0.0687750654232867</v>
      </c>
      <c r="S1571" s="17" t="n">
        <f aca="false">STDEV(C1552:C1571)*SQRT(252)*100</f>
        <v>27.9108035317514</v>
      </c>
      <c r="T1571" s="19" t="n">
        <f aca="false">B1550/B1320-1</f>
        <v>-0.153771227196841</v>
      </c>
      <c r="U1571" s="19" t="n">
        <f aca="false">B1571/MAX(B1320:B1571)-1</f>
        <v>-0.306486803504906</v>
      </c>
      <c r="V1571" s="17" t="n">
        <f aca="false">(B1571-AVERAGE(B1552:B1571))/STDEV(B1552:B1571)</f>
        <v>-1.05200376500828</v>
      </c>
    </row>
    <row r="1572" customFormat="false" ht="15" hidden="false" customHeight="false" outlineLevel="0" collapsed="false">
      <c r="A1572" s="17" t="s">
        <v>2136</v>
      </c>
      <c r="B1572" s="17" t="n">
        <v>11164.78</v>
      </c>
      <c r="C1572" s="19" t="n">
        <f aca="false">B1572/B1571-1</f>
        <v>-0.0286284032389551</v>
      </c>
      <c r="D1572" s="17" t="n">
        <f aca="false">AVERAGE(B1523:B1572)</f>
        <v>12529.3264</v>
      </c>
      <c r="E1572" s="17" t="n">
        <f aca="false">AVERAGE(B1373:B1572)</f>
        <v>13425.357</v>
      </c>
      <c r="F1572" s="17" t="n">
        <f aca="false">B1572*2/13+F1571*11/13</f>
        <v>11594.9011080728</v>
      </c>
      <c r="G1572" s="17" t="n">
        <f aca="false">B1572*2/27+G1571*25/27</f>
        <v>11956.8620827723</v>
      </c>
      <c r="H1572" s="17" t="n">
        <f aca="false">F1572-G1572</f>
        <v>-361.960974699519</v>
      </c>
      <c r="I1572" s="17" t="n">
        <f aca="false">H1572*2/10+I1571*8/10</f>
        <v>-302.607173071664</v>
      </c>
      <c r="J1572" s="17" t="n">
        <f aca="false">H1572-I1572</f>
        <v>-59.353801627855</v>
      </c>
      <c r="K1572" s="17" t="n">
        <f aca="false">MAX(B1572-B1571,0)</f>
        <v>0</v>
      </c>
      <c r="L1572" s="17" t="n">
        <f aca="false">MAX(B1571-B1572,0)</f>
        <v>329.049999999999</v>
      </c>
      <c r="M1572" s="17" t="n">
        <f aca="false">(M1571*13+K1572)/14</f>
        <v>55.0829731655987</v>
      </c>
      <c r="N1572" s="17" t="n">
        <f aca="false">(N1571*13+L1572)/14</f>
        <v>117.364022908753</v>
      </c>
      <c r="O1572" s="17" t="n">
        <f aca="false">IF(N1572=0,100,100-100/(1+M1572/N1572))</f>
        <v>31.9419731392998</v>
      </c>
      <c r="P1572" s="17" t="n">
        <f aca="false">AVERAGE(B1553:B1572)+2*STDEV(B1553:B1572)</f>
        <v>12784.1317317076</v>
      </c>
      <c r="Q1572" s="17" t="n">
        <f aca="false">AVERAGE(B1553:B1572)-2*STDEV(B1553:B1572)</f>
        <v>10984.8492682924</v>
      </c>
      <c r="R1572" s="19" t="n">
        <f aca="false">B1572/B1552-1</f>
        <v>-0.0902254965152465</v>
      </c>
      <c r="S1572" s="17" t="n">
        <f aca="false">STDEV(C1553:C1572)*SQRT(252)*100</f>
        <v>29.3119331184418</v>
      </c>
      <c r="T1572" s="19" t="n">
        <f aca="false">B1551/B1321-1</f>
        <v>-0.159767237001366</v>
      </c>
      <c r="U1572" s="19" t="n">
        <f aca="false">B1572/MAX(B1321:B1572)-1</f>
        <v>-0.326340978945704</v>
      </c>
      <c r="V1572" s="17" t="n">
        <f aca="false">(B1572-AVERAGE(B1553:B1572))/STDEV(B1553:B1572)</f>
        <v>-1.59999447476168</v>
      </c>
    </row>
    <row r="1573" customFormat="false" ht="15" hidden="false" customHeight="false" outlineLevel="0" collapsed="false">
      <c r="A1573" s="17" t="s">
        <v>2137</v>
      </c>
      <c r="B1573" s="17" t="n">
        <v>10971.22</v>
      </c>
      <c r="C1573" s="19" t="n">
        <f aca="false">B1573/B1572-1</f>
        <v>-0.0173366604626335</v>
      </c>
      <c r="D1573" s="17" t="n">
        <f aca="false">AVERAGE(B1524:B1573)</f>
        <v>12496.3626</v>
      </c>
      <c r="E1573" s="17" t="n">
        <f aca="false">AVERAGE(B1374:B1573)</f>
        <v>13400.6386</v>
      </c>
      <c r="F1573" s="17" t="n">
        <f aca="false">B1573*2/13+F1572*11/13</f>
        <v>11498.9501683693</v>
      </c>
      <c r="G1573" s="17" t="n">
        <f aca="false">B1573*2/27+G1572*25/27</f>
        <v>11883.8515581225</v>
      </c>
      <c r="H1573" s="17" t="n">
        <f aca="false">F1573-G1573</f>
        <v>-384.901389753228</v>
      </c>
      <c r="I1573" s="17" t="n">
        <f aca="false">H1573*2/10+I1572*8/10</f>
        <v>-319.066016407977</v>
      </c>
      <c r="J1573" s="17" t="n">
        <f aca="false">H1573-I1573</f>
        <v>-65.8353733452508</v>
      </c>
      <c r="K1573" s="17" t="n">
        <f aca="false">MAX(B1573-B1572,0)</f>
        <v>0</v>
      </c>
      <c r="L1573" s="17" t="n">
        <f aca="false">MAX(B1572-B1573,0)</f>
        <v>193.560000000001</v>
      </c>
      <c r="M1573" s="17" t="n">
        <f aca="false">(M1572*13+K1573)/14</f>
        <v>51.1484750823416</v>
      </c>
      <c r="N1573" s="17" t="n">
        <f aca="false">(N1572*13+L1573)/14</f>
        <v>122.806592700985</v>
      </c>
      <c r="O1573" s="17" t="n">
        <f aca="false">IF(N1573=0,100,100-100/(1+M1573/N1573))</f>
        <v>29.4032681738544</v>
      </c>
      <c r="P1573" s="17" t="n">
        <f aca="false">AVERAGE(B1554:B1573)+2*STDEV(B1554:B1573)</f>
        <v>12786.2856432127</v>
      </c>
      <c r="Q1573" s="17" t="n">
        <f aca="false">AVERAGE(B1554:B1573)-2*STDEV(B1554:B1573)</f>
        <v>10852.3553567873</v>
      </c>
      <c r="R1573" s="19" t="n">
        <f aca="false">B1573/B1553-1</f>
        <v>-0.106186586631603</v>
      </c>
      <c r="S1573" s="17" t="n">
        <f aca="false">STDEV(C1554:C1573)*SQRT(252)*100</f>
        <v>29.5941714782448</v>
      </c>
      <c r="T1573" s="19" t="n">
        <f aca="false">B1552/B1322-1</f>
        <v>-0.170353038527245</v>
      </c>
      <c r="U1573" s="19" t="n">
        <f aca="false">B1573/MAX(B1322:B1573)-1</f>
        <v>-0.338019976661313</v>
      </c>
      <c r="V1573" s="17" t="n">
        <f aca="false">(B1573-AVERAGE(B1554:B1573))/STDEV(B1554:B1573)</f>
        <v>-1.75414906308245</v>
      </c>
    </row>
    <row r="1574" customFormat="false" ht="15" hidden="false" customHeight="false" outlineLevel="0" collapsed="false">
      <c r="A1574" s="17" t="s">
        <v>2138</v>
      </c>
      <c r="B1574" s="17" t="n">
        <v>11229.73</v>
      </c>
      <c r="C1574" s="19" t="n">
        <f aca="false">B1574/B1573-1</f>
        <v>0.0235625573090321</v>
      </c>
      <c r="D1574" s="17" t="n">
        <f aca="false">AVERAGE(B1525:B1574)</f>
        <v>12473.0278</v>
      </c>
      <c r="E1574" s="17" t="n">
        <f aca="false">AVERAGE(B1375:B1574)</f>
        <v>13375.3393</v>
      </c>
      <c r="F1574" s="17" t="n">
        <f aca="false">B1574*2/13+F1573*11/13</f>
        <v>11457.5316809279</v>
      </c>
      <c r="G1574" s="17" t="n">
        <f aca="false">B1574*2/27+G1573*25/27</f>
        <v>11835.3981093727</v>
      </c>
      <c r="H1574" s="17" t="n">
        <f aca="false">F1574-G1574</f>
        <v>-377.866428444841</v>
      </c>
      <c r="I1574" s="17" t="n">
        <f aca="false">H1574*2/10+I1573*8/10</f>
        <v>-330.82609881535</v>
      </c>
      <c r="J1574" s="17" t="n">
        <f aca="false">H1574-I1574</f>
        <v>-47.0403296294909</v>
      </c>
      <c r="K1574" s="17" t="n">
        <f aca="false">MAX(B1574-B1573,0)</f>
        <v>258.51</v>
      </c>
      <c r="L1574" s="17" t="n">
        <f aca="false">MAX(B1573-B1574,0)</f>
        <v>0</v>
      </c>
      <c r="M1574" s="17" t="n">
        <f aca="false">(M1573*13+K1574)/14</f>
        <v>65.9600125764601</v>
      </c>
      <c r="N1574" s="17" t="n">
        <f aca="false">(N1573*13+L1574)/14</f>
        <v>114.034693222343</v>
      </c>
      <c r="O1574" s="17" t="n">
        <f aca="false">IF(N1574=0,100,100-100/(1+M1574/N1574))</f>
        <v>36.6455292580604</v>
      </c>
      <c r="P1574" s="17" t="n">
        <f aca="false">AVERAGE(B1555:B1574)+2*STDEV(B1555:B1574)</f>
        <v>12767.7815303742</v>
      </c>
      <c r="Q1574" s="17" t="n">
        <f aca="false">AVERAGE(B1555:B1574)-2*STDEV(B1555:B1574)</f>
        <v>10783.9884696258</v>
      </c>
      <c r="R1574" s="19" t="n">
        <f aca="false">B1574/B1554-1</f>
        <v>-0.0718034721831906</v>
      </c>
      <c r="S1574" s="17" t="n">
        <f aca="false">STDEV(C1555:C1574)*SQRT(252)*100</f>
        <v>31.0999096091629</v>
      </c>
      <c r="T1574" s="19" t="n">
        <f aca="false">B1553/B1323-1</f>
        <v>-0.151843682888202</v>
      </c>
      <c r="U1574" s="19" t="n">
        <f aca="false">B1574/MAX(B1323:B1574)-1</f>
        <v>-0.32242203442396</v>
      </c>
      <c r="V1574" s="17" t="n">
        <f aca="false">(B1574-AVERAGE(B1555:B1574))/STDEV(B1555:B1574)</f>
        <v>-1.10123381476886</v>
      </c>
    </row>
    <row r="1575" customFormat="false" ht="15" hidden="false" customHeight="false" outlineLevel="0" collapsed="false">
      <c r="A1575" s="17" t="s">
        <v>2139</v>
      </c>
      <c r="B1575" s="17" t="n">
        <v>11582.54</v>
      </c>
      <c r="C1575" s="19" t="n">
        <f aca="false">B1575/B1574-1</f>
        <v>0.0314174962354394</v>
      </c>
      <c r="D1575" s="17" t="n">
        <f aca="false">AVERAGE(B1526:B1575)</f>
        <v>12458.1104</v>
      </c>
      <c r="E1575" s="17" t="n">
        <f aca="false">AVERAGE(B1376:B1575)</f>
        <v>13353.9323</v>
      </c>
      <c r="F1575" s="17" t="n">
        <f aca="false">B1575*2/13+F1574*11/13</f>
        <v>11476.7637300159</v>
      </c>
      <c r="G1575" s="17" t="n">
        <f aca="false">B1575*2/27+G1574*25/27</f>
        <v>11816.6678790488</v>
      </c>
      <c r="H1575" s="17" t="n">
        <f aca="false">F1575-G1575</f>
        <v>-339.904149032918</v>
      </c>
      <c r="I1575" s="17" t="n">
        <f aca="false">H1575*2/10+I1574*8/10</f>
        <v>-332.641708858863</v>
      </c>
      <c r="J1575" s="17" t="n">
        <f aca="false">H1575-I1575</f>
        <v>-7.26244017405486</v>
      </c>
      <c r="K1575" s="17" t="n">
        <f aca="false">MAX(B1575-B1574,0)</f>
        <v>352.810000000001</v>
      </c>
      <c r="L1575" s="17" t="n">
        <f aca="false">MAX(B1574-B1575,0)</f>
        <v>0</v>
      </c>
      <c r="M1575" s="17" t="n">
        <f aca="false">(M1574*13+K1575)/14</f>
        <v>86.4492973924273</v>
      </c>
      <c r="N1575" s="17" t="n">
        <f aca="false">(N1574*13+L1575)/14</f>
        <v>105.889357992176</v>
      </c>
      <c r="O1575" s="17" t="n">
        <f aca="false">IF(N1575=0,100,100-100/(1+M1575/N1575))</f>
        <v>44.9463979144297</v>
      </c>
      <c r="P1575" s="17" t="n">
        <f aca="false">AVERAGE(B1556:B1575)+2*STDEV(B1556:B1575)</f>
        <v>12743.4485622463</v>
      </c>
      <c r="Q1575" s="17" t="n">
        <f aca="false">AVERAGE(B1556:B1575)-2*STDEV(B1556:B1575)</f>
        <v>10765.4444377537</v>
      </c>
      <c r="R1575" s="19" t="n">
        <f aca="false">B1575/B1555-1</f>
        <v>-0.0356971887329525</v>
      </c>
      <c r="S1575" s="17" t="n">
        <f aca="false">STDEV(C1556:C1575)*SQRT(252)*100</f>
        <v>33.4298215277139</v>
      </c>
      <c r="T1575" s="19" t="n">
        <f aca="false">B1554/B1324-1</f>
        <v>-0.175527032230146</v>
      </c>
      <c r="U1575" s="19" t="n">
        <f aca="false">B1575/MAX(B1324:B1575)-1</f>
        <v>-0.301134231241259</v>
      </c>
      <c r="V1575" s="17" t="n">
        <f aca="false">(B1575-AVERAGE(B1556:B1575))/STDEV(B1556:B1575)</f>
        <v>-0.347636282192491</v>
      </c>
    </row>
    <row r="1576" customFormat="false" ht="15" hidden="false" customHeight="false" outlineLevel="0" collapsed="false">
      <c r="A1576" s="17" t="s">
        <v>2140</v>
      </c>
      <c r="B1576" s="17" t="n">
        <v>11573.18</v>
      </c>
      <c r="C1576" s="19" t="n">
        <f aca="false">B1576/B1575-1</f>
        <v>-0.000808112900969937</v>
      </c>
      <c r="D1576" s="17" t="n">
        <f aca="false">AVERAGE(B1527:B1576)</f>
        <v>12447.836</v>
      </c>
      <c r="E1576" s="17" t="n">
        <f aca="false">AVERAGE(B1377:B1576)</f>
        <v>13332.7909</v>
      </c>
      <c r="F1576" s="17" t="n">
        <f aca="false">B1576*2/13+F1575*11/13</f>
        <v>11491.5970023211</v>
      </c>
      <c r="G1576" s="17" t="n">
        <f aca="false">B1576*2/27+G1575*25/27</f>
        <v>11798.63173986</v>
      </c>
      <c r="H1576" s="17" t="n">
        <f aca="false">F1576-G1576</f>
        <v>-307.034737538872</v>
      </c>
      <c r="I1576" s="17" t="n">
        <f aca="false">H1576*2/10+I1575*8/10</f>
        <v>-327.520314594865</v>
      </c>
      <c r="J1576" s="17" t="n">
        <f aca="false">H1576-I1576</f>
        <v>20.4855770559931</v>
      </c>
      <c r="K1576" s="17" t="n">
        <f aca="false">MAX(B1576-B1575,0)</f>
        <v>0</v>
      </c>
      <c r="L1576" s="17" t="n">
        <f aca="false">MAX(B1575-B1576,0)</f>
        <v>9.36000000000058</v>
      </c>
      <c r="M1576" s="17" t="n">
        <f aca="false">(M1575*13+K1576)/14</f>
        <v>80.2743475786825</v>
      </c>
      <c r="N1576" s="17" t="n">
        <f aca="false">(N1575*13+L1576)/14</f>
        <v>98.9944038498774</v>
      </c>
      <c r="O1576" s="17" t="n">
        <f aca="false">IF(N1576=0,100,100-100/(1+M1576/N1576))</f>
        <v>44.7787731765804</v>
      </c>
      <c r="P1576" s="17" t="n">
        <f aca="false">AVERAGE(B1557:B1576)+2*STDEV(B1557:B1576)</f>
        <v>12682.6370757047</v>
      </c>
      <c r="Q1576" s="17" t="n">
        <f aca="false">AVERAGE(B1557:B1576)-2*STDEV(B1557:B1576)</f>
        <v>10757.6349242953</v>
      </c>
      <c r="R1576" s="19" t="n">
        <f aca="false">B1576/B1556-1</f>
        <v>-0.0559742368910687</v>
      </c>
      <c r="S1576" s="17" t="n">
        <f aca="false">STDEV(C1557:C1576)*SQRT(252)*100</f>
        <v>32.3864263138514</v>
      </c>
      <c r="T1576" s="19" t="n">
        <f aca="false">B1555/B1325-1</f>
        <v>-0.186597592564376</v>
      </c>
      <c r="U1576" s="19" t="n">
        <f aca="false">B1576/MAX(B1325:B1576)-1</f>
        <v>-0.301698993685039</v>
      </c>
      <c r="V1576" s="17" t="n">
        <f aca="false">(B1576-AVERAGE(B1557:B1576))/STDEV(B1557:B1576)</f>
        <v>-0.305362775605027</v>
      </c>
    </row>
    <row r="1577" customFormat="false" ht="15" hidden="false" customHeight="false" outlineLevel="0" collapsed="false">
      <c r="A1577" s="17" t="s">
        <v>2141</v>
      </c>
      <c r="B1577" s="17" t="n">
        <v>11485.5</v>
      </c>
      <c r="C1577" s="19" t="n">
        <f aca="false">B1577/B1576-1</f>
        <v>-0.00757613724144968</v>
      </c>
      <c r="D1577" s="17" t="n">
        <f aca="false">AVERAGE(B1528:B1577)</f>
        <v>12425.5166</v>
      </c>
      <c r="E1577" s="17" t="n">
        <f aca="false">AVERAGE(B1378:B1577)</f>
        <v>13312.0802</v>
      </c>
      <c r="F1577" s="17" t="n">
        <f aca="false">B1577*2/13+F1576*11/13</f>
        <v>11490.659001964</v>
      </c>
      <c r="G1577" s="17" t="n">
        <f aca="false">B1577*2/27+G1576*25/27</f>
        <v>11775.4367961667</v>
      </c>
      <c r="H1577" s="17" t="n">
        <f aca="false">F1577-G1577</f>
        <v>-284.777794202633</v>
      </c>
      <c r="I1577" s="17" t="n">
        <f aca="false">H1577*2/10+I1576*8/10</f>
        <v>-318.971810516419</v>
      </c>
      <c r="J1577" s="17" t="n">
        <f aca="false">H1577-I1577</f>
        <v>34.1940163137854</v>
      </c>
      <c r="K1577" s="17" t="n">
        <f aca="false">MAX(B1577-B1576,0)</f>
        <v>0</v>
      </c>
      <c r="L1577" s="17" t="n">
        <f aca="false">MAX(B1576-B1577,0)</f>
        <v>87.6800000000003</v>
      </c>
      <c r="M1577" s="17" t="n">
        <f aca="false">(M1576*13+K1577)/14</f>
        <v>74.5404656087766</v>
      </c>
      <c r="N1577" s="17" t="n">
        <f aca="false">(N1576*13+L1577)/14</f>
        <v>98.1862321463148</v>
      </c>
      <c r="O1577" s="17" t="n">
        <f aca="false">IF(N1577=0,100,100-100/(1+M1577/N1577))</f>
        <v>43.1551500593541</v>
      </c>
      <c r="P1577" s="17" t="n">
        <f aca="false">AVERAGE(B1558:B1577)+2*STDEV(B1558:B1577)</f>
        <v>12602.7925859091</v>
      </c>
      <c r="Q1577" s="17" t="n">
        <f aca="false">AVERAGE(B1558:B1577)-2*STDEV(B1558:B1577)</f>
        <v>10753.9104140909</v>
      </c>
      <c r="R1577" s="19" t="n">
        <f aca="false">B1577/B1557-1</f>
        <v>-0.0678254291996147</v>
      </c>
      <c r="S1577" s="17" t="n">
        <f aca="false">STDEV(C1558:C1577)*SQRT(252)*100</f>
        <v>32.2972232714296</v>
      </c>
      <c r="T1577" s="19" t="n">
        <f aca="false">B1556/B1326-1</f>
        <v>-0.177063635747288</v>
      </c>
      <c r="U1577" s="19" t="n">
        <f aca="false">B1577/MAX(B1326:B1577)-1</f>
        <v>-0.306989417944723</v>
      </c>
      <c r="V1577" s="17" t="n">
        <f aca="false">(B1577-AVERAGE(B1558:B1577))/STDEV(B1558:B1577)</f>
        <v>-0.41722831868803</v>
      </c>
    </row>
    <row r="1578" customFormat="false" ht="15" hidden="false" customHeight="false" outlineLevel="0" collapsed="false">
      <c r="A1578" s="17" t="s">
        <v>2142</v>
      </c>
      <c r="B1578" s="17" t="n">
        <v>11039.47</v>
      </c>
      <c r="C1578" s="19" t="n">
        <f aca="false">B1578/B1577-1</f>
        <v>-0.038834182229768</v>
      </c>
      <c r="D1578" s="17" t="n">
        <f aca="false">AVERAGE(B1529:B1578)</f>
        <v>12391.9486</v>
      </c>
      <c r="E1578" s="17" t="n">
        <f aca="false">AVERAGE(B1379:B1578)</f>
        <v>13287.34615</v>
      </c>
      <c r="F1578" s="17" t="n">
        <f aca="false">B1578*2/13+F1577*11/13</f>
        <v>11421.2453093542</v>
      </c>
      <c r="G1578" s="17" t="n">
        <f aca="false">B1578*2/27+G1577*25/27</f>
        <v>11720.9207371914</v>
      </c>
      <c r="H1578" s="17" t="n">
        <f aca="false">F1578-G1578</f>
        <v>-299.675427837177</v>
      </c>
      <c r="I1578" s="17" t="n">
        <f aca="false">H1578*2/10+I1577*8/10</f>
        <v>-315.11253398057</v>
      </c>
      <c r="J1578" s="17" t="n">
        <f aca="false">H1578-I1578</f>
        <v>15.4371061433931</v>
      </c>
      <c r="K1578" s="17" t="n">
        <f aca="false">MAX(B1578-B1577,0)</f>
        <v>0</v>
      </c>
      <c r="L1578" s="17" t="n">
        <f aca="false">MAX(B1577-B1578,0)</f>
        <v>446.030000000001</v>
      </c>
      <c r="M1578" s="17" t="n">
        <f aca="false">(M1577*13+K1578)/14</f>
        <v>69.2161466367212</v>
      </c>
      <c r="N1578" s="17" t="n">
        <f aca="false">(N1577*13+L1578)/14</f>
        <v>123.032215564435</v>
      </c>
      <c r="O1578" s="17" t="n">
        <f aca="false">IF(N1578=0,100,100-100/(1+M1578/N1578))</f>
        <v>36.0035039280583</v>
      </c>
      <c r="P1578" s="17" t="n">
        <f aca="false">AVERAGE(B1559:B1578)+2*STDEV(B1559:B1578)</f>
        <v>12461.6993797823</v>
      </c>
      <c r="Q1578" s="17" t="n">
        <f aca="false">AVERAGE(B1559:B1578)-2*STDEV(B1559:B1578)</f>
        <v>10740.1216202177</v>
      </c>
      <c r="R1578" s="19" t="n">
        <f aca="false">B1578/B1558-1</f>
        <v>-0.123036568112111</v>
      </c>
      <c r="S1578" s="17" t="n">
        <f aca="false">STDEV(C1559:C1578)*SQRT(252)*100</f>
        <v>33.2180225882753</v>
      </c>
      <c r="T1578" s="19" t="n">
        <f aca="false">B1557/B1327-1</f>
        <v>-0.168652733498642</v>
      </c>
      <c r="U1578" s="19" t="n">
        <f aca="false">B1578/MAX(B1327:B1578)-1</f>
        <v>-0.333901917175416</v>
      </c>
      <c r="V1578" s="17" t="n">
        <f aca="false">(B1578-AVERAGE(B1559:B1578))/STDEV(B1559:B1578)</f>
        <v>-1.30447898012345</v>
      </c>
    </row>
    <row r="1579" customFormat="false" ht="15" hidden="false" customHeight="false" outlineLevel="0" collapsed="false">
      <c r="A1579" s="17" t="s">
        <v>2143</v>
      </c>
      <c r="B1579" s="17" t="n">
        <v>10926.97</v>
      </c>
      <c r="C1579" s="19" t="n">
        <f aca="false">B1579/B1578-1</f>
        <v>-0.0101907066190677</v>
      </c>
      <c r="D1579" s="17" t="n">
        <f aca="false">AVERAGE(B1530:B1579)</f>
        <v>12351.5286</v>
      </c>
      <c r="E1579" s="17" t="n">
        <f aca="false">AVERAGE(B1380:B1579)</f>
        <v>13261.0803</v>
      </c>
      <c r="F1579" s="17" t="n">
        <f aca="false">B1579*2/13+F1578*11/13</f>
        <v>11345.2029540689</v>
      </c>
      <c r="G1579" s="17" t="n">
        <f aca="false">B1579*2/27+G1578*25/27</f>
        <v>11662.1095714735</v>
      </c>
      <c r="H1579" s="17" t="n">
        <f aca="false">F1579-G1579</f>
        <v>-316.906617404558</v>
      </c>
      <c r="I1579" s="17" t="n">
        <f aca="false">H1579*2/10+I1578*8/10</f>
        <v>-315.471350665368</v>
      </c>
      <c r="J1579" s="17" t="n">
        <f aca="false">H1579-I1579</f>
        <v>-1.43526673919035</v>
      </c>
      <c r="K1579" s="17" t="n">
        <f aca="false">MAX(B1579-B1578,0)</f>
        <v>0</v>
      </c>
      <c r="L1579" s="17" t="n">
        <f aca="false">MAX(B1578-B1579,0)</f>
        <v>112.5</v>
      </c>
      <c r="M1579" s="17" t="n">
        <f aca="false">(M1578*13+K1579)/14</f>
        <v>64.2721361626696</v>
      </c>
      <c r="N1579" s="17" t="n">
        <f aca="false">(N1578*13+L1579)/14</f>
        <v>122.27991445269</v>
      </c>
      <c r="O1579" s="17" t="n">
        <f aca="false">IF(N1579=0,100,100-100/(1+M1579/N1579))</f>
        <v>34.4526559481185</v>
      </c>
      <c r="P1579" s="17" t="n">
        <f aca="false">AVERAGE(B1560:B1579)+2*STDEV(B1560:B1579)</f>
        <v>12237.5684508632</v>
      </c>
      <c r="Q1579" s="17" t="n">
        <f aca="false">AVERAGE(B1560:B1579)-2*STDEV(B1560:B1579)</f>
        <v>10782.9775491368</v>
      </c>
      <c r="R1579" s="19" t="n">
        <f aca="false">B1579/B1559-1</f>
        <v>-0.142291196352824</v>
      </c>
      <c r="S1579" s="17" t="n">
        <f aca="false">STDEV(C1560:C1579)*SQRT(252)*100</f>
        <v>32.5179711599136</v>
      </c>
      <c r="T1579" s="19" t="n">
        <f aca="false">B1558/B1328-1</f>
        <v>-0.144452834189563</v>
      </c>
      <c r="U1579" s="19" t="n">
        <f aca="false">B1579/MAX(B1328:B1579)-1</f>
        <v>-0.340689927317004</v>
      </c>
      <c r="V1579" s="17" t="n">
        <f aca="false">(B1579-AVERAGE(B1560:B1579))/STDEV(B1560:B1579)</f>
        <v>-1.60403313208599</v>
      </c>
    </row>
    <row r="1580" customFormat="false" ht="15" hidden="false" customHeight="false" outlineLevel="0" collapsed="false">
      <c r="A1580" s="17" t="s">
        <v>2144</v>
      </c>
      <c r="B1580" s="17" t="n">
        <v>10791.35</v>
      </c>
      <c r="C1580" s="19" t="n">
        <f aca="false">B1580/B1579-1</f>
        <v>-0.0124114919323471</v>
      </c>
      <c r="D1580" s="17" t="n">
        <f aca="false">AVERAGE(B1531:B1580)</f>
        <v>12308.54</v>
      </c>
      <c r="E1580" s="17" t="n">
        <f aca="false">AVERAGE(B1381:B1580)</f>
        <v>13233.496</v>
      </c>
      <c r="F1580" s="17" t="n">
        <f aca="false">B1580*2/13+F1579*11/13</f>
        <v>11259.9948072891</v>
      </c>
      <c r="G1580" s="17" t="n">
        <f aca="false">B1580*2/27+G1579*25/27</f>
        <v>11597.6088624754</v>
      </c>
      <c r="H1580" s="17" t="n">
        <f aca="false">F1580-G1580</f>
        <v>-337.614055186357</v>
      </c>
      <c r="I1580" s="17" t="n">
        <f aca="false">H1580*2/10+I1579*8/10</f>
        <v>-319.899891569566</v>
      </c>
      <c r="J1580" s="17" t="n">
        <f aca="false">H1580-I1580</f>
        <v>-17.7141636167914</v>
      </c>
      <c r="K1580" s="17" t="n">
        <f aca="false">MAX(B1580-B1579,0)</f>
        <v>0</v>
      </c>
      <c r="L1580" s="17" t="n">
        <f aca="false">MAX(B1579-B1580,0)</f>
        <v>135.619999999999</v>
      </c>
      <c r="M1580" s="17" t="n">
        <f aca="false">(M1579*13+K1580)/14</f>
        <v>59.6812692939075</v>
      </c>
      <c r="N1580" s="17" t="n">
        <f aca="false">(N1579*13+L1580)/14</f>
        <v>123.232777706069</v>
      </c>
      <c r="O1580" s="17" t="n">
        <f aca="false">IF(N1580=0,100,100-100/(1+M1580/N1580))</f>
        <v>32.6280404773479</v>
      </c>
      <c r="P1580" s="17" t="n">
        <f aca="false">AVERAGE(B1561:B1580)+2*STDEV(B1561:B1580)</f>
        <v>12199.0677438719</v>
      </c>
      <c r="Q1580" s="17" t="n">
        <f aca="false">AVERAGE(B1561:B1580)-2*STDEV(B1561:B1580)</f>
        <v>10697.2512561281</v>
      </c>
      <c r="R1580" s="19" t="n">
        <f aca="false">B1580/B1560-1</f>
        <v>-0.103233274775172</v>
      </c>
      <c r="S1580" s="17" t="n">
        <f aca="false">STDEV(C1561:C1580)*SQRT(252)*100</f>
        <v>27.2593981528918</v>
      </c>
      <c r="T1580" s="19" t="n">
        <f aca="false">B1559/B1329-1</f>
        <v>-0.131112779811364</v>
      </c>
      <c r="U1580" s="19" t="n">
        <f aca="false">B1580/MAX(B1329:B1580)-1</f>
        <v>-0.348872948965025</v>
      </c>
      <c r="V1580" s="17" t="n">
        <f aca="false">(B1580-AVERAGE(B1561:B1580))/STDEV(B1561:B1580)</f>
        <v>-1.74937352295755</v>
      </c>
    </row>
    <row r="1581" customFormat="false" ht="15" hidden="false" customHeight="false" outlineLevel="0" collapsed="false">
      <c r="A1581" s="17" t="s">
        <v>2145</v>
      </c>
      <c r="B1581" s="17" t="n">
        <v>10785.62</v>
      </c>
      <c r="C1581" s="19" t="n">
        <f aca="false">B1581/B1580-1</f>
        <v>-0.000530980831869976</v>
      </c>
      <c r="D1581" s="17" t="n">
        <f aca="false">AVERAGE(B1532:B1581)</f>
        <v>12266.2204</v>
      </c>
      <c r="E1581" s="17" t="n">
        <f aca="false">AVERAGE(B1382:B1581)</f>
        <v>13204.5866</v>
      </c>
      <c r="F1581" s="17" t="n">
        <f aca="false">B1581*2/13+F1580*11/13</f>
        <v>11187.0140677062</v>
      </c>
      <c r="G1581" s="17" t="n">
        <f aca="false">B1581*2/27+G1580*25/27</f>
        <v>11537.4615393291</v>
      </c>
      <c r="H1581" s="17" t="n">
        <f aca="false">F1581-G1581</f>
        <v>-350.447471622965</v>
      </c>
      <c r="I1581" s="17" t="n">
        <f aca="false">H1581*2/10+I1580*8/10</f>
        <v>-326.009407580246</v>
      </c>
      <c r="J1581" s="17" t="n">
        <f aca="false">H1581-I1581</f>
        <v>-24.4380640427195</v>
      </c>
      <c r="K1581" s="17" t="n">
        <f aca="false">MAX(B1581-B1580,0)</f>
        <v>0</v>
      </c>
      <c r="L1581" s="17" t="n">
        <f aca="false">MAX(B1580-B1581,0)</f>
        <v>5.72999999999956</v>
      </c>
      <c r="M1581" s="17" t="n">
        <f aca="false">(M1580*13+K1581)/14</f>
        <v>55.4183214871998</v>
      </c>
      <c r="N1581" s="17" t="n">
        <f aca="false">(N1580*13+L1581)/14</f>
        <v>114.839722155636</v>
      </c>
      <c r="O1581" s="17" t="n">
        <f aca="false">IF(N1581=0,100,100-100/(1+M1581/N1581))</f>
        <v>32.5496054703034</v>
      </c>
      <c r="P1581" s="17" t="n">
        <f aca="false">AVERAGE(B1562:B1581)+2*STDEV(B1562:B1581)</f>
        <v>12114.1941886459</v>
      </c>
      <c r="Q1581" s="17" t="n">
        <f aca="false">AVERAGE(B1562:B1581)-2*STDEV(B1562:B1581)</f>
        <v>10647.2468113541</v>
      </c>
      <c r="R1581" s="19" t="n">
        <f aca="false">B1581/B1561-1</f>
        <v>-0.111153415084388</v>
      </c>
      <c r="S1581" s="17" t="n">
        <f aca="false">STDEV(C1562:C1581)*SQRT(252)*100</f>
        <v>26.8473402940481</v>
      </c>
      <c r="T1581" s="19" t="n">
        <f aca="false">B1560/B1330-1</f>
        <v>-0.185519743343305</v>
      </c>
      <c r="U1581" s="19" t="n">
        <f aca="false">B1581/MAX(B1330:B1581)-1</f>
        <v>-0.349218684948236</v>
      </c>
      <c r="V1581" s="17" t="n">
        <f aca="false">(B1581-AVERAGE(B1562:B1581))/STDEV(B1562:B1581)</f>
        <v>-1.62269079099118</v>
      </c>
    </row>
    <row r="1582" customFormat="false" ht="15" hidden="false" customHeight="false" outlineLevel="0" collapsed="false">
      <c r="A1582" s="17" t="s">
        <v>2146</v>
      </c>
      <c r="B1582" s="17" t="n">
        <v>11033.58</v>
      </c>
      <c r="C1582" s="19" t="n">
        <f aca="false">B1582/B1581-1</f>
        <v>0.0229898698452198</v>
      </c>
      <c r="D1582" s="17" t="n">
        <f aca="false">AVERAGE(B1533:B1582)</f>
        <v>12221.8268</v>
      </c>
      <c r="E1582" s="17" t="n">
        <f aca="false">AVERAGE(B1383:B1582)</f>
        <v>13177.3112</v>
      </c>
      <c r="F1582" s="17" t="n">
        <f aca="false">B1582*2/13+F1581*11/13</f>
        <v>11163.4088265206</v>
      </c>
      <c r="G1582" s="17" t="n">
        <f aca="false">B1582*2/27+G1581*25/27</f>
        <v>11500.1369808603</v>
      </c>
      <c r="H1582" s="17" t="n">
        <f aca="false">F1582-G1582</f>
        <v>-336.728154339704</v>
      </c>
      <c r="I1582" s="17" t="n">
        <f aca="false">H1582*2/10+I1581*8/10</f>
        <v>-328.153156932137</v>
      </c>
      <c r="J1582" s="17" t="n">
        <f aca="false">H1582-I1582</f>
        <v>-8.57499740756657</v>
      </c>
      <c r="K1582" s="17" t="n">
        <f aca="false">MAX(B1582-B1581,0)</f>
        <v>247.959999999999</v>
      </c>
      <c r="L1582" s="17" t="n">
        <f aca="false">MAX(B1581-B1582,0)</f>
        <v>0</v>
      </c>
      <c r="M1582" s="17" t="n">
        <f aca="false">(M1581*13+K1582)/14</f>
        <v>69.1712985238284</v>
      </c>
      <c r="N1582" s="17" t="n">
        <f aca="false">(N1581*13+L1582)/14</f>
        <v>106.636884858804</v>
      </c>
      <c r="O1582" s="17" t="n">
        <f aca="false">IF(N1582=0,100,100-100/(1+M1582/N1582))</f>
        <v>39.3447547167258</v>
      </c>
      <c r="P1582" s="17" t="n">
        <f aca="false">AVERAGE(B1563:B1582)+2*STDEV(B1563:B1582)</f>
        <v>12037.4548528757</v>
      </c>
      <c r="Q1582" s="17" t="n">
        <f aca="false">AVERAGE(B1563:B1582)-2*STDEV(B1563:B1582)</f>
        <v>10634.5951471243</v>
      </c>
      <c r="R1582" s="19" t="n">
        <f aca="false">B1582/B1562-1</f>
        <v>-0.0749453573216159</v>
      </c>
      <c r="S1582" s="17" t="n">
        <f aca="false">STDEV(C1563:C1582)*SQRT(252)*100</f>
        <v>28.3307727172587</v>
      </c>
      <c r="T1582" s="19" t="n">
        <f aca="false">B1561/B1331-1</f>
        <v>-0.193857200370439</v>
      </c>
      <c r="U1582" s="19" t="n">
        <f aca="false">B1582/MAX(B1331:B1582)-1</f>
        <v>-0.334257307217495</v>
      </c>
      <c r="V1582" s="17" t="n">
        <f aca="false">(B1582-AVERAGE(B1563:B1582))/STDEV(B1563:B1582)</f>
        <v>-0.862367059970527</v>
      </c>
    </row>
    <row r="1583" customFormat="false" ht="15" hidden="false" customHeight="false" outlineLevel="0" collapsed="false">
      <c r="A1583" s="17" t="s">
        <v>2147</v>
      </c>
      <c r="B1583" s="17" t="n">
        <v>10692.06</v>
      </c>
      <c r="C1583" s="19" t="n">
        <f aca="false">B1583/B1582-1</f>
        <v>-0.0309527823245039</v>
      </c>
      <c r="D1583" s="17" t="n">
        <f aca="false">AVERAGE(B1534:B1583)</f>
        <v>12169.4472</v>
      </c>
      <c r="E1583" s="17" t="n">
        <f aca="false">AVERAGE(B1384:B1583)</f>
        <v>13148.31645</v>
      </c>
      <c r="F1583" s="17" t="n">
        <f aca="false">B1583*2/13+F1582*11/13</f>
        <v>11090.8936224405</v>
      </c>
      <c r="G1583" s="17" t="n">
        <f aca="false">B1583*2/27+G1582*25/27</f>
        <v>11440.2794267225</v>
      </c>
      <c r="H1583" s="17" t="n">
        <f aca="false">F1583-G1583</f>
        <v>-349.385804281996</v>
      </c>
      <c r="I1583" s="17" t="n">
        <f aca="false">H1583*2/10+I1582*8/10</f>
        <v>-332.399686402109</v>
      </c>
      <c r="J1583" s="17" t="n">
        <f aca="false">H1583-I1583</f>
        <v>-16.9861178798867</v>
      </c>
      <c r="K1583" s="17" t="n">
        <f aca="false">MAX(B1583-B1582,0)</f>
        <v>0</v>
      </c>
      <c r="L1583" s="17" t="n">
        <f aca="false">MAX(B1582-B1583,0)</f>
        <v>341.52</v>
      </c>
      <c r="M1583" s="17" t="n">
        <f aca="false">(M1582*13+K1583)/14</f>
        <v>64.2304914864121</v>
      </c>
      <c r="N1583" s="17" t="n">
        <f aca="false">(N1582*13+L1583)/14</f>
        <v>123.414250226033</v>
      </c>
      <c r="O1583" s="17" t="n">
        <f aca="false">IF(N1583=0,100,100-100/(1+M1583/N1583))</f>
        <v>34.2298382039619</v>
      </c>
      <c r="P1583" s="17" t="n">
        <f aca="false">AVERAGE(B1564:B1583)+2*STDEV(B1564:B1583)</f>
        <v>11989.4646435083</v>
      </c>
      <c r="Q1583" s="17" t="n">
        <f aca="false">AVERAGE(B1564:B1583)-2*STDEV(B1564:B1583)</f>
        <v>10565.6533564917</v>
      </c>
      <c r="R1583" s="19" t="n">
        <f aca="false">B1583/B1563-1</f>
        <v>-0.0985821211359892</v>
      </c>
      <c r="S1583" s="17" t="n">
        <f aca="false">STDEV(C1564:C1583)*SQRT(252)*100</f>
        <v>29.936002982477</v>
      </c>
      <c r="T1583" s="19" t="n">
        <f aca="false">B1562/B1332-1</f>
        <v>-0.212546841206001</v>
      </c>
      <c r="U1583" s="19" t="n">
        <f aca="false">B1583/MAX(B1332:B1583)-1</f>
        <v>-0.354863895871321</v>
      </c>
      <c r="V1583" s="17" t="n">
        <f aca="false">(B1583-AVERAGE(B1564:B1583))/STDEV(B1564:B1583)</f>
        <v>-1.6448780968069</v>
      </c>
    </row>
    <row r="1584" customFormat="false" ht="15" hidden="false" customHeight="false" outlineLevel="0" collapsed="false">
      <c r="A1584" s="17" t="s">
        <v>2148</v>
      </c>
      <c r="B1584" s="17" t="n">
        <v>11062.53</v>
      </c>
      <c r="C1584" s="19" t="n">
        <f aca="false">B1584/B1583-1</f>
        <v>0.0346490760433444</v>
      </c>
      <c r="D1584" s="17" t="n">
        <f aca="false">AVERAGE(B1535:B1584)</f>
        <v>12126.544</v>
      </c>
      <c r="E1584" s="17" t="n">
        <f aca="false">AVERAGE(B1385:B1584)</f>
        <v>13121.4836</v>
      </c>
      <c r="F1584" s="17" t="n">
        <f aca="false">B1584*2/13+F1583*11/13</f>
        <v>11086.5299882189</v>
      </c>
      <c r="G1584" s="17" t="n">
        <f aca="false">B1584*2/27+G1583*25/27</f>
        <v>11412.297987706</v>
      </c>
      <c r="H1584" s="17" t="n">
        <f aca="false">F1584-G1584</f>
        <v>-325.767999487131</v>
      </c>
      <c r="I1584" s="17" t="n">
        <f aca="false">H1584*2/10+I1583*8/10</f>
        <v>-331.073349019113</v>
      </c>
      <c r="J1584" s="17" t="n">
        <f aca="false">H1584-I1584</f>
        <v>5.30534953198281</v>
      </c>
      <c r="K1584" s="17" t="n">
        <f aca="false">MAX(B1584-B1583,0)</f>
        <v>370.470000000001</v>
      </c>
      <c r="L1584" s="17" t="n">
        <f aca="false">MAX(B1583-B1584,0)</f>
        <v>0</v>
      </c>
      <c r="M1584" s="17" t="n">
        <f aca="false">(M1583*13+K1584)/14</f>
        <v>86.1047420945256</v>
      </c>
      <c r="N1584" s="17" t="n">
        <f aca="false">(N1583*13+L1584)/14</f>
        <v>114.598946638459</v>
      </c>
      <c r="O1584" s="17" t="n">
        <f aca="false">IF(N1584=0,100,100-100/(1+M1584/N1584))</f>
        <v>42.9014248009557</v>
      </c>
      <c r="P1584" s="17" t="n">
        <f aca="false">AVERAGE(B1565:B1584)+2*STDEV(B1565:B1584)</f>
        <v>11874.9478922501</v>
      </c>
      <c r="Q1584" s="17" t="n">
        <f aca="false">AVERAGE(B1565:B1584)-2*STDEV(B1565:B1584)</f>
        <v>10591.0961077499</v>
      </c>
      <c r="R1584" s="19" t="n">
        <f aca="false">B1584/B1564-1</f>
        <v>-0.0745185208733676</v>
      </c>
      <c r="S1584" s="17" t="n">
        <f aca="false">STDEV(C1565:C1584)*SQRT(252)*100</f>
        <v>32.8384666603234</v>
      </c>
      <c r="T1584" s="19" t="n">
        <f aca="false">B1563/B1333-1</f>
        <v>-0.224791499056591</v>
      </c>
      <c r="U1584" s="19" t="n">
        <f aca="false">B1584/MAX(B1333:B1584)-1</f>
        <v>-0.33251052594106</v>
      </c>
      <c r="V1584" s="17" t="n">
        <f aca="false">(B1584-AVERAGE(B1565:B1584))/STDEV(B1565:B1584)</f>
        <v>-0.531189042406104</v>
      </c>
    </row>
    <row r="1585" customFormat="false" ht="15" hidden="false" customHeight="false" outlineLevel="0" collapsed="false">
      <c r="A1585" s="17" t="s">
        <v>2149</v>
      </c>
      <c r="B1585" s="17" t="n">
        <v>11147.74</v>
      </c>
      <c r="C1585" s="19" t="n">
        <f aca="false">B1585/B1584-1</f>
        <v>0.00770257798170926</v>
      </c>
      <c r="D1585" s="17" t="n">
        <f aca="false">AVERAGE(B1536:B1585)</f>
        <v>12086.3156</v>
      </c>
      <c r="E1585" s="17" t="n">
        <f aca="false">AVERAGE(B1386:B1585)</f>
        <v>13095.6219</v>
      </c>
      <c r="F1585" s="17" t="n">
        <f aca="false">B1585*2/13+F1584*11/13</f>
        <v>11095.9469131083</v>
      </c>
      <c r="G1585" s="17" t="n">
        <f aca="false">B1585*2/27+G1584*25/27</f>
        <v>11392.7010997278</v>
      </c>
      <c r="H1585" s="17" t="n">
        <f aca="false">F1585-G1585</f>
        <v>-296.754186619504</v>
      </c>
      <c r="I1585" s="17" t="n">
        <f aca="false">H1585*2/10+I1584*8/10</f>
        <v>-324.209516539192</v>
      </c>
      <c r="J1585" s="17" t="n">
        <f aca="false">H1585-I1585</f>
        <v>27.4553299196872</v>
      </c>
      <c r="K1585" s="17" t="n">
        <f aca="false">MAX(B1585-B1584,0)</f>
        <v>85.2099999999991</v>
      </c>
      <c r="L1585" s="17" t="n">
        <f aca="false">MAX(B1584-B1585,0)</f>
        <v>0</v>
      </c>
      <c r="M1585" s="17" t="n">
        <f aca="false">(M1584*13+K1585)/14</f>
        <v>86.0408319449165</v>
      </c>
      <c r="N1585" s="17" t="n">
        <f aca="false">(N1584*13+L1585)/14</f>
        <v>106.413307592855</v>
      </c>
      <c r="O1585" s="17" t="n">
        <f aca="false">IF(N1585=0,100,100-100/(1+M1585/N1585))</f>
        <v>44.7071869441551</v>
      </c>
      <c r="P1585" s="17" t="n">
        <f aca="false">AVERAGE(B1566:B1585)+2*STDEV(B1566:B1585)</f>
        <v>11770.4104385006</v>
      </c>
      <c r="Q1585" s="17" t="n">
        <f aca="false">AVERAGE(B1566:B1585)-2*STDEV(B1566:B1585)</f>
        <v>10625.2535614994</v>
      </c>
      <c r="R1585" s="19" t="n">
        <f aca="false">B1585/B1565-1</f>
        <v>-0.0593846875595915</v>
      </c>
      <c r="S1585" s="17" t="n">
        <f aca="false">STDEV(C1566:C1585)*SQRT(252)*100</f>
        <v>33.0247096929493</v>
      </c>
      <c r="T1585" s="19" t="n">
        <f aca="false">B1564/B1334-1</f>
        <v>-0.224353566867739</v>
      </c>
      <c r="U1585" s="19" t="n">
        <f aca="false">B1585/MAX(B1334:B1585)-1</f>
        <v>-0.32736913621515</v>
      </c>
      <c r="V1585" s="17" t="n">
        <f aca="false">(B1585-AVERAGE(B1566:B1585))/STDEV(B1566:B1585)</f>
        <v>-0.17496991375077</v>
      </c>
    </row>
    <row r="1586" customFormat="false" ht="15" hidden="false" customHeight="false" outlineLevel="0" collapsed="false">
      <c r="A1586" s="17" t="s">
        <v>2150</v>
      </c>
      <c r="B1586" s="17" t="n">
        <v>11103.38</v>
      </c>
      <c r="C1586" s="19" t="n">
        <f aca="false">B1586/B1585-1</f>
        <v>-0.00397928189929087</v>
      </c>
      <c r="D1586" s="17" t="n">
        <f aca="false">AVERAGE(B1537:B1586)</f>
        <v>12048.2198</v>
      </c>
      <c r="E1586" s="17" t="n">
        <f aca="false">AVERAGE(B1387:B1586)</f>
        <v>13068.62995</v>
      </c>
      <c r="F1586" s="17" t="n">
        <f aca="false">B1586*2/13+F1585*11/13</f>
        <v>11097.0904649378</v>
      </c>
      <c r="G1586" s="17" t="n">
        <f aca="false">B1586*2/27+G1585*25/27</f>
        <v>11371.2699071554</v>
      </c>
      <c r="H1586" s="17" t="n">
        <f aca="false">F1586-G1586</f>
        <v>-274.179442217579</v>
      </c>
      <c r="I1586" s="17" t="n">
        <f aca="false">H1586*2/10+I1585*8/10</f>
        <v>-314.203501674869</v>
      </c>
      <c r="J1586" s="17" t="n">
        <f aca="false">H1586-I1586</f>
        <v>40.02405945729</v>
      </c>
      <c r="K1586" s="17" t="n">
        <f aca="false">MAX(B1586-B1585,0)</f>
        <v>0</v>
      </c>
      <c r="L1586" s="17" t="n">
        <f aca="false">MAX(B1585-B1586,0)</f>
        <v>44.3600000000006</v>
      </c>
      <c r="M1586" s="17" t="n">
        <f aca="false">(M1585*13+K1586)/14</f>
        <v>79.8950582345653</v>
      </c>
      <c r="N1586" s="17" t="n">
        <f aca="false">(N1585*13+L1586)/14</f>
        <v>101.980928479079</v>
      </c>
      <c r="O1586" s="17" t="n">
        <f aca="false">IF(N1586=0,100,100-100/(1+M1586/N1586))</f>
        <v>43.9283160345716</v>
      </c>
      <c r="P1586" s="17" t="n">
        <f aca="false">AVERAGE(B1567:B1586)+2*STDEV(B1567:B1586)</f>
        <v>11705.8711135314</v>
      </c>
      <c r="Q1586" s="17" t="n">
        <f aca="false">AVERAGE(B1567:B1586)-2*STDEV(B1567:B1586)</f>
        <v>10636.3518864686</v>
      </c>
      <c r="R1586" s="19" t="n">
        <f aca="false">B1586/B1566-1</f>
        <v>-0.0459202305592387</v>
      </c>
      <c r="S1586" s="17" t="n">
        <f aca="false">STDEV(C1567:C1586)*SQRT(252)*100</f>
        <v>32.5408712844199</v>
      </c>
      <c r="T1586" s="19" t="n">
        <f aca="false">B1565/B1335-1</f>
        <v>-0.229854874125252</v>
      </c>
      <c r="U1586" s="19" t="n">
        <f aca="false">B1586/MAX(B1335:B1586)-1</f>
        <v>-0.330045724036314</v>
      </c>
      <c r="V1586" s="17" t="n">
        <f aca="false">(B1586-AVERAGE(B1567:B1586))/STDEV(B1567:B1586)</f>
        <v>-0.253315689091505</v>
      </c>
    </row>
    <row r="1587" customFormat="false" ht="15" hidden="false" customHeight="false" outlineLevel="0" collapsed="false">
      <c r="A1587" s="17" t="s">
        <v>2151</v>
      </c>
      <c r="B1587" s="17" t="n">
        <v>11046.71</v>
      </c>
      <c r="C1587" s="19" t="n">
        <f aca="false">B1587/B1586-1</f>
        <v>-0.00510385125970647</v>
      </c>
      <c r="D1587" s="17" t="n">
        <f aca="false">AVERAGE(B1538:B1587)</f>
        <v>12001.5876</v>
      </c>
      <c r="E1587" s="17" t="n">
        <f aca="false">AVERAGE(B1388:B1587)</f>
        <v>13042.46485</v>
      </c>
      <c r="F1587" s="17" t="n">
        <f aca="false">B1587*2/13+F1586*11/13</f>
        <v>11089.3396241781</v>
      </c>
      <c r="G1587" s="17" t="n">
        <f aca="false">B1587*2/27+G1586*25/27</f>
        <v>11347.2284325513</v>
      </c>
      <c r="H1587" s="17" t="n">
        <f aca="false">F1587-G1587</f>
        <v>-257.888808373136</v>
      </c>
      <c r="I1587" s="17" t="n">
        <f aca="false">H1587*2/10+I1586*8/10</f>
        <v>-302.940563014522</v>
      </c>
      <c r="J1587" s="17" t="n">
        <f aca="false">H1587-I1587</f>
        <v>45.0517546413861</v>
      </c>
      <c r="K1587" s="17" t="n">
        <f aca="false">MAX(B1587-B1586,0)</f>
        <v>0</v>
      </c>
      <c r="L1587" s="17" t="n">
        <f aca="false">MAX(B1586-B1587,0)</f>
        <v>56.6700000000001</v>
      </c>
      <c r="M1587" s="17" t="n">
        <f aca="false">(M1586*13+K1587)/14</f>
        <v>74.1882683606678</v>
      </c>
      <c r="N1587" s="17" t="n">
        <f aca="false">(N1586*13+L1587)/14</f>
        <v>98.7444335877166</v>
      </c>
      <c r="O1587" s="17" t="n">
        <f aca="false">IF(N1587=0,100,100-100/(1+M1587/N1587))</f>
        <v>42.9000805080874</v>
      </c>
      <c r="P1587" s="17" t="n">
        <f aca="false">AVERAGE(B1568:B1587)+2*STDEV(B1568:B1587)</f>
        <v>11662.2186208707</v>
      </c>
      <c r="Q1587" s="17" t="n">
        <f aca="false">AVERAGE(B1568:B1587)-2*STDEV(B1568:B1587)</f>
        <v>10634.5103791293</v>
      </c>
      <c r="R1587" s="19" t="n">
        <f aca="false">B1587/B1567-1</f>
        <v>-0.0395543248142658</v>
      </c>
      <c r="S1587" s="17" t="n">
        <f aca="false">STDEV(C1568:C1587)*SQRT(252)*100</f>
        <v>32.3679204511219</v>
      </c>
      <c r="T1587" s="19" t="n">
        <f aca="false">B1566/B1336-1</f>
        <v>-0.248670235945561</v>
      </c>
      <c r="U1587" s="19" t="n">
        <f aca="false">B1587/MAX(B1336:B1587)-1</f>
        <v>-0.333465071011637</v>
      </c>
      <c r="V1587" s="17" t="n">
        <f aca="false">(B1587-AVERAGE(B1568:B1587))/STDEV(B1568:B1587)</f>
        <v>-0.395655093035954</v>
      </c>
    </row>
    <row r="1588" customFormat="false" ht="15" hidden="false" customHeight="false" outlineLevel="0" collapsed="false">
      <c r="A1588" s="17" t="s">
        <v>2152</v>
      </c>
      <c r="B1588" s="17" t="n">
        <v>11310.33</v>
      </c>
      <c r="C1588" s="19" t="n">
        <f aca="false">B1588/B1587-1</f>
        <v>0.0238641188190873</v>
      </c>
      <c r="D1588" s="17" t="n">
        <f aca="false">AVERAGE(B1539:B1588)</f>
        <v>11961.9544</v>
      </c>
      <c r="E1588" s="17" t="n">
        <f aca="false">AVERAGE(B1389:B1588)</f>
        <v>13020.1576</v>
      </c>
      <c r="F1588" s="17" t="n">
        <f aca="false">B1588*2/13+F1587*11/13</f>
        <v>11123.3381435353</v>
      </c>
      <c r="G1588" s="17" t="n">
        <f aca="false">B1588*2/27+G1587*25/27</f>
        <v>11344.4952153252</v>
      </c>
      <c r="H1588" s="17" t="n">
        <f aca="false">F1588-G1588</f>
        <v>-221.157071789905</v>
      </c>
      <c r="I1588" s="17" t="n">
        <f aca="false">H1588*2/10+I1587*8/10</f>
        <v>-286.583864769599</v>
      </c>
      <c r="J1588" s="17" t="n">
        <f aca="false">H1588-I1588</f>
        <v>65.426792979694</v>
      </c>
      <c r="K1588" s="17" t="n">
        <f aca="false">MAX(B1588-B1587,0)</f>
        <v>263.620000000001</v>
      </c>
      <c r="L1588" s="17" t="n">
        <f aca="false">MAX(B1587-B1588,0)</f>
        <v>0</v>
      </c>
      <c r="M1588" s="17" t="n">
        <f aca="false">(M1587*13+K1588)/14</f>
        <v>87.7191063349059</v>
      </c>
      <c r="N1588" s="17" t="n">
        <f aca="false">(N1587*13+L1588)/14</f>
        <v>91.6912597600226</v>
      </c>
      <c r="O1588" s="17" t="n">
        <f aca="false">IF(N1588=0,100,100-100/(1+M1588/N1588))</f>
        <v>48.8929977928324</v>
      </c>
      <c r="P1588" s="17" t="n">
        <f aca="false">AVERAGE(B1569:B1588)+2*STDEV(B1569:B1588)</f>
        <v>11662.1125539904</v>
      </c>
      <c r="Q1588" s="17" t="n">
        <f aca="false">AVERAGE(B1569:B1588)-2*STDEV(B1569:B1588)</f>
        <v>10634.5254460096</v>
      </c>
      <c r="R1588" s="19" t="n">
        <f aca="false">B1588/B1568-1</f>
        <v>-8.04509496747929E-005</v>
      </c>
      <c r="S1588" s="17" t="n">
        <f aca="false">STDEV(C1569:C1588)*SQRT(252)*100</f>
        <v>33.0987470443818</v>
      </c>
      <c r="T1588" s="19" t="n">
        <f aca="false">B1567/B1337-1</f>
        <v>-0.250954245079964</v>
      </c>
      <c r="U1588" s="19" t="n">
        <f aca="false">B1588/MAX(B1337:B1588)-1</f>
        <v>-0.317558802269187</v>
      </c>
      <c r="V1588" s="17" t="n">
        <f aca="false">(B1588-AVERAGE(B1569:B1588))/STDEV(B1569:B1588)</f>
        <v>0.63064629262757</v>
      </c>
    </row>
    <row r="1589" customFormat="false" ht="15" hidden="false" customHeight="false" outlineLevel="0" collapsed="false">
      <c r="A1589" s="17" t="s">
        <v>2153</v>
      </c>
      <c r="B1589" s="17" t="n">
        <v>11430.26</v>
      </c>
      <c r="C1589" s="19" t="n">
        <f aca="false">B1589/B1588-1</f>
        <v>0.0106035809742069</v>
      </c>
      <c r="D1589" s="17" t="n">
        <f aca="false">AVERAGE(B1540:B1589)</f>
        <v>11919.2422</v>
      </c>
      <c r="E1589" s="17" t="n">
        <f aca="false">AVERAGE(B1390:B1589)</f>
        <v>12998.4821</v>
      </c>
      <c r="F1589" s="17" t="n">
        <f aca="false">B1589*2/13+F1588*11/13</f>
        <v>11170.5568906837</v>
      </c>
      <c r="G1589" s="17" t="n">
        <f aca="false">B1589*2/27+G1588*25/27</f>
        <v>11350.8481623382</v>
      </c>
      <c r="H1589" s="17" t="n">
        <f aca="false">F1589-G1589</f>
        <v>-180.291271654438</v>
      </c>
      <c r="I1589" s="17" t="n">
        <f aca="false">H1589*2/10+I1588*8/10</f>
        <v>-265.325346146567</v>
      </c>
      <c r="J1589" s="17" t="n">
        <f aca="false">H1589-I1589</f>
        <v>85.0340744921288</v>
      </c>
      <c r="K1589" s="17" t="n">
        <f aca="false">MAX(B1589-B1588,0)</f>
        <v>119.93</v>
      </c>
      <c r="L1589" s="17" t="n">
        <f aca="false">MAX(B1588-B1589,0)</f>
        <v>0</v>
      </c>
      <c r="M1589" s="17" t="n">
        <f aca="false">(M1588*13+K1589)/14</f>
        <v>90.0198844538412</v>
      </c>
      <c r="N1589" s="17" t="n">
        <f aca="false">(N1588*13+L1589)/14</f>
        <v>85.1418840628781</v>
      </c>
      <c r="O1589" s="17" t="n">
        <f aca="false">IF(N1589=0,100,100-100/(1+M1589/N1589))</f>
        <v>51.3924272494707</v>
      </c>
      <c r="P1589" s="17" t="n">
        <f aca="false">AVERAGE(B1570:B1589)+2*STDEV(B1570:B1589)</f>
        <v>11684.4176264697</v>
      </c>
      <c r="Q1589" s="17" t="n">
        <f aca="false">AVERAGE(B1570:B1589)-2*STDEV(B1570:B1589)</f>
        <v>10629.8353735303</v>
      </c>
      <c r="R1589" s="19" t="n">
        <f aca="false">B1589/B1569-1</f>
        <v>0.0156520595586855</v>
      </c>
      <c r="S1589" s="17" t="n">
        <f aca="false">STDEV(C1570:C1589)*SQRT(252)*100</f>
        <v>33.2353689492867</v>
      </c>
      <c r="T1589" s="19" t="n">
        <f aca="false">B1568/B1338-1</f>
        <v>-0.270910050734199</v>
      </c>
      <c r="U1589" s="19" t="n">
        <f aca="false">B1589/MAX(B1338:B1589)-1</f>
        <v>-0.310322481768913</v>
      </c>
      <c r="V1589" s="17" t="n">
        <f aca="false">(B1589-AVERAGE(B1570:B1589))/STDEV(B1570:B1589)</f>
        <v>1.03598746987712</v>
      </c>
    </row>
    <row r="1590" customFormat="false" ht="15" hidden="false" customHeight="false" outlineLevel="0" collapsed="false">
      <c r="A1590" s="17" t="s">
        <v>2154</v>
      </c>
      <c r="B1590" s="17" t="n">
        <v>11669.99</v>
      </c>
      <c r="C1590" s="19" t="n">
        <f aca="false">B1590/B1589-1</f>
        <v>0.0209732761984416</v>
      </c>
      <c r="D1590" s="17" t="n">
        <f aca="false">AVERAGE(B1541:B1590)</f>
        <v>11879.2984</v>
      </c>
      <c r="E1590" s="17" t="n">
        <f aca="false">AVERAGE(B1391:B1590)</f>
        <v>12978.8711</v>
      </c>
      <c r="F1590" s="17" t="n">
        <f aca="false">B1590*2/13+F1589*11/13</f>
        <v>11247.3927536555</v>
      </c>
      <c r="G1590" s="17" t="n">
        <f aca="false">B1590*2/27+G1589*25/27</f>
        <v>11374.4882984613</v>
      </c>
      <c r="H1590" s="17" t="n">
        <f aca="false">F1590-G1590</f>
        <v>-127.095544805805</v>
      </c>
      <c r="I1590" s="17" t="n">
        <f aca="false">H1590*2/10+I1589*8/10</f>
        <v>-237.679385878414</v>
      </c>
      <c r="J1590" s="17" t="n">
        <f aca="false">H1590-I1590</f>
        <v>110.583841072609</v>
      </c>
      <c r="K1590" s="17" t="n">
        <f aca="false">MAX(B1590-B1589,0)</f>
        <v>239.73</v>
      </c>
      <c r="L1590" s="17" t="n">
        <f aca="false">MAX(B1589-B1590,0)</f>
        <v>0</v>
      </c>
      <c r="M1590" s="17" t="n">
        <f aca="false">(M1589*13+K1590)/14</f>
        <v>100.71346413571</v>
      </c>
      <c r="N1590" s="17" t="n">
        <f aca="false">(N1589*13+L1590)/14</f>
        <v>79.0603209155297</v>
      </c>
      <c r="O1590" s="17" t="n">
        <f aca="false">IF(N1590=0,100,100-100/(1+M1590/N1590))</f>
        <v>56.0223305678323</v>
      </c>
      <c r="P1590" s="17" t="n">
        <f aca="false">AVERAGE(B1571:B1590)+2*STDEV(B1571:B1590)</f>
        <v>11750.6019403043</v>
      </c>
      <c r="Q1590" s="17" t="n">
        <f aca="false">AVERAGE(B1571:B1590)-2*STDEV(B1571:B1590)</f>
        <v>10603.4750596957</v>
      </c>
      <c r="R1590" s="19" t="n">
        <f aca="false">B1590/B1570-1</f>
        <v>0.035330804888327</v>
      </c>
      <c r="S1590" s="17" t="n">
        <f aca="false">STDEV(C1571:C1590)*SQRT(252)*100</f>
        <v>33.9858232058034</v>
      </c>
      <c r="T1590" s="19" t="n">
        <f aca="false">B1569/B1339-1</f>
        <v>-0.276704442112177</v>
      </c>
      <c r="U1590" s="19" t="n">
        <f aca="false">B1590/MAX(B1339:B1590)-1</f>
        <v>-0.295857684691197</v>
      </c>
      <c r="V1590" s="17" t="n">
        <f aca="false">(B1590-AVERAGE(B1571:B1590))/STDEV(B1571:B1590)</f>
        <v>1.71890837302491</v>
      </c>
    </row>
    <row r="1591" customFormat="false" ht="15" hidden="false" customHeight="false" outlineLevel="0" collapsed="false">
      <c r="A1591" s="17" t="s">
        <v>2155</v>
      </c>
      <c r="B1591" s="17" t="n">
        <v>11405.9</v>
      </c>
      <c r="C1591" s="19" t="n">
        <f aca="false">B1591/B1590-1</f>
        <v>-0.0226298394428787</v>
      </c>
      <c r="D1591" s="17" t="n">
        <f aca="false">AVERAGE(B1542:B1591)</f>
        <v>11834.7122</v>
      </c>
      <c r="E1591" s="17" t="n">
        <f aca="false">AVERAGE(B1392:B1591)</f>
        <v>12957.82845</v>
      </c>
      <c r="F1591" s="17" t="n">
        <f aca="false">B1591*2/13+F1590*11/13</f>
        <v>11271.7784838623</v>
      </c>
      <c r="G1591" s="17" t="n">
        <f aca="false">B1591*2/27+G1590*25/27</f>
        <v>11376.8150911679</v>
      </c>
      <c r="H1591" s="17" t="n">
        <f aca="false">F1591-G1591</f>
        <v>-105.036607305527</v>
      </c>
      <c r="I1591" s="17" t="n">
        <f aca="false">H1591*2/10+I1590*8/10</f>
        <v>-211.150830163837</v>
      </c>
      <c r="J1591" s="17" t="n">
        <f aca="false">H1591-I1591</f>
        <v>106.11422285831</v>
      </c>
      <c r="K1591" s="17" t="n">
        <f aca="false">MAX(B1591-B1590,0)</f>
        <v>0</v>
      </c>
      <c r="L1591" s="17" t="n">
        <f aca="false">MAX(B1590-B1591,0)</f>
        <v>264.09</v>
      </c>
      <c r="M1591" s="17" t="n">
        <f aca="false">(M1590*13+K1591)/14</f>
        <v>93.5196452688733</v>
      </c>
      <c r="N1591" s="17" t="n">
        <f aca="false">(N1590*13+L1591)/14</f>
        <v>92.2767265644204</v>
      </c>
      <c r="O1591" s="17" t="n">
        <f aca="false">IF(N1591=0,100,100-100/(1+M1591/N1591))</f>
        <v>50.3344841161829</v>
      </c>
      <c r="P1591" s="17" t="n">
        <f aca="false">AVERAGE(B1572:B1591)+2*STDEV(B1572:B1591)</f>
        <v>11737.2593352896</v>
      </c>
      <c r="Q1591" s="17" t="n">
        <f aca="false">AVERAGE(B1572:B1591)-2*STDEV(B1572:B1591)</f>
        <v>10608.0246647104</v>
      </c>
      <c r="R1591" s="19" t="n">
        <f aca="false">B1591/B1571-1</f>
        <v>-0.00765019145054346</v>
      </c>
      <c r="S1591" s="17" t="n">
        <f aca="false">STDEV(C1572:C1591)*SQRT(252)*100</f>
        <v>34.3736651985762</v>
      </c>
      <c r="T1591" s="19" t="n">
        <f aca="false">B1570/B1340-1</f>
        <v>-0.27737734471314</v>
      </c>
      <c r="U1591" s="19" t="n">
        <f aca="false">B1591/MAX(B1340:B1591)-1</f>
        <v>-0.311792312231572</v>
      </c>
      <c r="V1591" s="17" t="n">
        <f aca="false">(B1591-AVERAGE(B1572:B1591))/STDEV(B1572:B1591)</f>
        <v>0.82625164131873</v>
      </c>
    </row>
    <row r="1592" customFormat="false" ht="15" hidden="false" customHeight="false" outlineLevel="0" collapsed="false">
      <c r="A1592" s="17" t="s">
        <v>2156</v>
      </c>
      <c r="B1592" s="17" t="n">
        <v>11191.63</v>
      </c>
      <c r="C1592" s="19" t="n">
        <f aca="false">B1592/B1591-1</f>
        <v>-0.0187858915122875</v>
      </c>
      <c r="D1592" s="17" t="n">
        <f aca="false">AVERAGE(B1543:B1592)</f>
        <v>11789.1276</v>
      </c>
      <c r="E1592" s="17" t="n">
        <f aca="false">AVERAGE(B1393:B1592)</f>
        <v>12934.566</v>
      </c>
      <c r="F1592" s="17" t="n">
        <f aca="false">B1592*2/13+F1591*11/13</f>
        <v>11259.4479478835</v>
      </c>
      <c r="G1592" s="17" t="n">
        <f aca="false">B1592*2/27+G1591*25/27</f>
        <v>11363.0976770073</v>
      </c>
      <c r="H1592" s="17" t="n">
        <f aca="false">F1592-G1592</f>
        <v>-103.649729123763</v>
      </c>
      <c r="I1592" s="17" t="n">
        <f aca="false">H1592*2/10+I1591*8/10</f>
        <v>-189.650609955822</v>
      </c>
      <c r="J1592" s="17" t="n">
        <f aca="false">H1592-I1592</f>
        <v>86.0008808320591</v>
      </c>
      <c r="K1592" s="17" t="n">
        <f aca="false">MAX(B1592-B1591,0)</f>
        <v>0</v>
      </c>
      <c r="L1592" s="17" t="n">
        <f aca="false">MAX(B1591-B1592,0)</f>
        <v>214.27</v>
      </c>
      <c r="M1592" s="17" t="n">
        <f aca="false">(M1591*13+K1592)/14</f>
        <v>86.8396706068109</v>
      </c>
      <c r="N1592" s="17" t="n">
        <f aca="false">(N1591*13+L1592)/14</f>
        <v>100.990531809819</v>
      </c>
      <c r="O1592" s="17" t="n">
        <f aca="false">IF(N1592=0,100,100-100/(1+M1592/N1592))</f>
        <v>46.2330708744008</v>
      </c>
      <c r="P1592" s="17" t="n">
        <f aca="false">AVERAGE(B1573:B1592)+2*STDEV(B1573:B1592)</f>
        <v>11738.6508066188</v>
      </c>
      <c r="Q1592" s="17" t="n">
        <f aca="false">AVERAGE(B1573:B1592)-2*STDEV(B1573:B1592)</f>
        <v>10609.3181933812</v>
      </c>
      <c r="R1592" s="19" t="n">
        <f aca="false">B1592/B1572-1</f>
        <v>0.00240488392964289</v>
      </c>
      <c r="S1592" s="17" t="n">
        <f aca="false">STDEV(C1573:C1592)*SQRT(252)*100</f>
        <v>33.4578961470155</v>
      </c>
      <c r="T1592" s="19" t="n">
        <f aca="false">B1571/B1341-1</f>
        <v>-0.27153546421129</v>
      </c>
      <c r="U1592" s="19" t="n">
        <f aca="false">B1592/MAX(B1341:B1592)-1</f>
        <v>-0.324720907191912</v>
      </c>
      <c r="V1592" s="17" t="n">
        <f aca="false">(B1592-AVERAGE(B1573:B1592))/STDEV(B1573:B1592)</f>
        <v>0.0624988592135381</v>
      </c>
    </row>
    <row r="1593" customFormat="false" ht="15" hidden="false" customHeight="false" outlineLevel="0" collapsed="false">
      <c r="A1593" s="17" t="s">
        <v>2157</v>
      </c>
      <c r="B1593" s="17" t="n">
        <v>11546.21</v>
      </c>
      <c r="C1593" s="19" t="n">
        <f aca="false">B1593/B1592-1</f>
        <v>0.0316826056615525</v>
      </c>
      <c r="D1593" s="17" t="n">
        <f aca="false">AVERAGE(B1544:B1593)</f>
        <v>11749.932</v>
      </c>
      <c r="E1593" s="17" t="n">
        <f aca="false">AVERAGE(B1394:B1593)</f>
        <v>12912.77155</v>
      </c>
      <c r="F1593" s="17" t="n">
        <f aca="false">B1593*2/13+F1592*11/13</f>
        <v>11303.5651866707</v>
      </c>
      <c r="G1593" s="17" t="n">
        <f aca="false">B1593*2/27+G1592*25/27</f>
        <v>11376.6615527845</v>
      </c>
      <c r="H1593" s="17" t="n">
        <f aca="false">F1593-G1593</f>
        <v>-73.0963661138485</v>
      </c>
      <c r="I1593" s="17" t="n">
        <f aca="false">H1593*2/10+I1592*8/10</f>
        <v>-166.339761187427</v>
      </c>
      <c r="J1593" s="17" t="n">
        <f aca="false">H1593-I1593</f>
        <v>93.2433950735788</v>
      </c>
      <c r="K1593" s="17" t="n">
        <f aca="false">MAX(B1593-B1592,0)</f>
        <v>354.58</v>
      </c>
      <c r="L1593" s="17" t="n">
        <f aca="false">MAX(B1592-B1593,0)</f>
        <v>0</v>
      </c>
      <c r="M1593" s="17" t="n">
        <f aca="false">(M1592*13+K1593)/14</f>
        <v>105.963979849182</v>
      </c>
      <c r="N1593" s="17" t="n">
        <f aca="false">(N1592*13+L1593)/14</f>
        <v>93.7769223948319</v>
      </c>
      <c r="O1593" s="17" t="n">
        <f aca="false">IF(N1593=0,100,100-100/(1+M1593/N1593))</f>
        <v>53.0507165326262</v>
      </c>
      <c r="P1593" s="17" t="n">
        <f aca="false">AVERAGE(B1574:B1593)+2*STDEV(B1574:B1593)</f>
        <v>11782.2866196681</v>
      </c>
      <c r="Q1593" s="17" t="n">
        <f aca="false">AVERAGE(B1574:B1593)-2*STDEV(B1574:B1593)</f>
        <v>10623.1813803319</v>
      </c>
      <c r="R1593" s="19" t="n">
        <f aca="false">B1593/B1573-1</f>
        <v>0.0524089390241012</v>
      </c>
      <c r="S1593" s="17" t="n">
        <f aca="false">STDEV(C1574:C1593)*SQRT(252)*100</f>
        <v>34.5320193923174</v>
      </c>
      <c r="T1593" s="19" t="n">
        <f aca="false">B1572/B1342-1</f>
        <v>-0.295618363367143</v>
      </c>
      <c r="U1593" s="19" t="n">
        <f aca="false">B1593/MAX(B1342:B1593)-1</f>
        <v>-0.303326305982982</v>
      </c>
      <c r="V1593" s="17" t="n">
        <f aca="false">(B1593-AVERAGE(B1574:B1593))/STDEV(B1574:B1593)</f>
        <v>1.18531428672231</v>
      </c>
    </row>
    <row r="1594" customFormat="false" ht="15" hidden="false" customHeight="false" outlineLevel="0" collapsed="false">
      <c r="A1594" s="17" t="s">
        <v>2158</v>
      </c>
      <c r="B1594" s="17" t="n">
        <v>11405.57</v>
      </c>
      <c r="C1594" s="19" t="n">
        <f aca="false">B1594/B1593-1</f>
        <v>-0.0121806203074428</v>
      </c>
      <c r="D1594" s="17" t="n">
        <f aca="false">AVERAGE(B1545:B1594)</f>
        <v>11713.1854</v>
      </c>
      <c r="E1594" s="17" t="n">
        <f aca="false">AVERAGE(B1395:B1594)</f>
        <v>12892.3213</v>
      </c>
      <c r="F1594" s="17" t="n">
        <f aca="false">B1594*2/13+F1593*11/13</f>
        <v>11319.2582348752</v>
      </c>
      <c r="G1594" s="17" t="n">
        <f aca="false">B1594*2/27+G1593*25/27</f>
        <v>11378.8029192449</v>
      </c>
      <c r="H1594" s="17" t="n">
        <f aca="false">F1594-G1594</f>
        <v>-59.5446843697409</v>
      </c>
      <c r="I1594" s="17" t="n">
        <f aca="false">H1594*2/10+I1593*8/10</f>
        <v>-144.98074582389</v>
      </c>
      <c r="J1594" s="17" t="n">
        <f aca="false">H1594-I1594</f>
        <v>85.4360614541491</v>
      </c>
      <c r="K1594" s="17" t="n">
        <f aca="false">MAX(B1594-B1593,0)</f>
        <v>0</v>
      </c>
      <c r="L1594" s="17" t="n">
        <f aca="false">MAX(B1593-B1594,0)</f>
        <v>140.639999999999</v>
      </c>
      <c r="M1594" s="17" t="n">
        <f aca="false">(M1593*13+K1594)/14</f>
        <v>98.3951241456686</v>
      </c>
      <c r="N1594" s="17" t="n">
        <f aca="false">(N1593*13+L1594)/14</f>
        <v>97.1242850809153</v>
      </c>
      <c r="O1594" s="17" t="n">
        <f aca="false">IF(N1594=0,100,100-100/(1+M1594/N1594))</f>
        <v>50.3249905136734</v>
      </c>
      <c r="P1594" s="17" t="n">
        <f aca="false">AVERAGE(B1575:B1594)+2*STDEV(B1575:B1594)</f>
        <v>11798.095609757</v>
      </c>
      <c r="Q1594" s="17" t="n">
        <f aca="false">AVERAGE(B1575:B1594)-2*STDEV(B1575:B1594)</f>
        <v>10624.956390243</v>
      </c>
      <c r="R1594" s="19" t="n">
        <f aca="false">B1594/B1574-1</f>
        <v>0.0156584352428777</v>
      </c>
      <c r="S1594" s="17" t="n">
        <f aca="false">STDEV(C1575:C1594)*SQRT(252)*100</f>
        <v>34.0059992280575</v>
      </c>
      <c r="T1594" s="19" t="n">
        <f aca="false">B1573/B1343-1</f>
        <v>-0.310215224126831</v>
      </c>
      <c r="U1594" s="19" t="n">
        <f aca="false">B1594/MAX(B1343:B1594)-1</f>
        <v>-0.311812223727987</v>
      </c>
      <c r="V1594" s="17" t="n">
        <f aca="false">(B1594-AVERAGE(B1575:B1594))/STDEV(B1575:B1594)</f>
        <v>0.661623093908236</v>
      </c>
    </row>
    <row r="1595" customFormat="false" ht="15" hidden="false" customHeight="false" outlineLevel="0" collapsed="false">
      <c r="A1595" s="17" t="s">
        <v>2159</v>
      </c>
      <c r="B1595" s="17" t="n">
        <v>11288.95</v>
      </c>
      <c r="C1595" s="19" t="n">
        <f aca="false">B1595/B1594-1</f>
        <v>-0.0102248287459548</v>
      </c>
      <c r="D1595" s="17" t="n">
        <f aca="false">AVERAGE(B1546:B1595)</f>
        <v>11681.1536</v>
      </c>
      <c r="E1595" s="17" t="n">
        <f aca="false">AVERAGE(B1396:B1595)</f>
        <v>12870.7081</v>
      </c>
      <c r="F1595" s="17" t="n">
        <f aca="false">B1595*2/13+F1594*11/13</f>
        <v>11314.5954295098</v>
      </c>
      <c r="G1595" s="17" t="n">
        <f aca="false">B1595*2/27+G1594*25/27</f>
        <v>11372.147147449</v>
      </c>
      <c r="H1595" s="17" t="n">
        <f aca="false">F1595-G1595</f>
        <v>-57.5517179392318</v>
      </c>
      <c r="I1595" s="17" t="n">
        <f aca="false">H1595*2/10+I1594*8/10</f>
        <v>-127.494940246958</v>
      </c>
      <c r="J1595" s="17" t="n">
        <f aca="false">H1595-I1595</f>
        <v>69.9432223077266</v>
      </c>
      <c r="K1595" s="17" t="n">
        <f aca="false">MAX(B1595-B1594,0)</f>
        <v>0</v>
      </c>
      <c r="L1595" s="17" t="n">
        <f aca="false">MAX(B1594-B1595,0)</f>
        <v>116.619999999999</v>
      </c>
      <c r="M1595" s="17" t="n">
        <f aca="false">(M1594*13+K1595)/14</f>
        <v>91.3669009924065</v>
      </c>
      <c r="N1595" s="17" t="n">
        <f aca="false">(N1594*13+L1595)/14</f>
        <v>98.5168361465642</v>
      </c>
      <c r="O1595" s="17" t="n">
        <f aca="false">IF(N1595=0,100,100-100/(1+M1595/N1595))</f>
        <v>48.1172860662299</v>
      </c>
      <c r="P1595" s="17" t="n">
        <f aca="false">AVERAGE(B1576:B1595)+2*STDEV(B1576:B1595)</f>
        <v>11758.4863718518</v>
      </c>
      <c r="Q1595" s="17" t="n">
        <f aca="false">AVERAGE(B1576:B1595)-2*STDEV(B1576:B1595)</f>
        <v>10635.2066281482</v>
      </c>
      <c r="R1595" s="19" t="n">
        <f aca="false">B1595/B1575-1</f>
        <v>-0.0253476353200593</v>
      </c>
      <c r="S1595" s="17" t="n">
        <f aca="false">STDEV(C1576:C1595)*SQRT(252)*100</f>
        <v>32.2311892320058</v>
      </c>
      <c r="T1595" s="19" t="n">
        <f aca="false">B1574/B1344-1</f>
        <v>-0.296933039244351</v>
      </c>
      <c r="U1595" s="19" t="n">
        <f aca="false">B1595/MAX(B1344:B1595)-1</f>
        <v>-0.318848825885428</v>
      </c>
      <c r="V1595" s="17" t="n">
        <f aca="false">(B1595-AVERAGE(B1576:B1595))/STDEV(B1576:B1595)</f>
        <v>0.327980631775045</v>
      </c>
    </row>
    <row r="1596" customFormat="false" ht="15" hidden="false" customHeight="false" outlineLevel="0" collapsed="false">
      <c r="A1596" s="17" t="s">
        <v>2160</v>
      </c>
      <c r="B1596" s="17" t="n">
        <v>10906.34</v>
      </c>
      <c r="C1596" s="19" t="n">
        <f aca="false">B1596/B1595-1</f>
        <v>-0.033892434637411</v>
      </c>
      <c r="D1596" s="17" t="n">
        <f aca="false">AVERAGE(B1547:B1596)</f>
        <v>11641.6446</v>
      </c>
      <c r="E1596" s="17" t="n">
        <f aca="false">AVERAGE(B1397:B1596)</f>
        <v>12849.186</v>
      </c>
      <c r="F1596" s="17" t="n">
        <f aca="false">B1596*2/13+F1595*11/13</f>
        <v>11251.7869018929</v>
      </c>
      <c r="G1596" s="17" t="n">
        <f aca="false">B1596*2/27+G1595*25/27</f>
        <v>11337.6429143046</v>
      </c>
      <c r="H1596" s="17" t="n">
        <f aca="false">F1596-G1596</f>
        <v>-85.8560124117485</v>
      </c>
      <c r="I1596" s="17" t="n">
        <f aca="false">H1596*2/10+I1595*8/10</f>
        <v>-119.167154679916</v>
      </c>
      <c r="J1596" s="17" t="n">
        <f aca="false">H1596-I1596</f>
        <v>33.3111422681679</v>
      </c>
      <c r="K1596" s="17" t="n">
        <f aca="false">MAX(B1596-B1595,0)</f>
        <v>0</v>
      </c>
      <c r="L1596" s="17" t="n">
        <f aca="false">MAX(B1595-B1596,0)</f>
        <v>382.610000000001</v>
      </c>
      <c r="M1596" s="17" t="n">
        <f aca="false">(M1595*13+K1596)/14</f>
        <v>84.8406937786632</v>
      </c>
      <c r="N1596" s="17" t="n">
        <f aca="false">(N1595*13+L1596)/14</f>
        <v>118.809204993238</v>
      </c>
      <c r="O1596" s="17" t="n">
        <f aca="false">IF(N1596=0,100,100-100/(1+M1596/N1596))</f>
        <v>41.6600716672534</v>
      </c>
      <c r="P1596" s="17" t="n">
        <f aca="false">AVERAGE(B1577:B1596)+2*STDEV(B1577:B1596)</f>
        <v>11710.0477492917</v>
      </c>
      <c r="Q1596" s="17" t="n">
        <f aca="false">AVERAGE(B1577:B1596)-2*STDEV(B1577:B1596)</f>
        <v>10616.9612507083</v>
      </c>
      <c r="R1596" s="19" t="n">
        <f aca="false">B1596/B1576-1</f>
        <v>-0.0576194269854958</v>
      </c>
      <c r="S1596" s="17" t="n">
        <f aca="false">STDEV(C1577:C1596)*SQRT(252)*100</f>
        <v>34.2683026529593</v>
      </c>
      <c r="T1596" s="19" t="n">
        <f aca="false">B1575/B1345-1</f>
        <v>-0.282570534857072</v>
      </c>
      <c r="U1596" s="19" t="n">
        <f aca="false">B1596/MAX(B1345:B1596)-1</f>
        <v>-0.341934697532302</v>
      </c>
      <c r="V1596" s="17" t="n">
        <f aca="false">(B1596-AVERAGE(B1577:B1596))/STDEV(B1577:B1596)</f>
        <v>-0.941058188288962</v>
      </c>
    </row>
    <row r="1597" customFormat="false" ht="15" hidden="false" customHeight="false" outlineLevel="0" collapsed="false">
      <c r="A1597" s="17" t="s">
        <v>2161</v>
      </c>
      <c r="B1597" s="17" t="n">
        <v>10690.6</v>
      </c>
      <c r="C1597" s="19" t="n">
        <f aca="false">B1597/B1596-1</f>
        <v>-0.019781154814539</v>
      </c>
      <c r="D1597" s="17" t="n">
        <f aca="false">AVERAGE(B1548:B1597)</f>
        <v>11597.0994</v>
      </c>
      <c r="E1597" s="17" t="n">
        <f aca="false">AVERAGE(B1398:B1597)</f>
        <v>12827.3998</v>
      </c>
      <c r="F1597" s="17" t="n">
        <f aca="false">B1597*2/13+F1596*11/13</f>
        <v>11165.4504554478</v>
      </c>
      <c r="G1597" s="17" t="n">
        <f aca="false">B1597*2/27+G1596*25/27</f>
        <v>11289.7138095413</v>
      </c>
      <c r="H1597" s="17" t="n">
        <f aca="false">F1597-G1597</f>
        <v>-124.263354093498</v>
      </c>
      <c r="I1597" s="17" t="n">
        <f aca="false">H1597*2/10+I1596*8/10</f>
        <v>-120.186394562633</v>
      </c>
      <c r="J1597" s="17" t="n">
        <f aca="false">H1597-I1597</f>
        <v>-4.07695953086568</v>
      </c>
      <c r="K1597" s="17" t="n">
        <f aca="false">MAX(B1597-B1596,0)</f>
        <v>0</v>
      </c>
      <c r="L1597" s="17" t="n">
        <f aca="false">MAX(B1596-B1597,0)</f>
        <v>215.74</v>
      </c>
      <c r="M1597" s="17" t="n">
        <f aca="false">(M1596*13+K1597)/14</f>
        <v>78.7806442230444</v>
      </c>
      <c r="N1597" s="17" t="n">
        <f aca="false">(N1596*13+L1597)/14</f>
        <v>125.732833208007</v>
      </c>
      <c r="O1597" s="17" t="n">
        <f aca="false">IF(N1597=0,100,100-100/(1+M1597/N1597))</f>
        <v>38.5210037072516</v>
      </c>
      <c r="P1597" s="17" t="n">
        <f aca="false">AVERAGE(B1578:B1597)+2*STDEV(B1578:B1597)</f>
        <v>11687.0645028266</v>
      </c>
      <c r="Q1597" s="17" t="n">
        <f aca="false">AVERAGE(B1578:B1597)-2*STDEV(B1578:B1597)</f>
        <v>10560.4544971734</v>
      </c>
      <c r="R1597" s="19" t="n">
        <f aca="false">B1597/B1577-1</f>
        <v>-0.0692090026555221</v>
      </c>
      <c r="S1597" s="17" t="n">
        <f aca="false">STDEV(C1578:C1597)*SQRT(252)*100</f>
        <v>34.7669169007247</v>
      </c>
      <c r="T1597" s="19" t="n">
        <f aca="false">B1576/B1346-1</f>
        <v>-0.291997425707686</v>
      </c>
      <c r="U1597" s="19" t="n">
        <f aca="false">B1597/MAX(B1346:B1597)-1</f>
        <v>-0.354951989158492</v>
      </c>
      <c r="V1597" s="17" t="n">
        <f aca="false">(B1597-AVERAGE(B1578:B1597))/STDEV(B1578:B1597)</f>
        <v>-1.53792172207403</v>
      </c>
    </row>
    <row r="1598" customFormat="false" ht="15" hidden="false" customHeight="false" outlineLevel="0" collapsed="false">
      <c r="A1598" s="17" t="s">
        <v>2162</v>
      </c>
      <c r="B1598" s="17" t="n">
        <v>10857.03</v>
      </c>
      <c r="C1598" s="19" t="n">
        <f aca="false">B1598/B1597-1</f>
        <v>0.0155678820646175</v>
      </c>
      <c r="D1598" s="17" t="n">
        <f aca="false">AVERAGE(B1549:B1598)</f>
        <v>11551.3684</v>
      </c>
      <c r="E1598" s="17" t="n">
        <f aca="false">AVERAGE(B1399:B1598)</f>
        <v>12807.45265</v>
      </c>
      <c r="F1598" s="17" t="n">
        <f aca="false">B1598*2/13+F1597*11/13</f>
        <v>11118.0011546097</v>
      </c>
      <c r="G1598" s="17" t="n">
        <f aca="false">B1598*2/27+G1597*25/27</f>
        <v>11257.6631569827</v>
      </c>
      <c r="H1598" s="17" t="n">
        <f aca="false">F1598-G1598</f>
        <v>-139.662002373008</v>
      </c>
      <c r="I1598" s="17" t="n">
        <f aca="false">H1598*2/10+I1597*8/10</f>
        <v>-124.081516124708</v>
      </c>
      <c r="J1598" s="17" t="n">
        <f aca="false">H1598-I1598</f>
        <v>-15.5804862483004</v>
      </c>
      <c r="K1598" s="17" t="n">
        <f aca="false">MAX(B1598-B1597,0)</f>
        <v>166.43</v>
      </c>
      <c r="L1598" s="17" t="n">
        <f aca="false">MAX(B1597-B1598,0)</f>
        <v>0</v>
      </c>
      <c r="M1598" s="17" t="n">
        <f aca="false">(M1597*13+K1598)/14</f>
        <v>85.041312492827</v>
      </c>
      <c r="N1598" s="17" t="n">
        <f aca="false">(N1597*13+L1598)/14</f>
        <v>116.751916550292</v>
      </c>
      <c r="O1598" s="17" t="n">
        <f aca="false">IF(N1598=0,100,100-100/(1+M1598/N1598))</f>
        <v>42.1427978015335</v>
      </c>
      <c r="P1598" s="17" t="n">
        <f aca="false">AVERAGE(B1579:B1598)+2*STDEV(B1579:B1598)</f>
        <v>11689.4803047233</v>
      </c>
      <c r="Q1598" s="17" t="n">
        <f aca="false">AVERAGE(B1579:B1598)-2*STDEV(B1579:B1598)</f>
        <v>10539.7946952767</v>
      </c>
      <c r="R1598" s="19" t="n">
        <f aca="false">B1598/B1578-1</f>
        <v>-0.0165261556940686</v>
      </c>
      <c r="S1598" s="17" t="n">
        <f aca="false">STDEV(C1579:C1598)*SQRT(252)*100</f>
        <v>32.7047787504491</v>
      </c>
      <c r="T1598" s="19" t="n">
        <f aca="false">B1577/B1347-1</f>
        <v>-0.297925716011242</v>
      </c>
      <c r="U1598" s="19" t="n">
        <f aca="false">B1598/MAX(B1347:B1598)-1</f>
        <v>-0.344909957799695</v>
      </c>
      <c r="V1598" s="17" t="n">
        <f aca="false">(B1598-AVERAGE(B1579:B1598))/STDEV(B1579:B1598)</f>
        <v>-0.89627111232267</v>
      </c>
    </row>
    <row r="1599" customFormat="false" ht="15" hidden="false" customHeight="false" outlineLevel="0" collapsed="false">
      <c r="A1599" s="17" t="s">
        <v>2163</v>
      </c>
      <c r="B1599" s="17" t="n">
        <v>10977</v>
      </c>
      <c r="C1599" s="19" t="n">
        <f aca="false">B1599/B1598-1</f>
        <v>0.0110499832827209</v>
      </c>
      <c r="D1599" s="17" t="n">
        <f aca="false">AVERAGE(B1550:B1599)</f>
        <v>11518.805</v>
      </c>
      <c r="E1599" s="17" t="n">
        <f aca="false">AVERAGE(B1400:B1599)</f>
        <v>12790.14565</v>
      </c>
      <c r="F1599" s="17" t="n">
        <f aca="false">B1599*2/13+F1598*11/13</f>
        <v>11096.3086692851</v>
      </c>
      <c r="G1599" s="17" t="n">
        <f aca="false">B1599*2/27+G1598*25/27</f>
        <v>11236.8732935025</v>
      </c>
      <c r="H1599" s="17" t="n">
        <f aca="false">F1599-G1599</f>
        <v>-140.564624217375</v>
      </c>
      <c r="I1599" s="17" t="n">
        <f aca="false">H1599*2/10+I1598*8/10</f>
        <v>-127.378137743241</v>
      </c>
      <c r="J1599" s="17" t="n">
        <f aca="false">H1599-I1599</f>
        <v>-13.1864864741339</v>
      </c>
      <c r="K1599" s="17" t="n">
        <f aca="false">MAX(B1599-B1598,0)</f>
        <v>119.969999999999</v>
      </c>
      <c r="L1599" s="17" t="n">
        <f aca="false">MAX(B1598-B1599,0)</f>
        <v>0</v>
      </c>
      <c r="M1599" s="17" t="n">
        <f aca="false">(M1598*13+K1599)/14</f>
        <v>87.5362187433393</v>
      </c>
      <c r="N1599" s="17" t="n">
        <f aca="false">(N1598*13+L1599)/14</f>
        <v>108.412493939557</v>
      </c>
      <c r="O1599" s="17" t="n">
        <f aca="false">IF(N1599=0,100,100-100/(1+M1599/N1599))</f>
        <v>44.6730256835109</v>
      </c>
      <c r="P1599" s="17" t="n">
        <f aca="false">AVERAGE(B1580:B1599)+2*STDEV(B1580:B1599)</f>
        <v>11688.9707803764</v>
      </c>
      <c r="Q1599" s="17" t="n">
        <f aca="false">AVERAGE(B1580:B1599)-2*STDEV(B1580:B1599)</f>
        <v>10545.3072196236</v>
      </c>
      <c r="R1599" s="19" t="n">
        <f aca="false">B1599/B1579-1</f>
        <v>0.00457857942320694</v>
      </c>
      <c r="S1599" s="17" t="n">
        <f aca="false">STDEV(C1580:C1599)*SQRT(252)*100</f>
        <v>32.7504152608405</v>
      </c>
      <c r="T1599" s="19" t="n">
        <f aca="false">B1578/B1348-1</f>
        <v>-0.324225653356415</v>
      </c>
      <c r="U1599" s="19" t="n">
        <f aca="false">B1599/MAX(B1348:B1599)-1</f>
        <v>-0.337671223784705</v>
      </c>
      <c r="V1599" s="17" t="n">
        <f aca="false">(B1599-AVERAGE(B1580:B1599))/STDEV(B1580:B1599)</f>
        <v>-0.490140649083056</v>
      </c>
    </row>
    <row r="1600" customFormat="false" ht="15" hidden="false" customHeight="false" outlineLevel="0" collapsed="false">
      <c r="A1600" s="17" t="s">
        <v>2164</v>
      </c>
      <c r="B1600" s="17" t="n">
        <v>11059.5</v>
      </c>
      <c r="C1600" s="19" t="n">
        <f aca="false">B1600/B1599-1</f>
        <v>0.00751571467614109</v>
      </c>
      <c r="D1600" s="17" t="n">
        <f aca="false">AVERAGE(B1551:B1600)</f>
        <v>11490.3086</v>
      </c>
      <c r="E1600" s="17" t="n">
        <f aca="false">AVERAGE(B1401:B1600)</f>
        <v>12772.89525</v>
      </c>
      <c r="F1600" s="17" t="n">
        <f aca="false">B1600*2/13+F1599*11/13</f>
        <v>11090.6457970874</v>
      </c>
      <c r="G1600" s="17" t="n">
        <f aca="false">B1600*2/27+G1599*25/27</f>
        <v>11223.7345310208</v>
      </c>
      <c r="H1600" s="17" t="n">
        <f aca="false">F1600-G1600</f>
        <v>-133.08873393342</v>
      </c>
      <c r="I1600" s="17" t="n">
        <f aca="false">H1600*2/10+I1599*8/10</f>
        <v>-128.520256981277</v>
      </c>
      <c r="J1600" s="17" t="n">
        <f aca="false">H1600-I1600</f>
        <v>-4.56847695214319</v>
      </c>
      <c r="K1600" s="17" t="n">
        <f aca="false">MAX(B1600-B1599,0)</f>
        <v>82.5</v>
      </c>
      <c r="L1600" s="17" t="n">
        <f aca="false">MAX(B1599-B1600,0)</f>
        <v>0</v>
      </c>
      <c r="M1600" s="17" t="n">
        <f aca="false">(M1599*13+K1600)/14</f>
        <v>87.1764888331008</v>
      </c>
      <c r="N1600" s="17" t="n">
        <f aca="false">(N1599*13+L1600)/14</f>
        <v>100.668744372446</v>
      </c>
      <c r="O1600" s="17" t="n">
        <f aca="false">IF(N1600=0,100,100-100/(1+M1600/N1600))</f>
        <v>46.4086776893132</v>
      </c>
      <c r="P1600" s="17" t="n">
        <f aca="false">AVERAGE(B1581:B1600)+2*STDEV(B1581:B1600)</f>
        <v>11682.4424836504</v>
      </c>
      <c r="Q1600" s="17" t="n">
        <f aca="false">AVERAGE(B1581:B1600)-2*STDEV(B1581:B1600)</f>
        <v>10578.6505163496</v>
      </c>
      <c r="R1600" s="19" t="n">
        <f aca="false">B1600/B1580-1</f>
        <v>0.0248486055961488</v>
      </c>
      <c r="S1600" s="17" t="n">
        <f aca="false">STDEV(C1581:C1600)*SQRT(252)*100</f>
        <v>32.4767819011201</v>
      </c>
      <c r="T1600" s="19" t="n">
        <f aca="false">B1579/B1349-1</f>
        <v>-0.326324881596356</v>
      </c>
      <c r="U1600" s="19" t="n">
        <f aca="false">B1600/MAX(B1349:B1600)-1</f>
        <v>-0.332693349680873</v>
      </c>
      <c r="V1600" s="17" t="n">
        <f aca="false">(B1600-AVERAGE(B1581:B1600))/STDEV(B1581:B1600)</f>
        <v>-0.257463370289723</v>
      </c>
    </row>
    <row r="1601" customFormat="false" ht="15" hidden="false" customHeight="false" outlineLevel="0" collapsed="false">
      <c r="A1601" s="17" t="s">
        <v>2165</v>
      </c>
      <c r="B1601" s="17" t="n">
        <v>10797.55</v>
      </c>
      <c r="C1601" s="19" t="n">
        <f aca="false">B1601/B1600-1</f>
        <v>-0.0236855192368552</v>
      </c>
      <c r="D1601" s="17" t="n">
        <f aca="false">AVERAGE(B1552:B1601)</f>
        <v>11459.4056</v>
      </c>
      <c r="E1601" s="17" t="n">
        <f aca="false">AVERAGE(B1402:B1601)</f>
        <v>12756.1374</v>
      </c>
      <c r="F1601" s="17" t="n">
        <f aca="false">B1601*2/13+F1600*11/13</f>
        <v>11045.554135997</v>
      </c>
      <c r="G1601" s="17" t="n">
        <f aca="false">B1601*2/27+G1600*25/27</f>
        <v>11192.1653065008</v>
      </c>
      <c r="H1601" s="17" t="n">
        <f aca="false">F1601-G1601</f>
        <v>-146.611170503731</v>
      </c>
      <c r="I1601" s="17" t="n">
        <f aca="false">H1601*2/10+I1600*8/10</f>
        <v>-132.138439685768</v>
      </c>
      <c r="J1601" s="17" t="n">
        <f aca="false">H1601-I1601</f>
        <v>-14.4727308179631</v>
      </c>
      <c r="K1601" s="17" t="n">
        <f aca="false">MAX(B1601-B1600,0)</f>
        <v>0</v>
      </c>
      <c r="L1601" s="17" t="n">
        <f aca="false">MAX(B1600-B1601,0)</f>
        <v>261.950000000001</v>
      </c>
      <c r="M1601" s="17" t="n">
        <f aca="false">(M1600*13+K1601)/14</f>
        <v>80.9495967735935</v>
      </c>
      <c r="N1601" s="17" t="n">
        <f aca="false">(N1600*13+L1601)/14</f>
        <v>112.188834060128</v>
      </c>
      <c r="O1601" s="17" t="n">
        <f aca="false">IF(N1601=0,100,100-100/(1+M1601/N1601))</f>
        <v>41.912734003356</v>
      </c>
      <c r="P1601" s="17" t="n">
        <f aca="false">AVERAGE(B1582:B1601)+2*STDEV(B1582:B1601)</f>
        <v>11681.4929082201</v>
      </c>
      <c r="Q1601" s="17" t="n">
        <f aca="false">AVERAGE(B1582:B1601)-2*STDEV(B1582:B1601)</f>
        <v>10580.7930917799</v>
      </c>
      <c r="R1601" s="19" t="n">
        <f aca="false">B1601/B1581-1</f>
        <v>0.00110610238447095</v>
      </c>
      <c r="S1601" s="17" t="n">
        <f aca="false">STDEV(C1582:C1601)*SQRT(252)*100</f>
        <v>33.6796551266676</v>
      </c>
      <c r="T1601" s="19" t="n">
        <f aca="false">B1580/B1350-1</f>
        <v>-0.3249317978652</v>
      </c>
      <c r="U1601" s="19" t="n">
        <f aca="false">B1601/MAX(B1350:B1601)-1</f>
        <v>-0.348498854183888</v>
      </c>
      <c r="V1601" s="17" t="n">
        <f aca="false">(B1601-AVERAGE(B1582:B1601))/STDEV(B1582:B1601)</f>
        <v>-1.21229419690055</v>
      </c>
    </row>
    <row r="1602" customFormat="false" ht="15" hidden="false" customHeight="false" outlineLevel="0" collapsed="false">
      <c r="A1602" s="17" t="s">
        <v>2166</v>
      </c>
      <c r="B1602" s="17" t="n">
        <v>11605.96</v>
      </c>
      <c r="C1602" s="19" t="n">
        <f aca="false">B1602/B1601-1</f>
        <v>0.074869762121963</v>
      </c>
      <c r="D1602" s="17" t="n">
        <f aca="false">AVERAGE(B1553:B1602)</f>
        <v>11446.0842</v>
      </c>
      <c r="E1602" s="17" t="n">
        <f aca="false">AVERAGE(B1403:B1602)</f>
        <v>12743.3034</v>
      </c>
      <c r="F1602" s="17" t="n">
        <f aca="false">B1602*2/13+F1601*11/13</f>
        <v>11131.7704227667</v>
      </c>
      <c r="G1602" s="17" t="n">
        <f aca="false">B1602*2/27+G1601*25/27</f>
        <v>11222.8167652785</v>
      </c>
      <c r="H1602" s="17" t="n">
        <f aca="false">F1602-G1602</f>
        <v>-91.0463425117669</v>
      </c>
      <c r="I1602" s="17" t="n">
        <f aca="false">H1602*2/10+I1601*8/10</f>
        <v>-123.920020250968</v>
      </c>
      <c r="J1602" s="17" t="n">
        <f aca="false">H1602-I1602</f>
        <v>32.8736777392009</v>
      </c>
      <c r="K1602" s="17" t="n">
        <f aca="false">MAX(B1602-B1601,0)</f>
        <v>808.41</v>
      </c>
      <c r="L1602" s="17" t="n">
        <f aca="false">MAX(B1601-B1602,0)</f>
        <v>0</v>
      </c>
      <c r="M1602" s="17" t="n">
        <f aca="false">(M1601*13+K1602)/14</f>
        <v>132.911054146908</v>
      </c>
      <c r="N1602" s="17" t="n">
        <f aca="false">(N1601*13+L1602)/14</f>
        <v>104.175345912976</v>
      </c>
      <c r="O1602" s="17" t="n">
        <f aca="false">IF(N1602=0,100,100-100/(1+M1602/N1602))</f>
        <v>56.0601764223241</v>
      </c>
      <c r="P1602" s="17" t="n">
        <f aca="false">AVERAGE(B1583:B1602)+2*STDEV(B1583:B1602)</f>
        <v>11747.040388809</v>
      </c>
      <c r="Q1602" s="17" t="n">
        <f aca="false">AVERAGE(B1583:B1602)-2*STDEV(B1583:B1602)</f>
        <v>10572.483611191</v>
      </c>
      <c r="R1602" s="19" t="n">
        <f aca="false">B1602/B1582-1</f>
        <v>0.0518761816201088</v>
      </c>
      <c r="S1602" s="17" t="n">
        <f aca="false">STDEV(C1583:C1602)*SQRT(252)*100</f>
        <v>42.2626312635711</v>
      </c>
      <c r="T1602" s="19" t="n">
        <f aca="false">B1581/B1351-1</f>
        <v>-0.327263983653174</v>
      </c>
      <c r="U1602" s="19" t="n">
        <f aca="false">B1602/MAX(B1351:B1602)-1</f>
        <v>-0.29972111837445</v>
      </c>
      <c r="V1602" s="17" t="n">
        <f aca="false">(B1602-AVERAGE(B1583:B1602))/STDEV(B1583:B1602)</f>
        <v>1.51954510331934</v>
      </c>
    </row>
    <row r="1603" customFormat="false" ht="15" hidden="false" customHeight="false" outlineLevel="0" collapsed="false">
      <c r="A1603" s="17" t="s">
        <v>2167</v>
      </c>
      <c r="B1603" s="17" t="n">
        <v>11817.01</v>
      </c>
      <c r="C1603" s="19" t="n">
        <f aca="false">B1603/B1602-1</f>
        <v>0.0181846223836719</v>
      </c>
      <c r="D1603" s="17" t="n">
        <f aca="false">AVERAGE(B1554:B1603)</f>
        <v>11436.932</v>
      </c>
      <c r="E1603" s="17" t="n">
        <f aca="false">AVERAGE(B1404:B1603)</f>
        <v>12732.3729</v>
      </c>
      <c r="F1603" s="17" t="n">
        <f aca="false">B1603*2/13+F1602*11/13</f>
        <v>11237.1918961872</v>
      </c>
      <c r="G1603" s="17" t="n">
        <f aca="false">B1603*2/27+G1602*25/27</f>
        <v>11266.8310789616</v>
      </c>
      <c r="H1603" s="17" t="n">
        <f aca="false">F1603-G1603</f>
        <v>-29.6391827743373</v>
      </c>
      <c r="I1603" s="17" t="n">
        <f aca="false">H1603*2/10+I1602*8/10</f>
        <v>-105.063852755642</v>
      </c>
      <c r="J1603" s="17" t="n">
        <f aca="false">H1603-I1603</f>
        <v>75.4246699813044</v>
      </c>
      <c r="K1603" s="17" t="n">
        <f aca="false">MAX(B1603-B1602,0)</f>
        <v>211.050000000001</v>
      </c>
      <c r="L1603" s="17" t="n">
        <f aca="false">MAX(B1602-B1603,0)</f>
        <v>0</v>
      </c>
      <c r="M1603" s="17" t="n">
        <f aca="false">(M1602*13+K1603)/14</f>
        <v>138.492407422129</v>
      </c>
      <c r="N1603" s="17" t="n">
        <f aca="false">(N1602*13+L1603)/14</f>
        <v>96.7342497763351</v>
      </c>
      <c r="O1603" s="17" t="n">
        <f aca="false">IF(N1603=0,100,100-100/(1+M1603/N1603))</f>
        <v>58.8761533542013</v>
      </c>
      <c r="P1603" s="17" t="n">
        <f aca="false">AVERAGE(B1584:B1603)+2*STDEV(B1584:B1603)</f>
        <v>11829.5771003412</v>
      </c>
      <c r="Q1603" s="17" t="n">
        <f aca="false">AVERAGE(B1584:B1603)-2*STDEV(B1584:B1603)</f>
        <v>10602.4418996588</v>
      </c>
      <c r="R1603" s="19" t="n">
        <f aca="false">B1603/B1583-1</f>
        <v>0.105213588401113</v>
      </c>
      <c r="S1603" s="17" t="n">
        <f aca="false">STDEV(C1584:C1603)*SQRT(252)*100</f>
        <v>40.6151079785811</v>
      </c>
      <c r="T1603" s="19" t="n">
        <f aca="false">B1582/B1352-1</f>
        <v>-0.318910190130921</v>
      </c>
      <c r="U1603" s="19" t="n">
        <f aca="false">B1603/MAX(B1352:B1603)-1</f>
        <v>-0.286986811348829</v>
      </c>
      <c r="V1603" s="17" t="n">
        <f aca="false">(B1603-AVERAGE(B1584:B1603))/STDEV(B1584:B1603)</f>
        <v>1.95903597147509</v>
      </c>
    </row>
    <row r="1604" customFormat="false" ht="15" hidden="false" customHeight="false" outlineLevel="0" collapsed="false">
      <c r="A1604" s="17" t="s">
        <v>2168</v>
      </c>
      <c r="B1604" s="17" t="n">
        <v>11700.94</v>
      </c>
      <c r="C1604" s="19" t="n">
        <f aca="false">B1604/B1603-1</f>
        <v>-0.0098222816093072</v>
      </c>
      <c r="D1604" s="17" t="n">
        <f aca="false">AVERAGE(B1555:B1604)</f>
        <v>11428.982</v>
      </c>
      <c r="E1604" s="17" t="n">
        <f aca="false">AVERAGE(B1405:B1604)</f>
        <v>12718.60455</v>
      </c>
      <c r="F1604" s="17" t="n">
        <f aca="false">B1604*2/13+F1603*11/13</f>
        <v>11308.5377583123</v>
      </c>
      <c r="G1604" s="17" t="n">
        <f aca="false">B1604*2/27+G1603*25/27</f>
        <v>11298.9872953348</v>
      </c>
      <c r="H1604" s="17" t="n">
        <f aca="false">F1604-G1604</f>
        <v>9.55046297748595</v>
      </c>
      <c r="I1604" s="17" t="n">
        <f aca="false">H1604*2/10+I1603*8/10</f>
        <v>-82.1409896090162</v>
      </c>
      <c r="J1604" s="17" t="n">
        <f aca="false">H1604-I1604</f>
        <v>91.6914525865021</v>
      </c>
      <c r="K1604" s="17" t="n">
        <f aca="false">MAX(B1604-B1603,0)</f>
        <v>0</v>
      </c>
      <c r="L1604" s="17" t="n">
        <f aca="false">MAX(B1603-B1604,0)</f>
        <v>116.07</v>
      </c>
      <c r="M1604" s="17" t="n">
        <f aca="false">(M1603*13+K1604)/14</f>
        <v>128.600092606263</v>
      </c>
      <c r="N1604" s="17" t="n">
        <f aca="false">(N1603*13+L1604)/14</f>
        <v>98.1153747923111</v>
      </c>
      <c r="O1604" s="17" t="n">
        <f aca="false">IF(N1604=0,100,100-100/(1+M1604/N1604))</f>
        <v>56.7231226355541</v>
      </c>
      <c r="P1604" s="17" t="n">
        <f aca="false">AVERAGE(B1585:B1604)+2*STDEV(B1585:B1604)</f>
        <v>11893.4706493622</v>
      </c>
      <c r="Q1604" s="17" t="n">
        <f aca="false">AVERAGE(B1585:B1604)-2*STDEV(B1585:B1604)</f>
        <v>10602.3893506378</v>
      </c>
      <c r="R1604" s="19" t="n">
        <f aca="false">B1604/B1584-1</f>
        <v>0.0577092220314883</v>
      </c>
      <c r="S1604" s="17" t="n">
        <f aca="false">STDEV(C1585:C1604)*SQRT(252)*100</f>
        <v>39.4055011460341</v>
      </c>
      <c r="T1604" s="19" t="n">
        <f aca="false">B1583/B1353-1</f>
        <v>-0.339552736652764</v>
      </c>
      <c r="U1604" s="19" t="n">
        <f aca="false">B1604/MAX(B1353:B1604)-1</f>
        <v>-0.293990227678911</v>
      </c>
      <c r="V1604" s="17" t="n">
        <f aca="false">(B1604-AVERAGE(B1585:B1604))/STDEV(B1585:B1604)</f>
        <v>1.4035057294923</v>
      </c>
    </row>
    <row r="1605" customFormat="false" ht="15" hidden="false" customHeight="false" outlineLevel="0" collapsed="false">
      <c r="A1605" s="17" t="s">
        <v>2169</v>
      </c>
      <c r="B1605" s="17" t="n">
        <v>11871.15</v>
      </c>
      <c r="C1605" s="19" t="n">
        <f aca="false">B1605/B1604-1</f>
        <v>0.0145466945390711</v>
      </c>
      <c r="D1605" s="17" t="n">
        <f aca="false">AVERAGE(B1556:B1605)</f>
        <v>11426.1788</v>
      </c>
      <c r="E1605" s="17" t="n">
        <f aca="false">AVERAGE(B1406:B1605)</f>
        <v>12703.31005</v>
      </c>
      <c r="F1605" s="17" t="n">
        <f aca="false">B1605*2/13+F1604*11/13</f>
        <v>11395.0934878027</v>
      </c>
      <c r="G1605" s="17" t="n">
        <f aca="false">B1605*2/27+G1604*25/27</f>
        <v>11341.3697179026</v>
      </c>
      <c r="H1605" s="17" t="n">
        <f aca="false">F1605-G1605</f>
        <v>53.7237699001107</v>
      </c>
      <c r="I1605" s="17" t="n">
        <f aca="false">H1605*2/10+I1604*8/10</f>
        <v>-54.9680377071908</v>
      </c>
      <c r="J1605" s="17" t="n">
        <f aca="false">H1605-I1605</f>
        <v>108.691807607301</v>
      </c>
      <c r="K1605" s="17" t="n">
        <f aca="false">MAX(B1605-B1604,0)</f>
        <v>170.209999999999</v>
      </c>
      <c r="L1605" s="17" t="n">
        <f aca="false">MAX(B1604-B1605,0)</f>
        <v>0</v>
      </c>
      <c r="M1605" s="17" t="n">
        <f aca="false">(M1604*13+K1605)/14</f>
        <v>131.572228848673</v>
      </c>
      <c r="N1605" s="17" t="n">
        <f aca="false">(N1604*13+L1605)/14</f>
        <v>91.1071337357174</v>
      </c>
      <c r="O1605" s="17" t="n">
        <f aca="false">IF(N1605=0,100,100-100/(1+M1605/N1605))</f>
        <v>59.085955394187</v>
      </c>
      <c r="P1605" s="17" t="n">
        <f aca="false">AVERAGE(B1586:B1605)+2*STDEV(B1586:B1605)</f>
        <v>11984.7215776004</v>
      </c>
      <c r="Q1605" s="17" t="n">
        <f aca="false">AVERAGE(B1586:B1605)-2*STDEV(B1586:B1605)</f>
        <v>10583.4794223996</v>
      </c>
      <c r="R1605" s="19" t="n">
        <f aca="false">B1605/B1585-1</f>
        <v>0.0648929738224968</v>
      </c>
      <c r="S1605" s="17" t="n">
        <f aca="false">STDEV(C1586:C1605)*SQRT(252)*100</f>
        <v>39.586083980194</v>
      </c>
      <c r="T1605" s="19" t="n">
        <f aca="false">B1584/B1354-1</f>
        <v>-0.321723727557164</v>
      </c>
      <c r="U1605" s="19" t="n">
        <f aca="false">B1605/MAX(B1354:B1605)-1</f>
        <v>-0.283720119179357</v>
      </c>
      <c r="V1605" s="17" t="n">
        <f aca="false">(B1605-AVERAGE(B1586:B1605))/STDEV(B1586:B1605)</f>
        <v>1.67579742822083</v>
      </c>
    </row>
    <row r="1606" customFormat="false" ht="15" hidden="false" customHeight="false" outlineLevel="0" collapsed="false">
      <c r="A1606" s="17" t="s">
        <v>2170</v>
      </c>
      <c r="B1606" s="17" t="n">
        <v>11699.09</v>
      </c>
      <c r="C1606" s="19" t="n">
        <f aca="false">B1606/B1605-1</f>
        <v>-0.0144939622530251</v>
      </c>
      <c r="D1606" s="17" t="n">
        <f aca="false">AVERAGE(B1557:B1606)</f>
        <v>11414.9728</v>
      </c>
      <c r="E1606" s="17" t="n">
        <f aca="false">AVERAGE(B1407:B1606)</f>
        <v>12686.7071</v>
      </c>
      <c r="F1606" s="17" t="n">
        <f aca="false">B1606*2/13+F1605*11/13</f>
        <v>11441.8621819869</v>
      </c>
      <c r="G1606" s="17" t="n">
        <f aca="false">B1606*2/27+G1605*25/27</f>
        <v>11367.8675165765</v>
      </c>
      <c r="H1606" s="17" t="n">
        <f aca="false">F1606-G1606</f>
        <v>73.9946654104297</v>
      </c>
      <c r="I1606" s="17" t="n">
        <f aca="false">H1606*2/10+I1605*8/10</f>
        <v>-29.1754970836667</v>
      </c>
      <c r="J1606" s="17" t="n">
        <f aca="false">H1606-I1606</f>
        <v>103.170162494096</v>
      </c>
      <c r="K1606" s="17" t="n">
        <f aca="false">MAX(B1606-B1605,0)</f>
        <v>0</v>
      </c>
      <c r="L1606" s="17" t="n">
        <f aca="false">MAX(B1605-B1606,0)</f>
        <v>172.06</v>
      </c>
      <c r="M1606" s="17" t="n">
        <f aca="false">(M1605*13+K1606)/14</f>
        <v>122.174212502339</v>
      </c>
      <c r="N1606" s="17" t="n">
        <f aca="false">(N1605*13+L1606)/14</f>
        <v>96.8894813260233</v>
      </c>
      <c r="O1606" s="17" t="n">
        <f aca="false">IF(N1606=0,100,100-100/(1+M1606/N1606))</f>
        <v>55.7710912142581</v>
      </c>
      <c r="P1606" s="17" t="n">
        <f aca="false">AVERAGE(B1587:B1606)+2*STDEV(B1587:B1606)</f>
        <v>12032.5755770967</v>
      </c>
      <c r="Q1606" s="17" t="n">
        <f aca="false">AVERAGE(B1587:B1606)-2*STDEV(B1587:B1606)</f>
        <v>10595.1964229033</v>
      </c>
      <c r="R1606" s="19" t="n">
        <f aca="false">B1606/B1586-1</f>
        <v>0.0536512305262002</v>
      </c>
      <c r="S1606" s="17" t="n">
        <f aca="false">STDEV(C1587:C1606)*SQRT(252)*100</f>
        <v>40.0209711369236</v>
      </c>
      <c r="T1606" s="19" t="n">
        <f aca="false">B1585/B1355-1</f>
        <v>-0.316428001596755</v>
      </c>
      <c r="U1606" s="19" t="n">
        <f aca="false">B1606/MAX(B1355:B1606)-1</f>
        <v>-0.294101852734572</v>
      </c>
      <c r="V1606" s="17" t="n">
        <f aca="false">(B1606-AVERAGE(B1587:B1606))/STDEV(B1587:B1606)</f>
        <v>1.07196211626204</v>
      </c>
    </row>
    <row r="1607" customFormat="false" ht="15" hidden="false" customHeight="false" outlineLevel="0" collapsed="false">
      <c r="A1607" s="17" t="s">
        <v>2171</v>
      </c>
      <c r="B1607" s="17" t="n">
        <v>11676.86</v>
      </c>
      <c r="C1607" s="19" t="n">
        <f aca="false">B1607/B1606-1</f>
        <v>-0.0019001477892725</v>
      </c>
      <c r="D1607" s="17" t="n">
        <f aca="false">AVERAGE(B1558:B1607)</f>
        <v>11402.0862</v>
      </c>
      <c r="E1607" s="17" t="n">
        <f aca="false">AVERAGE(B1408:B1607)</f>
        <v>12669.3927</v>
      </c>
      <c r="F1607" s="17" t="n">
        <f aca="false">B1607*2/13+F1606*11/13</f>
        <v>11478.0156924505</v>
      </c>
      <c r="G1607" s="17" t="n">
        <f aca="false">B1607*2/27+G1606*25/27</f>
        <v>11390.7558486819</v>
      </c>
      <c r="H1607" s="17" t="n">
        <f aca="false">F1607-G1607</f>
        <v>87.2598437685392</v>
      </c>
      <c r="I1607" s="17" t="n">
        <f aca="false">H1607*2/10+I1606*8/10</f>
        <v>-5.88842891322551</v>
      </c>
      <c r="J1607" s="17" t="n">
        <f aca="false">H1607-I1607</f>
        <v>93.1482726817647</v>
      </c>
      <c r="K1607" s="17" t="n">
        <f aca="false">MAX(B1607-B1606,0)</f>
        <v>0</v>
      </c>
      <c r="L1607" s="17" t="n">
        <f aca="false">MAX(B1606-B1607,0)</f>
        <v>22.2299999999996</v>
      </c>
      <c r="M1607" s="17" t="n">
        <f aca="false">(M1606*13+K1607)/14</f>
        <v>113.447483037886</v>
      </c>
      <c r="N1607" s="17" t="n">
        <f aca="false">(N1606*13+L1607)/14</f>
        <v>91.5566612313073</v>
      </c>
      <c r="O1607" s="17" t="n">
        <f aca="false">IF(N1607=0,100,100-100/(1+M1607/N1607))</f>
        <v>55.3391168955672</v>
      </c>
      <c r="P1607" s="17" t="n">
        <f aca="false">AVERAGE(B1588:B1607)+2*STDEV(B1588:B1607)</f>
        <v>12069.9924849427</v>
      </c>
      <c r="Q1607" s="17" t="n">
        <f aca="false">AVERAGE(B1588:B1607)-2*STDEV(B1588:B1607)</f>
        <v>10620.7945150573</v>
      </c>
      <c r="R1607" s="19" t="n">
        <f aca="false">B1607/B1587-1</f>
        <v>0.0570441335021923</v>
      </c>
      <c r="S1607" s="17" t="n">
        <f aca="false">STDEV(C1588:C1607)*SQRT(252)*100</f>
        <v>39.9519528108766</v>
      </c>
      <c r="T1607" s="19" t="n">
        <f aca="false">B1586/B1356-1</f>
        <v>-0.326372613673385</v>
      </c>
      <c r="U1607" s="19" t="n">
        <f aca="false">B1607/MAX(B1356:B1607)-1</f>
        <v>-0.295443163538551</v>
      </c>
      <c r="V1607" s="17" t="n">
        <f aca="false">(B1607-AVERAGE(B1588:B1607))/STDEV(B1588:B1607)</f>
        <v>0.914896396180322</v>
      </c>
    </row>
    <row r="1608" customFormat="false" ht="15" hidden="false" customHeight="false" outlineLevel="0" collapsed="false">
      <c r="A1608" s="17" t="s">
        <v>2172</v>
      </c>
      <c r="B1608" s="17" t="n">
        <v>11677.02</v>
      </c>
      <c r="C1608" s="19" t="n">
        <f aca="false">B1608/B1607-1</f>
        <v>1.37023138069292E-005</v>
      </c>
      <c r="D1608" s="17" t="n">
        <f aca="false">AVERAGE(B1559:B1608)</f>
        <v>11383.8608</v>
      </c>
      <c r="E1608" s="17" t="n">
        <f aca="false">AVERAGE(B1409:B1608)</f>
        <v>12655.27225</v>
      </c>
      <c r="F1608" s="17" t="n">
        <f aca="false">B1608*2/13+F1607*11/13</f>
        <v>11508.6317397658</v>
      </c>
      <c r="G1608" s="17" t="n">
        <f aca="false">B1608*2/27+G1607*25/27</f>
        <v>11411.9606006314</v>
      </c>
      <c r="H1608" s="17" t="n">
        <f aca="false">F1608-G1608</f>
        <v>96.671139134367</v>
      </c>
      <c r="I1608" s="17" t="n">
        <f aca="false">H1608*2/10+I1607*8/10</f>
        <v>14.623484696293</v>
      </c>
      <c r="J1608" s="17" t="n">
        <f aca="false">H1608-I1608</f>
        <v>82.047654438074</v>
      </c>
      <c r="K1608" s="17" t="n">
        <f aca="false">MAX(B1608-B1607,0)</f>
        <v>0.159999999999854</v>
      </c>
      <c r="L1608" s="17" t="n">
        <f aca="false">MAX(B1607-B1608,0)</f>
        <v>0</v>
      </c>
      <c r="M1608" s="17" t="n">
        <f aca="false">(M1607*13+K1608)/14</f>
        <v>105.355519963751</v>
      </c>
      <c r="N1608" s="17" t="n">
        <f aca="false">(N1607*13+L1608)/14</f>
        <v>85.0168997147854</v>
      </c>
      <c r="O1608" s="17" t="n">
        <f aca="false">IF(N1608=0,100,100-100/(1+M1608/N1608))</f>
        <v>55.3417980092152</v>
      </c>
      <c r="P1608" s="17" t="n">
        <f aca="false">AVERAGE(B1589:B1608)+2*STDEV(B1589:B1608)</f>
        <v>12102.9994950786</v>
      </c>
      <c r="Q1608" s="17" t="n">
        <f aca="false">AVERAGE(B1589:B1608)-2*STDEV(B1589:B1608)</f>
        <v>10624.4565049214</v>
      </c>
      <c r="R1608" s="19" t="n">
        <f aca="false">B1608/B1588-1</f>
        <v>0.0324208046980061</v>
      </c>
      <c r="S1608" s="17" t="n">
        <f aca="false">STDEV(C1589:C1608)*SQRT(252)*100</f>
        <v>39.1956031702607</v>
      </c>
      <c r="T1608" s="19" t="n">
        <f aca="false">B1587/B1357-1</f>
        <v>-0.333465071011637</v>
      </c>
      <c r="U1608" s="19" t="n">
        <f aca="false">B1608/MAX(B1357:B1608)-1</f>
        <v>-0.295433509479682</v>
      </c>
      <c r="V1608" s="17" t="n">
        <f aca="false">(B1608-AVERAGE(B1589:B1608))/STDEV(B1589:B1608)</f>
        <v>0.847569538621748</v>
      </c>
    </row>
    <row r="1609" customFormat="false" ht="15" hidden="false" customHeight="false" outlineLevel="0" collapsed="false">
      <c r="A1609" s="17" t="s">
        <v>2173</v>
      </c>
      <c r="B1609" s="17" t="n">
        <v>11553.45</v>
      </c>
      <c r="C1609" s="19" t="n">
        <f aca="false">B1609/B1608-1</f>
        <v>-0.0105823232297281</v>
      </c>
      <c r="D1609" s="17" t="n">
        <f aca="false">AVERAGE(B1560:B1609)</f>
        <v>11360.1354</v>
      </c>
      <c r="E1609" s="17" t="n">
        <f aca="false">AVERAGE(B1410:B1609)</f>
        <v>12639.56775</v>
      </c>
      <c r="F1609" s="17" t="n">
        <f aca="false">B1609*2/13+F1608*11/13</f>
        <v>11515.5268567249</v>
      </c>
      <c r="G1609" s="17" t="n">
        <f aca="false">B1609*2/27+G1608*25/27</f>
        <v>11422.4412968809</v>
      </c>
      <c r="H1609" s="17" t="n">
        <f aca="false">F1609-G1609</f>
        <v>93.0855598439521</v>
      </c>
      <c r="I1609" s="17" t="n">
        <f aca="false">H1609*2/10+I1608*8/10</f>
        <v>30.3158997258248</v>
      </c>
      <c r="J1609" s="17" t="n">
        <f aca="false">H1609-I1609</f>
        <v>62.7696601181273</v>
      </c>
      <c r="K1609" s="17" t="n">
        <f aca="false">MAX(B1609-B1608,0)</f>
        <v>0</v>
      </c>
      <c r="L1609" s="17" t="n">
        <f aca="false">MAX(B1608-B1609,0)</f>
        <v>123.57</v>
      </c>
      <c r="M1609" s="17" t="n">
        <f aca="false">(M1608*13+K1609)/14</f>
        <v>97.8301256806262</v>
      </c>
      <c r="N1609" s="17" t="n">
        <f aca="false">(N1608*13+L1609)/14</f>
        <v>87.7706925923007</v>
      </c>
      <c r="O1609" s="17" t="n">
        <f aca="false">IF(N1609=0,100,100-100/(1+M1609/N1609))</f>
        <v>52.7099646386077</v>
      </c>
      <c r="P1609" s="17" t="n">
        <f aca="false">AVERAGE(B1590:B1609)+2*STDEV(B1590:B1609)</f>
        <v>12113.5328983445</v>
      </c>
      <c r="Q1609" s="17" t="n">
        <f aca="false">AVERAGE(B1590:B1609)-2*STDEV(B1590:B1609)</f>
        <v>10626.2421016555</v>
      </c>
      <c r="R1609" s="19" t="n">
        <f aca="false">B1609/B1589-1</f>
        <v>0.0107775326195556</v>
      </c>
      <c r="S1609" s="17" t="n">
        <f aca="false">STDEV(C1590:C1609)*SQRT(252)*100</f>
        <v>39.2915699719585</v>
      </c>
      <c r="T1609" s="19" t="n">
        <f aca="false">B1588/B1358-1</f>
        <v>-0.309544972278826</v>
      </c>
      <c r="U1609" s="19" t="n">
        <f aca="false">B1609/MAX(B1358:B1609)-1</f>
        <v>-0.302643730194658</v>
      </c>
      <c r="V1609" s="17" t="n">
        <f aca="false">(B1609-AVERAGE(B1590:B1609))/STDEV(B1590:B1609)</f>
        <v>0.493682877373131</v>
      </c>
    </row>
    <row r="1610" customFormat="false" ht="15" hidden="false" customHeight="false" outlineLevel="0" collapsed="false">
      <c r="A1610" s="17" t="s">
        <v>2174</v>
      </c>
      <c r="B1610" s="17" t="n">
        <v>11724.84</v>
      </c>
      <c r="C1610" s="19" t="n">
        <f aca="false">B1610/B1609-1</f>
        <v>0.0148345299456005</v>
      </c>
      <c r="D1610" s="17" t="n">
        <f aca="false">AVERAGE(B1561:B1610)</f>
        <v>11353.9598</v>
      </c>
      <c r="E1610" s="17" t="n">
        <f aca="false">AVERAGE(B1411:B1610)</f>
        <v>12625.3357</v>
      </c>
      <c r="F1610" s="17" t="n">
        <f aca="false">B1610*2/13+F1609*11/13</f>
        <v>11547.7288787672</v>
      </c>
      <c r="G1610" s="17" t="n">
        <f aca="false">B1610*2/27+G1609*25/27</f>
        <v>11444.8412008157</v>
      </c>
      <c r="H1610" s="17" t="n">
        <f aca="false">F1610-G1610</f>
        <v>102.88767795153</v>
      </c>
      <c r="I1610" s="17" t="n">
        <f aca="false">H1610*2/10+I1609*8/10</f>
        <v>44.8302553709659</v>
      </c>
      <c r="J1610" s="17" t="n">
        <f aca="false">H1610-I1610</f>
        <v>58.0574225805644</v>
      </c>
      <c r="K1610" s="17" t="n">
        <f aca="false">MAX(B1610-B1609,0)</f>
        <v>171.389999999999</v>
      </c>
      <c r="L1610" s="17" t="n">
        <f aca="false">MAX(B1609-B1610,0)</f>
        <v>0</v>
      </c>
      <c r="M1610" s="17" t="n">
        <f aca="false">(M1609*13+K1610)/14</f>
        <v>103.084402417724</v>
      </c>
      <c r="N1610" s="17" t="n">
        <f aca="false">(N1609*13+L1610)/14</f>
        <v>81.5013574071363</v>
      </c>
      <c r="O1610" s="17" t="n">
        <f aca="false">IF(N1610=0,100,100-100/(1+M1610/N1610))</f>
        <v>55.8463461729297</v>
      </c>
      <c r="P1610" s="17" t="n">
        <f aca="false">AVERAGE(B1591:B1610)+2*STDEV(B1591:B1610)</f>
        <v>12121.3228417196</v>
      </c>
      <c r="Q1610" s="17" t="n">
        <f aca="false">AVERAGE(B1591:B1610)-2*STDEV(B1591:B1610)</f>
        <v>10623.9371582804</v>
      </c>
      <c r="R1610" s="19" t="n">
        <f aca="false">B1610/B1590-1</f>
        <v>0.00470008971730063</v>
      </c>
      <c r="S1610" s="17" t="n">
        <f aca="false">STDEV(C1591:C1610)*SQRT(252)*100</f>
        <v>38.9327687049582</v>
      </c>
      <c r="T1610" s="19" t="n">
        <f aca="false">B1589/B1359-1</f>
        <v>-0.299046037461856</v>
      </c>
      <c r="U1610" s="19" t="n">
        <f aca="false">B1610/MAX(B1359:B1610)-1</f>
        <v>-0.292298777727479</v>
      </c>
      <c r="V1610" s="17" t="n">
        <f aca="false">(B1610-AVERAGE(B1591:B1610))/STDEV(B1591:B1610)</f>
        <v>0.940866481883445</v>
      </c>
    </row>
    <row r="1611" customFormat="false" ht="15" hidden="false" customHeight="false" outlineLevel="0" collapsed="false">
      <c r="A1611" s="17" t="s">
        <v>2175</v>
      </c>
      <c r="B1611" s="17" t="n">
        <v>11838.72</v>
      </c>
      <c r="C1611" s="19" t="n">
        <f aca="false">B1611/B1610-1</f>
        <v>0.00971271249756911</v>
      </c>
      <c r="D1611" s="17" t="n">
        <f aca="false">AVERAGE(B1562:B1611)</f>
        <v>11348.0462</v>
      </c>
      <c r="E1611" s="17" t="n">
        <f aca="false">AVERAGE(B1412:B1611)</f>
        <v>12610.79415</v>
      </c>
      <c r="F1611" s="17" t="n">
        <f aca="false">B1611*2/13+F1610*11/13</f>
        <v>11592.4967435723</v>
      </c>
      <c r="G1611" s="17" t="n">
        <f aca="false">B1611*2/27+G1610*25/27</f>
        <v>11474.0174081627</v>
      </c>
      <c r="H1611" s="17" t="n">
        <f aca="false">F1611-G1611</f>
        <v>118.479335409589</v>
      </c>
      <c r="I1611" s="17" t="n">
        <f aca="false">H1611*2/10+I1610*8/10</f>
        <v>59.5600713786906</v>
      </c>
      <c r="J1611" s="17" t="n">
        <f aca="false">H1611-I1611</f>
        <v>58.9192640308986</v>
      </c>
      <c r="K1611" s="17" t="n">
        <f aca="false">MAX(B1611-B1610,0)</f>
        <v>113.879999999999</v>
      </c>
      <c r="L1611" s="17" t="n">
        <f aca="false">MAX(B1610-B1611,0)</f>
        <v>0</v>
      </c>
      <c r="M1611" s="17" t="n">
        <f aca="false">(M1610*13+K1611)/14</f>
        <v>103.855516530744</v>
      </c>
      <c r="N1611" s="17" t="n">
        <f aca="false">(N1610*13+L1611)/14</f>
        <v>75.6798318780552</v>
      </c>
      <c r="O1611" s="17" t="n">
        <f aca="false">IF(N1611=0,100,100-100/(1+M1611/N1611))</f>
        <v>57.8468348719087</v>
      </c>
      <c r="P1611" s="17" t="n">
        <f aca="false">AVERAGE(B1592:B1611)+2*STDEV(B1592:B1611)</f>
        <v>12171.4908701282</v>
      </c>
      <c r="Q1611" s="17" t="n">
        <f aca="false">AVERAGE(B1592:B1611)-2*STDEV(B1592:B1611)</f>
        <v>10617.0511298718</v>
      </c>
      <c r="R1611" s="19" t="n">
        <f aca="false">B1611/B1591-1</f>
        <v>0.0379470274156357</v>
      </c>
      <c r="S1611" s="17" t="n">
        <f aca="false">STDEV(C1592:C1611)*SQRT(252)*100</f>
        <v>38.0657479363473</v>
      </c>
      <c r="T1611" s="19" t="n">
        <f aca="false">B1590/B1360-1</f>
        <v>-0.287015795026946</v>
      </c>
      <c r="U1611" s="19" t="n">
        <f aca="false">B1611/MAX(B1360:B1611)-1</f>
        <v>-0.285425079221367</v>
      </c>
      <c r="V1611" s="17" t="n">
        <f aca="false">(B1611-AVERAGE(B1592:B1611))/STDEV(B1592:B1611)</f>
        <v>1.1436892366807</v>
      </c>
    </row>
    <row r="1612" customFormat="false" ht="15" hidden="false" customHeight="false" outlineLevel="0" collapsed="false">
      <c r="A1612" s="17" t="s">
        <v>2176</v>
      </c>
      <c r="B1612" s="17" t="n">
        <v>11756.03</v>
      </c>
      <c r="C1612" s="19" t="n">
        <f aca="false">B1612/B1611-1</f>
        <v>-0.00698470780624927</v>
      </c>
      <c r="D1612" s="17" t="n">
        <f aca="false">AVERAGE(B1563:B1612)</f>
        <v>11344.617</v>
      </c>
      <c r="E1612" s="17" t="n">
        <f aca="false">AVERAGE(B1413:B1612)</f>
        <v>12594.2895</v>
      </c>
      <c r="F1612" s="17" t="n">
        <f aca="false">B1612*2/13+F1611*11/13</f>
        <v>11617.6557060996</v>
      </c>
      <c r="G1612" s="17" t="n">
        <f aca="false">B1612*2/27+G1611*25/27</f>
        <v>11494.9072297802</v>
      </c>
      <c r="H1612" s="17" t="n">
        <f aca="false">F1612-G1612</f>
        <v>122.748476319355</v>
      </c>
      <c r="I1612" s="17" t="n">
        <f aca="false">H1612*2/10+I1611*8/10</f>
        <v>72.1977523668235</v>
      </c>
      <c r="J1612" s="17" t="n">
        <f aca="false">H1612-I1612</f>
        <v>50.5507239525317</v>
      </c>
      <c r="K1612" s="17" t="n">
        <f aca="false">MAX(B1612-B1611,0)</f>
        <v>0</v>
      </c>
      <c r="L1612" s="17" t="n">
        <f aca="false">MAX(B1611-B1612,0)</f>
        <v>82.6899999999987</v>
      </c>
      <c r="M1612" s="17" t="n">
        <f aca="false">(M1611*13+K1612)/14</f>
        <v>96.4372653499765</v>
      </c>
      <c r="N1612" s="17" t="n">
        <f aca="false">(N1611*13+L1612)/14</f>
        <v>76.1805581724797</v>
      </c>
      <c r="O1612" s="17" t="n">
        <f aca="false">IF(N1612=0,100,100-100/(1+M1612/N1612))</f>
        <v>55.8675016183545</v>
      </c>
      <c r="P1612" s="17" t="n">
        <f aca="false">AVERAGE(B1593:B1612)+2*STDEV(B1593:B1612)</f>
        <v>12209.6530955492</v>
      </c>
      <c r="Q1612" s="17" t="n">
        <f aca="false">AVERAGE(B1593:B1612)-2*STDEV(B1593:B1612)</f>
        <v>10635.3289044508</v>
      </c>
      <c r="R1612" s="19" t="n">
        <f aca="false">B1612/B1592-1</f>
        <v>0.0504305449697677</v>
      </c>
      <c r="S1612" s="17" t="n">
        <f aca="false">STDEV(C1593:C1612)*SQRT(252)*100</f>
        <v>37.4308545217672</v>
      </c>
      <c r="T1612" s="19" t="n">
        <f aca="false">B1591/B1361-1</f>
        <v>-0.288269129728846</v>
      </c>
      <c r="U1612" s="19" t="n">
        <f aca="false">B1612/MAX(B1361:B1612)-1</f>
        <v>-0.29041617624868</v>
      </c>
      <c r="V1612" s="17" t="n">
        <f aca="false">(B1612-AVERAGE(B1593:B1612))/STDEV(B1593:B1612)</f>
        <v>0.847446801328192</v>
      </c>
    </row>
    <row r="1613" customFormat="false" ht="15" hidden="false" customHeight="false" outlineLevel="0" collapsed="false">
      <c r="A1613" s="17" t="s">
        <v>2177</v>
      </c>
      <c r="B1613" s="17" t="n">
        <v>11587.75</v>
      </c>
      <c r="C1613" s="19" t="n">
        <f aca="false">B1613/B1612-1</f>
        <v>-0.0143143561219221</v>
      </c>
      <c r="D1613" s="17" t="n">
        <f aca="false">AVERAGE(B1564:B1613)</f>
        <v>11339.1444</v>
      </c>
      <c r="E1613" s="17" t="n">
        <f aca="false">AVERAGE(B1414:B1613)</f>
        <v>12578.70005</v>
      </c>
      <c r="F1613" s="17" t="n">
        <f aca="false">B1613*2/13+F1612*11/13</f>
        <v>11613.0548282381</v>
      </c>
      <c r="G1613" s="17" t="n">
        <f aca="false">B1613*2/27+G1612*25/27</f>
        <v>11501.7844720187</v>
      </c>
      <c r="H1613" s="17" t="n">
        <f aca="false">F1613-G1613</f>
        <v>111.270356219378</v>
      </c>
      <c r="I1613" s="17" t="n">
        <f aca="false">H1613*2/10+I1612*8/10</f>
        <v>80.0122731373345</v>
      </c>
      <c r="J1613" s="17" t="n">
        <f aca="false">H1613-I1613</f>
        <v>31.2580830820439</v>
      </c>
      <c r="K1613" s="17" t="n">
        <f aca="false">MAX(B1613-B1612,0)</f>
        <v>0</v>
      </c>
      <c r="L1613" s="17" t="n">
        <f aca="false">MAX(B1612-B1613,0)</f>
        <v>168.280000000001</v>
      </c>
      <c r="M1613" s="17" t="n">
        <f aca="false">(M1612*13+K1613)/14</f>
        <v>89.5488892535496</v>
      </c>
      <c r="N1613" s="17" t="n">
        <f aca="false">(N1612*13+L1613)/14</f>
        <v>82.7590897315884</v>
      </c>
      <c r="O1613" s="17" t="n">
        <f aca="false">IF(N1613=0,100,100-100/(1+M1613/N1613))</f>
        <v>51.970251047558</v>
      </c>
      <c r="P1613" s="17" t="n">
        <f aca="false">AVERAGE(B1594:B1613)+2*STDEV(B1594:B1613)</f>
        <v>12213.3222008856</v>
      </c>
      <c r="Q1613" s="17" t="n">
        <f aca="false">AVERAGE(B1594:B1613)-2*STDEV(B1594:B1613)</f>
        <v>10635.8137991144</v>
      </c>
      <c r="R1613" s="19" t="n">
        <f aca="false">B1613/B1593-1</f>
        <v>0.00359771734621162</v>
      </c>
      <c r="S1613" s="17" t="n">
        <f aca="false">STDEV(C1594:C1613)*SQRT(252)*100</f>
        <v>36.2530919073272</v>
      </c>
      <c r="T1613" s="19" t="n">
        <f aca="false">B1592/B1362-1</f>
        <v>-0.317551910942214</v>
      </c>
      <c r="U1613" s="19" t="n">
        <f aca="false">B1613/MAX(B1362:B1613)-1</f>
        <v>-0.300573411800211</v>
      </c>
      <c r="V1613" s="17" t="n">
        <f aca="false">(B1613-AVERAGE(B1594:B1613))/STDEV(B1594:B1613)</f>
        <v>0.413771488802909</v>
      </c>
    </row>
    <row r="1614" customFormat="false" ht="15" hidden="false" customHeight="false" outlineLevel="0" collapsed="false">
      <c r="A1614" s="17" t="s">
        <v>2178</v>
      </c>
      <c r="B1614" s="17" t="n">
        <v>11503.45</v>
      </c>
      <c r="C1614" s="19" t="n">
        <f aca="false">B1614/B1613-1</f>
        <v>-0.00727492394986073</v>
      </c>
      <c r="D1614" s="17" t="n">
        <f aca="false">AVERAGE(B1565:B1614)</f>
        <v>11330.148</v>
      </c>
      <c r="E1614" s="17" t="n">
        <f aca="false">AVERAGE(B1415:B1614)</f>
        <v>12564.9481</v>
      </c>
      <c r="F1614" s="17" t="n">
        <f aca="false">B1614*2/13+F1613*11/13</f>
        <v>11596.1925469707</v>
      </c>
      <c r="G1614" s="17" t="n">
        <f aca="false">B1614*2/27+G1613*25/27</f>
        <v>11501.9078444618</v>
      </c>
      <c r="H1614" s="17" t="n">
        <f aca="false">F1614-G1614</f>
        <v>94.2847025089195</v>
      </c>
      <c r="I1614" s="17" t="n">
        <f aca="false">H1614*2/10+I1613*8/10</f>
        <v>82.8667590116515</v>
      </c>
      <c r="J1614" s="17" t="n">
        <f aca="false">H1614-I1614</f>
        <v>11.4179434972681</v>
      </c>
      <c r="K1614" s="17" t="n">
        <f aca="false">MAX(B1614-B1613,0)</f>
        <v>0</v>
      </c>
      <c r="L1614" s="17" t="n">
        <f aca="false">MAX(B1613-B1614,0)</f>
        <v>84.2999999999993</v>
      </c>
      <c r="M1614" s="17" t="n">
        <f aca="false">(M1613*13+K1614)/14</f>
        <v>83.1525400211532</v>
      </c>
      <c r="N1614" s="17" t="n">
        <f aca="false">(N1613*13+L1614)/14</f>
        <v>82.8691547507606</v>
      </c>
      <c r="O1614" s="17" t="n">
        <f aca="false">IF(N1614=0,100,100-100/(1+M1614/N1614))</f>
        <v>50.0853458551854</v>
      </c>
      <c r="P1614" s="17" t="n">
        <f aca="false">AVERAGE(B1595:B1614)+2*STDEV(B1595:B1614)</f>
        <v>12218.9341848932</v>
      </c>
      <c r="Q1614" s="17" t="n">
        <f aca="false">AVERAGE(B1595:B1614)-2*STDEV(B1595:B1614)</f>
        <v>10639.9898151068</v>
      </c>
      <c r="R1614" s="19" t="n">
        <f aca="false">B1614/B1594-1</f>
        <v>0.00858177188864739</v>
      </c>
      <c r="S1614" s="17" t="n">
        <f aca="false">STDEV(C1595:C1614)*SQRT(252)*100</f>
        <v>36.0682632331427</v>
      </c>
      <c r="T1614" s="19" t="n">
        <f aca="false">B1593/B1363-1</f>
        <v>-0.284440552506458</v>
      </c>
      <c r="U1614" s="19" t="n">
        <f aca="false">B1614/MAX(B1363:B1614)-1</f>
        <v>-0.305661687037875</v>
      </c>
      <c r="V1614" s="17" t="n">
        <f aca="false">(B1614-AVERAGE(B1595:B1614))/STDEV(B1595:B1614)</f>
        <v>0.187436622634179</v>
      </c>
    </row>
    <row r="1615" customFormat="false" ht="15" hidden="false" customHeight="false" outlineLevel="0" collapsed="false">
      <c r="A1615" s="17" t="s">
        <v>2179</v>
      </c>
      <c r="B1615" s="17" t="n">
        <v>12030.06</v>
      </c>
      <c r="C1615" s="19" t="n">
        <f aca="false">B1615/B1614-1</f>
        <v>0.0457784403809292</v>
      </c>
      <c r="D1615" s="17" t="n">
        <f aca="false">AVERAGE(B1566:B1615)</f>
        <v>11333.7184</v>
      </c>
      <c r="E1615" s="17" t="n">
        <f aca="false">AVERAGE(B1416:B1615)</f>
        <v>12553.75545</v>
      </c>
      <c r="F1615" s="17" t="n">
        <f aca="false">B1615*2/13+F1614*11/13</f>
        <v>11662.9413858983</v>
      </c>
      <c r="G1615" s="17" t="n">
        <f aca="false">B1615*2/27+G1614*25/27</f>
        <v>11541.0302263535</v>
      </c>
      <c r="H1615" s="17" t="n">
        <f aca="false">F1615-G1615</f>
        <v>121.911159544781</v>
      </c>
      <c r="I1615" s="17" t="n">
        <f aca="false">H1615*2/10+I1614*8/10</f>
        <v>90.6756391182774</v>
      </c>
      <c r="J1615" s="17" t="n">
        <f aca="false">H1615-I1615</f>
        <v>31.2355204265038</v>
      </c>
      <c r="K1615" s="17" t="n">
        <f aca="false">MAX(B1615-B1614,0)</f>
        <v>526.609999999999</v>
      </c>
      <c r="L1615" s="17" t="n">
        <f aca="false">MAX(B1614-B1615,0)</f>
        <v>0</v>
      </c>
      <c r="M1615" s="17" t="n">
        <f aca="false">(M1614*13+K1615)/14</f>
        <v>114.828072876785</v>
      </c>
      <c r="N1615" s="17" t="n">
        <f aca="false">(N1614*13+L1615)/14</f>
        <v>76.9499294114205</v>
      </c>
      <c r="O1615" s="17" t="n">
        <f aca="false">IF(N1615=0,100,100-100/(1+M1615/N1615))</f>
        <v>59.8755183111254</v>
      </c>
      <c r="P1615" s="17" t="n">
        <f aca="false">AVERAGE(B1596:B1615)+2*STDEV(B1596:B1615)</f>
        <v>12296.7396902694</v>
      </c>
      <c r="Q1615" s="17" t="n">
        <f aca="false">AVERAGE(B1596:B1615)-2*STDEV(B1596:B1615)</f>
        <v>10636.2953097306</v>
      </c>
      <c r="R1615" s="19" t="n">
        <f aca="false">B1615/B1595-1</f>
        <v>0.065649152489824</v>
      </c>
      <c r="S1615" s="17" t="n">
        <f aca="false">STDEV(C1596:C1615)*SQRT(252)*100</f>
        <v>39.1701138982268</v>
      </c>
      <c r="T1615" s="19" t="n">
        <f aca="false">B1594/B1364-1</f>
        <v>-0.281661976656598</v>
      </c>
      <c r="U1615" s="19" t="n">
        <f aca="false">B1615/MAX(B1364:B1615)-1</f>
        <v>-0.273875961973744</v>
      </c>
      <c r="V1615" s="17" t="n">
        <f aca="false">(B1615-AVERAGE(B1596:B1615))/STDEV(B1596:B1615)</f>
        <v>1.35757031456147</v>
      </c>
    </row>
    <row r="1616" customFormat="false" ht="15" hidden="false" customHeight="false" outlineLevel="0" collapsed="false">
      <c r="A1616" s="17" t="s">
        <v>2180</v>
      </c>
      <c r="B1616" s="17" t="n">
        <v>12041.89</v>
      </c>
      <c r="C1616" s="19" t="n">
        <f aca="false">B1616/B1615-1</f>
        <v>0.000983369991504501</v>
      </c>
      <c r="D1616" s="17" t="n">
        <f aca="false">AVERAGE(B1567:B1616)</f>
        <v>11341.8004</v>
      </c>
      <c r="E1616" s="17" t="n">
        <f aca="false">AVERAGE(B1417:B1616)</f>
        <v>12540.8608</v>
      </c>
      <c r="F1616" s="17" t="n">
        <f aca="false">B1616*2/13+F1615*11/13</f>
        <v>11721.2411726832</v>
      </c>
      <c r="G1616" s="17" t="n">
        <f aca="false">B1616*2/27+G1615*25/27</f>
        <v>11578.1309503273</v>
      </c>
      <c r="H1616" s="17" t="n">
        <f aca="false">F1616-G1616</f>
        <v>143.110222355845</v>
      </c>
      <c r="I1616" s="17" t="n">
        <f aca="false">H1616*2/10+I1615*8/10</f>
        <v>101.162555765791</v>
      </c>
      <c r="J1616" s="17" t="n">
        <f aca="false">H1616-I1616</f>
        <v>41.9476665900538</v>
      </c>
      <c r="K1616" s="17" t="n">
        <f aca="false">MAX(B1616-B1615,0)</f>
        <v>11.8299999999999</v>
      </c>
      <c r="L1616" s="17" t="n">
        <f aca="false">MAX(B1615-B1616,0)</f>
        <v>0</v>
      </c>
      <c r="M1616" s="17" t="n">
        <f aca="false">(M1615*13+K1616)/14</f>
        <v>107.4710676713</v>
      </c>
      <c r="N1616" s="17" t="n">
        <f aca="false">(N1615*13+L1616)/14</f>
        <v>71.4535058820333</v>
      </c>
      <c r="O1616" s="17" t="n">
        <f aca="false">IF(N1616=0,100,100-100/(1+M1616/N1616))</f>
        <v>60.0650126122925</v>
      </c>
      <c r="P1616" s="17" t="n">
        <f aca="false">AVERAGE(B1597:B1616)+2*STDEV(B1597:B1616)</f>
        <v>12347.5085897039</v>
      </c>
      <c r="Q1616" s="17" t="n">
        <f aca="false">AVERAGE(B1597:B1616)-2*STDEV(B1597:B1616)</f>
        <v>10699.0814102961</v>
      </c>
      <c r="R1616" s="19" t="n">
        <f aca="false">B1616/B1596-1</f>
        <v>0.104118338507694</v>
      </c>
      <c r="S1616" s="17" t="n">
        <f aca="false">STDEV(C1597:C1616)*SQRT(252)*100</f>
        <v>36.6323799426961</v>
      </c>
      <c r="T1616" s="19" t="n">
        <f aca="false">B1595/B1365-1</f>
        <v>-0.294032929016507</v>
      </c>
      <c r="U1616" s="19" t="n">
        <f aca="false">B1616/MAX(B1365:B1616)-1</f>
        <v>-0.273161913384639</v>
      </c>
      <c r="V1616" s="17" t="n">
        <f aca="false">(B1616-AVERAGE(B1597:B1616))/STDEV(B1597:B1616)</f>
        <v>1.25839953739731</v>
      </c>
    </row>
    <row r="1617" customFormat="false" ht="15" hidden="false" customHeight="false" outlineLevel="0" collapsed="false">
      <c r="A1617" s="17" t="s">
        <v>2181</v>
      </c>
      <c r="B1617" s="17" t="n">
        <v>11994.26</v>
      </c>
      <c r="C1617" s="19" t="n">
        <f aca="false">B1617/B1616-1</f>
        <v>-0.00395535916704104</v>
      </c>
      <c r="D1617" s="17" t="n">
        <f aca="false">AVERAGE(B1568:B1617)</f>
        <v>11351.6526</v>
      </c>
      <c r="E1617" s="17" t="n">
        <f aca="false">AVERAGE(B1418:B1617)</f>
        <v>12527.8139</v>
      </c>
      <c r="F1617" s="17" t="n">
        <f aca="false">B1617*2/13+F1616*11/13</f>
        <v>11763.2440691935</v>
      </c>
      <c r="G1617" s="17" t="n">
        <f aca="false">B1617*2/27+G1616*25/27</f>
        <v>11608.9553243772</v>
      </c>
      <c r="H1617" s="17" t="n">
        <f aca="false">F1617-G1617</f>
        <v>154.288744816298</v>
      </c>
      <c r="I1617" s="17" t="n">
        <f aca="false">H1617*2/10+I1616*8/10</f>
        <v>111.787793575892</v>
      </c>
      <c r="J1617" s="17" t="n">
        <f aca="false">H1617-I1617</f>
        <v>42.500951240406</v>
      </c>
      <c r="K1617" s="17" t="n">
        <f aca="false">MAX(B1617-B1616,0)</f>
        <v>0</v>
      </c>
      <c r="L1617" s="17" t="n">
        <f aca="false">MAX(B1616-B1617,0)</f>
        <v>47.6299999999992</v>
      </c>
      <c r="M1617" s="17" t="n">
        <f aca="false">(M1616*13+K1617)/14</f>
        <v>99.7945628376361</v>
      </c>
      <c r="N1617" s="17" t="n">
        <f aca="false">(N1616*13+L1617)/14</f>
        <v>69.7518268904595</v>
      </c>
      <c r="O1617" s="17" t="n">
        <f aca="false">IF(N1617=0,100,100-100/(1+M1617/N1617))</f>
        <v>58.8597392121875</v>
      </c>
      <c r="P1617" s="17" t="n">
        <f aca="false">AVERAGE(B1598:B1617)+2*STDEV(B1598:B1617)</f>
        <v>12338.2511299421</v>
      </c>
      <c r="Q1617" s="17" t="n">
        <f aca="false">AVERAGE(B1598:B1617)-2*STDEV(B1598:B1617)</f>
        <v>10838.7048700579</v>
      </c>
      <c r="R1617" s="19" t="n">
        <f aca="false">B1617/B1597-1</f>
        <v>0.121944512001197</v>
      </c>
      <c r="S1617" s="17" t="n">
        <f aca="false">STDEV(C1598:C1617)*SQRT(252)*100</f>
        <v>35.6170187531528</v>
      </c>
      <c r="T1617" s="19" t="n">
        <f aca="false">B1596/B1366-1</f>
        <v>-0.305860983042304</v>
      </c>
      <c r="U1617" s="19" t="n">
        <f aca="false">B1617/MAX(B1366:B1617)-1</f>
        <v>-0.276036819073487</v>
      </c>
      <c r="V1617" s="17" t="n">
        <f aca="false">(B1617-AVERAGE(B1598:B1617))/STDEV(B1598:B1617)</f>
        <v>1.08241275605954</v>
      </c>
    </row>
    <row r="1618" customFormat="false" ht="15" hidden="false" customHeight="false" outlineLevel="0" collapsed="false">
      <c r="A1618" s="17" t="s">
        <v>2182</v>
      </c>
      <c r="B1618" s="17" t="n">
        <v>11786.8</v>
      </c>
      <c r="C1618" s="19" t="n">
        <f aca="false">B1618/B1617-1</f>
        <v>-0.0172966068769562</v>
      </c>
      <c r="D1618" s="17" t="n">
        <f aca="false">AVERAGE(B1569:B1618)</f>
        <v>11361.1638</v>
      </c>
      <c r="E1618" s="17" t="n">
        <f aca="false">AVERAGE(B1419:B1618)</f>
        <v>12515.8892</v>
      </c>
      <c r="F1618" s="17" t="n">
        <f aca="false">B1618*2/13+F1617*11/13</f>
        <v>11766.8680585483</v>
      </c>
      <c r="G1618" s="17" t="n">
        <f aca="false">B1618*2/27+G1617*25/27</f>
        <v>11622.1290040529</v>
      </c>
      <c r="H1618" s="17" t="n">
        <f aca="false">F1618-G1618</f>
        <v>144.739054495385</v>
      </c>
      <c r="I1618" s="17" t="n">
        <f aca="false">H1618*2/10+I1617*8/10</f>
        <v>118.378045759791</v>
      </c>
      <c r="J1618" s="17" t="n">
        <f aca="false">H1618-I1618</f>
        <v>26.3610087355942</v>
      </c>
      <c r="K1618" s="17" t="n">
        <f aca="false">MAX(B1618-B1617,0)</f>
        <v>0</v>
      </c>
      <c r="L1618" s="17" t="n">
        <f aca="false">MAX(B1617-B1618,0)</f>
        <v>207.460000000001</v>
      </c>
      <c r="M1618" s="17" t="n">
        <f aca="false">(M1617*13+K1618)/14</f>
        <v>92.6663797778049</v>
      </c>
      <c r="N1618" s="17" t="n">
        <f aca="false">(N1617*13+L1618)/14</f>
        <v>79.5881249697124</v>
      </c>
      <c r="O1618" s="17" t="n">
        <f aca="false">IF(N1618=0,100,100-100/(1+M1618/N1618))</f>
        <v>53.7962011000124</v>
      </c>
      <c r="P1618" s="17" t="n">
        <f aca="false">AVERAGE(B1599:B1618)+2*STDEV(B1599:B1618)</f>
        <v>12304.821255923</v>
      </c>
      <c r="Q1618" s="17" t="n">
        <f aca="false">AVERAGE(B1599:B1618)-2*STDEV(B1599:B1618)</f>
        <v>10965.111744077</v>
      </c>
      <c r="R1618" s="19" t="n">
        <f aca="false">B1618/B1598-1</f>
        <v>0.0856376007066388</v>
      </c>
      <c r="S1618" s="17" t="n">
        <f aca="false">STDEV(C1599:C1618)*SQRT(252)*100</f>
        <v>36.3492812132551</v>
      </c>
      <c r="T1618" s="19" t="n">
        <f aca="false">B1597/B1367-1</f>
        <v>-0.325350747436603</v>
      </c>
      <c r="U1618" s="19" t="n">
        <f aca="false">B1618/MAX(B1367:B1618)-1</f>
        <v>-0.288558925607364</v>
      </c>
      <c r="V1618" s="17" t="n">
        <f aca="false">(B1618-AVERAGE(B1599:B1618))/STDEV(B1599:B1618)</f>
        <v>0.453332602799223</v>
      </c>
    </row>
    <row r="1619" customFormat="false" ht="15" hidden="false" customHeight="false" outlineLevel="0" collapsed="false">
      <c r="A1619" s="17" t="s">
        <v>2183</v>
      </c>
      <c r="B1619" s="17" t="n">
        <v>11549.69</v>
      </c>
      <c r="C1619" s="19" t="n">
        <f aca="false">B1619/B1618-1</f>
        <v>-0.0201165710795126</v>
      </c>
      <c r="D1619" s="17" t="n">
        <f aca="false">AVERAGE(B1570:B1619)</f>
        <v>11367.0754</v>
      </c>
      <c r="E1619" s="17" t="n">
        <f aca="false">AVERAGE(B1420:B1619)</f>
        <v>12503.58995</v>
      </c>
      <c r="F1619" s="17" t="n">
        <f aca="false">B1619*2/13+F1618*11/13</f>
        <v>11733.4560495409</v>
      </c>
      <c r="G1619" s="17" t="n">
        <f aca="false">B1619*2/27+G1618*25/27</f>
        <v>11616.7631519009</v>
      </c>
      <c r="H1619" s="17" t="n">
        <f aca="false">F1619-G1619</f>
        <v>116.692897640023</v>
      </c>
      <c r="I1619" s="17" t="n">
        <f aca="false">H1619*2/10+I1618*8/10</f>
        <v>118.041016135837</v>
      </c>
      <c r="J1619" s="17" t="n">
        <f aca="false">H1619-I1619</f>
        <v>-1.34811849581418</v>
      </c>
      <c r="K1619" s="17" t="n">
        <f aca="false">MAX(B1619-B1618,0)</f>
        <v>0</v>
      </c>
      <c r="L1619" s="17" t="n">
        <f aca="false">MAX(B1618-B1619,0)</f>
        <v>237.109999999999</v>
      </c>
      <c r="M1619" s="17" t="n">
        <f aca="false">(M1618*13+K1619)/14</f>
        <v>86.0473526508189</v>
      </c>
      <c r="N1619" s="17" t="n">
        <f aca="false">(N1618*13+L1619)/14</f>
        <v>90.8396874718757</v>
      </c>
      <c r="O1619" s="17" t="n">
        <f aca="false">IF(N1619=0,100,100-100/(1+M1619/N1619))</f>
        <v>48.6453685872824</v>
      </c>
      <c r="P1619" s="17" t="n">
        <f aca="false">AVERAGE(B1600:B1619)+2*STDEV(B1600:B1619)</f>
        <v>12259.9590867372</v>
      </c>
      <c r="Q1619" s="17" t="n">
        <f aca="false">AVERAGE(B1600:B1619)-2*STDEV(B1600:B1619)</f>
        <v>11067.2429132628</v>
      </c>
      <c r="R1619" s="19" t="n">
        <f aca="false">B1619/B1599-1</f>
        <v>0.0521718137924752</v>
      </c>
      <c r="S1619" s="17" t="n">
        <f aca="false">STDEV(C1600:C1619)*SQRT(252)*100</f>
        <v>37.26048801319</v>
      </c>
      <c r="T1619" s="19" t="n">
        <f aca="false">B1598/B1368-1</f>
        <v>-0.334971449852563</v>
      </c>
      <c r="U1619" s="19" t="n">
        <f aca="false">B1619/MAX(B1368:B1619)-1</f>
        <v>-0.302870680549268</v>
      </c>
      <c r="V1619" s="17" t="n">
        <f aca="false">(B1619-AVERAGE(B1600:B1619))/STDEV(B1600:B1619)</f>
        <v>-0.382022152573569</v>
      </c>
    </row>
    <row r="1620" customFormat="false" ht="15" hidden="false" customHeight="false" outlineLevel="0" collapsed="false">
      <c r="A1620" s="17" t="s">
        <v>2184</v>
      </c>
      <c r="B1620" s="17" t="n">
        <v>11497.39</v>
      </c>
      <c r="C1620" s="19" t="n">
        <f aca="false">B1620/B1619-1</f>
        <v>-0.00452826006585472</v>
      </c>
      <c r="D1620" s="17" t="n">
        <f aca="false">AVERAGE(B1571:B1620)</f>
        <v>11371.5882</v>
      </c>
      <c r="E1620" s="17" t="n">
        <f aca="false">AVERAGE(B1421:B1620)</f>
        <v>12491.72425</v>
      </c>
      <c r="F1620" s="17" t="n">
        <f aca="false">B1620*2/13+F1619*11/13</f>
        <v>11697.1381957654</v>
      </c>
      <c r="G1620" s="17" t="n">
        <f aca="false">B1620*2/27+G1619*25/27</f>
        <v>11607.9206962045</v>
      </c>
      <c r="H1620" s="17" t="n">
        <f aca="false">F1620-G1620</f>
        <v>89.2174995608621</v>
      </c>
      <c r="I1620" s="17" t="n">
        <f aca="false">H1620*2/10+I1619*8/10</f>
        <v>112.276312820842</v>
      </c>
      <c r="J1620" s="17" t="n">
        <f aca="false">H1620-I1620</f>
        <v>-23.0588132599802</v>
      </c>
      <c r="K1620" s="17" t="n">
        <f aca="false">MAX(B1620-B1619,0)</f>
        <v>0</v>
      </c>
      <c r="L1620" s="17" t="n">
        <f aca="false">MAX(B1619-B1620,0)</f>
        <v>52.3000000000011</v>
      </c>
      <c r="M1620" s="17" t="n">
        <f aca="false">(M1619*13+K1620)/14</f>
        <v>79.9011131757604</v>
      </c>
      <c r="N1620" s="17" t="n">
        <f aca="false">(N1619*13+L1620)/14</f>
        <v>88.0868526524561</v>
      </c>
      <c r="O1620" s="17" t="n">
        <f aca="false">IF(N1620=0,100,100-100/(1+M1620/N1620))</f>
        <v>47.5635934882781</v>
      </c>
      <c r="P1620" s="17" t="n">
        <f aca="false">AVERAGE(B1601:B1620)+2*STDEV(B1601:B1620)</f>
        <v>12217.1077037122</v>
      </c>
      <c r="Q1620" s="17" t="n">
        <f aca="false">AVERAGE(B1601:B1620)-2*STDEV(B1601:B1620)</f>
        <v>11153.8832962878</v>
      </c>
      <c r="R1620" s="19" t="n">
        <f aca="false">B1620/B1600-1</f>
        <v>0.0395940141959401</v>
      </c>
      <c r="S1620" s="17" t="n">
        <f aca="false">STDEV(C1601:C1620)*SQRT(252)*100</f>
        <v>37.3035837509154</v>
      </c>
      <c r="T1620" s="19" t="n">
        <f aca="false">B1599/B1369-1</f>
        <v>-0.330439651733464</v>
      </c>
      <c r="U1620" s="19" t="n">
        <f aca="false">B1620/MAX(B1369:B1620)-1</f>
        <v>-0.306027463407273</v>
      </c>
      <c r="V1620" s="17" t="n">
        <f aca="false">(B1620-AVERAGE(B1601:B1620))/STDEV(B1601:B1620)</f>
        <v>-0.707679389925445</v>
      </c>
    </row>
    <row r="1621" customFormat="false" ht="15" hidden="false" customHeight="false" outlineLevel="0" collapsed="false">
      <c r="A1621" s="17" t="s">
        <v>2185</v>
      </c>
      <c r="B1621" s="17" t="n">
        <v>11637.5</v>
      </c>
      <c r="C1621" s="19" t="n">
        <f aca="false">B1621/B1620-1</f>
        <v>0.0121862440084228</v>
      </c>
      <c r="D1621" s="17" t="n">
        <f aca="false">AVERAGE(B1572:B1621)</f>
        <v>11374.4616</v>
      </c>
      <c r="E1621" s="17" t="n">
        <f aca="false">AVERAGE(B1422:B1621)</f>
        <v>12482.3646</v>
      </c>
      <c r="F1621" s="17" t="n">
        <f aca="false">B1621*2/13+F1620*11/13</f>
        <v>11687.9630887245</v>
      </c>
      <c r="G1621" s="17" t="n">
        <f aca="false">B1621*2/27+G1620*25/27</f>
        <v>11610.1117557449</v>
      </c>
      <c r="H1621" s="17" t="n">
        <f aca="false">F1621-G1621</f>
        <v>77.8513329796297</v>
      </c>
      <c r="I1621" s="17" t="n">
        <f aca="false">H1621*2/10+I1620*8/10</f>
        <v>105.3913168526</v>
      </c>
      <c r="J1621" s="17" t="n">
        <f aca="false">H1621-I1621</f>
        <v>-27.5399838729701</v>
      </c>
      <c r="K1621" s="17" t="n">
        <f aca="false">MAX(B1621-B1620,0)</f>
        <v>140.110000000001</v>
      </c>
      <c r="L1621" s="17" t="n">
        <f aca="false">MAX(B1620-B1621,0)</f>
        <v>0</v>
      </c>
      <c r="M1621" s="17" t="n">
        <f aca="false">(M1620*13+K1621)/14</f>
        <v>84.2017479489204</v>
      </c>
      <c r="N1621" s="17" t="n">
        <f aca="false">(N1620*13+L1621)/14</f>
        <v>81.7949346058521</v>
      </c>
      <c r="O1621" s="17" t="n">
        <f aca="false">IF(N1621=0,100,100-100/(1+M1621/N1621))</f>
        <v>50.7249582660407</v>
      </c>
      <c r="P1621" s="17" t="n">
        <f aca="false">AVERAGE(B1602:B1621)+2*STDEV(B1602:B1621)</f>
        <v>12058.6744096041</v>
      </c>
      <c r="Q1621" s="17" t="n">
        <f aca="false">AVERAGE(B1602:B1621)-2*STDEV(B1602:B1621)</f>
        <v>11396.3115903959</v>
      </c>
      <c r="R1621" s="19" t="n">
        <f aca="false">B1621/B1601-1</f>
        <v>0.0777907951340815</v>
      </c>
      <c r="S1621" s="17" t="n">
        <f aca="false">STDEV(C1602:C1621)*SQRT(252)*100</f>
        <v>36.1579086161553</v>
      </c>
      <c r="T1621" s="19" t="n">
        <f aca="false">B1600/B1370-1</f>
        <v>-0.315183004872576</v>
      </c>
      <c r="U1621" s="19" t="n">
        <f aca="false">B1621/MAX(B1370:B1621)-1</f>
        <v>-0.29757054474121</v>
      </c>
      <c r="V1621" s="17" t="n">
        <f aca="false">(B1621-AVERAGE(B1602:B1621))/STDEV(B1602:B1621)</f>
        <v>-0.543466495342078</v>
      </c>
    </row>
    <row r="1622" customFormat="false" ht="15" hidden="false" customHeight="false" outlineLevel="0" collapsed="false">
      <c r="A1622" s="17" t="s">
        <v>2186</v>
      </c>
      <c r="B1622" s="17" t="n">
        <v>11563.33</v>
      </c>
      <c r="C1622" s="19" t="n">
        <f aca="false">B1622/B1621-1</f>
        <v>-0.00637336197636951</v>
      </c>
      <c r="D1622" s="17" t="n">
        <f aca="false">AVERAGE(B1573:B1622)</f>
        <v>11382.4326</v>
      </c>
      <c r="E1622" s="17" t="n">
        <f aca="false">AVERAGE(B1423:B1622)</f>
        <v>12470.3079</v>
      </c>
      <c r="F1622" s="17" t="n">
        <f aca="false">B1622*2/13+F1621*11/13</f>
        <v>11668.7887673823</v>
      </c>
      <c r="G1622" s="17" t="n">
        <f aca="false">B1622*2/27+G1621*25/27</f>
        <v>11606.6464405045</v>
      </c>
      <c r="H1622" s="17" t="n">
        <f aca="false">F1622-G1622</f>
        <v>62.1423268777562</v>
      </c>
      <c r="I1622" s="17" t="n">
        <f aca="false">H1622*2/10+I1621*8/10</f>
        <v>96.741518857631</v>
      </c>
      <c r="J1622" s="17" t="n">
        <f aca="false">H1622-I1622</f>
        <v>-34.5991919798748</v>
      </c>
      <c r="K1622" s="17" t="n">
        <f aca="false">MAX(B1622-B1621,0)</f>
        <v>0</v>
      </c>
      <c r="L1622" s="17" t="n">
        <f aca="false">MAX(B1621-B1622,0)</f>
        <v>74.1700000000001</v>
      </c>
      <c r="M1622" s="17" t="n">
        <f aca="false">(M1621*13+K1622)/14</f>
        <v>78.1873373811403</v>
      </c>
      <c r="N1622" s="17" t="n">
        <f aca="false">(N1621*13+L1622)/14</f>
        <v>81.2502964197199</v>
      </c>
      <c r="O1622" s="17" t="n">
        <f aca="false">IF(N1622=0,100,100-100/(1+M1622/N1622))</f>
        <v>49.0394491671881</v>
      </c>
      <c r="P1622" s="17" t="n">
        <f aca="false">AVERAGE(B1603:B1622)+2*STDEV(B1603:B1622)</f>
        <v>12060.363056463</v>
      </c>
      <c r="Q1622" s="17" t="n">
        <f aca="false">AVERAGE(B1603:B1622)-2*STDEV(B1603:B1622)</f>
        <v>11390.359943537</v>
      </c>
      <c r="R1622" s="19" t="n">
        <f aca="false">B1622/B1602-1</f>
        <v>-0.00367311277998539</v>
      </c>
      <c r="S1622" s="17" t="n">
        <f aca="false">STDEV(C1603:C1622)*SQRT(252)*100</f>
        <v>24.7301042635915</v>
      </c>
      <c r="T1622" s="19" t="n">
        <f aca="false">B1601/B1371-1</f>
        <v>-0.338870730921787</v>
      </c>
      <c r="U1622" s="19" t="n">
        <f aca="false">B1622/MAX(B1371:B1622)-1</f>
        <v>-0.302047381922439</v>
      </c>
      <c r="V1622" s="17" t="n">
        <f aca="false">(B1622-AVERAGE(B1603:B1622))/STDEV(B1603:B1622)</f>
        <v>-0.967347744355318</v>
      </c>
    </row>
    <row r="1623" customFormat="false" ht="15" hidden="false" customHeight="false" outlineLevel="0" collapsed="false">
      <c r="A1623" s="17" t="s">
        <v>2187</v>
      </c>
      <c r="B1623" s="17" t="n">
        <v>11706.44</v>
      </c>
      <c r="C1623" s="19" t="n">
        <f aca="false">B1623/B1622-1</f>
        <v>0.0123761926711423</v>
      </c>
      <c r="D1623" s="17" t="n">
        <f aca="false">AVERAGE(B1574:B1623)</f>
        <v>11397.137</v>
      </c>
      <c r="E1623" s="17" t="n">
        <f aca="false">AVERAGE(B1424:B1623)</f>
        <v>12457.8943</v>
      </c>
      <c r="F1623" s="17" t="n">
        <f aca="false">B1623*2/13+F1622*11/13</f>
        <v>11674.5812647081</v>
      </c>
      <c r="G1623" s="17" t="n">
        <f aca="false">B1623*2/27+G1622*25/27</f>
        <v>11614.0385560227</v>
      </c>
      <c r="H1623" s="17" t="n">
        <f aca="false">F1623-G1623</f>
        <v>60.5427086853761</v>
      </c>
      <c r="I1623" s="17" t="n">
        <f aca="false">H1623*2/10+I1622*8/10</f>
        <v>89.5017568231801</v>
      </c>
      <c r="J1623" s="17" t="n">
        <f aca="false">H1623-I1623</f>
        <v>-28.959048137804</v>
      </c>
      <c r="K1623" s="17" t="n">
        <f aca="false">MAX(B1623-B1622,0)</f>
        <v>143.110000000001</v>
      </c>
      <c r="L1623" s="17" t="n">
        <f aca="false">MAX(B1622-B1623,0)</f>
        <v>0</v>
      </c>
      <c r="M1623" s="17" t="n">
        <f aca="false">(M1622*13+K1623)/14</f>
        <v>82.8246704253446</v>
      </c>
      <c r="N1623" s="17" t="n">
        <f aca="false">(N1622*13+L1623)/14</f>
        <v>75.4467038183113</v>
      </c>
      <c r="O1623" s="17" t="n">
        <f aca="false">IF(N1623=0,100,100-100/(1+M1623/N1623))</f>
        <v>52.3307962802152</v>
      </c>
      <c r="P1623" s="17" t="n">
        <f aca="false">AVERAGE(B1604:B1623)+2*STDEV(B1604:B1623)</f>
        <v>12052.1046050779</v>
      </c>
      <c r="Q1623" s="17" t="n">
        <f aca="false">AVERAGE(B1604:B1623)-2*STDEV(B1604:B1623)</f>
        <v>11387.5613949221</v>
      </c>
      <c r="R1623" s="19" t="n">
        <f aca="false">B1623/B1603-1</f>
        <v>-0.00935685084467219</v>
      </c>
      <c r="S1623" s="17" t="n">
        <f aca="false">STDEV(C1604:C1623)*SQRT(252)*100</f>
        <v>24.2425822601618</v>
      </c>
      <c r="T1623" s="19" t="n">
        <f aca="false">B1602/B1372-1</f>
        <v>-0.278350759052514</v>
      </c>
      <c r="U1623" s="19" t="n">
        <f aca="false">B1623/MAX(B1372:B1623)-1</f>
        <v>-0.293409385845782</v>
      </c>
      <c r="V1623" s="17" t="n">
        <f aca="false">(B1623-AVERAGE(B1604:B1623))/STDEV(B1604:B1623)</f>
        <v>-0.0806147729467258</v>
      </c>
    </row>
    <row r="1624" customFormat="false" ht="15" hidden="false" customHeight="false" outlineLevel="0" collapsed="false">
      <c r="A1624" s="17" t="s">
        <v>2188</v>
      </c>
      <c r="B1624" s="17" t="n">
        <v>11834.21</v>
      </c>
      <c r="C1624" s="19" t="n">
        <f aca="false">B1624/B1623-1</f>
        <v>0.0109145051783461</v>
      </c>
      <c r="D1624" s="17" t="n">
        <f aca="false">AVERAGE(B1575:B1624)</f>
        <v>11409.2266</v>
      </c>
      <c r="E1624" s="17" t="n">
        <f aca="false">AVERAGE(B1425:B1624)</f>
        <v>12445.8763</v>
      </c>
      <c r="F1624" s="17" t="n">
        <f aca="false">B1624*2/13+F1623*11/13</f>
        <v>11699.1395316761</v>
      </c>
      <c r="G1624" s="17" t="n">
        <f aca="false">B1624*2/27+G1623*25/27</f>
        <v>11630.3475518729</v>
      </c>
      <c r="H1624" s="17" t="n">
        <f aca="false">F1624-G1624</f>
        <v>68.7919798031908</v>
      </c>
      <c r="I1624" s="17" t="n">
        <f aca="false">H1624*2/10+I1623*8/10</f>
        <v>85.3598014191822</v>
      </c>
      <c r="J1624" s="17" t="n">
        <f aca="false">H1624-I1624</f>
        <v>-16.5678216159914</v>
      </c>
      <c r="K1624" s="17" t="n">
        <f aca="false">MAX(B1624-B1623,0)</f>
        <v>127.769999999999</v>
      </c>
      <c r="L1624" s="17" t="n">
        <f aca="false">MAX(B1623-B1624,0)</f>
        <v>0</v>
      </c>
      <c r="M1624" s="17" t="n">
        <f aca="false">(M1623*13+K1624)/14</f>
        <v>86.0350511092485</v>
      </c>
      <c r="N1624" s="17" t="n">
        <f aca="false">(N1623*13+L1624)/14</f>
        <v>70.0576535455748</v>
      </c>
      <c r="O1624" s="17" t="n">
        <f aca="false">IF(N1624=0,100,100-100/(1+M1624/N1624))</f>
        <v>55.1179193797063</v>
      </c>
      <c r="P1624" s="17" t="n">
        <f aca="false">AVERAGE(B1605:B1624)+2*STDEV(B1605:B1624)</f>
        <v>12062.4971581619</v>
      </c>
      <c r="Q1624" s="17" t="n">
        <f aca="false">AVERAGE(B1605:B1624)-2*STDEV(B1605:B1624)</f>
        <v>11390.4958418381</v>
      </c>
      <c r="R1624" s="19" t="n">
        <f aca="false">B1624/B1604-1</f>
        <v>0.0113896832220317</v>
      </c>
      <c r="S1624" s="17" t="n">
        <f aca="false">STDEV(C1605:C1624)*SQRT(252)*100</f>
        <v>24.2865887575529</v>
      </c>
      <c r="T1624" s="19" t="n">
        <f aca="false">B1603/B1373-1</f>
        <v>-0.257487637371268</v>
      </c>
      <c r="U1624" s="19" t="n">
        <f aca="false">B1624/MAX(B1373:B1624)-1</f>
        <v>-0.285697298928625</v>
      </c>
      <c r="V1624" s="17" t="n">
        <f aca="false">(B1624-AVERAGE(B1605:B1624))/STDEV(B1605:B1624)</f>
        <v>0.641150529818802</v>
      </c>
    </row>
    <row r="1625" customFormat="false" ht="15" hidden="false" customHeight="false" outlineLevel="0" collapsed="false">
      <c r="A1625" s="17" t="s">
        <v>2189</v>
      </c>
      <c r="B1625" s="17" t="n">
        <v>11740.92</v>
      </c>
      <c r="C1625" s="19" t="n">
        <f aca="false">B1625/B1624-1</f>
        <v>-0.00788307795788645</v>
      </c>
      <c r="D1625" s="17" t="n">
        <f aca="false">AVERAGE(B1576:B1625)</f>
        <v>11412.3942</v>
      </c>
      <c r="E1625" s="17" t="n">
        <f aca="false">AVERAGE(B1426:B1625)</f>
        <v>12434.55095</v>
      </c>
      <c r="F1625" s="17" t="n">
        <f aca="false">B1625*2/13+F1624*11/13</f>
        <v>11705.5672960336</v>
      </c>
      <c r="G1625" s="17" t="n">
        <f aca="false">B1625*2/27+G1624*25/27</f>
        <v>11638.538103586</v>
      </c>
      <c r="H1625" s="17" t="n">
        <f aca="false">F1625-G1625</f>
        <v>67.0291924475969</v>
      </c>
      <c r="I1625" s="17" t="n">
        <f aca="false">H1625*2/10+I1624*8/10</f>
        <v>81.6936796248651</v>
      </c>
      <c r="J1625" s="17" t="n">
        <f aca="false">H1625-I1625</f>
        <v>-14.6644871772683</v>
      </c>
      <c r="K1625" s="17" t="n">
        <f aca="false">MAX(B1625-B1624,0)</f>
        <v>0</v>
      </c>
      <c r="L1625" s="17" t="n">
        <f aca="false">MAX(B1624-B1625,0)</f>
        <v>93.2899999999991</v>
      </c>
      <c r="M1625" s="17" t="n">
        <f aca="false">(M1624*13+K1625)/14</f>
        <v>79.8896903157307</v>
      </c>
      <c r="N1625" s="17" t="n">
        <f aca="false">(N1624*13+L1625)/14</f>
        <v>71.7171068637479</v>
      </c>
      <c r="O1625" s="17" t="n">
        <f aca="false">IF(N1625=0,100,100-100/(1+M1625/N1625))</f>
        <v>52.6953222428107</v>
      </c>
      <c r="P1625" s="17" t="n">
        <f aca="false">AVERAGE(B1606:B1625)+2*STDEV(B1606:B1625)</f>
        <v>12049.1605284439</v>
      </c>
      <c r="Q1625" s="17" t="n">
        <f aca="false">AVERAGE(B1606:B1625)-2*STDEV(B1606:B1625)</f>
        <v>11390.8094715561</v>
      </c>
      <c r="R1625" s="19" t="n">
        <f aca="false">B1625/B1605-1</f>
        <v>-0.0109702935267434</v>
      </c>
      <c r="S1625" s="17" t="n">
        <f aca="false">STDEV(C1606:C1625)*SQRT(252)*100</f>
        <v>23.8893763500998</v>
      </c>
      <c r="T1625" s="19" t="n">
        <f aca="false">B1604/B1374-1</f>
        <v>-0.281692172731174</v>
      </c>
      <c r="U1625" s="19" t="n">
        <f aca="false">B1625/MAX(B1374:B1625)-1</f>
        <v>-0.2913282028067</v>
      </c>
      <c r="V1625" s="17" t="n">
        <f aca="false">(B1625-AVERAGE(B1606:B1625))/STDEV(B1606:B1625)</f>
        <v>0.127196575632249</v>
      </c>
    </row>
    <row r="1626" customFormat="false" ht="15" hidden="false" customHeight="false" outlineLevel="0" collapsed="false">
      <c r="A1626" s="17" t="s">
        <v>2190</v>
      </c>
      <c r="B1626" s="17" t="n">
        <v>11345.22</v>
      </c>
      <c r="C1626" s="19" t="n">
        <f aca="false">B1626/B1625-1</f>
        <v>-0.0337026399975471</v>
      </c>
      <c r="D1626" s="17" t="n">
        <f aca="false">AVERAGE(B1577:B1626)</f>
        <v>11407.835</v>
      </c>
      <c r="E1626" s="17" t="n">
        <f aca="false">AVERAGE(B1427:B1626)</f>
        <v>12420.0586</v>
      </c>
      <c r="F1626" s="17" t="n">
        <f aca="false">B1626*2/13+F1625*11/13</f>
        <v>11650.12925049</v>
      </c>
      <c r="G1626" s="17" t="n">
        <f aca="false">B1626*2/27+G1625*25/27</f>
        <v>11616.8108366537</v>
      </c>
      <c r="H1626" s="17" t="n">
        <f aca="false">F1626-G1626</f>
        <v>33.3184138362631</v>
      </c>
      <c r="I1626" s="17" t="n">
        <f aca="false">H1626*2/10+I1625*8/10</f>
        <v>72.0186264671447</v>
      </c>
      <c r="J1626" s="17" t="n">
        <f aca="false">H1626-I1626</f>
        <v>-38.7002126308817</v>
      </c>
      <c r="K1626" s="17" t="n">
        <f aca="false">MAX(B1626-B1625,0)</f>
        <v>0</v>
      </c>
      <c r="L1626" s="17" t="n">
        <f aca="false">MAX(B1625-B1626,0)</f>
        <v>395.700000000001</v>
      </c>
      <c r="M1626" s="17" t="n">
        <f aca="false">(M1625*13+K1626)/14</f>
        <v>74.1832838646071</v>
      </c>
      <c r="N1626" s="17" t="n">
        <f aca="false">(N1625*13+L1626)/14</f>
        <v>94.858742087766</v>
      </c>
      <c r="O1626" s="17" t="n">
        <f aca="false">IF(N1626=0,100,100-100/(1+M1626/N1626))</f>
        <v>43.884521287924</v>
      </c>
      <c r="P1626" s="17" t="n">
        <f aca="false">AVERAGE(B1607:B1626)+2*STDEV(B1607:B1626)</f>
        <v>12071.770369378</v>
      </c>
      <c r="Q1626" s="17" t="n">
        <f aca="false">AVERAGE(B1607:B1626)-2*STDEV(B1607:B1626)</f>
        <v>11332.812630622</v>
      </c>
      <c r="R1626" s="19" t="n">
        <f aca="false">B1626/B1606-1</f>
        <v>-0.0302476517404345</v>
      </c>
      <c r="S1626" s="17" t="n">
        <f aca="false">STDEV(C1607:C1626)*SQRT(252)*100</f>
        <v>26.2445493837893</v>
      </c>
      <c r="T1626" s="19" t="n">
        <f aca="false">B1605/B1375-1</f>
        <v>-0.251689681125874</v>
      </c>
      <c r="U1626" s="19" t="n">
        <f aca="false">B1626/MAX(B1375:B1626)-1</f>
        <v>-0.31521231326392</v>
      </c>
      <c r="V1626" s="17" t="n">
        <f aca="false">(B1626-AVERAGE(B1607:B1626))/STDEV(B1607:B1626)</f>
        <v>-1.93283854419668</v>
      </c>
    </row>
    <row r="1627" customFormat="false" ht="15" hidden="false" customHeight="false" outlineLevel="0" collapsed="false">
      <c r="A1627" s="17" t="s">
        <v>2191</v>
      </c>
      <c r="B1627" s="17" t="n">
        <v>11243.72</v>
      </c>
      <c r="C1627" s="19" t="n">
        <f aca="false">B1627/B1626-1</f>
        <v>-0.00894649905422729</v>
      </c>
      <c r="D1627" s="17" t="n">
        <f aca="false">AVERAGE(B1578:B1627)</f>
        <v>11402.9994</v>
      </c>
      <c r="E1627" s="17" t="n">
        <f aca="false">AVERAGE(B1428:B1627)</f>
        <v>12406.10115</v>
      </c>
      <c r="F1627" s="17" t="n">
        <f aca="false">B1627*2/13+F1626*11/13</f>
        <v>11587.6047504146</v>
      </c>
      <c r="G1627" s="17" t="n">
        <f aca="false">B1627*2/27+G1626*25/27</f>
        <v>11589.1744783831</v>
      </c>
      <c r="H1627" s="17" t="n">
        <f aca="false">F1627-G1627</f>
        <v>-1.56972796847003</v>
      </c>
      <c r="I1627" s="17" t="n">
        <f aca="false">H1627*2/10+I1626*8/10</f>
        <v>57.3009555800218</v>
      </c>
      <c r="J1627" s="17" t="n">
        <f aca="false">H1627-I1627</f>
        <v>-58.8706835484918</v>
      </c>
      <c r="K1627" s="17" t="n">
        <f aca="false">MAX(B1627-B1626,0)</f>
        <v>0</v>
      </c>
      <c r="L1627" s="17" t="n">
        <f aca="false">MAX(B1626-B1627,0)</f>
        <v>101.5</v>
      </c>
      <c r="M1627" s="17" t="n">
        <f aca="false">(M1626*13+K1627)/14</f>
        <v>68.884477874278</v>
      </c>
      <c r="N1627" s="17" t="n">
        <f aca="false">(N1626*13+L1627)/14</f>
        <v>95.3331176529256</v>
      </c>
      <c r="O1627" s="17" t="n">
        <f aca="false">IF(N1627=0,100,100-100/(1+M1627/N1627))</f>
        <v>41.9470749484131</v>
      </c>
      <c r="P1627" s="17" t="n">
        <f aca="false">AVERAGE(B1608:B1627)+2*STDEV(B1608:B1627)</f>
        <v>12103.3338611976</v>
      </c>
      <c r="Q1627" s="17" t="n">
        <f aca="false">AVERAGE(B1608:B1627)-2*STDEV(B1608:B1627)</f>
        <v>11257.9351388024</v>
      </c>
      <c r="R1627" s="19" t="n">
        <f aca="false">B1627/B1607-1</f>
        <v>-0.0370938762646809</v>
      </c>
      <c r="S1627" s="17" t="n">
        <f aca="false">STDEV(C1608:C1627)*SQRT(252)*100</f>
        <v>26.3809917314397</v>
      </c>
      <c r="T1627" s="19" t="n">
        <f aca="false">B1606/B1376-1</f>
        <v>-0.259619680713048</v>
      </c>
      <c r="U1627" s="19" t="n">
        <f aca="false">B1627/MAX(B1376:B1627)-1</f>
        <v>-0.321338765655651</v>
      </c>
      <c r="V1627" s="17" t="n">
        <f aca="false">(B1627-AVERAGE(B1608:B1627))/STDEV(B1608:B1627)</f>
        <v>-2.06725886105977</v>
      </c>
    </row>
    <row r="1628" customFormat="false" ht="15" hidden="false" customHeight="false" outlineLevel="0" collapsed="false">
      <c r="A1628" s="17" t="s">
        <v>2192</v>
      </c>
      <c r="B1628" s="17" t="n">
        <v>11084.59</v>
      </c>
      <c r="C1628" s="19" t="n">
        <f aca="false">B1628/B1627-1</f>
        <v>-0.0141527892903771</v>
      </c>
      <c r="D1628" s="17" t="n">
        <f aca="false">AVERAGE(B1579:B1628)</f>
        <v>11403.9018</v>
      </c>
      <c r="E1628" s="17" t="n">
        <f aca="false">AVERAGE(B1429:B1628)</f>
        <v>12392.33495</v>
      </c>
      <c r="F1628" s="17" t="n">
        <f aca="false">B1628*2/13+F1627*11/13</f>
        <v>11510.2178657354</v>
      </c>
      <c r="G1628" s="17" t="n">
        <f aca="false">B1628*2/27+G1627*25/27</f>
        <v>11551.7978503547</v>
      </c>
      <c r="H1628" s="17" t="n">
        <f aca="false">F1628-G1628</f>
        <v>-41.5799846192622</v>
      </c>
      <c r="I1628" s="17" t="n">
        <f aca="false">H1628*2/10+I1627*8/10</f>
        <v>37.524767540165</v>
      </c>
      <c r="J1628" s="17" t="n">
        <f aca="false">H1628-I1628</f>
        <v>-79.1047521594272</v>
      </c>
      <c r="K1628" s="17" t="n">
        <f aca="false">MAX(B1628-B1627,0)</f>
        <v>0</v>
      </c>
      <c r="L1628" s="17" t="n">
        <f aca="false">MAX(B1627-B1628,0)</f>
        <v>159.129999999999</v>
      </c>
      <c r="M1628" s="17" t="n">
        <f aca="false">(M1627*13+K1628)/14</f>
        <v>63.9641580261153</v>
      </c>
      <c r="N1628" s="17" t="n">
        <f aca="false">(N1627*13+L1628)/14</f>
        <v>99.8900378205737</v>
      </c>
      <c r="O1628" s="17" t="n">
        <f aca="false">IF(N1628=0,100,100-100/(1+M1628/N1628))</f>
        <v>39.0372414301576</v>
      </c>
      <c r="P1628" s="17" t="n">
        <f aca="false">AVERAGE(B1609:B1628)+2*STDEV(B1609:B1628)</f>
        <v>12150.7839745831</v>
      </c>
      <c r="Q1628" s="17" t="n">
        <f aca="false">AVERAGE(B1609:B1628)-2*STDEV(B1609:B1628)</f>
        <v>11151.2420254169</v>
      </c>
      <c r="R1628" s="19" t="n">
        <f aca="false">B1628/B1608-1</f>
        <v>-0.0507346908714724</v>
      </c>
      <c r="S1628" s="17" t="n">
        <f aca="false">STDEV(C1609:C1628)*SQRT(252)*100</f>
        <v>26.7317414500849</v>
      </c>
      <c r="T1628" s="19" t="n">
        <f aca="false">B1607/B1377-1</f>
        <v>-0.252807205694526</v>
      </c>
      <c r="U1628" s="19" t="n">
        <f aca="false">B1628/MAX(B1377:B1628)-1</f>
        <v>-0.330943715104874</v>
      </c>
      <c r="V1628" s="17" t="n">
        <f aca="false">(B1628-AVERAGE(B1609:B1628))/STDEV(B1609:B1628)</f>
        <v>-2.26673027769348</v>
      </c>
    </row>
    <row r="1629" customFormat="false" ht="15" hidden="false" customHeight="false" outlineLevel="0" collapsed="false">
      <c r="A1629" s="17" t="s">
        <v>2193</v>
      </c>
      <c r="B1629" s="17" t="n">
        <v>11072.42</v>
      </c>
      <c r="C1629" s="19" t="n">
        <f aca="false">B1629/B1628-1</f>
        <v>-0.00109792062674396</v>
      </c>
      <c r="D1629" s="17" t="n">
        <f aca="false">AVERAGE(B1580:B1629)</f>
        <v>11406.8108</v>
      </c>
      <c r="E1629" s="17" t="n">
        <f aca="false">AVERAGE(B1430:B1629)</f>
        <v>12381.10015</v>
      </c>
      <c r="F1629" s="17" t="n">
        <f aca="false">B1629*2/13+F1628*11/13</f>
        <v>11442.86434793</v>
      </c>
      <c r="G1629" s="17" t="n">
        <f aca="false">B1629*2/27+G1628*25/27</f>
        <v>11516.288379958</v>
      </c>
      <c r="H1629" s="17" t="n">
        <f aca="false">F1629-G1629</f>
        <v>-73.4240320280678</v>
      </c>
      <c r="I1629" s="17" t="n">
        <f aca="false">H1629*2/10+I1628*8/10</f>
        <v>15.3350076265184</v>
      </c>
      <c r="J1629" s="17" t="n">
        <f aca="false">H1629-I1629</f>
        <v>-88.7590396545862</v>
      </c>
      <c r="K1629" s="17" t="n">
        <f aca="false">MAX(B1629-B1628,0)</f>
        <v>0</v>
      </c>
      <c r="L1629" s="17" t="n">
        <f aca="false">MAX(B1628-B1629,0)</f>
        <v>12.1700000000001</v>
      </c>
      <c r="M1629" s="17" t="n">
        <f aca="false">(M1628*13+K1629)/14</f>
        <v>59.3952895956785</v>
      </c>
      <c r="N1629" s="17" t="n">
        <f aca="false">(N1628*13+L1629)/14</f>
        <v>93.6243208333899</v>
      </c>
      <c r="O1629" s="17" t="n">
        <f aca="false">IF(N1629=0,100,100-100/(1+M1629/N1629))</f>
        <v>38.8154756303023</v>
      </c>
      <c r="P1629" s="17" t="n">
        <f aca="false">AVERAGE(B1610:B1629)+2*STDEV(B1610:B1629)</f>
        <v>12188.9306330829</v>
      </c>
      <c r="Q1629" s="17" t="n">
        <f aca="false">AVERAGE(B1610:B1629)-2*STDEV(B1610:B1629)</f>
        <v>11064.9923669171</v>
      </c>
      <c r="R1629" s="19" t="n">
        <f aca="false">B1629/B1609-1</f>
        <v>-0.0416351825645154</v>
      </c>
      <c r="S1629" s="17" t="n">
        <f aca="false">STDEV(C1610:C1629)*SQRT(252)*100</f>
        <v>26.5612749520999</v>
      </c>
      <c r="T1629" s="19" t="n">
        <f aca="false">B1608/B1378-1</f>
        <v>-0.269559897612202</v>
      </c>
      <c r="U1629" s="19" t="n">
        <f aca="false">B1629/MAX(B1378:B1629)-1</f>
        <v>-0.331678285800513</v>
      </c>
      <c r="V1629" s="17" t="n">
        <f aca="false">(B1629-AVERAGE(B1610:B1629))/STDEV(B1610:B1629)</f>
        <v>-1.97356569019332</v>
      </c>
    </row>
    <row r="1630" customFormat="false" ht="15" hidden="false" customHeight="false" outlineLevel="0" collapsed="false">
      <c r="A1630" s="17" t="s">
        <v>2194</v>
      </c>
      <c r="B1630" s="17" t="n">
        <v>11235.88</v>
      </c>
      <c r="C1630" s="19" t="n">
        <f aca="false">B1630/B1629-1</f>
        <v>0.0147628070466979</v>
      </c>
      <c r="D1630" s="17" t="n">
        <f aca="false">AVERAGE(B1581:B1630)</f>
        <v>11415.7014</v>
      </c>
      <c r="E1630" s="17" t="n">
        <f aca="false">AVERAGE(B1431:B1630)</f>
        <v>12370.9415</v>
      </c>
      <c r="F1630" s="17" t="n">
        <f aca="false">B1630*2/13+F1629*11/13</f>
        <v>11411.0206020946</v>
      </c>
      <c r="G1630" s="17" t="n">
        <f aca="false">B1630*2/27+G1629*25/27</f>
        <v>11495.51738885</v>
      </c>
      <c r="H1630" s="17" t="n">
        <f aca="false">F1630-G1630</f>
        <v>-84.496786755446</v>
      </c>
      <c r="I1630" s="17" t="n">
        <f aca="false">H1630*2/10+I1629*8/10</f>
        <v>-4.63135124987447</v>
      </c>
      <c r="J1630" s="17" t="n">
        <f aca="false">H1630-I1630</f>
        <v>-79.8654355055715</v>
      </c>
      <c r="K1630" s="17" t="n">
        <f aca="false">MAX(B1630-B1629,0)</f>
        <v>163.459999999999</v>
      </c>
      <c r="L1630" s="17" t="n">
        <f aca="false">MAX(B1629-B1630,0)</f>
        <v>0</v>
      </c>
      <c r="M1630" s="17" t="n">
        <f aca="false">(M1629*13+K1630)/14</f>
        <v>66.8284831959871</v>
      </c>
      <c r="N1630" s="17" t="n">
        <f aca="false">(N1629*13+L1630)/14</f>
        <v>86.9368693452906</v>
      </c>
      <c r="O1630" s="17" t="n">
        <f aca="false">IF(N1630=0,100,100-100/(1+M1630/N1630))</f>
        <v>43.4613403419651</v>
      </c>
      <c r="P1630" s="17" t="n">
        <f aca="false">AVERAGE(B1611:B1630)+2*STDEV(B1611:B1630)</f>
        <v>12188.5806150456</v>
      </c>
      <c r="Q1630" s="17" t="n">
        <f aca="false">AVERAGE(B1611:B1630)-2*STDEV(B1611:B1630)</f>
        <v>11016.4463849544</v>
      </c>
      <c r="R1630" s="19" t="n">
        <f aca="false">B1630/B1610-1</f>
        <v>-0.0417029144960615</v>
      </c>
      <c r="S1630" s="17" t="n">
        <f aca="false">STDEV(C1611:C1630)*SQRT(252)*100</f>
        <v>26.5552601576357</v>
      </c>
      <c r="T1630" s="19" t="n">
        <f aca="false">B1609/B1379-1</f>
        <v>-0.285948700073052</v>
      </c>
      <c r="U1630" s="19" t="n">
        <f aca="false">B1630/MAX(B1379:B1630)-1</f>
        <v>-0.321811981288668</v>
      </c>
      <c r="V1630" s="17" t="n">
        <f aca="false">(B1630-AVERAGE(B1611:B1630))/STDEV(B1611:B1630)</f>
        <v>-1.25116557673249</v>
      </c>
    </row>
    <row r="1631" customFormat="false" ht="15" hidden="false" customHeight="false" outlineLevel="0" collapsed="false">
      <c r="A1631" s="17" t="s">
        <v>2195</v>
      </c>
      <c r="B1631" s="17" t="n">
        <v>10956.14</v>
      </c>
      <c r="C1631" s="19" t="n">
        <f aca="false">B1631/B1630-1</f>
        <v>-0.0248970263121358</v>
      </c>
      <c r="D1631" s="17" t="n">
        <f aca="false">AVERAGE(B1582:B1631)</f>
        <v>11419.1118</v>
      </c>
      <c r="E1631" s="17" t="n">
        <f aca="false">AVERAGE(B1432:B1631)</f>
        <v>12357.0112</v>
      </c>
      <c r="F1631" s="17" t="n">
        <f aca="false">B1631*2/13+F1630*11/13</f>
        <v>11341.0389710031</v>
      </c>
      <c r="G1631" s="17" t="n">
        <f aca="false">B1631*2/27+G1630*25/27</f>
        <v>11455.5635081945</v>
      </c>
      <c r="H1631" s="17" t="n">
        <f aca="false">F1631-G1631</f>
        <v>-114.524537191362</v>
      </c>
      <c r="I1631" s="17" t="n">
        <f aca="false">H1631*2/10+I1630*8/10</f>
        <v>-26.6099884381721</v>
      </c>
      <c r="J1631" s="17" t="n">
        <f aca="false">H1631-I1631</f>
        <v>-87.9145487531904</v>
      </c>
      <c r="K1631" s="17" t="n">
        <f aca="false">MAX(B1631-B1630,0)</f>
        <v>0</v>
      </c>
      <c r="L1631" s="17" t="n">
        <f aca="false">MAX(B1630-B1631,0)</f>
        <v>279.74</v>
      </c>
      <c r="M1631" s="17" t="n">
        <f aca="false">(M1630*13+K1631)/14</f>
        <v>62.0550201105595</v>
      </c>
      <c r="N1631" s="17" t="n">
        <f aca="false">(N1630*13+L1631)/14</f>
        <v>100.708521534913</v>
      </c>
      <c r="O1631" s="17" t="n">
        <f aca="false">IF(N1631=0,100,100-100/(1+M1631/N1631))</f>
        <v>38.1258723441434</v>
      </c>
      <c r="P1631" s="17" t="n">
        <f aca="false">AVERAGE(B1612:B1631)+2*STDEV(B1612:B1631)</f>
        <v>12199.8568965666</v>
      </c>
      <c r="Q1631" s="17" t="n">
        <f aca="false">AVERAGE(B1612:B1631)-2*STDEV(B1612:B1631)</f>
        <v>10916.9121034334</v>
      </c>
      <c r="R1631" s="19" t="n">
        <f aca="false">B1631/B1611-1</f>
        <v>-0.0745502892204563</v>
      </c>
      <c r="S1631" s="17" t="n">
        <f aca="false">STDEV(C1612:C1631)*SQRT(252)*100</f>
        <v>27.3608879459102</v>
      </c>
      <c r="T1631" s="19" t="n">
        <f aca="false">B1610/B1380-1</f>
        <v>-0.281046785637418</v>
      </c>
      <c r="U1631" s="19" t="n">
        <f aca="false">B1631/MAX(B1380:B1631)-1</f>
        <v>-0.338696846235099</v>
      </c>
      <c r="V1631" s="17" t="n">
        <f aca="false">(B1631-AVERAGE(B1612:B1631))/STDEV(B1612:B1631)</f>
        <v>-1.87769420234909</v>
      </c>
    </row>
    <row r="1632" customFormat="false" ht="15" hidden="false" customHeight="false" outlineLevel="0" collapsed="false">
      <c r="A1632" s="17" t="s">
        <v>2196</v>
      </c>
      <c r="B1632" s="17" t="n">
        <v>10985.45</v>
      </c>
      <c r="C1632" s="19" t="n">
        <f aca="false">B1632/B1631-1</f>
        <v>0.00267521225541123</v>
      </c>
      <c r="D1632" s="17" t="n">
        <f aca="false">AVERAGE(B1583:B1632)</f>
        <v>11418.1492</v>
      </c>
      <c r="E1632" s="17" t="n">
        <f aca="false">AVERAGE(B1433:B1632)</f>
        <v>12343.98345</v>
      </c>
      <c r="F1632" s="17" t="n">
        <f aca="false">B1632*2/13+F1631*11/13</f>
        <v>11286.3329754642</v>
      </c>
      <c r="G1632" s="17" t="n">
        <f aca="false">B1632*2/27+G1631*25/27</f>
        <v>11420.7402853653</v>
      </c>
      <c r="H1632" s="17" t="n">
        <f aca="false">F1632-G1632</f>
        <v>-134.407309901082</v>
      </c>
      <c r="I1632" s="17" t="n">
        <f aca="false">H1632*2/10+I1631*8/10</f>
        <v>-48.1694527307541</v>
      </c>
      <c r="J1632" s="17" t="n">
        <f aca="false">H1632-I1632</f>
        <v>-86.237857170328</v>
      </c>
      <c r="K1632" s="17" t="n">
        <f aca="false">MAX(B1632-B1631,0)</f>
        <v>29.3100000000013</v>
      </c>
      <c r="L1632" s="17" t="n">
        <f aca="false">MAX(B1631-B1632,0)</f>
        <v>0</v>
      </c>
      <c r="M1632" s="17" t="n">
        <f aca="false">(M1631*13+K1632)/14</f>
        <v>59.7160901026625</v>
      </c>
      <c r="N1632" s="17" t="n">
        <f aca="false">(N1631*13+L1632)/14</f>
        <v>93.5150557109903</v>
      </c>
      <c r="O1632" s="17" t="n">
        <f aca="false">IF(N1632=0,100,100-100/(1+M1632/N1632))</f>
        <v>38.9712481660121</v>
      </c>
      <c r="P1632" s="17" t="n">
        <f aca="false">AVERAGE(B1613:B1632)+2*STDEV(B1613:B1632)</f>
        <v>12202.5842339393</v>
      </c>
      <c r="Q1632" s="17" t="n">
        <f aca="false">AVERAGE(B1613:B1632)-2*STDEV(B1613:B1632)</f>
        <v>10837.1267660607</v>
      </c>
      <c r="R1632" s="19" t="n">
        <f aca="false">B1632/B1612-1</f>
        <v>-0.0655476381057211</v>
      </c>
      <c r="S1632" s="17" t="n">
        <f aca="false">STDEV(C1613:C1632)*SQRT(252)*100</f>
        <v>27.4230907222123</v>
      </c>
      <c r="T1632" s="19" t="n">
        <f aca="false">B1611/B1381-1</f>
        <v>-0.285425079221367</v>
      </c>
      <c r="U1632" s="19" t="n">
        <f aca="false">B1632/MAX(B1381:B1632)-1</f>
        <v>-0.336927719933605</v>
      </c>
      <c r="V1632" s="17" t="n">
        <f aca="false">(B1632-AVERAGE(B1613:B1632))/STDEV(B1613:B1632)</f>
        <v>-1.56549877992256</v>
      </c>
    </row>
    <row r="1633" customFormat="false" ht="15" hidden="false" customHeight="false" outlineLevel="0" collapsed="false">
      <c r="A1633" s="17" t="s">
        <v>2197</v>
      </c>
      <c r="B1633" s="17" t="n">
        <v>10822.51</v>
      </c>
      <c r="C1633" s="19" t="n">
        <f aca="false">B1633/B1632-1</f>
        <v>-0.014832346421858</v>
      </c>
      <c r="D1633" s="17" t="n">
        <f aca="false">AVERAGE(B1584:B1633)</f>
        <v>11420.7582</v>
      </c>
      <c r="E1633" s="17" t="n">
        <f aca="false">AVERAGE(B1434:B1633)</f>
        <v>12331.58685</v>
      </c>
      <c r="F1633" s="17" t="n">
        <f aca="false">B1633*2/13+F1632*11/13</f>
        <v>11214.9755946235</v>
      </c>
      <c r="G1633" s="17" t="n">
        <f aca="false">B1633*2/27+G1632*25/27</f>
        <v>11376.4269308938</v>
      </c>
      <c r="H1633" s="17" t="n">
        <f aca="false">F1633-G1633</f>
        <v>-161.451336270226</v>
      </c>
      <c r="I1633" s="17" t="n">
        <f aca="false">H1633*2/10+I1632*8/10</f>
        <v>-70.8258294386484</v>
      </c>
      <c r="J1633" s="17" t="n">
        <f aca="false">H1633-I1633</f>
        <v>-90.6255068315772</v>
      </c>
      <c r="K1633" s="17" t="n">
        <f aca="false">MAX(B1633-B1632,0)</f>
        <v>0</v>
      </c>
      <c r="L1633" s="17" t="n">
        <f aca="false">MAX(B1632-B1633,0)</f>
        <v>162.940000000001</v>
      </c>
      <c r="M1633" s="17" t="n">
        <f aca="false">(M1632*13+K1633)/14</f>
        <v>55.4506550953294</v>
      </c>
      <c r="N1633" s="17" t="n">
        <f aca="false">(N1632*13+L1633)/14</f>
        <v>98.4739803030625</v>
      </c>
      <c r="O1633" s="17" t="n">
        <f aca="false">IF(N1633=0,100,100-100/(1+M1633/N1633))</f>
        <v>36.024548605758</v>
      </c>
      <c r="P1633" s="17" t="n">
        <f aca="false">AVERAGE(B1614:B1633)+2*STDEV(B1614:B1633)</f>
        <v>12230.8337411503</v>
      </c>
      <c r="Q1633" s="17" t="n">
        <f aca="false">AVERAGE(B1614:B1633)-2*STDEV(B1614:B1633)</f>
        <v>10732.3532588497</v>
      </c>
      <c r="R1633" s="19" t="n">
        <f aca="false">B1633/B1613-1</f>
        <v>-0.0660387046665659</v>
      </c>
      <c r="S1633" s="17" t="n">
        <f aca="false">STDEV(C1614:C1633)*SQRT(252)*100</f>
        <v>27.4514287438423</v>
      </c>
      <c r="T1633" s="19" t="n">
        <f aca="false">B1612/B1382-1</f>
        <v>-0.287023323908674</v>
      </c>
      <c r="U1633" s="19" t="n">
        <f aca="false">B1633/MAX(B1382:B1633)-1</f>
        <v>-0.344160656705311</v>
      </c>
      <c r="V1633" s="17" t="n">
        <f aca="false">(B1633-AVERAGE(B1614:B1633))/STDEV(B1614:B1633)</f>
        <v>-1.75933823038689</v>
      </c>
    </row>
    <row r="1634" customFormat="false" ht="15" hidden="false" customHeight="false" outlineLevel="0" collapsed="false">
      <c r="A1634" s="17" t="s">
        <v>2198</v>
      </c>
      <c r="B1634" s="17" t="n">
        <v>10679.34</v>
      </c>
      <c r="C1634" s="19" t="n">
        <f aca="false">B1634/B1633-1</f>
        <v>-0.0132289090053971</v>
      </c>
      <c r="D1634" s="17" t="n">
        <f aca="false">AVERAGE(B1585:B1634)</f>
        <v>11413.0944</v>
      </c>
      <c r="E1634" s="17" t="n">
        <f aca="false">AVERAGE(B1435:B1634)</f>
        <v>12319.75035</v>
      </c>
      <c r="F1634" s="17" t="n">
        <f aca="false">B1634*2/13+F1633*11/13</f>
        <v>11132.5701185276</v>
      </c>
      <c r="G1634" s="17" t="n">
        <f aca="false">B1634*2/27+G1633*25/27</f>
        <v>11324.7908619387</v>
      </c>
      <c r="H1634" s="17" t="n">
        <f aca="false">F1634-G1634</f>
        <v>-192.220743411061</v>
      </c>
      <c r="I1634" s="17" t="n">
        <f aca="false">H1634*2/10+I1633*8/10</f>
        <v>-95.1048122331308</v>
      </c>
      <c r="J1634" s="17" t="n">
        <f aca="false">H1634-I1634</f>
        <v>-97.1159311779298</v>
      </c>
      <c r="K1634" s="17" t="n">
        <f aca="false">MAX(B1634-B1633,0)</f>
        <v>0</v>
      </c>
      <c r="L1634" s="17" t="n">
        <f aca="false">MAX(B1633-B1634,0)</f>
        <v>143.17</v>
      </c>
      <c r="M1634" s="17" t="n">
        <f aca="false">(M1633*13+K1634)/14</f>
        <v>51.4898940170916</v>
      </c>
      <c r="N1634" s="17" t="n">
        <f aca="false">(N1633*13+L1634)/14</f>
        <v>101.666553138558</v>
      </c>
      <c r="O1634" s="17" t="n">
        <f aca="false">IF(N1634=0,100,100-100/(1+M1634/N1634))</f>
        <v>33.6191488986184</v>
      </c>
      <c r="P1634" s="17" t="n">
        <f aca="false">AVERAGE(B1615:B1634)+2*STDEV(B1615:B1634)</f>
        <v>12270.8145951425</v>
      </c>
      <c r="Q1634" s="17" t="n">
        <f aca="false">AVERAGE(B1615:B1634)-2*STDEV(B1615:B1634)</f>
        <v>10609.9614048575</v>
      </c>
      <c r="R1634" s="19" t="n">
        <f aca="false">B1634/B1614-1</f>
        <v>-0.0716402470563179</v>
      </c>
      <c r="S1634" s="17" t="n">
        <f aca="false">STDEV(C1615:C1634)*SQRT(252)*100</f>
        <v>27.6473223231416</v>
      </c>
      <c r="T1634" s="19" t="n">
        <f aca="false">B1613/B1383-1</f>
        <v>-0.297329272130694</v>
      </c>
      <c r="U1634" s="19" t="n">
        <f aca="false">B1634/MAX(B1383:B1634)-1</f>
        <v>-0.352836695699916</v>
      </c>
      <c r="V1634" s="17" t="n">
        <f aca="false">(B1634-AVERAGE(B1615:B1634))/STDEV(B1615:B1634)</f>
        <v>-1.83290854231225</v>
      </c>
    </row>
    <row r="1635" customFormat="false" ht="15" hidden="false" customHeight="false" outlineLevel="0" collapsed="false">
      <c r="A1635" s="17" t="s">
        <v>2199</v>
      </c>
      <c r="B1635" s="17" t="n">
        <v>10951.05</v>
      </c>
      <c r="C1635" s="19" t="n">
        <f aca="false">B1635/B1634-1</f>
        <v>0.0254425835304428</v>
      </c>
      <c r="D1635" s="17" t="n">
        <f aca="false">AVERAGE(B1586:B1635)</f>
        <v>11409.1606</v>
      </c>
      <c r="E1635" s="17" t="n">
        <f aca="false">AVERAGE(B1436:B1635)</f>
        <v>12307.2128</v>
      </c>
      <c r="F1635" s="17" t="n">
        <f aca="false">B1635*2/13+F1634*11/13</f>
        <v>11104.6439464464</v>
      </c>
      <c r="G1635" s="17" t="n">
        <f aca="false">B1635*2/27+G1634*25/27</f>
        <v>11297.1063536469</v>
      </c>
      <c r="H1635" s="17" t="n">
        <f aca="false">F1635-G1635</f>
        <v>-192.462407200479</v>
      </c>
      <c r="I1635" s="17" t="n">
        <f aca="false">H1635*2/10+I1634*8/10</f>
        <v>-114.5763312266</v>
      </c>
      <c r="J1635" s="17" t="n">
        <f aca="false">H1635-I1635</f>
        <v>-77.8860759738786</v>
      </c>
      <c r="K1635" s="17" t="n">
        <f aca="false">MAX(B1635-B1634,0)</f>
        <v>271.709999999999</v>
      </c>
      <c r="L1635" s="17" t="n">
        <f aca="false">MAX(B1634-B1635,0)</f>
        <v>0</v>
      </c>
      <c r="M1635" s="17" t="n">
        <f aca="false">(M1634*13+K1635)/14</f>
        <v>67.2199015872993</v>
      </c>
      <c r="N1635" s="17" t="n">
        <f aca="false">(N1634*13+L1635)/14</f>
        <v>94.4046564858039</v>
      </c>
      <c r="O1635" s="17" t="n">
        <f aca="false">IF(N1635=0,100,100-100/(1+M1635/N1635))</f>
        <v>41.5901533706874</v>
      </c>
      <c r="P1635" s="17" t="n">
        <f aca="false">AVERAGE(B1616:B1635)+2*STDEV(B1616:B1635)</f>
        <v>12195.4869811197</v>
      </c>
      <c r="Q1635" s="17" t="n">
        <f aca="false">AVERAGE(B1616:B1635)-2*STDEV(B1616:B1635)</f>
        <v>10577.3880188803</v>
      </c>
      <c r="R1635" s="19" t="n">
        <f aca="false">B1635/B1615-1</f>
        <v>-0.0896928194871847</v>
      </c>
      <c r="S1635" s="17" t="n">
        <f aca="false">STDEV(C1616:C1635)*SQRT(252)*100</f>
        <v>23.4583901009144</v>
      </c>
      <c r="T1635" s="19" t="n">
        <f aca="false">B1614/B1384-1</f>
        <v>-0.299812527770846</v>
      </c>
      <c r="U1635" s="19" t="n">
        <f aca="false">B1635/MAX(B1384:B1635)-1</f>
        <v>-0.336371189272424</v>
      </c>
      <c r="V1635" s="17" t="n">
        <f aca="false">(B1635-AVERAGE(B1616:B1635))/STDEV(B1616:B1635)</f>
        <v>-1.07629387363912</v>
      </c>
    </row>
    <row r="1636" customFormat="false" ht="15" hidden="false" customHeight="false" outlineLevel="0" collapsed="false">
      <c r="A1636" s="17" t="s">
        <v>2200</v>
      </c>
      <c r="B1636" s="17" t="n">
        <v>10939.76</v>
      </c>
      <c r="C1636" s="19" t="n">
        <f aca="false">B1636/B1635-1</f>
        <v>-0.0010309513699599</v>
      </c>
      <c r="D1636" s="17" t="n">
        <f aca="false">AVERAGE(B1587:B1636)</f>
        <v>11405.8882</v>
      </c>
      <c r="E1636" s="17" t="n">
        <f aca="false">AVERAGE(B1437:B1636)</f>
        <v>12292.12765</v>
      </c>
      <c r="F1636" s="17" t="n">
        <f aca="false">B1636*2/13+F1635*11/13</f>
        <v>11079.2771854547</v>
      </c>
      <c r="G1636" s="17" t="n">
        <f aca="false">B1636*2/27+G1635*25/27</f>
        <v>11270.6362533768</v>
      </c>
      <c r="H1636" s="17" t="n">
        <f aca="false">F1636-G1636</f>
        <v>-191.359067922096</v>
      </c>
      <c r="I1636" s="17" t="n">
        <f aca="false">H1636*2/10+I1635*8/10</f>
        <v>-129.9328785657</v>
      </c>
      <c r="J1636" s="17" t="n">
        <f aca="false">H1636-I1636</f>
        <v>-61.4261893563965</v>
      </c>
      <c r="K1636" s="17" t="n">
        <f aca="false">MAX(B1636-B1635,0)</f>
        <v>0</v>
      </c>
      <c r="L1636" s="17" t="n">
        <f aca="false">MAX(B1635-B1636,0)</f>
        <v>11.2899999999991</v>
      </c>
      <c r="M1636" s="17" t="n">
        <f aca="false">(M1635*13+K1636)/14</f>
        <v>62.4184800453493</v>
      </c>
      <c r="N1636" s="17" t="n">
        <f aca="false">(N1635*13+L1636)/14</f>
        <v>88.4678953082464</v>
      </c>
      <c r="O1636" s="17" t="n">
        <f aca="false">IF(N1636=0,100,100-100/(1+M1636/N1636))</f>
        <v>41.3678702925127</v>
      </c>
      <c r="P1636" s="17" t="n">
        <f aca="false">AVERAGE(B1617:B1636)+2*STDEV(B1617:B1636)</f>
        <v>12101.6123335918</v>
      </c>
      <c r="Q1636" s="17" t="n">
        <f aca="false">AVERAGE(B1617:B1636)-2*STDEV(B1617:B1636)</f>
        <v>10561.0496664082</v>
      </c>
      <c r="R1636" s="19" t="n">
        <f aca="false">B1636/B1616-1</f>
        <v>-0.0915246693002509</v>
      </c>
      <c r="S1636" s="17" t="n">
        <f aca="false">STDEV(C1617:C1636)*SQRT(252)*100</f>
        <v>23.405827878011</v>
      </c>
      <c r="T1636" s="19" t="n">
        <f aca="false">B1615/B1385-1</f>
        <v>-0.262867583982432</v>
      </c>
      <c r="U1636" s="19" t="n">
        <f aca="false">B1636/MAX(B1385:B1636)-1</f>
        <v>-0.337055358303988</v>
      </c>
      <c r="V1636" s="17" t="n">
        <f aca="false">(B1636-AVERAGE(B1617:B1636))/STDEV(B1617:B1636)</f>
        <v>-1.01669606395394</v>
      </c>
    </row>
    <row r="1637" customFormat="false" ht="15" hidden="false" customHeight="false" outlineLevel="0" collapsed="false">
      <c r="A1637" s="17" t="s">
        <v>2201</v>
      </c>
      <c r="B1637" s="17" t="n">
        <v>10862.64</v>
      </c>
      <c r="C1637" s="19" t="n">
        <f aca="false">B1637/B1636-1</f>
        <v>-0.00704951479739968</v>
      </c>
      <c r="D1637" s="17" t="n">
        <f aca="false">AVERAGE(B1588:B1637)</f>
        <v>11402.2068</v>
      </c>
      <c r="E1637" s="17" t="n">
        <f aca="false">AVERAGE(B1438:B1637)</f>
        <v>12275.84785</v>
      </c>
      <c r="F1637" s="17" t="n">
        <f aca="false">B1637*2/13+F1636*11/13</f>
        <v>11045.9483876924</v>
      </c>
      <c r="G1637" s="17" t="n">
        <f aca="false">B1637*2/27+G1636*25/27</f>
        <v>11240.4143086822</v>
      </c>
      <c r="H1637" s="17" t="n">
        <f aca="false">F1637-G1637</f>
        <v>-194.465920989778</v>
      </c>
      <c r="I1637" s="17" t="n">
        <f aca="false">H1637*2/10+I1636*8/10</f>
        <v>-142.839487050515</v>
      </c>
      <c r="J1637" s="17" t="n">
        <f aca="false">H1637-I1637</f>
        <v>-51.6264339392629</v>
      </c>
      <c r="K1637" s="17" t="n">
        <f aca="false">MAX(B1637-B1636,0)</f>
        <v>0</v>
      </c>
      <c r="L1637" s="17" t="n">
        <f aca="false">MAX(B1636-B1637,0)</f>
        <v>77.1200000000008</v>
      </c>
      <c r="M1637" s="17" t="n">
        <f aca="false">(M1636*13+K1637)/14</f>
        <v>57.9600171849672</v>
      </c>
      <c r="N1637" s="17" t="n">
        <f aca="false">(N1636*13+L1637)/14</f>
        <v>87.6573313576574</v>
      </c>
      <c r="O1637" s="17" t="n">
        <f aca="false">IF(N1637=0,100,100-100/(1+M1637/N1637))</f>
        <v>39.802961504962</v>
      </c>
      <c r="P1637" s="17" t="n">
        <f aca="false">AVERAGE(B1618:B1637)+2*STDEV(B1618:B1637)</f>
        <v>12005.2151055321</v>
      </c>
      <c r="Q1637" s="17" t="n">
        <f aca="false">AVERAGE(B1618:B1637)-2*STDEV(B1618:B1637)</f>
        <v>10544.2848944679</v>
      </c>
      <c r="R1637" s="19" t="n">
        <f aca="false">B1637/B1617-1</f>
        <v>-0.0943467958840313</v>
      </c>
      <c r="S1637" s="17" t="n">
        <f aca="false">STDEV(C1618:C1637)*SQRT(252)*100</f>
        <v>23.4188137647208</v>
      </c>
      <c r="T1637" s="19" t="n">
        <f aca="false">B1616/B1386-1</f>
        <v>-0.27026676532275</v>
      </c>
      <c r="U1637" s="19" t="n">
        <f aca="false">B1637/MAX(B1386:B1637)-1</f>
        <v>-0.341728796365481</v>
      </c>
      <c r="V1637" s="17" t="n">
        <f aca="false">(B1637-AVERAGE(B1618:B1637))/STDEV(B1618:B1637)</f>
        <v>-1.12834958680144</v>
      </c>
    </row>
    <row r="1638" customFormat="false" ht="15" hidden="false" customHeight="false" outlineLevel="0" collapsed="false">
      <c r="A1638" s="17" t="s">
        <v>2202</v>
      </c>
      <c r="B1638" s="17" t="n">
        <v>10914.8</v>
      </c>
      <c r="C1638" s="19" t="n">
        <f aca="false">B1638/B1637-1</f>
        <v>0.00480177930963377</v>
      </c>
      <c r="D1638" s="17" t="n">
        <f aca="false">AVERAGE(B1589:B1638)</f>
        <v>11394.2962</v>
      </c>
      <c r="E1638" s="17" t="n">
        <f aca="false">AVERAGE(B1439:B1638)</f>
        <v>12258.32145</v>
      </c>
      <c r="F1638" s="17" t="n">
        <f aca="false">B1638*2/13+F1637*11/13</f>
        <v>11025.7717126628</v>
      </c>
      <c r="G1638" s="17" t="n">
        <f aca="false">B1638*2/27+G1637*25/27</f>
        <v>11216.2947302613</v>
      </c>
      <c r="H1638" s="17" t="n">
        <f aca="false">F1638-G1638</f>
        <v>-190.523017598476</v>
      </c>
      <c r="I1638" s="17" t="n">
        <f aca="false">H1638*2/10+I1637*8/10</f>
        <v>-152.376193160107</v>
      </c>
      <c r="J1638" s="17" t="n">
        <f aca="false">H1638-I1638</f>
        <v>-38.1468244383687</v>
      </c>
      <c r="K1638" s="17" t="n">
        <f aca="false">MAX(B1638-B1637,0)</f>
        <v>52.1599999999999</v>
      </c>
      <c r="L1638" s="17" t="n">
        <f aca="false">MAX(B1637-B1638,0)</f>
        <v>0</v>
      </c>
      <c r="M1638" s="17" t="n">
        <f aca="false">(M1637*13+K1638)/14</f>
        <v>57.5457302431839</v>
      </c>
      <c r="N1638" s="17" t="n">
        <f aca="false">(N1637*13+L1638)/14</f>
        <v>81.396093403539</v>
      </c>
      <c r="O1638" s="17" t="n">
        <f aca="false">IF(N1638=0,100,100-100/(1+M1638/N1638))</f>
        <v>41.4171404497332</v>
      </c>
      <c r="P1638" s="17" t="n">
        <f aca="false">AVERAGE(B1619:B1638)+2*STDEV(B1619:B1638)</f>
        <v>11936.5951576133</v>
      </c>
      <c r="Q1638" s="17" t="n">
        <f aca="false">AVERAGE(B1619:B1638)-2*STDEV(B1619:B1638)</f>
        <v>10525.7048423867</v>
      </c>
      <c r="R1638" s="19" t="n">
        <f aca="false">B1638/B1618-1</f>
        <v>-0.0739810635626294</v>
      </c>
      <c r="S1638" s="17" t="n">
        <f aca="false">STDEV(C1619:C1638)*SQRT(252)*100</f>
        <v>23.1720975459615</v>
      </c>
      <c r="T1638" s="19" t="n">
        <f aca="false">B1617/B1387-1</f>
        <v>-0.263239623752974</v>
      </c>
      <c r="U1638" s="19" t="n">
        <f aca="false">B1638/MAX(B1387:B1638)-1</f>
        <v>-0.32954662024493</v>
      </c>
      <c r="V1638" s="17" t="n">
        <f aca="false">(B1638-AVERAGE(B1619:B1638))/STDEV(B1619:B1638)</f>
        <v>-0.896880491944433</v>
      </c>
    </row>
    <row r="1639" customFormat="false" ht="15" hidden="false" customHeight="false" outlineLevel="0" collapsed="false">
      <c r="A1639" s="17" t="s">
        <v>2203</v>
      </c>
      <c r="B1639" s="17" t="n">
        <v>10741.22</v>
      </c>
      <c r="C1639" s="19" t="n">
        <f aca="false">B1639/B1638-1</f>
        <v>-0.0159031773371935</v>
      </c>
      <c r="D1639" s="17" t="n">
        <f aca="false">AVERAGE(B1590:B1639)</f>
        <v>11380.5154</v>
      </c>
      <c r="E1639" s="17" t="n">
        <f aca="false">AVERAGE(B1440:B1639)</f>
        <v>12240.1471</v>
      </c>
      <c r="F1639" s="17" t="n">
        <f aca="false">B1639*2/13+F1638*11/13</f>
        <v>10981.9945260993</v>
      </c>
      <c r="G1639" s="17" t="n">
        <f aca="false">B1639*2/27+G1638*25/27</f>
        <v>11181.1040095012</v>
      </c>
      <c r="H1639" s="17" t="n">
        <f aca="false">F1639-G1639</f>
        <v>-199.109483401891</v>
      </c>
      <c r="I1639" s="17" t="n">
        <f aca="false">H1639*2/10+I1638*8/10</f>
        <v>-161.722851208464</v>
      </c>
      <c r="J1639" s="17" t="n">
        <f aca="false">H1639-I1639</f>
        <v>-37.3866321934271</v>
      </c>
      <c r="K1639" s="17" t="n">
        <f aca="false">MAX(B1639-B1638,0)</f>
        <v>0</v>
      </c>
      <c r="L1639" s="17" t="n">
        <f aca="false">MAX(B1638-B1639,0)</f>
        <v>173.58</v>
      </c>
      <c r="M1639" s="17" t="n">
        <f aca="false">(M1638*13+K1639)/14</f>
        <v>53.4353209400993</v>
      </c>
      <c r="N1639" s="17" t="n">
        <f aca="false">(N1638*13+L1639)/14</f>
        <v>87.9806581604291</v>
      </c>
      <c r="O1639" s="17" t="n">
        <f aca="false">IF(N1639=0,100,100-100/(1+M1639/N1639))</f>
        <v>37.7859144913983</v>
      </c>
      <c r="P1639" s="17" t="n">
        <f aca="false">AVERAGE(B1620:B1639)+2*STDEV(B1620:B1639)</f>
        <v>11911.7978696562</v>
      </c>
      <c r="Q1639" s="17" t="n">
        <f aca="false">AVERAGE(B1620:B1639)-2*STDEV(B1620:B1639)</f>
        <v>10469.6551303438</v>
      </c>
      <c r="R1639" s="19" t="n">
        <f aca="false">B1639/B1619-1</f>
        <v>-0.0699992813659934</v>
      </c>
      <c r="S1639" s="17" t="n">
        <f aca="false">STDEV(C1620:C1639)*SQRT(252)*100</f>
        <v>22.8226391959354</v>
      </c>
      <c r="T1639" s="19" t="n">
        <f aca="false">B1618/B1388-1</f>
        <v>-0.252665203293477</v>
      </c>
      <c r="U1639" s="19" t="n">
        <f aca="false">B1639/MAX(B1388:B1639)-1</f>
        <v>-0.324668188191209</v>
      </c>
      <c r="V1639" s="17" t="n">
        <f aca="false">(B1639-AVERAGE(B1620:B1639))/STDEV(B1620:B1639)</f>
        <v>-1.24677395030761</v>
      </c>
    </row>
    <row r="1640" customFormat="false" ht="15" hidden="false" customHeight="false" outlineLevel="0" collapsed="false">
      <c r="A1640" s="17" t="s">
        <v>2204</v>
      </c>
      <c r="B1640" s="17" t="n">
        <v>11040.35</v>
      </c>
      <c r="C1640" s="19" t="n">
        <f aca="false">B1640/B1639-1</f>
        <v>0.0278487918504602</v>
      </c>
      <c r="D1640" s="17" t="n">
        <f aca="false">AVERAGE(B1591:B1640)</f>
        <v>11367.9226</v>
      </c>
      <c r="E1640" s="17" t="n">
        <f aca="false">AVERAGE(B1441:B1640)</f>
        <v>12222.0772</v>
      </c>
      <c r="F1640" s="17" t="n">
        <f aca="false">B1640*2/13+F1639*11/13</f>
        <v>10990.9722913148</v>
      </c>
      <c r="G1640" s="17" t="n">
        <f aca="false">B1640*2/27+G1639*25/27</f>
        <v>11170.6777865752</v>
      </c>
      <c r="H1640" s="17" t="n">
        <f aca="false">F1640-G1640</f>
        <v>-179.705495260385</v>
      </c>
      <c r="I1640" s="17" t="n">
        <f aca="false">H1640*2/10+I1639*8/10</f>
        <v>-165.319380018848</v>
      </c>
      <c r="J1640" s="17" t="n">
        <f aca="false">H1640-I1640</f>
        <v>-14.3861152415365</v>
      </c>
      <c r="K1640" s="17" t="n">
        <f aca="false">MAX(B1640-B1639,0)</f>
        <v>299.130000000001</v>
      </c>
      <c r="L1640" s="17" t="n">
        <f aca="false">MAX(B1639-B1640,0)</f>
        <v>0</v>
      </c>
      <c r="M1640" s="17" t="n">
        <f aca="false">(M1639*13+K1640)/14</f>
        <v>70.9849408729494</v>
      </c>
      <c r="N1640" s="17" t="n">
        <f aca="false">(N1639*13+L1640)/14</f>
        <v>81.6963254346842</v>
      </c>
      <c r="O1640" s="17" t="n">
        <f aca="false">IF(N1640=0,100,100-100/(1+M1640/N1640))</f>
        <v>46.4922400695339</v>
      </c>
      <c r="P1640" s="17" t="n">
        <f aca="false">AVERAGE(B1621:B1640)+2*STDEV(B1621:B1640)</f>
        <v>11876.8930851762</v>
      </c>
      <c r="Q1640" s="17" t="n">
        <f aca="false">AVERAGE(B1621:B1640)-2*STDEV(B1621:B1640)</f>
        <v>10458.8559148238</v>
      </c>
      <c r="R1640" s="19" t="n">
        <f aca="false">B1640/B1620-1</f>
        <v>-0.0397516305874637</v>
      </c>
      <c r="S1640" s="17" t="n">
        <f aca="false">STDEV(C1621:C1640)*SQRT(252)*100</f>
        <v>25.3835532456827</v>
      </c>
      <c r="T1640" s="19" t="n">
        <f aca="false">B1619/B1389-1</f>
        <v>-0.267400807847077</v>
      </c>
      <c r="U1640" s="19" t="n">
        <f aca="false">B1640/MAX(B1389:B1640)-1</f>
        <v>-0.305861013134152</v>
      </c>
      <c r="V1640" s="17" t="n">
        <f aca="false">(B1640-AVERAGE(B1621:B1640))/STDEV(B1621:B1640)</f>
        <v>-0.359721177036023</v>
      </c>
    </row>
    <row r="1641" customFormat="false" ht="15" hidden="false" customHeight="false" outlineLevel="0" collapsed="false">
      <c r="A1641" s="17" t="s">
        <v>2205</v>
      </c>
      <c r="B1641" s="17" t="n">
        <v>11108.45</v>
      </c>
      <c r="C1641" s="19" t="n">
        <f aca="false">B1641/B1640-1</f>
        <v>0.00616828270842862</v>
      </c>
      <c r="D1641" s="17" t="n">
        <f aca="false">AVERAGE(B1592:B1641)</f>
        <v>11361.9736</v>
      </c>
      <c r="E1641" s="17" t="n">
        <f aca="false">AVERAGE(B1442:B1641)</f>
        <v>12205.3817</v>
      </c>
      <c r="F1641" s="17" t="n">
        <f aca="false">B1641*2/13+F1640*11/13</f>
        <v>11009.0457849587</v>
      </c>
      <c r="G1641" s="17" t="n">
        <f aca="false">B1641*2/27+G1640*25/27</f>
        <v>11166.0683209029</v>
      </c>
      <c r="H1641" s="17" t="n">
        <f aca="false">F1641-G1641</f>
        <v>-157.022535944272</v>
      </c>
      <c r="I1641" s="17" t="n">
        <f aca="false">H1641*2/10+I1640*8/10</f>
        <v>-163.660011203933</v>
      </c>
      <c r="J1641" s="17" t="n">
        <f aca="false">H1641-I1641</f>
        <v>6.63747525966105</v>
      </c>
      <c r="K1641" s="17" t="n">
        <f aca="false">MAX(B1641-B1640,0)</f>
        <v>68.1000000000004</v>
      </c>
      <c r="L1641" s="17" t="n">
        <f aca="false">MAX(B1640-B1641,0)</f>
        <v>0</v>
      </c>
      <c r="M1641" s="17" t="n">
        <f aca="false">(M1640*13+K1641)/14</f>
        <v>70.7788736677388</v>
      </c>
      <c r="N1641" s="17" t="n">
        <f aca="false">(N1640*13+L1641)/14</f>
        <v>75.860873617921</v>
      </c>
      <c r="O1641" s="17" t="n">
        <f aca="false">IF(N1641=0,100,100-100/(1+M1641/N1641))</f>
        <v>48.2671819734242</v>
      </c>
      <c r="P1641" s="17" t="n">
        <f aca="false">AVERAGE(B1622:B1641)+2*STDEV(B1622:B1641)</f>
        <v>11815.271647125</v>
      </c>
      <c r="Q1641" s="17" t="n">
        <f aca="false">AVERAGE(B1622:B1641)-2*STDEV(B1622:B1641)</f>
        <v>10467.572352875</v>
      </c>
      <c r="R1641" s="19" t="n">
        <f aca="false">B1641/B1621-1</f>
        <v>-0.0454607948442535</v>
      </c>
      <c r="S1641" s="17" t="n">
        <f aca="false">STDEV(C1622:C1641)*SQRT(252)*100</f>
        <v>25.0278704488602</v>
      </c>
      <c r="T1641" s="19" t="n">
        <f aca="false">B1620/B1390-1</f>
        <v>-0.262618657161053</v>
      </c>
      <c r="U1641" s="19" t="n">
        <f aca="false">B1641/MAX(B1390:B1641)-1</f>
        <v>-0.301579367624221</v>
      </c>
      <c r="V1641" s="17" t="n">
        <f aca="false">(B1641-AVERAGE(B1622:B1641))/STDEV(B1622:B1641)</f>
        <v>-0.0978615931333477</v>
      </c>
    </row>
    <row r="1642" customFormat="false" ht="15" hidden="false" customHeight="false" outlineLevel="0" collapsed="false">
      <c r="A1642" s="17" t="s">
        <v>2206</v>
      </c>
      <c r="B1642" s="17" t="n">
        <v>11205.78</v>
      </c>
      <c r="C1642" s="19" t="n">
        <f aca="false">B1642/B1641-1</f>
        <v>0.00876179845072889</v>
      </c>
      <c r="D1642" s="17" t="n">
        <f aca="false">AVERAGE(B1593:B1642)</f>
        <v>11362.2566</v>
      </c>
      <c r="E1642" s="17" t="n">
        <f aca="false">AVERAGE(B1443:B1642)</f>
        <v>12187.58215</v>
      </c>
      <c r="F1642" s="17" t="n">
        <f aca="false">B1642*2/13+F1641*11/13</f>
        <v>11039.3125872727</v>
      </c>
      <c r="G1642" s="17" t="n">
        <f aca="false">B1642*2/27+G1641*25/27</f>
        <v>11169.009926762</v>
      </c>
      <c r="H1642" s="17" t="n">
        <f aca="false">F1642-G1642</f>
        <v>-129.697339489263</v>
      </c>
      <c r="I1642" s="17" t="n">
        <f aca="false">H1642*2/10+I1641*8/10</f>
        <v>-156.867476860999</v>
      </c>
      <c r="J1642" s="17" t="n">
        <f aca="false">H1642-I1642</f>
        <v>27.1701373717361</v>
      </c>
      <c r="K1642" s="17" t="n">
        <f aca="false">MAX(B1642-B1641,0)</f>
        <v>97.3299999999999</v>
      </c>
      <c r="L1642" s="17" t="n">
        <f aca="false">MAX(B1641-B1642,0)</f>
        <v>0</v>
      </c>
      <c r="M1642" s="17" t="n">
        <f aca="false">(M1641*13+K1642)/14</f>
        <v>72.6753826914717</v>
      </c>
      <c r="N1642" s="17" t="n">
        <f aca="false">(N1641*13+L1642)/14</f>
        <v>70.4422397880695</v>
      </c>
      <c r="O1642" s="17" t="n">
        <f aca="false">IF(N1642=0,100,100-100/(1+M1642/N1642))</f>
        <v>50.7801774738542</v>
      </c>
      <c r="P1642" s="17" t="n">
        <f aca="false">AVERAGE(B1623:B1642)+2*STDEV(B1623:B1642)</f>
        <v>11768.6217111265</v>
      </c>
      <c r="Q1642" s="17" t="n">
        <f aca="false">AVERAGE(B1623:B1642)-2*STDEV(B1623:B1642)</f>
        <v>10478.4672888735</v>
      </c>
      <c r="R1642" s="19" t="n">
        <f aca="false">B1642/B1622-1</f>
        <v>-0.0309210236151696</v>
      </c>
      <c r="S1642" s="17" t="n">
        <f aca="false">STDEV(C1623:C1642)*SQRT(252)*100</f>
        <v>25.2690321099735</v>
      </c>
      <c r="T1642" s="19" t="n">
        <f aca="false">B1621/B1391-1</f>
        <v>-0.254695816626031</v>
      </c>
      <c r="U1642" s="19" t="n">
        <f aca="false">B1642/MAX(B1391:B1642)-1</f>
        <v>-0.295459946809514</v>
      </c>
      <c r="V1642" s="17" t="n">
        <f aca="false">(B1642-AVERAGE(B1623:B1642))/STDEV(B1623:B1642)</f>
        <v>0.25496327751648</v>
      </c>
    </row>
    <row r="1643" customFormat="false" ht="15" hidden="false" customHeight="false" outlineLevel="0" collapsed="false">
      <c r="A1643" s="17" t="s">
        <v>2207</v>
      </c>
      <c r="B1643" s="17" t="n">
        <v>11402.52</v>
      </c>
      <c r="C1643" s="19" t="n">
        <f aca="false">B1643/B1642-1</f>
        <v>0.0175570107569487</v>
      </c>
      <c r="D1643" s="17" t="n">
        <f aca="false">AVERAGE(B1594:B1643)</f>
        <v>11359.3828</v>
      </c>
      <c r="E1643" s="17" t="n">
        <f aca="false">AVERAGE(B1444:B1643)</f>
        <v>12170.8232</v>
      </c>
      <c r="F1643" s="17" t="n">
        <f aca="false">B1643*2/13+F1642*11/13</f>
        <v>11095.1906507692</v>
      </c>
      <c r="G1643" s="17" t="n">
        <f aca="false">B1643*2/27+G1642*25/27</f>
        <v>11186.3069692241</v>
      </c>
      <c r="H1643" s="17" t="n">
        <f aca="false">F1643-G1643</f>
        <v>-91.116318454835</v>
      </c>
      <c r="I1643" s="17" t="n">
        <f aca="false">H1643*2/10+I1642*8/10</f>
        <v>-143.717245179766</v>
      </c>
      <c r="J1643" s="17" t="n">
        <f aca="false">H1643-I1643</f>
        <v>52.6009267249312</v>
      </c>
      <c r="K1643" s="17" t="n">
        <f aca="false">MAX(B1643-B1642,0)</f>
        <v>196.74</v>
      </c>
      <c r="L1643" s="17" t="n">
        <f aca="false">MAX(B1642-B1643,0)</f>
        <v>0</v>
      </c>
      <c r="M1643" s="17" t="n">
        <f aca="false">(M1642*13+K1643)/14</f>
        <v>81.5371410706523</v>
      </c>
      <c r="N1643" s="17" t="n">
        <f aca="false">(N1642*13+L1643)/14</f>
        <v>65.4106512317788</v>
      </c>
      <c r="O1643" s="17" t="n">
        <f aca="false">IF(N1643=0,100,100-100/(1+M1643/N1643))</f>
        <v>55.4871494107525</v>
      </c>
      <c r="P1643" s="17" t="n">
        <f aca="false">AVERAGE(B1624:B1643)+2*STDEV(B1624:B1643)</f>
        <v>11708.3544099455</v>
      </c>
      <c r="Q1643" s="17" t="n">
        <f aca="false">AVERAGE(B1624:B1643)-2*STDEV(B1624:B1643)</f>
        <v>10508.3425900545</v>
      </c>
      <c r="R1643" s="19" t="n">
        <f aca="false">B1643/B1623-1</f>
        <v>-0.0259617783032245</v>
      </c>
      <c r="S1643" s="17" t="n">
        <f aca="false">STDEV(C1624:C1643)*SQRT(252)*100</f>
        <v>25.7080752742619</v>
      </c>
      <c r="T1643" s="19" t="n">
        <f aca="false">B1622/B1392-1</f>
        <v>-0.27018161942727</v>
      </c>
      <c r="U1643" s="19" t="n">
        <f aca="false">B1643/MAX(B1392:B1643)-1</f>
        <v>-0.283090329516947</v>
      </c>
      <c r="V1643" s="17" t="n">
        <f aca="false">(B1643-AVERAGE(B1624:B1643))/STDEV(B1624:B1643)</f>
        <v>0.980562008220028</v>
      </c>
    </row>
    <row r="1644" customFormat="false" ht="15" hidden="false" customHeight="false" outlineLevel="0" collapsed="false">
      <c r="A1644" s="17" t="s">
        <v>2208</v>
      </c>
      <c r="B1644" s="17" t="n">
        <v>11459.61</v>
      </c>
      <c r="C1644" s="19" t="n">
        <f aca="false">B1644/B1643-1</f>
        <v>0.00500678797318499</v>
      </c>
      <c r="D1644" s="17" t="n">
        <f aca="false">AVERAGE(B1595:B1644)</f>
        <v>11360.4636</v>
      </c>
      <c r="E1644" s="17" t="n">
        <f aca="false">AVERAGE(B1445:B1644)</f>
        <v>12153.18425</v>
      </c>
      <c r="F1644" s="17" t="n">
        <f aca="false">B1644*2/13+F1643*11/13</f>
        <v>11151.2551660355</v>
      </c>
      <c r="G1644" s="17" t="n">
        <f aca="false">B1644*2/27+G1643*25/27</f>
        <v>11206.5516381704</v>
      </c>
      <c r="H1644" s="17" t="n">
        <f aca="false">F1644-G1644</f>
        <v>-55.296472134929</v>
      </c>
      <c r="I1644" s="17" t="n">
        <f aca="false">H1644*2/10+I1643*8/10</f>
        <v>-126.033090570799</v>
      </c>
      <c r="J1644" s="17" t="n">
        <f aca="false">H1644-I1644</f>
        <v>70.7366184358698</v>
      </c>
      <c r="K1644" s="17" t="n">
        <f aca="false">MAX(B1644-B1643,0)</f>
        <v>57.0900000000001</v>
      </c>
      <c r="L1644" s="17" t="n">
        <f aca="false">MAX(B1643-B1644,0)</f>
        <v>0</v>
      </c>
      <c r="M1644" s="17" t="n">
        <f aca="false">(M1643*13+K1644)/14</f>
        <v>79.7909167084628</v>
      </c>
      <c r="N1644" s="17" t="n">
        <f aca="false">(N1643*13+L1644)/14</f>
        <v>60.7384618580803</v>
      </c>
      <c r="O1644" s="17" t="n">
        <f aca="false">IF(N1644=0,100,100-100/(1+M1644/N1644))</f>
        <v>56.7788155917024</v>
      </c>
      <c r="P1644" s="17" t="n">
        <f aca="false">AVERAGE(B1625:B1644)+2*STDEV(B1625:B1644)</f>
        <v>11612.6717131639</v>
      </c>
      <c r="Q1644" s="17" t="n">
        <f aca="false">AVERAGE(B1625:B1644)-2*STDEV(B1625:B1644)</f>
        <v>10566.5652868361</v>
      </c>
      <c r="R1644" s="19" t="n">
        <f aca="false">B1644/B1624-1</f>
        <v>-0.0316539929577047</v>
      </c>
      <c r="S1644" s="17" t="n">
        <f aca="false">STDEV(C1625:C1644)*SQRT(252)*100</f>
        <v>25.4231062134606</v>
      </c>
      <c r="T1644" s="19" t="n">
        <f aca="false">B1623/B1393-1</f>
        <v>-0.263981993197151</v>
      </c>
      <c r="U1644" s="19" t="n">
        <f aca="false">B1644/MAX(B1393:B1644)-1</f>
        <v>-0.279500914800913</v>
      </c>
      <c r="V1644" s="17" t="n">
        <f aca="false">(B1644-AVERAGE(B1625:B1644))/STDEV(B1625:B1644)</f>
        <v>1.41473750925637</v>
      </c>
    </row>
    <row r="1645" customFormat="false" ht="15" hidden="false" customHeight="false" outlineLevel="0" collapsed="false">
      <c r="A1645" s="17" t="s">
        <v>2209</v>
      </c>
      <c r="B1645" s="17" t="n">
        <v>11541.48</v>
      </c>
      <c r="C1645" s="19" t="n">
        <f aca="false">B1645/B1644-1</f>
        <v>0.00714422218557176</v>
      </c>
      <c r="D1645" s="17" t="n">
        <f aca="false">AVERAGE(B1596:B1645)</f>
        <v>11365.5142</v>
      </c>
      <c r="E1645" s="17" t="n">
        <f aca="false">AVERAGE(B1446:B1645)</f>
        <v>12134.69505</v>
      </c>
      <c r="F1645" s="17" t="n">
        <f aca="false">B1645*2/13+F1644*11/13</f>
        <v>11211.2897558762</v>
      </c>
      <c r="G1645" s="17" t="n">
        <f aca="false">B1645*2/27+G1644*25/27</f>
        <v>11231.3611464541</v>
      </c>
      <c r="H1645" s="17" t="n">
        <f aca="false">F1645-G1645</f>
        <v>-20.0713905779103</v>
      </c>
      <c r="I1645" s="17" t="n">
        <f aca="false">H1645*2/10+I1644*8/10</f>
        <v>-104.840750572221</v>
      </c>
      <c r="J1645" s="17" t="n">
        <f aca="false">H1645-I1645</f>
        <v>84.7693599943108</v>
      </c>
      <c r="K1645" s="17" t="n">
        <f aca="false">MAX(B1645-B1644,0)</f>
        <v>81.869999999999</v>
      </c>
      <c r="L1645" s="17" t="n">
        <f aca="false">MAX(B1644-B1645,0)</f>
        <v>0</v>
      </c>
      <c r="M1645" s="17" t="n">
        <f aca="false">(M1644*13+K1645)/14</f>
        <v>79.9394226578583</v>
      </c>
      <c r="N1645" s="17" t="n">
        <f aca="false">(N1644*13+L1645)/14</f>
        <v>56.4000002967889</v>
      </c>
      <c r="O1645" s="17" t="n">
        <f aca="false">IF(N1645=0,100,100-100/(1+M1645/N1645))</f>
        <v>58.6326543896624</v>
      </c>
      <c r="P1645" s="17" t="n">
        <f aca="false">AVERAGE(B1626:B1645)+2*STDEV(B1626:B1645)</f>
        <v>11555.9311359622</v>
      </c>
      <c r="Q1645" s="17" t="n">
        <f aca="false">AVERAGE(B1626:B1645)-2*STDEV(B1626:B1645)</f>
        <v>10603.3618640378</v>
      </c>
      <c r="R1645" s="19" t="n">
        <f aca="false">B1645/B1625-1</f>
        <v>-0.0169867437986121</v>
      </c>
      <c r="S1645" s="17" t="n">
        <f aca="false">STDEV(C1626:C1645)*SQRT(252)*100</f>
        <v>25.4810445082352</v>
      </c>
      <c r="T1645" s="19" t="n">
        <f aca="false">B1624/B1394-1</f>
        <v>-0.236286770067929</v>
      </c>
      <c r="U1645" s="19" t="n">
        <f aca="false">B1645/MAX(B1394:B1645)-1</f>
        <v>-0.260710792430496</v>
      </c>
      <c r="V1645" s="17" t="n">
        <f aca="false">(B1645-AVERAGE(B1626:B1645))/STDEV(B1626:B1645)</f>
        <v>1.93931722809809</v>
      </c>
    </row>
    <row r="1646" customFormat="false" ht="15" hidden="false" customHeight="false" outlineLevel="0" collapsed="false">
      <c r="A1646" s="17" t="s">
        <v>2210</v>
      </c>
      <c r="B1646" s="17" t="n">
        <v>11557.19</v>
      </c>
      <c r="C1646" s="19" t="n">
        <f aca="false">B1646/B1645-1</f>
        <v>0.00136117724936491</v>
      </c>
      <c r="D1646" s="17" t="n">
        <f aca="false">AVERAGE(B1597:B1646)</f>
        <v>11378.5312</v>
      </c>
      <c r="E1646" s="17" t="n">
        <f aca="false">AVERAGE(B1447:B1646)</f>
        <v>12117.12325</v>
      </c>
      <c r="F1646" s="17" t="n">
        <f aca="false">B1646*2/13+F1645*11/13</f>
        <v>11264.5051780491</v>
      </c>
      <c r="G1646" s="17" t="n">
        <f aca="false">B1646*2/27+G1645*25/27</f>
        <v>11255.4966170871</v>
      </c>
      <c r="H1646" s="17" t="n">
        <f aca="false">F1646-G1646</f>
        <v>9.00856096195457</v>
      </c>
      <c r="I1646" s="17" t="n">
        <f aca="false">H1646*2/10+I1645*8/10</f>
        <v>-82.070888265386</v>
      </c>
      <c r="J1646" s="17" t="n">
        <f aca="false">H1646-I1646</f>
        <v>91.0794492273405</v>
      </c>
      <c r="K1646" s="17" t="n">
        <f aca="false">MAX(B1646-B1645,0)</f>
        <v>15.7100000000009</v>
      </c>
      <c r="L1646" s="17" t="n">
        <f aca="false">MAX(B1645-B1646,0)</f>
        <v>0</v>
      </c>
      <c r="M1646" s="17" t="n">
        <f aca="false">(M1645*13+K1646)/14</f>
        <v>75.3516067537256</v>
      </c>
      <c r="N1646" s="17" t="n">
        <f aca="false">(N1645*13+L1646)/14</f>
        <v>52.3714288470183</v>
      </c>
      <c r="O1646" s="17" t="n">
        <f aca="false">IF(N1646=0,100,100-100/(1+M1646/N1646))</f>
        <v>58.9960976102002</v>
      </c>
      <c r="P1646" s="17" t="n">
        <f aca="false">AVERAGE(B1627:B1646)+2*STDEV(B1627:B1646)</f>
        <v>11599.6916461605</v>
      </c>
      <c r="Q1646" s="17" t="n">
        <f aca="false">AVERAGE(B1627:B1646)-2*STDEV(B1627:B1646)</f>
        <v>10580.7983538395</v>
      </c>
      <c r="R1646" s="19" t="n">
        <f aca="false">B1646/B1626-1</f>
        <v>0.018683639453444</v>
      </c>
      <c r="S1646" s="17" t="n">
        <f aca="false">STDEV(C1627:C1646)*SQRT(252)*100</f>
        <v>22.3057755313493</v>
      </c>
      <c r="T1646" s="19" t="n">
        <f aca="false">B1625/B1395-1</f>
        <v>-0.247935668307969</v>
      </c>
      <c r="U1646" s="19" t="n">
        <f aca="false">B1646/MAX(B1395:B1646)-1</f>
        <v>-0.259704488780451</v>
      </c>
      <c r="V1646" s="17" t="n">
        <f aca="false">(B1646-AVERAGE(B1627:B1646))/STDEV(B1627:B1646)</f>
        <v>1.83314583978188</v>
      </c>
    </row>
    <row r="1647" customFormat="false" ht="15" hidden="false" customHeight="false" outlineLevel="0" collapsed="false">
      <c r="A1647" s="17" t="s">
        <v>2211</v>
      </c>
      <c r="B1647" s="17" t="n">
        <v>11410.29</v>
      </c>
      <c r="C1647" s="19" t="n">
        <f aca="false">B1647/B1646-1</f>
        <v>-0.0127107021689528</v>
      </c>
      <c r="D1647" s="17" t="n">
        <f aca="false">AVERAGE(B1598:B1647)</f>
        <v>11392.925</v>
      </c>
      <c r="E1647" s="17" t="n">
        <f aca="false">AVERAGE(B1448:B1647)</f>
        <v>12099.98225</v>
      </c>
      <c r="F1647" s="17" t="n">
        <f aca="false">B1647*2/13+F1646*11/13</f>
        <v>11286.9336121954</v>
      </c>
      <c r="G1647" s="17" t="n">
        <f aca="false">B1647*2/27+G1646*25/27</f>
        <v>11266.9627935992</v>
      </c>
      <c r="H1647" s="17" t="n">
        <f aca="false">F1647-G1647</f>
        <v>19.9708185961827</v>
      </c>
      <c r="I1647" s="17" t="n">
        <f aca="false">H1647*2/10+I1646*8/10</f>
        <v>-61.6625468930722</v>
      </c>
      <c r="J1647" s="17" t="n">
        <f aca="false">H1647-I1647</f>
        <v>81.6333654892549</v>
      </c>
      <c r="K1647" s="17" t="n">
        <f aca="false">MAX(B1647-B1646,0)</f>
        <v>0</v>
      </c>
      <c r="L1647" s="17" t="n">
        <f aca="false">MAX(B1646-B1647,0)</f>
        <v>146.9</v>
      </c>
      <c r="M1647" s="17" t="n">
        <f aca="false">(M1646*13+K1647)/14</f>
        <v>69.9693491284595</v>
      </c>
      <c r="N1647" s="17" t="n">
        <f aca="false">(N1646*13+L1647)/14</f>
        <v>59.1234696436598</v>
      </c>
      <c r="O1647" s="17" t="n">
        <f aca="false">IF(N1647=0,100,100-100/(1+M1647/N1647))</f>
        <v>54.2008066707202</v>
      </c>
      <c r="P1647" s="17" t="n">
        <f aca="false">AVERAGE(B1628:B1647)+2*STDEV(B1628:B1647)</f>
        <v>11623.7867205124</v>
      </c>
      <c r="Q1647" s="17" t="n">
        <f aca="false">AVERAGE(B1628:B1647)-2*STDEV(B1628:B1647)</f>
        <v>10573.3602794876</v>
      </c>
      <c r="R1647" s="19" t="n">
        <f aca="false">B1647/B1627-1</f>
        <v>0.0148144920008682</v>
      </c>
      <c r="S1647" s="17" t="n">
        <f aca="false">STDEV(C1628:C1647)*SQRT(252)*100</f>
        <v>22.5673238163088</v>
      </c>
      <c r="T1647" s="19" t="n">
        <f aca="false">B1626/B1396-1</f>
        <v>-0.254131943440039</v>
      </c>
      <c r="U1647" s="19" t="n">
        <f aca="false">B1647/MAX(B1396:B1647)-1</f>
        <v>-0.251259898735639</v>
      </c>
      <c r="V1647" s="17" t="n">
        <f aca="false">(B1647-AVERAGE(B1628:B1647))/STDEV(B1628:B1647)</f>
        <v>1.1870093433515</v>
      </c>
    </row>
    <row r="1648" customFormat="false" ht="15" hidden="false" customHeight="false" outlineLevel="0" collapsed="false">
      <c r="A1648" s="17" t="s">
        <v>2212</v>
      </c>
      <c r="B1648" s="17" t="n">
        <v>11295.67</v>
      </c>
      <c r="C1648" s="19" t="n">
        <f aca="false">B1648/B1647-1</f>
        <v>-0.0100453187429943</v>
      </c>
      <c r="D1648" s="17" t="n">
        <f aca="false">AVERAGE(B1599:B1648)</f>
        <v>11401.6978</v>
      </c>
      <c r="E1648" s="17" t="n">
        <f aca="false">AVERAGE(B1449:B1648)</f>
        <v>12082.15455</v>
      </c>
      <c r="F1648" s="17" t="n">
        <f aca="false">B1648*2/13+F1647*11/13</f>
        <v>11288.2776718576</v>
      </c>
      <c r="G1648" s="17" t="n">
        <f aca="false">B1648*2/27+G1647*25/27</f>
        <v>11269.0892533326</v>
      </c>
      <c r="H1648" s="17" t="n">
        <f aca="false">F1648-G1648</f>
        <v>19.1884185250401</v>
      </c>
      <c r="I1648" s="17" t="n">
        <f aca="false">H1648*2/10+I1647*8/10</f>
        <v>-45.4923538094498</v>
      </c>
      <c r="J1648" s="17" t="n">
        <f aca="false">H1648-I1648</f>
        <v>64.6807723344899</v>
      </c>
      <c r="K1648" s="17" t="n">
        <f aca="false">MAX(B1648-B1647,0)</f>
        <v>0</v>
      </c>
      <c r="L1648" s="17" t="n">
        <f aca="false">MAX(B1647-B1648,0)</f>
        <v>114.620000000001</v>
      </c>
      <c r="M1648" s="17" t="n">
        <f aca="false">(M1647*13+K1648)/14</f>
        <v>64.9715384764267</v>
      </c>
      <c r="N1648" s="17" t="n">
        <f aca="false">(N1647*13+L1648)/14</f>
        <v>63.0875075262556</v>
      </c>
      <c r="O1648" s="17" t="n">
        <f aca="false">IF(N1648=0,100,100-100/(1+M1648/N1648))</f>
        <v>50.7356102551832</v>
      </c>
      <c r="P1648" s="17" t="n">
        <f aca="false">AVERAGE(B1629:B1648)+2*STDEV(B1629:B1648)</f>
        <v>11641.5907247197</v>
      </c>
      <c r="Q1648" s="17" t="n">
        <f aca="false">AVERAGE(B1629:B1648)-2*STDEV(B1629:B1648)</f>
        <v>10576.6642752803</v>
      </c>
      <c r="R1648" s="19" t="n">
        <f aca="false">B1648/B1628-1</f>
        <v>0.0190426529082266</v>
      </c>
      <c r="S1648" s="17" t="n">
        <f aca="false">STDEV(C1629:C1648)*SQRT(252)*100</f>
        <v>22.2504776486248</v>
      </c>
      <c r="T1648" s="19" t="n">
        <f aca="false">B1627/B1397-1</f>
        <v>-0.252801731012557</v>
      </c>
      <c r="U1648" s="19" t="n">
        <f aca="false">B1648/MAX(B1397:B1648)-1</f>
        <v>-0.258781231708501</v>
      </c>
      <c r="V1648" s="17" t="n">
        <f aca="false">(B1648-AVERAGE(B1629:B1648))/STDEV(B1629:B1648)</f>
        <v>0.700677497861702</v>
      </c>
    </row>
    <row r="1649" customFormat="false" ht="15" hidden="false" customHeight="false" outlineLevel="0" collapsed="false">
      <c r="A1649" s="17" t="s">
        <v>2213</v>
      </c>
      <c r="B1649" s="17" t="n">
        <v>11619.03</v>
      </c>
      <c r="C1649" s="19" t="n">
        <f aca="false">B1649/B1648-1</f>
        <v>0.0286268986257567</v>
      </c>
      <c r="D1649" s="17" t="n">
        <f aca="false">AVERAGE(B1600:B1649)</f>
        <v>11414.5384</v>
      </c>
      <c r="E1649" s="17" t="n">
        <f aca="false">AVERAGE(B1450:B1649)</f>
        <v>12064.4518</v>
      </c>
      <c r="F1649" s="17" t="n">
        <f aca="false">B1649*2/13+F1648*11/13</f>
        <v>11339.162645418</v>
      </c>
      <c r="G1649" s="17" t="n">
        <f aca="false">B1649*2/27+G1648*25/27</f>
        <v>11295.0107901228</v>
      </c>
      <c r="H1649" s="17" t="n">
        <f aca="false">F1649-G1649</f>
        <v>44.1518552952275</v>
      </c>
      <c r="I1649" s="17" t="n">
        <f aca="false">H1649*2/10+I1648*8/10</f>
        <v>-27.5635119885143</v>
      </c>
      <c r="J1649" s="17" t="n">
        <f aca="false">H1649-I1649</f>
        <v>71.7153672837418</v>
      </c>
      <c r="K1649" s="17" t="n">
        <f aca="false">MAX(B1649-B1648,0)</f>
        <v>323.360000000001</v>
      </c>
      <c r="L1649" s="17" t="n">
        <f aca="false">MAX(B1648-B1649,0)</f>
        <v>0</v>
      </c>
      <c r="M1649" s="17" t="n">
        <f aca="false">(M1648*13+K1649)/14</f>
        <v>83.4278571566819</v>
      </c>
      <c r="N1649" s="17" t="n">
        <f aca="false">(N1648*13+L1649)/14</f>
        <v>58.5812569886659</v>
      </c>
      <c r="O1649" s="17" t="n">
        <f aca="false">IF(N1649=0,100,100-100/(1+M1649/N1649))</f>
        <v>58.7482413778686</v>
      </c>
      <c r="P1649" s="17" t="n">
        <f aca="false">AVERAGE(B1630:B1649)+2*STDEV(B1630:B1649)</f>
        <v>11715.0989033371</v>
      </c>
      <c r="Q1649" s="17" t="n">
        <f aca="false">AVERAGE(B1630:B1649)-2*STDEV(B1630:B1649)</f>
        <v>10557.8170966629</v>
      </c>
      <c r="R1649" s="19" t="n">
        <f aca="false">B1649/B1629-1</f>
        <v>0.0493668050886797</v>
      </c>
      <c r="S1649" s="17" t="n">
        <f aca="false">STDEV(C1630:C1649)*SQRT(252)*100</f>
        <v>24.2812979520239</v>
      </c>
      <c r="T1649" s="19" t="n">
        <f aca="false">B1628/B1398-1</f>
        <v>-0.253384982009179</v>
      </c>
      <c r="U1649" s="19" t="n">
        <f aca="false">B1649/MAX(B1398:B1649)-1</f>
        <v>-0.237562437169113</v>
      </c>
      <c r="V1649" s="17" t="n">
        <f aca="false">(B1649-AVERAGE(B1630:B1649))/STDEV(B1630:B1649)</f>
        <v>1.66794983630424</v>
      </c>
    </row>
    <row r="1650" customFormat="false" ht="15" hidden="false" customHeight="false" outlineLevel="0" collapsed="false">
      <c r="A1650" s="17" t="s">
        <v>2214</v>
      </c>
      <c r="B1650" s="17" t="n">
        <v>11872.54</v>
      </c>
      <c r="C1650" s="19" t="n">
        <f aca="false">B1650/B1649-1</f>
        <v>0.0218185166920131</v>
      </c>
      <c r="D1650" s="17" t="n">
        <f aca="false">AVERAGE(B1601:B1650)</f>
        <v>11430.7992</v>
      </c>
      <c r="E1650" s="17" t="n">
        <f aca="false">AVERAGE(B1451:B1650)</f>
        <v>12049.7113</v>
      </c>
      <c r="F1650" s="17" t="n">
        <f aca="false">B1650*2/13+F1649*11/13</f>
        <v>11421.2206999691</v>
      </c>
      <c r="G1650" s="17" t="n">
        <f aca="false">B1650*2/27+G1649*25/27</f>
        <v>11337.7907315952</v>
      </c>
      <c r="H1650" s="17" t="n">
        <f aca="false">F1650-G1650</f>
        <v>83.4299683739173</v>
      </c>
      <c r="I1650" s="17" t="n">
        <f aca="false">H1650*2/10+I1649*8/10</f>
        <v>-5.364815916028</v>
      </c>
      <c r="J1650" s="17" t="n">
        <f aca="false">H1650-I1650</f>
        <v>88.7947842899453</v>
      </c>
      <c r="K1650" s="17" t="n">
        <f aca="false">MAX(B1650-B1649,0)</f>
        <v>253.51</v>
      </c>
      <c r="L1650" s="17" t="n">
        <f aca="false">MAX(B1649-B1650,0)</f>
        <v>0</v>
      </c>
      <c r="M1650" s="17" t="n">
        <f aca="false">(M1649*13+K1650)/14</f>
        <v>95.5765816454904</v>
      </c>
      <c r="N1650" s="17" t="n">
        <f aca="false">(N1649*13+L1650)/14</f>
        <v>54.3968814894755</v>
      </c>
      <c r="O1650" s="17" t="n">
        <f aca="false">IF(N1650=0,100,100-100/(1+M1650/N1650))</f>
        <v>63.7289955486845</v>
      </c>
      <c r="P1650" s="17" t="n">
        <f aca="false">AVERAGE(B1631:B1650)+2*STDEV(B1631:B1650)</f>
        <v>11833.5310168645</v>
      </c>
      <c r="Q1650" s="17" t="n">
        <f aca="false">AVERAGE(B1631:B1650)-2*STDEV(B1631:B1650)</f>
        <v>10503.0509831355</v>
      </c>
      <c r="R1650" s="19" t="n">
        <f aca="false">B1650/B1630-1</f>
        <v>0.0566631185096318</v>
      </c>
      <c r="S1650" s="17" t="n">
        <f aca="false">STDEV(C1631:C1650)*SQRT(252)*100</f>
        <v>24.8749354609803</v>
      </c>
      <c r="T1650" s="19" t="n">
        <f aca="false">B1629/B1399-1</f>
        <v>-0.23312693927305</v>
      </c>
      <c r="U1650" s="19" t="n">
        <f aca="false">B1650/MAX(B1399:B1650)-1</f>
        <v>-0.220927180477869</v>
      </c>
      <c r="V1650" s="17" t="n">
        <f aca="false">(B1650-AVERAGE(B1631:B1650))/STDEV(B1631:B1650)</f>
        <v>2.11727792119106</v>
      </c>
    </row>
    <row r="1651" customFormat="false" ht="15" hidden="false" customHeight="false" outlineLevel="0" collapsed="false">
      <c r="A1651" s="17" t="s">
        <v>2215</v>
      </c>
      <c r="B1651" s="17" t="n">
        <v>11846.64</v>
      </c>
      <c r="C1651" s="19" t="n">
        <f aca="false">B1651/B1650-1</f>
        <v>-0.00218150454746846</v>
      </c>
      <c r="D1651" s="17" t="n">
        <f aca="false">AVERAGE(B1602:B1651)</f>
        <v>11451.781</v>
      </c>
      <c r="E1651" s="17" t="n">
        <f aca="false">AVERAGE(B1452:B1651)</f>
        <v>12036.45005</v>
      </c>
      <c r="F1651" s="17" t="n">
        <f aca="false">B1651*2/13+F1650*11/13</f>
        <v>11486.6698230508</v>
      </c>
      <c r="G1651" s="17" t="n">
        <f aca="false">B1651*2/27+G1650*25/27</f>
        <v>11375.4832699955</v>
      </c>
      <c r="H1651" s="17" t="n">
        <f aca="false">F1651-G1651</f>
        <v>111.18655305524</v>
      </c>
      <c r="I1651" s="17" t="n">
        <f aca="false">H1651*2/10+I1650*8/10</f>
        <v>17.9454578782257</v>
      </c>
      <c r="J1651" s="17" t="n">
        <f aca="false">H1651-I1651</f>
        <v>93.2410951770148</v>
      </c>
      <c r="K1651" s="17" t="n">
        <f aca="false">MAX(B1651-B1650,0)</f>
        <v>0</v>
      </c>
      <c r="L1651" s="17" t="n">
        <f aca="false">MAX(B1650-B1651,0)</f>
        <v>25.9000000000015</v>
      </c>
      <c r="M1651" s="17" t="n">
        <f aca="false">(M1650*13+K1651)/14</f>
        <v>88.7496829565268</v>
      </c>
      <c r="N1651" s="17" t="n">
        <f aca="false">(N1650*13+L1651)/14</f>
        <v>52.361389954513</v>
      </c>
      <c r="O1651" s="17" t="n">
        <f aca="false">IF(N1651=0,100,100-100/(1+M1651/N1651))</f>
        <v>62.8934931367696</v>
      </c>
      <c r="P1651" s="17" t="n">
        <f aca="false">AVERAGE(B1632:B1651)+2*STDEV(B1632:B1651)</f>
        <v>11935.0326370834</v>
      </c>
      <c r="Q1651" s="17" t="n">
        <f aca="false">AVERAGE(B1632:B1651)-2*STDEV(B1632:B1651)</f>
        <v>10490.5993629166</v>
      </c>
      <c r="R1651" s="19" t="n">
        <f aca="false">B1651/B1631-1</f>
        <v>0.0812786255013172</v>
      </c>
      <c r="S1651" s="17" t="n">
        <f aca="false">STDEV(C1632:C1651)*SQRT(252)*100</f>
        <v>22.7251039263642</v>
      </c>
      <c r="T1651" s="19" t="n">
        <f aca="false">B1630/B1400-1</f>
        <v>-0.225623346781919</v>
      </c>
      <c r="U1651" s="19" t="n">
        <f aca="false">B1651/MAX(B1400:B1651)-1</f>
        <v>-0.222626731376466</v>
      </c>
      <c r="V1651" s="17" t="n">
        <f aca="false">(B1651-AVERAGE(B1632:B1651))/STDEV(B1632:B1651)</f>
        <v>1.75521849665404</v>
      </c>
    </row>
    <row r="1652" customFormat="false" ht="15" hidden="false" customHeight="false" outlineLevel="0" collapsed="false">
      <c r="A1652" s="17" t="s">
        <v>2216</v>
      </c>
      <c r="B1652" s="17" t="n">
        <v>11814.69</v>
      </c>
      <c r="C1652" s="19" t="n">
        <f aca="false">B1652/B1651-1</f>
        <v>-0.00269696724134427</v>
      </c>
      <c r="D1652" s="17" t="n">
        <f aca="false">AVERAGE(B1603:B1652)</f>
        <v>11455.9556</v>
      </c>
      <c r="E1652" s="17" t="n">
        <f aca="false">AVERAGE(B1453:B1652)</f>
        <v>12022.86445</v>
      </c>
      <c r="F1652" s="17" t="n">
        <f aca="false">B1652*2/13+F1651*11/13</f>
        <v>11537.1344656583</v>
      </c>
      <c r="G1652" s="17" t="n">
        <f aca="false">B1652*2/27+G1651*25/27</f>
        <v>11408.0171018477</v>
      </c>
      <c r="H1652" s="17" t="n">
        <f aca="false">F1652-G1652</f>
        <v>129.11736381063</v>
      </c>
      <c r="I1652" s="17" t="n">
        <f aca="false">H1652*2/10+I1651*8/10</f>
        <v>40.1798390647066</v>
      </c>
      <c r="J1652" s="17" t="n">
        <f aca="false">H1652-I1652</f>
        <v>88.9375247459236</v>
      </c>
      <c r="K1652" s="17" t="n">
        <f aca="false">MAX(B1652-B1651,0)</f>
        <v>0</v>
      </c>
      <c r="L1652" s="17" t="n">
        <f aca="false">MAX(B1651-B1652,0)</f>
        <v>31.9499999999989</v>
      </c>
      <c r="M1652" s="17" t="n">
        <f aca="false">(M1651*13+K1652)/14</f>
        <v>82.4104198882034</v>
      </c>
      <c r="N1652" s="17" t="n">
        <f aca="false">(N1651*13+L1652)/14</f>
        <v>50.9034335291906</v>
      </c>
      <c r="O1652" s="17" t="n">
        <f aca="false">IF(N1652=0,100,100-100/(1+M1652/N1652))</f>
        <v>61.816846318427</v>
      </c>
      <c r="P1652" s="17" t="n">
        <f aca="false">AVERAGE(B1633:B1652)+2*STDEV(B1633:B1652)</f>
        <v>12015.6839297351</v>
      </c>
      <c r="Q1652" s="17" t="n">
        <f aca="false">AVERAGE(B1633:B1652)-2*STDEV(B1633:B1652)</f>
        <v>10492.8720702649</v>
      </c>
      <c r="R1652" s="19" t="n">
        <f aca="false">B1652/B1632-1</f>
        <v>0.0754853010117929</v>
      </c>
      <c r="S1652" s="17" t="n">
        <f aca="false">STDEV(C1633:C1652)*SQRT(252)*100</f>
        <v>22.8466859406023</v>
      </c>
      <c r="T1652" s="19" t="n">
        <f aca="false">B1631/B1401-1</f>
        <v>-0.225666331192329</v>
      </c>
      <c r="U1652" s="19" t="n">
        <f aca="false">B1652/MAX(B1401:B1652)-1</f>
        <v>-0.22472328161624</v>
      </c>
      <c r="V1652" s="17" t="n">
        <f aca="false">(B1652-AVERAGE(B1633:B1652))/STDEV(B1633:B1652)</f>
        <v>1.47204527339303</v>
      </c>
    </row>
    <row r="1653" customFormat="false" ht="15" hidden="false" customHeight="false" outlineLevel="0" collapsed="false">
      <c r="A1653" s="17" t="s">
        <v>2217</v>
      </c>
      <c r="B1653" s="17" t="n">
        <v>12051.48</v>
      </c>
      <c r="C1653" s="19" t="n">
        <f aca="false">B1653/B1652-1</f>
        <v>0.020041998562806</v>
      </c>
      <c r="D1653" s="17" t="n">
        <f aca="false">AVERAGE(B1604:B1653)</f>
        <v>11460.645</v>
      </c>
      <c r="E1653" s="17" t="n">
        <f aca="false">AVERAGE(B1454:B1653)</f>
        <v>12011.48555</v>
      </c>
      <c r="F1653" s="17" t="n">
        <f aca="false">B1653*2/13+F1652*11/13</f>
        <v>11616.2645478647</v>
      </c>
      <c r="G1653" s="17" t="n">
        <f aca="false">B1653*2/27+G1652*25/27</f>
        <v>11455.6810202293</v>
      </c>
      <c r="H1653" s="17" t="n">
        <f aca="false">F1653-G1653</f>
        <v>160.58352763539</v>
      </c>
      <c r="I1653" s="17" t="n">
        <f aca="false">H1653*2/10+I1652*8/10</f>
        <v>64.2605767788433</v>
      </c>
      <c r="J1653" s="17" t="n">
        <f aca="false">H1653-I1653</f>
        <v>96.3229508565468</v>
      </c>
      <c r="K1653" s="17" t="n">
        <f aca="false">MAX(B1653-B1652,0)</f>
        <v>236.789999999999</v>
      </c>
      <c r="L1653" s="17" t="n">
        <f aca="false">MAX(B1652-B1653,0)</f>
        <v>0</v>
      </c>
      <c r="M1653" s="17" t="n">
        <f aca="false">(M1652*13+K1653)/14</f>
        <v>93.4375327533317</v>
      </c>
      <c r="N1653" s="17" t="n">
        <f aca="false">(N1652*13+L1653)/14</f>
        <v>47.2674739913913</v>
      </c>
      <c r="O1653" s="17" t="n">
        <f aca="false">IF(N1653=0,100,100-100/(1+M1653/N1653))</f>
        <v>66.4066865245618</v>
      </c>
      <c r="P1653" s="17" t="n">
        <f aca="false">AVERAGE(B1634:B1653)+2*STDEV(B1634:B1653)</f>
        <v>12127.1384288273</v>
      </c>
      <c r="Q1653" s="17" t="n">
        <f aca="false">AVERAGE(B1634:B1653)-2*STDEV(B1634:B1653)</f>
        <v>10504.3145711728</v>
      </c>
      <c r="R1653" s="19" t="n">
        <f aca="false">B1653/B1633-1</f>
        <v>0.113556836630319</v>
      </c>
      <c r="S1653" s="17" t="n">
        <f aca="false">STDEV(C1634:C1653)*SQRT(252)*100</f>
        <v>22.4360692668421</v>
      </c>
      <c r="T1653" s="19" t="n">
        <f aca="false">B1632/B1402-1</f>
        <v>-0.224889859138234</v>
      </c>
      <c r="U1653" s="19" t="n">
        <f aca="false">B1653/MAX(B1402:B1653)-1</f>
        <v>-0.209185186740616</v>
      </c>
      <c r="V1653" s="17" t="n">
        <f aca="false">(B1653-AVERAGE(B1634:B1653))/STDEV(B1634:B1653)</f>
        <v>1.81351413224451</v>
      </c>
    </row>
    <row r="1654" customFormat="false" ht="15" hidden="false" customHeight="false" outlineLevel="0" collapsed="false">
      <c r="A1654" s="17" t="s">
        <v>2218</v>
      </c>
      <c r="B1654" s="17" t="n">
        <v>12166.6</v>
      </c>
      <c r="C1654" s="19" t="n">
        <f aca="false">B1654/B1653-1</f>
        <v>0.00955235373580687</v>
      </c>
      <c r="D1654" s="17" t="n">
        <f aca="false">AVERAGE(B1605:B1654)</f>
        <v>11469.9582</v>
      </c>
      <c r="E1654" s="17" t="n">
        <f aca="false">AVERAGE(B1455:B1654)</f>
        <v>12002.3675</v>
      </c>
      <c r="F1654" s="17" t="n">
        <f aca="false">B1654*2/13+F1653*11/13</f>
        <v>11700.9315405009</v>
      </c>
      <c r="G1654" s="17" t="n">
        <f aca="false">B1654*2/27+G1653*25/27</f>
        <v>11508.3416853975</v>
      </c>
      <c r="H1654" s="17" t="n">
        <f aca="false">F1654-G1654</f>
        <v>192.589855103386</v>
      </c>
      <c r="I1654" s="17" t="n">
        <f aca="false">H1654*2/10+I1653*8/10</f>
        <v>89.9264324437518</v>
      </c>
      <c r="J1654" s="17" t="n">
        <f aca="false">H1654-I1654</f>
        <v>102.663422659634</v>
      </c>
      <c r="K1654" s="17" t="n">
        <f aca="false">MAX(B1654-B1653,0)</f>
        <v>115.120000000001</v>
      </c>
      <c r="L1654" s="17" t="n">
        <f aca="false">MAX(B1653-B1654,0)</f>
        <v>0</v>
      </c>
      <c r="M1654" s="17" t="n">
        <f aca="false">(M1653*13+K1654)/14</f>
        <v>94.9862804138081</v>
      </c>
      <c r="N1654" s="17" t="n">
        <f aca="false">(N1653*13+L1654)/14</f>
        <v>43.891225849149</v>
      </c>
      <c r="O1654" s="17" t="n">
        <f aca="false">IF(N1654=0,100,100-100/(1+M1654/N1654))</f>
        <v>68.395727263389</v>
      </c>
      <c r="P1654" s="17" t="n">
        <f aca="false">AVERAGE(B1635:B1654)+2*STDEV(B1635:B1654)</f>
        <v>12228.1009409337</v>
      </c>
      <c r="Q1654" s="17" t="n">
        <f aca="false">AVERAGE(B1635:B1654)-2*STDEV(B1635:B1654)</f>
        <v>10552.0780590663</v>
      </c>
      <c r="R1654" s="19" t="n">
        <f aca="false">B1654/B1634-1</f>
        <v>0.139265160581085</v>
      </c>
      <c r="S1654" s="17" t="n">
        <f aca="false">STDEV(C1635:C1654)*SQRT(252)*100</f>
        <v>21.3464473008877</v>
      </c>
      <c r="T1654" s="19" t="n">
        <f aca="false">B1633/B1403-1</f>
        <v>-0.227135257810586</v>
      </c>
      <c r="U1654" s="19" t="n">
        <f aca="false">B1654/MAX(B1403:B1654)-1</f>
        <v>-0.201631043904846</v>
      </c>
      <c r="V1654" s="17" t="n">
        <f aca="false">(B1654-AVERAGE(B1635:B1654))/STDEV(B1635:B1654)</f>
        <v>1.85322171529023</v>
      </c>
    </row>
    <row r="1655" customFormat="false" ht="15" hidden="false" customHeight="false" outlineLevel="0" collapsed="false">
      <c r="A1655" s="17" t="s">
        <v>2219</v>
      </c>
      <c r="B1655" s="17" t="n">
        <v>11912.39</v>
      </c>
      <c r="C1655" s="19" t="n">
        <f aca="false">B1655/B1654-1</f>
        <v>-0.0208940870908882</v>
      </c>
      <c r="D1655" s="17" t="n">
        <f aca="false">AVERAGE(B1606:B1655)</f>
        <v>11470.783</v>
      </c>
      <c r="E1655" s="17" t="n">
        <f aca="false">AVERAGE(B1456:B1655)</f>
        <v>11992.22825</v>
      </c>
      <c r="F1655" s="17" t="n">
        <f aca="false">B1655*2/13+F1654*11/13</f>
        <v>11733.4636111931</v>
      </c>
      <c r="G1655" s="17" t="n">
        <f aca="false">B1655*2/27+G1654*25/27</f>
        <v>11538.2711901829</v>
      </c>
      <c r="H1655" s="17" t="n">
        <f aca="false">F1655-G1655</f>
        <v>195.192421010186</v>
      </c>
      <c r="I1655" s="17" t="n">
        <f aca="false">H1655*2/10+I1654*8/10</f>
        <v>110.979630157039</v>
      </c>
      <c r="J1655" s="17" t="n">
        <f aca="false">H1655-I1655</f>
        <v>84.2127908531474</v>
      </c>
      <c r="K1655" s="17" t="n">
        <f aca="false">MAX(B1655-B1654,0)</f>
        <v>0</v>
      </c>
      <c r="L1655" s="17" t="n">
        <f aca="false">MAX(B1654-B1655,0)</f>
        <v>254.210000000001</v>
      </c>
      <c r="M1655" s="17" t="n">
        <f aca="false">(M1654*13+K1655)/14</f>
        <v>88.201546098536</v>
      </c>
      <c r="N1655" s="17" t="n">
        <f aca="false">(N1654*13+L1655)/14</f>
        <v>58.9139954313527</v>
      </c>
      <c r="O1655" s="17" t="n">
        <f aca="false">IF(N1655=0,100,100-100/(1+M1655/N1655))</f>
        <v>59.9539281719033</v>
      </c>
      <c r="P1655" s="17" t="n">
        <f aca="false">AVERAGE(B1636:B1655)+2*STDEV(B1636:B1655)</f>
        <v>12280.4070542771</v>
      </c>
      <c r="Q1655" s="17" t="n">
        <f aca="false">AVERAGE(B1636:B1655)-2*STDEV(B1636:B1655)</f>
        <v>10595.9059457229</v>
      </c>
      <c r="R1655" s="19" t="n">
        <f aca="false">B1655/B1635-1</f>
        <v>0.0877851895480342</v>
      </c>
      <c r="S1655" s="17" t="n">
        <f aca="false">STDEV(C1636:C1655)*SQRT(252)*100</f>
        <v>22.2467471806194</v>
      </c>
      <c r="T1655" s="19" t="n">
        <f aca="false">B1634/B1404-1</f>
        <v>-0.261181034977768</v>
      </c>
      <c r="U1655" s="19" t="n">
        <f aca="false">B1655/MAX(B1404:B1655)-1</f>
        <v>-0.21831223440416</v>
      </c>
      <c r="V1655" s="17" t="n">
        <f aca="false">(B1655-AVERAGE(B1636:B1655))/STDEV(B1636:B1655)</f>
        <v>1.12611027108687</v>
      </c>
    </row>
    <row r="1656" customFormat="false" ht="15" hidden="false" customHeight="false" outlineLevel="0" collapsed="false">
      <c r="A1656" s="17" t="s">
        <v>2220</v>
      </c>
      <c r="B1656" s="17" t="n">
        <v>12101.93</v>
      </c>
      <c r="C1656" s="19" t="n">
        <f aca="false">B1656/B1655-1</f>
        <v>0.0159111647620671</v>
      </c>
      <c r="D1656" s="17" t="n">
        <f aca="false">AVERAGE(B1607:B1656)</f>
        <v>11478.8398</v>
      </c>
      <c r="E1656" s="17" t="n">
        <f aca="false">AVERAGE(B1457:B1656)</f>
        <v>11981.65145</v>
      </c>
      <c r="F1656" s="17" t="n">
        <f aca="false">B1656*2/13+F1655*11/13</f>
        <v>11790.1507479326</v>
      </c>
      <c r="G1656" s="17" t="n">
        <f aca="false">B1656*2/27+G1655*25/27</f>
        <v>11580.0236946138</v>
      </c>
      <c r="H1656" s="17" t="n">
        <f aca="false">F1656-G1656</f>
        <v>210.127053318814</v>
      </c>
      <c r="I1656" s="17" t="n">
        <f aca="false">H1656*2/10+I1655*8/10</f>
        <v>130.809114789394</v>
      </c>
      <c r="J1656" s="17" t="n">
        <f aca="false">H1656-I1656</f>
        <v>79.3179385294206</v>
      </c>
      <c r="K1656" s="17" t="n">
        <f aca="false">MAX(B1656-B1655,0)</f>
        <v>189.540000000001</v>
      </c>
      <c r="L1656" s="17" t="n">
        <f aca="false">MAX(B1655-B1656,0)</f>
        <v>0</v>
      </c>
      <c r="M1656" s="17" t="n">
        <f aca="false">(M1655*13+K1656)/14</f>
        <v>95.4400070914978</v>
      </c>
      <c r="N1656" s="17" t="n">
        <f aca="false">(N1655*13+L1656)/14</f>
        <v>54.7058529005418</v>
      </c>
      <c r="O1656" s="17" t="n">
        <f aca="false">IF(N1656=0,100,100-100/(1+M1656/N1656))</f>
        <v>63.5648609269398</v>
      </c>
      <c r="P1656" s="17" t="n">
        <f aca="false">AVERAGE(B1637:B1656)+2*STDEV(B1637:B1656)</f>
        <v>12353.954394705</v>
      </c>
      <c r="Q1656" s="17" t="n">
        <f aca="false">AVERAGE(B1637:B1656)-2*STDEV(B1637:B1656)</f>
        <v>10638.575605295</v>
      </c>
      <c r="R1656" s="19" t="n">
        <f aca="false">B1656/B1636-1</f>
        <v>0.106233591961798</v>
      </c>
      <c r="S1656" s="17" t="n">
        <f aca="false">STDEV(C1637:C1656)*SQRT(252)*100</f>
        <v>22.5185793308198</v>
      </c>
      <c r="T1656" s="19" t="n">
        <f aca="false">B1635/B1405-1</f>
        <v>-0.266509489251543</v>
      </c>
      <c r="U1656" s="19" t="n">
        <f aca="false">B1656/MAX(B1405:B1656)-1</f>
        <v>-0.205874671573272</v>
      </c>
      <c r="V1656" s="17" t="n">
        <f aca="false">(B1656-AVERAGE(B1637:B1656))/STDEV(B1637:B1656)</f>
        <v>1.41231780115061</v>
      </c>
    </row>
    <row r="1657" customFormat="false" ht="15" hidden="false" customHeight="false" outlineLevel="0" collapsed="false">
      <c r="A1657" s="17" t="s">
        <v>2221</v>
      </c>
      <c r="B1657" s="17" t="n">
        <v>12363.1</v>
      </c>
      <c r="C1657" s="19" t="n">
        <f aca="false">B1657/B1656-1</f>
        <v>0.021580855285066</v>
      </c>
      <c r="D1657" s="17" t="n">
        <f aca="false">AVERAGE(B1608:B1657)</f>
        <v>11492.5646</v>
      </c>
      <c r="E1657" s="17" t="n">
        <f aca="false">AVERAGE(B1458:B1657)</f>
        <v>11974.0009</v>
      </c>
      <c r="F1657" s="17" t="n">
        <f aca="false">B1657*2/13+F1656*11/13</f>
        <v>11878.2967867122</v>
      </c>
      <c r="G1657" s="17" t="n">
        <f aca="false">B1657*2/27+G1656*25/27</f>
        <v>11638.0293468646</v>
      </c>
      <c r="H1657" s="17" t="n">
        <f aca="false">F1657-G1657</f>
        <v>240.267439847581</v>
      </c>
      <c r="I1657" s="17" t="n">
        <f aca="false">H1657*2/10+I1656*8/10</f>
        <v>152.700779801031</v>
      </c>
      <c r="J1657" s="17" t="n">
        <f aca="false">H1657-I1657</f>
        <v>87.5666600465498</v>
      </c>
      <c r="K1657" s="17" t="n">
        <f aca="false">MAX(B1657-B1656,0)</f>
        <v>261.17</v>
      </c>
      <c r="L1657" s="17" t="n">
        <f aca="false">MAX(B1656-B1657,0)</f>
        <v>0</v>
      </c>
      <c r="M1657" s="17" t="n">
        <f aca="false">(M1656*13+K1657)/14</f>
        <v>107.277863727819</v>
      </c>
      <c r="N1657" s="17" t="n">
        <f aca="false">(N1656*13+L1657)/14</f>
        <v>50.7982919790746</v>
      </c>
      <c r="O1657" s="17" t="n">
        <f aca="false">IF(N1657=0,100,100-100/(1+M1657/N1657))</f>
        <v>67.8646714604667</v>
      </c>
      <c r="P1657" s="17" t="n">
        <f aca="false">AVERAGE(B1638:B1657)+2*STDEV(B1638:B1657)</f>
        <v>12457.6289086944</v>
      </c>
      <c r="Q1657" s="17" t="n">
        <f aca="false">AVERAGE(B1638:B1657)-2*STDEV(B1638:B1657)</f>
        <v>10684.9470913056</v>
      </c>
      <c r="R1657" s="19" t="n">
        <f aca="false">B1657/B1637-1</f>
        <v>0.138130325593042</v>
      </c>
      <c r="S1657" s="17" t="n">
        <f aca="false">STDEV(C1638:C1657)*SQRT(252)*100</f>
        <v>22.7524234455836</v>
      </c>
      <c r="T1657" s="19" t="n">
        <f aca="false">B1636/B1406-1</f>
        <v>-0.271638277246919</v>
      </c>
      <c r="U1657" s="19" t="n">
        <f aca="false">B1657/MAX(B1406:B1657)-1</f>
        <v>-0.188736767782289</v>
      </c>
      <c r="V1657" s="17" t="n">
        <f aca="false">(B1657-AVERAGE(B1638:B1657))/STDEV(B1638:B1657)</f>
        <v>1.78669853153079</v>
      </c>
    </row>
    <row r="1658" customFormat="false" ht="15" hidden="false" customHeight="false" outlineLevel="0" collapsed="false">
      <c r="A1658" s="17" t="s">
        <v>2222</v>
      </c>
      <c r="B1658" s="17" t="n">
        <v>12803.14</v>
      </c>
      <c r="C1658" s="19" t="n">
        <f aca="false">B1658/B1657-1</f>
        <v>0.035593014696961</v>
      </c>
      <c r="D1658" s="17" t="n">
        <f aca="false">AVERAGE(B1609:B1658)</f>
        <v>11515.087</v>
      </c>
      <c r="E1658" s="17" t="n">
        <f aca="false">AVERAGE(B1459:B1658)</f>
        <v>11968.4628</v>
      </c>
      <c r="F1658" s="17" t="n">
        <f aca="false">B1658*2/13+F1657*11/13</f>
        <v>12020.5803579873</v>
      </c>
      <c r="G1658" s="17" t="n">
        <f aca="false">B1658*2/27+G1657*25/27</f>
        <v>11724.3338396895</v>
      </c>
      <c r="H1658" s="17" t="n">
        <f aca="false">F1658-G1658</f>
        <v>296.246518297781</v>
      </c>
      <c r="I1658" s="17" t="n">
        <f aca="false">H1658*2/10+I1657*8/10</f>
        <v>181.409927500381</v>
      </c>
      <c r="J1658" s="17" t="n">
        <f aca="false">H1658-I1658</f>
        <v>114.8365907974</v>
      </c>
      <c r="K1658" s="17" t="n">
        <f aca="false">MAX(B1658-B1657,0)</f>
        <v>440.039999999999</v>
      </c>
      <c r="L1658" s="17" t="n">
        <f aca="false">MAX(B1657-B1658,0)</f>
        <v>0</v>
      </c>
      <c r="M1658" s="17" t="n">
        <f aca="false">(M1657*13+K1658)/14</f>
        <v>131.046587747261</v>
      </c>
      <c r="N1658" s="17" t="n">
        <f aca="false">(N1657*13+L1658)/14</f>
        <v>47.1698425519978</v>
      </c>
      <c r="O1658" s="17" t="n">
        <f aca="false">IF(N1658=0,100,100-100/(1+M1658/N1658))</f>
        <v>73.5322705808938</v>
      </c>
      <c r="P1658" s="17" t="n">
        <f aca="false">AVERAGE(B1639:B1658)+2*STDEV(B1639:B1658)</f>
        <v>12654.036122704</v>
      </c>
      <c r="Q1658" s="17" t="n">
        <f aca="false">AVERAGE(B1639:B1658)-2*STDEV(B1639:B1658)</f>
        <v>10677.373877296</v>
      </c>
      <c r="R1658" s="19" t="n">
        <f aca="false">B1658/B1638-1</f>
        <v>0.173007292850075</v>
      </c>
      <c r="S1658" s="17" t="n">
        <f aca="false">STDEV(C1639:C1658)*SQRT(252)*100</f>
        <v>24.9509131929417</v>
      </c>
      <c r="T1658" s="19" t="n">
        <f aca="false">B1637/B1407-1</f>
        <v>-0.282508154036991</v>
      </c>
      <c r="U1658" s="19" t="n">
        <f aca="false">B1658/MAX(B1407:B1658)-1</f>
        <v>-0.15986146363486</v>
      </c>
      <c r="V1658" s="17" t="n">
        <f aca="false">(B1658-AVERAGE(B1639:B1658))/STDEV(B1639:B1658)</f>
        <v>2.30172858846762</v>
      </c>
    </row>
    <row r="1659" customFormat="false" ht="15" hidden="false" customHeight="false" outlineLevel="0" collapsed="false">
      <c r="A1659" s="17" t="s">
        <v>2223</v>
      </c>
      <c r="B1659" s="17" t="n">
        <v>12573.36</v>
      </c>
      <c r="C1659" s="19" t="n">
        <f aca="false">B1659/B1658-1</f>
        <v>-0.0179471598373523</v>
      </c>
      <c r="D1659" s="17" t="n">
        <f aca="false">AVERAGE(B1610:B1659)</f>
        <v>11535.4852</v>
      </c>
      <c r="E1659" s="17" t="n">
        <f aca="false">AVERAGE(B1460:B1659)</f>
        <v>11960.2783</v>
      </c>
      <c r="F1659" s="17" t="n">
        <f aca="false">B1659*2/13+F1658*11/13</f>
        <v>12105.6233798354</v>
      </c>
      <c r="G1659" s="17" t="n">
        <f aca="false">B1659*2/27+G1658*25/27</f>
        <v>11787.2246663791</v>
      </c>
      <c r="H1659" s="17" t="n">
        <f aca="false">F1659-G1659</f>
        <v>318.398713456227</v>
      </c>
      <c r="I1659" s="17" t="n">
        <f aca="false">H1659*2/10+I1658*8/10</f>
        <v>208.80768469155</v>
      </c>
      <c r="J1659" s="17" t="n">
        <f aca="false">H1659-I1659</f>
        <v>109.591028764676</v>
      </c>
      <c r="K1659" s="17" t="n">
        <f aca="false">MAX(B1659-B1658,0)</f>
        <v>0</v>
      </c>
      <c r="L1659" s="17" t="n">
        <f aca="false">MAX(B1658-B1659,0)</f>
        <v>229.779999999999</v>
      </c>
      <c r="M1659" s="17" t="n">
        <f aca="false">(M1658*13+K1659)/14</f>
        <v>121.686117193885</v>
      </c>
      <c r="N1659" s="17" t="n">
        <f aca="false">(N1658*13+L1659)/14</f>
        <v>60.213425226855</v>
      </c>
      <c r="O1659" s="17" t="n">
        <f aca="false">IF(N1659=0,100,100-100/(1+M1659/N1659))</f>
        <v>66.897428973417</v>
      </c>
      <c r="P1659" s="17" t="n">
        <f aca="false">AVERAGE(B1640:B1659)+2*STDEV(B1640:B1659)</f>
        <v>12724.2519016126</v>
      </c>
      <c r="Q1659" s="17" t="n">
        <f aca="false">AVERAGE(B1640:B1659)-2*STDEV(B1640:B1659)</f>
        <v>10790.3720983874</v>
      </c>
      <c r="R1659" s="19" t="n">
        <f aca="false">B1659/B1639-1</f>
        <v>0.170570940731128</v>
      </c>
      <c r="S1659" s="17" t="n">
        <f aca="false">STDEV(C1640:C1659)*SQRT(252)*100</f>
        <v>25.2210925687602</v>
      </c>
      <c r="T1659" s="19" t="n">
        <f aca="false">B1638/B1408-1</f>
        <v>-0.247312791917308</v>
      </c>
      <c r="U1659" s="19" t="n">
        <f aca="false">B1659/MAX(B1408:B1659)-1</f>
        <v>-0.174939564232525</v>
      </c>
      <c r="V1659" s="17" t="n">
        <f aca="false">(B1659-AVERAGE(B1640:B1659))/STDEV(B1640:B1659)</f>
        <v>1.68789807647626</v>
      </c>
    </row>
    <row r="1660" customFormat="false" ht="15" hidden="false" customHeight="false" outlineLevel="0" collapsed="false">
      <c r="A1660" s="17" t="s">
        <v>2224</v>
      </c>
      <c r="B1660" s="17" t="n">
        <v>12464.51</v>
      </c>
      <c r="C1660" s="19" t="n">
        <f aca="false">B1660/B1659-1</f>
        <v>-0.00865719266767195</v>
      </c>
      <c r="D1660" s="17" t="n">
        <f aca="false">AVERAGE(B1611:B1660)</f>
        <v>11550.2786</v>
      </c>
      <c r="E1660" s="17" t="n">
        <f aca="false">AVERAGE(B1461:B1660)</f>
        <v>11952.6082</v>
      </c>
      <c r="F1660" s="17" t="n">
        <f aca="false">B1660*2/13+F1659*11/13</f>
        <v>12160.8367060145</v>
      </c>
      <c r="G1660" s="17" t="n">
        <f aca="false">B1660*2/27+G1659*25/27</f>
        <v>11837.3939503511</v>
      </c>
      <c r="H1660" s="17" t="n">
        <f aca="false">F1660-G1660</f>
        <v>323.442755663482</v>
      </c>
      <c r="I1660" s="17" t="n">
        <f aca="false">H1660*2/10+I1659*8/10</f>
        <v>231.734698885937</v>
      </c>
      <c r="J1660" s="17" t="n">
        <f aca="false">H1660-I1660</f>
        <v>91.7080567775452</v>
      </c>
      <c r="K1660" s="17" t="n">
        <f aca="false">MAX(B1660-B1659,0)</f>
        <v>0</v>
      </c>
      <c r="L1660" s="17" t="n">
        <f aca="false">MAX(B1659-B1660,0)</f>
        <v>108.85</v>
      </c>
      <c r="M1660" s="17" t="n">
        <f aca="false">(M1659*13+K1660)/14</f>
        <v>112.994251680036</v>
      </c>
      <c r="N1660" s="17" t="n">
        <f aca="false">(N1659*13+L1660)/14</f>
        <v>63.6874662820797</v>
      </c>
      <c r="O1660" s="17" t="n">
        <f aca="false">IF(N1660=0,100,100-100/(1+M1660/N1660))</f>
        <v>63.9535617965094</v>
      </c>
      <c r="P1660" s="17" t="n">
        <f aca="false">AVERAGE(B1641:B1660)+2*STDEV(B1641:B1660)</f>
        <v>12782.8236689595</v>
      </c>
      <c r="Q1660" s="17" t="n">
        <f aca="false">AVERAGE(B1641:B1660)-2*STDEV(B1641:B1660)</f>
        <v>10874.2163310405</v>
      </c>
      <c r="R1660" s="19" t="n">
        <f aca="false">B1660/B1640-1</f>
        <v>0.128995910455737</v>
      </c>
      <c r="S1660" s="17" t="n">
        <f aca="false">STDEV(C1641:C1660)*SQRT(252)*100</f>
        <v>24.7397082364496</v>
      </c>
      <c r="T1660" s="19" t="n">
        <f aca="false">B1639/B1409-1</f>
        <v>-0.269023808470603</v>
      </c>
      <c r="U1660" s="19" t="n">
        <f aca="false">B1660/MAX(B1409:B1660)-1</f>
        <v>-0.182082271387437</v>
      </c>
      <c r="V1660" s="17" t="n">
        <f aca="false">(B1660-AVERAGE(B1641:B1660))/STDEV(B1641:B1660)</f>
        <v>1.33288809565925</v>
      </c>
    </row>
    <row r="1661" customFormat="false" ht="15" hidden="false" customHeight="false" outlineLevel="0" collapsed="false">
      <c r="A1661" s="17" t="s">
        <v>2225</v>
      </c>
      <c r="B1661" s="17" t="n">
        <v>12728.27</v>
      </c>
      <c r="C1661" s="19" t="n">
        <f aca="false">B1661/B1660-1</f>
        <v>0.0211608799704119</v>
      </c>
      <c r="D1661" s="17" t="n">
        <f aca="false">AVERAGE(B1612:B1661)</f>
        <v>11568.0696</v>
      </c>
      <c r="E1661" s="17" t="n">
        <f aca="false">AVERAGE(B1462:B1661)</f>
        <v>11947.6473</v>
      </c>
      <c r="F1661" s="17" t="n">
        <f aca="false">B1661*2/13+F1660*11/13</f>
        <v>12248.1341358585</v>
      </c>
      <c r="G1661" s="17" t="n">
        <f aca="false">B1661*2/27+G1660*25/27</f>
        <v>11903.3847688436</v>
      </c>
      <c r="H1661" s="17" t="n">
        <f aca="false">F1661-G1661</f>
        <v>344.749367014885</v>
      </c>
      <c r="I1661" s="17" t="n">
        <f aca="false">H1661*2/10+I1660*8/10</f>
        <v>254.337632511726</v>
      </c>
      <c r="J1661" s="17" t="n">
        <f aca="false">H1661-I1661</f>
        <v>90.4117345031588</v>
      </c>
      <c r="K1661" s="17" t="n">
        <f aca="false">MAX(B1661-B1660,0)</f>
        <v>263.76</v>
      </c>
      <c r="L1661" s="17" t="n">
        <f aca="false">MAX(B1660-B1661,0)</f>
        <v>0</v>
      </c>
      <c r="M1661" s="17" t="n">
        <f aca="false">(M1660*13+K1661)/14</f>
        <v>123.763233702891</v>
      </c>
      <c r="N1661" s="17" t="n">
        <f aca="false">(N1660*13+L1661)/14</f>
        <v>59.1383615476454</v>
      </c>
      <c r="O1661" s="17" t="n">
        <f aca="false">IF(N1661=0,100,100-100/(1+M1661/N1661))</f>
        <v>67.6665687542864</v>
      </c>
      <c r="P1661" s="17" t="n">
        <f aca="false">AVERAGE(B1642:B1661)+2*STDEV(B1642:B1661)</f>
        <v>12881.2876697929</v>
      </c>
      <c r="Q1661" s="17" t="n">
        <f aca="false">AVERAGE(B1642:B1661)-2*STDEV(B1642:B1661)</f>
        <v>10937.7343302072</v>
      </c>
      <c r="R1661" s="19" t="n">
        <f aca="false">B1661/B1641-1</f>
        <v>0.145818723584298</v>
      </c>
      <c r="S1661" s="17" t="n">
        <f aca="false">STDEV(C1642:C1661)*SQRT(252)*100</f>
        <v>25.303177843215</v>
      </c>
      <c r="T1661" s="19" t="n">
        <f aca="false">B1640/B1410-1</f>
        <v>-0.242319636270052</v>
      </c>
      <c r="U1661" s="19" t="n">
        <f aca="false">B1661/MAX(B1410:B1661)-1</f>
        <v>-0.164774412506595</v>
      </c>
      <c r="V1661" s="17" t="n">
        <f aca="false">(B1661-AVERAGE(B1642:B1661))/STDEV(B1642:B1661)</f>
        <v>1.68507646962657</v>
      </c>
    </row>
    <row r="1662" customFormat="false" ht="15" hidden="false" customHeight="false" outlineLevel="0" collapsed="false">
      <c r="A1662" s="17" t="s">
        <v>2226</v>
      </c>
      <c r="B1662" s="17" t="n">
        <v>12495.38</v>
      </c>
      <c r="C1662" s="19" t="n">
        <f aca="false">B1662/B1661-1</f>
        <v>-0.0182970662941626</v>
      </c>
      <c r="D1662" s="17" t="n">
        <f aca="false">AVERAGE(B1613:B1662)</f>
        <v>11582.8566</v>
      </c>
      <c r="E1662" s="17" t="n">
        <f aca="false">AVERAGE(B1463:B1662)</f>
        <v>11943.33985</v>
      </c>
      <c r="F1662" s="17" t="n">
        <f aca="false">B1662*2/13+F1661*11/13</f>
        <v>12286.171961111</v>
      </c>
      <c r="G1662" s="17" t="n">
        <f aca="false">B1662*2/27+G1661*25/27</f>
        <v>11947.2362674478</v>
      </c>
      <c r="H1662" s="17" t="n">
        <f aca="false">F1662-G1662</f>
        <v>338.93569366325</v>
      </c>
      <c r="I1662" s="17" t="n">
        <f aca="false">H1662*2/10+I1661*8/10</f>
        <v>271.257244742031</v>
      </c>
      <c r="J1662" s="17" t="n">
        <f aca="false">H1662-I1662</f>
        <v>67.6784489212191</v>
      </c>
      <c r="K1662" s="17" t="n">
        <f aca="false">MAX(B1662-B1661,0)</f>
        <v>0</v>
      </c>
      <c r="L1662" s="17" t="n">
        <f aca="false">MAX(B1661-B1662,0)</f>
        <v>232.890000000001</v>
      </c>
      <c r="M1662" s="17" t="n">
        <f aca="false">(M1661*13+K1662)/14</f>
        <v>114.923002724113</v>
      </c>
      <c r="N1662" s="17" t="n">
        <f aca="false">(N1661*13+L1662)/14</f>
        <v>71.5491928656709</v>
      </c>
      <c r="O1662" s="17" t="n">
        <f aca="false">IF(N1662=0,100,100-100/(1+M1662/N1662))</f>
        <v>61.6301011315003</v>
      </c>
      <c r="P1662" s="17" t="n">
        <f aca="false">AVERAGE(B1643:B1662)+2*STDEV(B1643:B1662)</f>
        <v>12919.9534742285</v>
      </c>
      <c r="Q1662" s="17" t="n">
        <f aca="false">AVERAGE(B1643:B1662)-2*STDEV(B1643:B1662)</f>
        <v>11028.0285257715</v>
      </c>
      <c r="R1662" s="19" t="n">
        <f aca="false">B1662/B1642-1</f>
        <v>0.115083465854229</v>
      </c>
      <c r="S1662" s="17" t="n">
        <f aca="false">STDEV(C1643:C1662)*SQRT(252)*100</f>
        <v>26.8234104165044</v>
      </c>
      <c r="T1662" s="19" t="n">
        <f aca="false">B1641/B1411-1</f>
        <v>-0.246733070998025</v>
      </c>
      <c r="U1662" s="19" t="n">
        <f aca="false">B1662/MAX(B1411:B1662)-1</f>
        <v>-0.180056590451543</v>
      </c>
      <c r="V1662" s="17" t="n">
        <f aca="false">(B1662-AVERAGE(B1643:B1662))/STDEV(B1643:B1662)</f>
        <v>1.10234605326232</v>
      </c>
    </row>
    <row r="1663" customFormat="false" ht="15" hidden="false" customHeight="false" outlineLevel="0" collapsed="false">
      <c r="A1663" s="17" t="s">
        <v>2227</v>
      </c>
      <c r="B1663" s="17" t="n">
        <v>12381.17</v>
      </c>
      <c r="C1663" s="19" t="n">
        <f aca="false">B1663/B1662-1</f>
        <v>-0.00914017820986635</v>
      </c>
      <c r="D1663" s="17" t="n">
        <f aca="false">AVERAGE(B1614:B1663)</f>
        <v>11598.725</v>
      </c>
      <c r="E1663" s="17" t="n">
        <f aca="false">AVERAGE(B1464:B1663)</f>
        <v>11937.5796</v>
      </c>
      <c r="F1663" s="17" t="n">
        <f aca="false">B1663*2/13+F1662*11/13</f>
        <v>12300.787044017</v>
      </c>
      <c r="G1663" s="17" t="n">
        <f aca="false">B1663*2/27+G1662*25/27</f>
        <v>11979.3795068961</v>
      </c>
      <c r="H1663" s="17" t="n">
        <f aca="false">F1663-G1663</f>
        <v>321.407537120935</v>
      </c>
      <c r="I1663" s="17" t="n">
        <f aca="false">H1663*2/10+I1662*8/10</f>
        <v>281.287303217812</v>
      </c>
      <c r="J1663" s="17" t="n">
        <f aca="false">H1663-I1663</f>
        <v>40.1202339031228</v>
      </c>
      <c r="K1663" s="17" t="n">
        <f aca="false">MAX(B1663-B1662,0)</f>
        <v>0</v>
      </c>
      <c r="L1663" s="17" t="n">
        <f aca="false">MAX(B1662-B1663,0)</f>
        <v>114.209999999999</v>
      </c>
      <c r="M1663" s="17" t="n">
        <f aca="false">(M1662*13+K1663)/14</f>
        <v>106.714216815248</v>
      </c>
      <c r="N1663" s="17" t="n">
        <f aca="false">(N1662*13+L1663)/14</f>
        <v>74.5963933752657</v>
      </c>
      <c r="O1663" s="17" t="n">
        <f aca="false">IF(N1663=0,100,100-100/(1+M1663/N1663))</f>
        <v>58.8571273921129</v>
      </c>
      <c r="P1663" s="17" t="n">
        <f aca="false">AVERAGE(B1644:B1663)+2*STDEV(B1644:B1663)</f>
        <v>12945.3735107015</v>
      </c>
      <c r="Q1663" s="17" t="n">
        <f aca="false">AVERAGE(B1644:B1663)-2*STDEV(B1644:B1663)</f>
        <v>11100.4734892985</v>
      </c>
      <c r="R1663" s="19" t="n">
        <f aca="false">B1663/B1643-1</f>
        <v>0.0858275188291711</v>
      </c>
      <c r="S1663" s="17" t="n">
        <f aca="false">STDEV(C1644:C1663)*SQRT(252)*100</f>
        <v>26.9183403589698</v>
      </c>
      <c r="T1663" s="19" t="n">
        <f aca="false">B1642/B1412-1</f>
        <v>-0.255774073916647</v>
      </c>
      <c r="U1663" s="19" t="n">
        <f aca="false">B1663/MAX(B1412:B1663)-1</f>
        <v>-0.187551019336821</v>
      </c>
      <c r="V1663" s="17" t="n">
        <f aca="false">(B1663-AVERAGE(B1644:B1663))/STDEV(B1644:B1663)</f>
        <v>0.776728268944504</v>
      </c>
    </row>
    <row r="1664" customFormat="false" ht="15" hidden="false" customHeight="false" outlineLevel="0" collapsed="false">
      <c r="A1664" s="17" t="s">
        <v>2228</v>
      </c>
      <c r="B1664" s="17" t="n">
        <v>12304.92</v>
      </c>
      <c r="C1664" s="19" t="n">
        <f aca="false">B1664/B1663-1</f>
        <v>-0.00615854559787166</v>
      </c>
      <c r="D1664" s="17" t="n">
        <f aca="false">AVERAGE(B1615:B1664)</f>
        <v>11614.7544</v>
      </c>
      <c r="E1664" s="17" t="n">
        <f aca="false">AVERAGE(B1465:B1664)</f>
        <v>11934.05565</v>
      </c>
      <c r="F1664" s="17" t="n">
        <f aca="false">B1664*2/13+F1663*11/13</f>
        <v>12301.422883399</v>
      </c>
      <c r="G1664" s="17" t="n">
        <f aca="false">B1664*2/27+G1663*25/27</f>
        <v>12003.4936174964</v>
      </c>
      <c r="H1664" s="17" t="n">
        <f aca="false">F1664-G1664</f>
        <v>297.929265902645</v>
      </c>
      <c r="I1664" s="17" t="n">
        <f aca="false">H1664*2/10+I1663*8/10</f>
        <v>284.615695754779</v>
      </c>
      <c r="J1664" s="17" t="n">
        <f aca="false">H1664-I1664</f>
        <v>13.3135701478665</v>
      </c>
      <c r="K1664" s="17" t="n">
        <f aca="false">MAX(B1664-B1663,0)</f>
        <v>0</v>
      </c>
      <c r="L1664" s="17" t="n">
        <f aca="false">MAX(B1663-B1664,0)</f>
        <v>76.25</v>
      </c>
      <c r="M1664" s="17" t="n">
        <f aca="false">(M1663*13+K1664)/14</f>
        <v>99.0917727570156</v>
      </c>
      <c r="N1664" s="17" t="n">
        <f aca="false">(N1663*13+L1664)/14</f>
        <v>74.7145081341753</v>
      </c>
      <c r="O1664" s="17" t="n">
        <f aca="false">IF(N1664=0,100,100-100/(1+M1664/N1664))</f>
        <v>57.0127686116537</v>
      </c>
      <c r="P1664" s="17" t="n">
        <f aca="false">AVERAGE(B1645:B1664)+2*STDEV(B1645:B1664)</f>
        <v>12955.8793393117</v>
      </c>
      <c r="Q1664" s="17" t="n">
        <f aca="false">AVERAGE(B1645:B1664)-2*STDEV(B1645:B1664)</f>
        <v>11174.4986606883</v>
      </c>
      <c r="R1664" s="19" t="n">
        <f aca="false">B1664/B1644-1</f>
        <v>0.0737642904077887</v>
      </c>
      <c r="S1664" s="17" t="n">
        <f aca="false">STDEV(C1645:C1664)*SQRT(252)*100</f>
        <v>27.1679424515122</v>
      </c>
      <c r="T1664" s="19" t="n">
        <f aca="false">B1643/B1413-1</f>
        <v>-0.2246158616694</v>
      </c>
      <c r="U1664" s="19" t="n">
        <f aca="false">B1664/MAX(B1413:B1664)-1</f>
        <v>-0.192554523430179</v>
      </c>
      <c r="V1664" s="17" t="n">
        <f aca="false">(B1664-AVERAGE(B1645:B1664))/STDEV(B1645:B1664)</f>
        <v>0.538303806427859</v>
      </c>
    </row>
    <row r="1665" customFormat="false" ht="15" hidden="false" customHeight="false" outlineLevel="0" collapsed="false">
      <c r="A1665" s="17" t="s">
        <v>2229</v>
      </c>
      <c r="B1665" s="17" t="n">
        <v>12502.31</v>
      </c>
      <c r="C1665" s="19" t="n">
        <f aca="false">B1665/B1664-1</f>
        <v>0.016041550859331</v>
      </c>
      <c r="D1665" s="17" t="n">
        <f aca="false">AVERAGE(B1616:B1665)</f>
        <v>11624.1994</v>
      </c>
      <c r="E1665" s="17" t="n">
        <f aca="false">AVERAGE(B1466:B1665)</f>
        <v>11931.5504</v>
      </c>
      <c r="F1665" s="17" t="n">
        <f aca="false">B1665*2/13+F1664*11/13</f>
        <v>12332.3285936453</v>
      </c>
      <c r="G1665" s="17" t="n">
        <f aca="false">B1665*2/27+G1664*25/27</f>
        <v>12040.4429791633</v>
      </c>
      <c r="H1665" s="17" t="n">
        <f aca="false">F1665-G1665</f>
        <v>291.885614482015</v>
      </c>
      <c r="I1665" s="17" t="n">
        <f aca="false">H1665*2/10+I1664*8/10</f>
        <v>286.069679500226</v>
      </c>
      <c r="J1665" s="17" t="n">
        <f aca="false">H1665-I1665</f>
        <v>5.81593498178893</v>
      </c>
      <c r="K1665" s="17" t="n">
        <f aca="false">MAX(B1665-B1664,0)</f>
        <v>197.389999999999</v>
      </c>
      <c r="L1665" s="17" t="n">
        <f aca="false">MAX(B1664-B1665,0)</f>
        <v>0</v>
      </c>
      <c r="M1665" s="17" t="n">
        <f aca="false">(M1664*13+K1665)/14</f>
        <v>106.113074702943</v>
      </c>
      <c r="N1665" s="17" t="n">
        <f aca="false">(N1664*13+L1665)/14</f>
        <v>69.3777575531628</v>
      </c>
      <c r="O1665" s="17" t="n">
        <f aca="false">IF(N1665=0,100,100-100/(1+M1665/N1665))</f>
        <v>60.4664490667438</v>
      </c>
      <c r="P1665" s="17" t="n">
        <f aca="false">AVERAGE(B1646:B1665)+2*STDEV(B1646:B1665)</f>
        <v>12988.499844421</v>
      </c>
      <c r="Q1665" s="17" t="n">
        <f aca="false">AVERAGE(B1646:B1665)-2*STDEV(B1646:B1665)</f>
        <v>11237.961155579</v>
      </c>
      <c r="R1665" s="19" t="n">
        <f aca="false">B1665/B1645-1</f>
        <v>0.0832501550927611</v>
      </c>
      <c r="S1665" s="17" t="n">
        <f aca="false">STDEV(C1646:C1665)*SQRT(252)*100</f>
        <v>27.4989641994058</v>
      </c>
      <c r="T1665" s="19" t="n">
        <f aca="false">B1644/B1414-1</f>
        <v>-0.196033489922716</v>
      </c>
      <c r="U1665" s="19" t="n">
        <f aca="false">B1665/MAX(B1414:B1665)-1</f>
        <v>-0.179601845751648</v>
      </c>
      <c r="V1665" s="17" t="n">
        <f aca="false">(B1665-AVERAGE(B1646:B1665))/STDEV(B1646:B1665)</f>
        <v>0.889050901828124</v>
      </c>
    </row>
    <row r="1666" customFormat="false" ht="15" hidden="false" customHeight="false" outlineLevel="0" collapsed="false">
      <c r="A1666" s="17" t="s">
        <v>2230</v>
      </c>
      <c r="B1666" s="17" t="n">
        <v>12590.89</v>
      </c>
      <c r="C1666" s="19" t="n">
        <f aca="false">B1666/B1665-1</f>
        <v>0.0070850906752431</v>
      </c>
      <c r="D1666" s="17" t="n">
        <f aca="false">AVERAGE(B1617:B1666)</f>
        <v>11635.1794</v>
      </c>
      <c r="E1666" s="17" t="n">
        <f aca="false">AVERAGE(B1467:B1666)</f>
        <v>11927.22455</v>
      </c>
      <c r="F1666" s="17" t="n">
        <f aca="false">B1666*2/13+F1665*11/13</f>
        <v>12372.107271546</v>
      </c>
      <c r="G1666" s="17" t="n">
        <f aca="false">B1666*2/27+G1665*25/27</f>
        <v>12081.2168325586</v>
      </c>
      <c r="H1666" s="17" t="n">
        <f aca="false">F1666-G1666</f>
        <v>290.890438987424</v>
      </c>
      <c r="I1666" s="17" t="n">
        <f aca="false">H1666*2/10+I1665*8/10</f>
        <v>287.033831397666</v>
      </c>
      <c r="J1666" s="17" t="n">
        <f aca="false">H1666-I1666</f>
        <v>3.85660758975871</v>
      </c>
      <c r="K1666" s="17" t="n">
        <f aca="false">MAX(B1666-B1665,0)</f>
        <v>88.5799999999999</v>
      </c>
      <c r="L1666" s="17" t="n">
        <f aca="false">MAX(B1665-B1666,0)</f>
        <v>0</v>
      </c>
      <c r="M1666" s="17" t="n">
        <f aca="false">(M1665*13+K1666)/14</f>
        <v>104.860712224161</v>
      </c>
      <c r="N1666" s="17" t="n">
        <f aca="false">(N1665*13+L1666)/14</f>
        <v>64.4222034422226</v>
      </c>
      <c r="O1666" s="17" t="n">
        <f aca="false">IF(N1666=0,100,100-100/(1+M1666/N1666))</f>
        <v>61.944060811675</v>
      </c>
      <c r="P1666" s="17" t="n">
        <f aca="false">AVERAGE(B1647:B1666)+2*STDEV(B1647:B1666)</f>
        <v>13023.8633013544</v>
      </c>
      <c r="Q1666" s="17" t="n">
        <f aca="false">AVERAGE(B1647:B1666)-2*STDEV(B1647:B1666)</f>
        <v>11305.9676986456</v>
      </c>
      <c r="R1666" s="19" t="n">
        <f aca="false">B1666/B1646-1</f>
        <v>0.0894421567872465</v>
      </c>
      <c r="S1666" s="17" t="n">
        <f aca="false">STDEV(C1647:C1666)*SQRT(252)*100</f>
        <v>27.4970882681795</v>
      </c>
      <c r="T1666" s="19" t="n">
        <f aca="false">B1645/B1415-1</f>
        <v>-0.191126803699595</v>
      </c>
      <c r="U1666" s="19" t="n">
        <f aca="false">B1666/MAX(B1415:B1666)-1</f>
        <v>-0.173789250438996</v>
      </c>
      <c r="V1666" s="17" t="n">
        <f aca="false">(B1666-AVERAGE(B1647:B1666))/STDEV(B1647:B1666)</f>
        <v>0.991851889784949</v>
      </c>
    </row>
    <row r="1667" customFormat="false" ht="15" hidden="false" customHeight="false" outlineLevel="0" collapsed="false">
      <c r="A1667" s="17" t="s">
        <v>2231</v>
      </c>
      <c r="B1667" s="17" t="n">
        <v>12687.89</v>
      </c>
      <c r="C1667" s="19" t="n">
        <f aca="false">B1667/B1666-1</f>
        <v>0.00770398280026274</v>
      </c>
      <c r="D1667" s="17" t="n">
        <f aca="false">AVERAGE(B1618:B1667)</f>
        <v>11649.052</v>
      </c>
      <c r="E1667" s="17" t="n">
        <f aca="false">AVERAGE(B1468:B1667)</f>
        <v>11926.39</v>
      </c>
      <c r="F1667" s="17" t="n">
        <f aca="false">B1667*2/13+F1666*11/13</f>
        <v>12420.6892297697</v>
      </c>
      <c r="G1667" s="17" t="n">
        <f aca="false">B1667*2/27+G1666*25/27</f>
        <v>12126.1555857024</v>
      </c>
      <c r="H1667" s="17" t="n">
        <f aca="false">F1667-G1667</f>
        <v>294.533644067304</v>
      </c>
      <c r="I1667" s="17" t="n">
        <f aca="false">H1667*2/10+I1666*8/10</f>
        <v>288.533793931593</v>
      </c>
      <c r="J1667" s="17" t="n">
        <f aca="false">H1667-I1667</f>
        <v>5.99985013571046</v>
      </c>
      <c r="K1667" s="17" t="n">
        <f aca="false">MAX(B1667-B1666,0)</f>
        <v>97</v>
      </c>
      <c r="L1667" s="17" t="n">
        <f aca="false">MAX(B1666-B1667,0)</f>
        <v>0</v>
      </c>
      <c r="M1667" s="17" t="n">
        <f aca="false">(M1666*13+K1667)/14</f>
        <v>104.299232779578</v>
      </c>
      <c r="N1667" s="17" t="n">
        <f aca="false">(N1666*13+L1667)/14</f>
        <v>59.8206174820638</v>
      </c>
      <c r="O1667" s="17" t="n">
        <f aca="false">IF(N1667=0,100,100-100/(1+M1667/N1667))</f>
        <v>63.5506507063607</v>
      </c>
      <c r="P1667" s="17" t="n">
        <f aca="false">AVERAGE(B1648:B1667)+2*STDEV(B1648:B1667)</f>
        <v>13040.1541253991</v>
      </c>
      <c r="Q1667" s="17" t="n">
        <f aca="false">AVERAGE(B1648:B1667)-2*STDEV(B1648:B1667)</f>
        <v>11417.4368746009</v>
      </c>
      <c r="R1667" s="19" t="n">
        <f aca="false">B1667/B1647-1</f>
        <v>0.111969108585321</v>
      </c>
      <c r="S1667" s="17" t="n">
        <f aca="false">STDEV(C1648:C1667)*SQRT(252)*100</f>
        <v>26.7536442879665</v>
      </c>
      <c r="T1667" s="19" t="n">
        <f aca="false">B1646/B1416-1</f>
        <v>-0.209538863073343</v>
      </c>
      <c r="U1667" s="19" t="n">
        <f aca="false">B1667/MAX(B1416:B1667)-1</f>
        <v>-0.167424137034986</v>
      </c>
      <c r="V1667" s="17" t="n">
        <f aca="false">(B1667-AVERAGE(B1648:B1667))/STDEV(B1648:B1667)</f>
        <v>1.13166850176564</v>
      </c>
    </row>
    <row r="1668" customFormat="false" ht="15" hidden="false" customHeight="false" outlineLevel="0" collapsed="false">
      <c r="A1668" s="17" t="s">
        <v>2232</v>
      </c>
      <c r="B1668" s="17" t="n">
        <v>12442.48</v>
      </c>
      <c r="C1668" s="19" t="n">
        <f aca="false">B1668/B1667-1</f>
        <v>-0.0193420655443892</v>
      </c>
      <c r="D1668" s="17" t="n">
        <f aca="false">AVERAGE(B1619:B1668)</f>
        <v>11662.1656</v>
      </c>
      <c r="E1668" s="17" t="n">
        <f aca="false">AVERAGE(B1469:B1668)</f>
        <v>11923.22315</v>
      </c>
      <c r="F1668" s="17" t="n">
        <f aca="false">B1668*2/13+F1667*11/13</f>
        <v>12424.041655959</v>
      </c>
      <c r="G1668" s="17" t="n">
        <f aca="false">B1668*2/27+G1667*25/27</f>
        <v>12149.5870237985</v>
      </c>
      <c r="H1668" s="17" t="n">
        <f aca="false">F1668-G1668</f>
        <v>274.454632160459</v>
      </c>
      <c r="I1668" s="17" t="n">
        <f aca="false">H1668*2/10+I1667*8/10</f>
        <v>285.717961577366</v>
      </c>
      <c r="J1668" s="17" t="n">
        <f aca="false">H1668-I1668</f>
        <v>-11.263329416907</v>
      </c>
      <c r="K1668" s="17" t="n">
        <f aca="false">MAX(B1668-B1667,0)</f>
        <v>0</v>
      </c>
      <c r="L1668" s="17" t="n">
        <f aca="false">MAX(B1667-B1668,0)</f>
        <v>245.41</v>
      </c>
      <c r="M1668" s="17" t="n">
        <f aca="false">(M1667*13+K1668)/14</f>
        <v>96.8492875810371</v>
      </c>
      <c r="N1668" s="17" t="n">
        <f aca="false">(N1667*13+L1668)/14</f>
        <v>73.0770019476307</v>
      </c>
      <c r="O1668" s="17" t="n">
        <f aca="false">IF(N1668=0,100,100-100/(1+M1668/N1668))</f>
        <v>56.9948816334849</v>
      </c>
      <c r="P1668" s="17" t="n">
        <f aca="false">AVERAGE(B1649:B1668)+2*STDEV(B1649:B1668)</f>
        <v>12972.2566888281</v>
      </c>
      <c r="Q1668" s="17" t="n">
        <f aca="false">AVERAGE(B1649:B1668)-2*STDEV(B1649:B1668)</f>
        <v>11600.0153111719</v>
      </c>
      <c r="R1668" s="19" t="n">
        <f aca="false">B1668/B1648-1</f>
        <v>0.101526514142145</v>
      </c>
      <c r="S1668" s="17" t="n">
        <f aca="false">STDEV(C1649:C1668)*SQRT(252)*100</f>
        <v>27.6563280825454</v>
      </c>
      <c r="T1668" s="19" t="n">
        <f aca="false">B1647/B1417-1</f>
        <v>-0.218668085491014</v>
      </c>
      <c r="U1668" s="19" t="n">
        <f aca="false">B1668/MAX(B1417:B1668)-1</f>
        <v>-0.183527873947132</v>
      </c>
      <c r="V1668" s="17" t="n">
        <f aca="false">(B1668-AVERAGE(B1649:B1668))/STDEV(B1649:B1668)</f>
        <v>0.455733233367572</v>
      </c>
    </row>
    <row r="1669" customFormat="false" ht="15" hidden="false" customHeight="false" outlineLevel="0" collapsed="false">
      <c r="A1669" s="17" t="s">
        <v>2233</v>
      </c>
      <c r="B1669" s="17" t="n">
        <v>12358.18</v>
      </c>
      <c r="C1669" s="19" t="n">
        <f aca="false">B1669/B1668-1</f>
        <v>-0.00677517665288585</v>
      </c>
      <c r="D1669" s="17" t="n">
        <f aca="false">AVERAGE(B1620:B1669)</f>
        <v>11678.3354</v>
      </c>
      <c r="E1669" s="17" t="n">
        <f aca="false">AVERAGE(B1470:B1669)</f>
        <v>11919.56455</v>
      </c>
      <c r="F1669" s="17" t="n">
        <f aca="false">B1669*2/13+F1668*11/13</f>
        <v>12413.9090935038</v>
      </c>
      <c r="G1669" s="17" t="n">
        <f aca="false">B1669*2/27+G1668*25/27</f>
        <v>12165.038355369</v>
      </c>
      <c r="H1669" s="17" t="n">
        <f aca="false">F1669-G1669</f>
        <v>248.870738134752</v>
      </c>
      <c r="I1669" s="17" t="n">
        <f aca="false">H1669*2/10+I1668*8/10</f>
        <v>278.348516888844</v>
      </c>
      <c r="J1669" s="17" t="n">
        <f aca="false">H1669-I1669</f>
        <v>-29.4777787540914</v>
      </c>
      <c r="K1669" s="17" t="n">
        <f aca="false">MAX(B1669-B1668,0)</f>
        <v>0</v>
      </c>
      <c r="L1669" s="17" t="n">
        <f aca="false">MAX(B1668-B1669,0)</f>
        <v>84.2999999999993</v>
      </c>
      <c r="M1669" s="17" t="n">
        <f aca="false">(M1668*13+K1669)/14</f>
        <v>89.9314813252487</v>
      </c>
      <c r="N1669" s="17" t="n">
        <f aca="false">(N1668*13+L1669)/14</f>
        <v>73.878644665657</v>
      </c>
      <c r="O1669" s="17" t="n">
        <f aca="false">IF(N1669=0,100,100-100/(1+M1669/N1669))</f>
        <v>54.8998303867012</v>
      </c>
      <c r="P1669" s="17" t="n">
        <f aca="false">AVERAGE(B1650:B1669)+2*STDEV(B1650:B1669)</f>
        <v>12933.3497679736</v>
      </c>
      <c r="Q1669" s="17" t="n">
        <f aca="false">AVERAGE(B1650:B1669)-2*STDEV(B1650:B1669)</f>
        <v>11712.8372320264</v>
      </c>
      <c r="R1669" s="19" t="n">
        <f aca="false">B1669/B1649-1</f>
        <v>0.0636154653185335</v>
      </c>
      <c r="S1669" s="17" t="n">
        <f aca="false">STDEV(C1650:C1669)*SQRT(252)*100</f>
        <v>26.4729848194267</v>
      </c>
      <c r="T1669" s="19" t="n">
        <f aca="false">B1648/B1418-1</f>
        <v>-0.202944028044545</v>
      </c>
      <c r="U1669" s="19" t="n">
        <f aca="false">B1669/MAX(B1418:B1669)-1</f>
        <v>-0.189059616833297</v>
      </c>
      <c r="V1669" s="17" t="n">
        <f aca="false">(B1669-AVERAGE(B1650:B1669))/STDEV(B1650:B1669)</f>
        <v>0.114989396557971</v>
      </c>
    </row>
    <row r="1670" customFormat="false" ht="15" hidden="false" customHeight="false" outlineLevel="0" collapsed="false">
      <c r="A1670" s="17" t="s">
        <v>2234</v>
      </c>
      <c r="B1670" s="17" t="n">
        <v>12060.3</v>
      </c>
      <c r="C1670" s="19" t="n">
        <f aca="false">B1670/B1669-1</f>
        <v>-0.0241038729003786</v>
      </c>
      <c r="D1670" s="17" t="n">
        <f aca="false">AVERAGE(B1621:B1670)</f>
        <v>11689.5936</v>
      </c>
      <c r="E1670" s="17" t="n">
        <f aca="false">AVERAGE(B1471:B1670)</f>
        <v>11912.1875</v>
      </c>
      <c r="F1670" s="17" t="n">
        <f aca="false">B1670*2/13+F1669*11/13</f>
        <v>12359.5076945032</v>
      </c>
      <c r="G1670" s="17" t="n">
        <f aca="false">B1670*2/27+G1669*25/27</f>
        <v>12157.279958675</v>
      </c>
      <c r="H1670" s="17" t="n">
        <f aca="false">F1670-G1670</f>
        <v>202.227735828172</v>
      </c>
      <c r="I1670" s="17" t="n">
        <f aca="false">H1670*2/10+I1669*8/10</f>
        <v>263.124360676709</v>
      </c>
      <c r="J1670" s="17" t="n">
        <f aca="false">H1670-I1670</f>
        <v>-60.8966248485375</v>
      </c>
      <c r="K1670" s="17" t="n">
        <f aca="false">MAX(B1670-B1669,0)</f>
        <v>0</v>
      </c>
      <c r="L1670" s="17" t="n">
        <f aca="false">MAX(B1669-B1670,0)</f>
        <v>297.880000000001</v>
      </c>
      <c r="M1670" s="17" t="n">
        <f aca="false">(M1669*13+K1670)/14</f>
        <v>83.507804087731</v>
      </c>
      <c r="N1670" s="17" t="n">
        <f aca="false">(N1669*13+L1670)/14</f>
        <v>89.878741475253</v>
      </c>
      <c r="O1670" s="17" t="n">
        <f aca="false">IF(N1670=0,100,100-100/(1+M1670/N1670))</f>
        <v>48.1627936104166</v>
      </c>
      <c r="P1670" s="17" t="n">
        <f aca="false">AVERAGE(B1651:B1670)+2*STDEV(B1651:B1670)</f>
        <v>12918.8637466716</v>
      </c>
      <c r="Q1670" s="17" t="n">
        <f aca="false">AVERAGE(B1651:B1670)-2*STDEV(B1651:B1670)</f>
        <v>11746.0992533284</v>
      </c>
      <c r="R1670" s="19" t="n">
        <f aca="false">B1670/B1650-1</f>
        <v>0.0158146445495233</v>
      </c>
      <c r="S1670" s="17" t="n">
        <f aca="false">STDEV(C1651:C1670)*SQRT(252)*100</f>
        <v>27.202528020977</v>
      </c>
      <c r="T1670" s="19" t="n">
        <f aca="false">B1649/B1419-1</f>
        <v>-0.170634439103639</v>
      </c>
      <c r="U1670" s="19" t="n">
        <f aca="false">B1670/MAX(B1419:B1670)-1</f>
        <v>-0.208606420758932</v>
      </c>
      <c r="V1670" s="17" t="n">
        <f aca="false">(B1670-AVERAGE(B1651:B1670))/STDEV(B1651:B1670)</f>
        <v>-0.928341543574923</v>
      </c>
    </row>
    <row r="1671" customFormat="false" ht="15" hidden="false" customHeight="false" outlineLevel="0" collapsed="false">
      <c r="A1671" s="17" t="s">
        <v>2235</v>
      </c>
      <c r="B1671" s="17" t="n">
        <v>12066.27</v>
      </c>
      <c r="C1671" s="19" t="n">
        <f aca="false">B1671/B1670-1</f>
        <v>0.000495012561876562</v>
      </c>
      <c r="D1671" s="17" t="n">
        <f aca="false">AVERAGE(B1622:B1671)</f>
        <v>11698.169</v>
      </c>
      <c r="E1671" s="17" t="n">
        <f aca="false">AVERAGE(B1472:B1671)</f>
        <v>11908.2661</v>
      </c>
      <c r="F1671" s="17" t="n">
        <f aca="false">B1671*2/13+F1670*11/13</f>
        <v>12314.3942030412</v>
      </c>
      <c r="G1671" s="17" t="n">
        <f aca="false">B1671*2/27+G1670*25/27</f>
        <v>12150.5384802546</v>
      </c>
      <c r="H1671" s="17" t="n">
        <f aca="false">F1671-G1671</f>
        <v>163.855722786513</v>
      </c>
      <c r="I1671" s="17" t="n">
        <f aca="false">H1671*2/10+I1670*8/10</f>
        <v>243.27063309867</v>
      </c>
      <c r="J1671" s="17" t="n">
        <f aca="false">H1671-I1671</f>
        <v>-79.4149103121569</v>
      </c>
      <c r="K1671" s="17" t="n">
        <f aca="false">MAX(B1671-B1670,0)</f>
        <v>5.97000000000116</v>
      </c>
      <c r="L1671" s="17" t="n">
        <f aca="false">MAX(B1670-B1671,0)</f>
        <v>0</v>
      </c>
      <c r="M1671" s="17" t="n">
        <f aca="false">(M1670*13+K1671)/14</f>
        <v>77.969389510036</v>
      </c>
      <c r="N1671" s="17" t="n">
        <f aca="false">(N1670*13+L1671)/14</f>
        <v>83.4588313698778</v>
      </c>
      <c r="O1671" s="17" t="n">
        <f aca="false">IF(N1671=0,100,100-100/(1+M1671/N1671))</f>
        <v>48.299726705182</v>
      </c>
      <c r="P1671" s="17" t="n">
        <f aca="false">AVERAGE(B1652:B1671)+2*STDEV(B1652:B1671)</f>
        <v>12898.9475005218</v>
      </c>
      <c r="Q1671" s="17" t="n">
        <f aca="false">AVERAGE(B1652:B1671)-2*STDEV(B1652:B1671)</f>
        <v>11787.9784994782</v>
      </c>
      <c r="R1671" s="19" t="n">
        <f aca="false">B1671/B1651-1</f>
        <v>0.0185394339660867</v>
      </c>
      <c r="S1671" s="17" t="n">
        <f aca="false">STDEV(C1652:C1671)*SQRT(252)*100</f>
        <v>27.1785837727538</v>
      </c>
      <c r="T1671" s="19" t="n">
        <f aca="false">B1650/B1420-1</f>
        <v>-0.144045685348721</v>
      </c>
      <c r="U1671" s="19" t="n">
        <f aca="false">B1671/MAX(B1420:B1671)-1</f>
        <v>-0.208214670995819</v>
      </c>
      <c r="V1671" s="17" t="n">
        <f aca="false">(B1671-AVERAGE(B1652:B1671))/STDEV(B1652:B1671)</f>
        <v>-0.998022446133401</v>
      </c>
    </row>
    <row r="1672" customFormat="false" ht="15" hidden="false" customHeight="false" outlineLevel="0" collapsed="false">
      <c r="A1672" s="17" t="s">
        <v>2236</v>
      </c>
      <c r="B1672" s="17" t="n">
        <v>12180.14</v>
      </c>
      <c r="C1672" s="19" t="n">
        <f aca="false">B1672/B1671-1</f>
        <v>0.00943705055497679</v>
      </c>
      <c r="D1672" s="17" t="n">
        <f aca="false">AVERAGE(B1623:B1672)</f>
        <v>11710.5052</v>
      </c>
      <c r="E1672" s="17" t="n">
        <f aca="false">AVERAGE(B1473:B1672)</f>
        <v>11905.69915</v>
      </c>
      <c r="F1672" s="17" t="n">
        <f aca="false">B1672*2/13+F1671*11/13</f>
        <v>12293.7397102656</v>
      </c>
      <c r="G1672" s="17" t="n">
        <f aca="false">B1672*2/27+G1671*25/27</f>
        <v>12152.731185421</v>
      </c>
      <c r="H1672" s="17" t="n">
        <f aca="false">F1672-G1672</f>
        <v>141.008524844627</v>
      </c>
      <c r="I1672" s="17" t="n">
        <f aca="false">H1672*2/10+I1671*8/10</f>
        <v>222.818211447861</v>
      </c>
      <c r="J1672" s="17" t="n">
        <f aca="false">H1672-I1672</f>
        <v>-81.8096866032347</v>
      </c>
      <c r="K1672" s="17" t="n">
        <f aca="false">MAX(B1672-B1671,0)</f>
        <v>113.869999999999</v>
      </c>
      <c r="L1672" s="17" t="n">
        <f aca="false">MAX(B1671-B1672,0)</f>
        <v>0</v>
      </c>
      <c r="M1672" s="17" t="n">
        <f aca="false">(M1671*13+K1672)/14</f>
        <v>80.5337188307476</v>
      </c>
      <c r="N1672" s="17" t="n">
        <f aca="false">(N1671*13+L1672)/14</f>
        <v>77.4974862720294</v>
      </c>
      <c r="O1672" s="17" t="n">
        <f aca="false">IF(N1672=0,100,100-100/(1+M1672/N1672))</f>
        <v>50.9606433605134</v>
      </c>
      <c r="P1672" s="17" t="n">
        <f aca="false">AVERAGE(B1653:B1672)+2*STDEV(B1653:B1672)</f>
        <v>12865.6298551966</v>
      </c>
      <c r="Q1672" s="17" t="n">
        <f aca="false">AVERAGE(B1653:B1672)-2*STDEV(B1653:B1672)</f>
        <v>11857.8411448034</v>
      </c>
      <c r="R1672" s="19" t="n">
        <f aca="false">B1672/B1652-1</f>
        <v>0.0309318314742071</v>
      </c>
      <c r="S1672" s="17" t="n">
        <f aca="false">STDEV(C1653:C1672)*SQRT(252)*100</f>
        <v>27.2972862646909</v>
      </c>
      <c r="T1672" s="19" t="n">
        <f aca="false">B1651/B1421-1</f>
        <v>-0.12308365341839</v>
      </c>
      <c r="U1672" s="19" t="n">
        <f aca="false">B1672/MAX(B1421:B1672)-1</f>
        <v>-0.200742552817317</v>
      </c>
      <c r="V1672" s="17" t="n">
        <f aca="false">(B1672-AVERAGE(B1653:B1672))/STDEV(B1653:B1672)</f>
        <v>-0.720768145652935</v>
      </c>
    </row>
    <row r="1673" customFormat="false" ht="15" hidden="false" customHeight="false" outlineLevel="0" collapsed="false">
      <c r="A1673" s="17" t="s">
        <v>2237</v>
      </c>
      <c r="B1673" s="17" t="n">
        <v>11969.65</v>
      </c>
      <c r="C1673" s="19" t="n">
        <f aca="false">B1673/B1672-1</f>
        <v>-0.0172814105584993</v>
      </c>
      <c r="D1673" s="17" t="n">
        <f aca="false">AVERAGE(B1624:B1673)</f>
        <v>11715.7694</v>
      </c>
      <c r="E1673" s="17" t="n">
        <f aca="false">AVERAGE(B1474:B1673)</f>
        <v>11904.6088</v>
      </c>
      <c r="F1673" s="17" t="n">
        <f aca="false">B1673*2/13+F1672*11/13</f>
        <v>12243.8797548401</v>
      </c>
      <c r="G1673" s="17" t="n">
        <f aca="false">B1673*2/27+G1672*25/27</f>
        <v>12139.1696161305</v>
      </c>
      <c r="H1673" s="17" t="n">
        <f aca="false">F1673-G1673</f>
        <v>104.710138709594</v>
      </c>
      <c r="I1673" s="17" t="n">
        <f aca="false">H1673*2/10+I1672*8/10</f>
        <v>199.196596900208</v>
      </c>
      <c r="J1673" s="17" t="n">
        <f aca="false">H1673-I1673</f>
        <v>-94.4864581906142</v>
      </c>
      <c r="K1673" s="17" t="n">
        <f aca="false">MAX(B1673-B1672,0)</f>
        <v>0</v>
      </c>
      <c r="L1673" s="17" t="n">
        <f aca="false">MAX(B1672-B1673,0)</f>
        <v>210.49</v>
      </c>
      <c r="M1673" s="17" t="n">
        <f aca="false">(M1672*13+K1673)/14</f>
        <v>74.7813103428371</v>
      </c>
      <c r="N1673" s="17" t="n">
        <f aca="false">(N1672*13+L1673)/14</f>
        <v>86.996951538313</v>
      </c>
      <c r="O1673" s="17" t="n">
        <f aca="false">IF(N1673=0,100,100-100/(1+M1673/N1673))</f>
        <v>46.224572741284</v>
      </c>
      <c r="P1673" s="17" t="n">
        <f aca="false">AVERAGE(B1654:B1673)+2*STDEV(B1654:B1673)</f>
        <v>12873.3362750878</v>
      </c>
      <c r="Q1673" s="17" t="n">
        <f aca="false">AVERAGE(B1654:B1673)-2*STDEV(B1654:B1673)</f>
        <v>11841.9517249122</v>
      </c>
      <c r="R1673" s="19" t="n">
        <f aca="false">B1673/B1653-1</f>
        <v>-0.00679003740619411</v>
      </c>
      <c r="S1673" s="17" t="n">
        <f aca="false">STDEV(C1654:C1673)*SQRT(252)*100</f>
        <v>27.1793379032952</v>
      </c>
      <c r="T1673" s="19" t="n">
        <f aca="false">B1652/B1422-1</f>
        <v>-0.154563936035699</v>
      </c>
      <c r="U1673" s="19" t="n">
        <f aca="false">B1673/MAX(B1422:B1673)-1</f>
        <v>-0.214554848904019</v>
      </c>
      <c r="V1673" s="17" t="n">
        <f aca="false">(B1673-AVERAGE(B1654:B1673))/STDEV(B1654:B1673)</f>
        <v>-1.50475009513733</v>
      </c>
    </row>
    <row r="1674" customFormat="false" ht="15" hidden="false" customHeight="false" outlineLevel="0" collapsed="false">
      <c r="A1674" s="17" t="s">
        <v>2238</v>
      </c>
      <c r="B1674" s="17" t="n">
        <v>12057.79</v>
      </c>
      <c r="C1674" s="19" t="n">
        <f aca="false">B1674/B1673-1</f>
        <v>0.00736362383194167</v>
      </c>
      <c r="D1674" s="17" t="n">
        <f aca="false">AVERAGE(B1625:B1674)</f>
        <v>11720.241</v>
      </c>
      <c r="E1674" s="17" t="n">
        <f aca="false">AVERAGE(B1475:B1674)</f>
        <v>11903.16845</v>
      </c>
      <c r="F1674" s="17" t="n">
        <f aca="false">B1674*2/13+F1673*11/13</f>
        <v>12215.2505617878</v>
      </c>
      <c r="G1674" s="17" t="n">
        <f aca="false">B1674*2/27+G1673*25/27</f>
        <v>12133.1414964172</v>
      </c>
      <c r="H1674" s="17" t="n">
        <f aca="false">F1674-G1674</f>
        <v>82.1090653706378</v>
      </c>
      <c r="I1674" s="17" t="n">
        <f aca="false">H1674*2/10+I1673*8/10</f>
        <v>175.779090594294</v>
      </c>
      <c r="J1674" s="17" t="n">
        <f aca="false">H1674-I1674</f>
        <v>-93.6700252236559</v>
      </c>
      <c r="K1674" s="17" t="n">
        <f aca="false">MAX(B1674-B1673,0)</f>
        <v>88.1400000000012</v>
      </c>
      <c r="L1674" s="17" t="n">
        <f aca="false">MAX(B1673-B1674,0)</f>
        <v>0</v>
      </c>
      <c r="M1674" s="17" t="n">
        <f aca="false">(M1673*13+K1674)/14</f>
        <v>75.735502461206</v>
      </c>
      <c r="N1674" s="17" t="n">
        <f aca="false">(N1673*13+L1674)/14</f>
        <v>80.7828835712906</v>
      </c>
      <c r="O1674" s="17" t="n">
        <f aca="false">IF(N1674=0,100,100-100/(1+M1674/N1674))</f>
        <v>48.3876076038004</v>
      </c>
      <c r="P1674" s="17" t="n">
        <f aca="false">AVERAGE(B1655:B1674)+2*STDEV(B1655:B1674)</f>
        <v>12878.5675150984</v>
      </c>
      <c r="Q1674" s="17" t="n">
        <f aca="false">AVERAGE(B1655:B1674)-2*STDEV(B1655:B1674)</f>
        <v>11825.8394849016</v>
      </c>
      <c r="R1674" s="19" t="n">
        <f aca="false">B1674/B1654-1</f>
        <v>-0.00894333667581737</v>
      </c>
      <c r="S1674" s="17" t="n">
        <f aca="false">STDEV(C1655:C1674)*SQRT(252)*100</f>
        <v>27.0861009416571</v>
      </c>
      <c r="T1674" s="19" t="n">
        <f aca="false">B1653/B1423-1</f>
        <v>-0.150655852777754</v>
      </c>
      <c r="U1674" s="19" t="n">
        <f aca="false">B1674/MAX(B1423:B1674)-1</f>
        <v>-0.208771126270726</v>
      </c>
      <c r="V1674" s="17" t="n">
        <f aca="false">(B1674-AVERAGE(B1655:B1674))/STDEV(B1655:B1674)</f>
        <v>-1.11866879784687</v>
      </c>
    </row>
    <row r="1675" customFormat="false" ht="15" hidden="false" customHeight="false" outlineLevel="0" collapsed="false">
      <c r="A1675" s="17" t="s">
        <v>2239</v>
      </c>
      <c r="B1675" s="17" t="n">
        <v>12042.12</v>
      </c>
      <c r="C1675" s="19" t="n">
        <f aca="false">B1675/B1674-1</f>
        <v>-0.00129957479770337</v>
      </c>
      <c r="D1675" s="17" t="n">
        <f aca="false">AVERAGE(B1626:B1675)</f>
        <v>11726.265</v>
      </c>
      <c r="E1675" s="17" t="n">
        <f aca="false">AVERAGE(B1476:B1675)</f>
        <v>11903.54125</v>
      </c>
      <c r="F1675" s="17" t="n">
        <f aca="false">B1675*2/13+F1674*11/13</f>
        <v>12188.6150907435</v>
      </c>
      <c r="G1675" s="17" t="n">
        <f aca="false">B1675*2/27+G1674*25/27</f>
        <v>12126.3991633492</v>
      </c>
      <c r="H1675" s="17" t="n">
        <f aca="false">F1675-G1675</f>
        <v>62.215927394298</v>
      </c>
      <c r="I1675" s="17" t="n">
        <f aca="false">H1675*2/10+I1674*8/10</f>
        <v>153.066457954295</v>
      </c>
      <c r="J1675" s="17" t="n">
        <f aca="false">H1675-I1675</f>
        <v>-90.8505305599966</v>
      </c>
      <c r="K1675" s="17" t="n">
        <f aca="false">MAX(B1675-B1674,0)</f>
        <v>0</v>
      </c>
      <c r="L1675" s="17" t="n">
        <f aca="false">MAX(B1674-B1675,0)</f>
        <v>15.6700000000001</v>
      </c>
      <c r="M1675" s="17" t="n">
        <f aca="false">(M1674*13+K1675)/14</f>
        <v>70.325823713977</v>
      </c>
      <c r="N1675" s="17" t="n">
        <f aca="false">(N1674*13+L1675)/14</f>
        <v>76.1319633161985</v>
      </c>
      <c r="O1675" s="17" t="n">
        <f aca="false">IF(N1675=0,100,100-100/(1+M1675/N1675))</f>
        <v>48.0178112342278</v>
      </c>
      <c r="P1675" s="17" t="n">
        <f aca="false">AVERAGE(B1656:B1675)+2*STDEV(B1656:B1675)</f>
        <v>12865.0505915904</v>
      </c>
      <c r="Q1675" s="17" t="n">
        <f aca="false">AVERAGE(B1656:B1675)-2*STDEV(B1656:B1675)</f>
        <v>11852.3294084096</v>
      </c>
      <c r="R1675" s="19" t="n">
        <f aca="false">B1675/B1655-1</f>
        <v>0.0108903419045214</v>
      </c>
      <c r="S1675" s="17" t="n">
        <f aca="false">STDEV(C1656:C1675)*SQRT(252)*100</f>
        <v>25.9817309473574</v>
      </c>
      <c r="T1675" s="19" t="n">
        <f aca="false">B1654/B1424-1</f>
        <v>-0.145472512977768</v>
      </c>
      <c r="U1675" s="19" t="n">
        <f aca="false">B1675/MAX(B1424:B1675)-1</f>
        <v>-0.20979938737424</v>
      </c>
      <c r="V1675" s="17" t="n">
        <f aca="false">(B1675-AVERAGE(B1656:B1675))/STDEV(B1656:B1675)</f>
        <v>-1.25037376627472</v>
      </c>
    </row>
    <row r="1676" customFormat="false" ht="15" hidden="false" customHeight="false" outlineLevel="0" collapsed="false">
      <c r="A1676" s="17" t="s">
        <v>2240</v>
      </c>
      <c r="B1676" s="17" t="n">
        <v>11938.57</v>
      </c>
      <c r="C1676" s="19" t="n">
        <f aca="false">B1676/B1675-1</f>
        <v>-0.00859898423201244</v>
      </c>
      <c r="D1676" s="17" t="n">
        <f aca="false">AVERAGE(B1627:B1676)</f>
        <v>11738.132</v>
      </c>
      <c r="E1676" s="17" t="n">
        <f aca="false">AVERAGE(B1477:B1676)</f>
        <v>11903.5066</v>
      </c>
      <c r="F1676" s="17" t="n">
        <f aca="false">B1676*2/13+F1675*11/13</f>
        <v>12150.1466152445</v>
      </c>
      <c r="G1676" s="17" t="n">
        <f aca="false">B1676*2/27+G1675*25/27</f>
        <v>12112.48589199</v>
      </c>
      <c r="H1676" s="17" t="n">
        <f aca="false">F1676-G1676</f>
        <v>37.6607232544957</v>
      </c>
      <c r="I1676" s="17" t="n">
        <f aca="false">H1676*2/10+I1675*8/10</f>
        <v>129.985311014335</v>
      </c>
      <c r="J1676" s="17" t="n">
        <f aca="false">H1676-I1676</f>
        <v>-92.3245877598392</v>
      </c>
      <c r="K1676" s="17" t="n">
        <f aca="false">MAX(B1676-B1675,0)</f>
        <v>0</v>
      </c>
      <c r="L1676" s="17" t="n">
        <f aca="false">MAX(B1675-B1676,0)</f>
        <v>103.550000000001</v>
      </c>
      <c r="M1676" s="17" t="n">
        <f aca="false">(M1675*13+K1676)/14</f>
        <v>65.30255059155</v>
      </c>
      <c r="N1676" s="17" t="n">
        <f aca="false">(N1675*13+L1676)/14</f>
        <v>78.0903945078986</v>
      </c>
      <c r="O1676" s="17" t="n">
        <f aca="false">IF(N1676=0,100,100-100/(1+M1676/N1676))</f>
        <v>45.5409787045382</v>
      </c>
      <c r="P1676" s="17" t="n">
        <f aca="false">AVERAGE(B1657:B1676)+2*STDEV(B1657:B1676)</f>
        <v>12879.1041698249</v>
      </c>
      <c r="Q1676" s="17" t="n">
        <f aca="false">AVERAGE(B1657:B1676)-2*STDEV(B1657:B1676)</f>
        <v>11821.9398301751</v>
      </c>
      <c r="R1676" s="19" t="n">
        <f aca="false">B1676/B1656-1</f>
        <v>-0.0134986733521018</v>
      </c>
      <c r="S1676" s="17" t="n">
        <f aca="false">STDEV(C1657:C1676)*SQRT(252)*100</f>
        <v>25.5272834178338</v>
      </c>
      <c r="T1676" s="19" t="n">
        <f aca="false">B1655/B1425-1</f>
        <v>-0.149478901527132</v>
      </c>
      <c r="U1676" s="19" t="n">
        <f aca="false">B1676/MAX(B1425:B1676)-1</f>
        <v>-0.216594309982335</v>
      </c>
      <c r="V1676" s="17" t="n">
        <f aca="false">(B1676-AVERAGE(B1657:B1676))/STDEV(B1657:B1676)</f>
        <v>-1.55870562238766</v>
      </c>
    </row>
    <row r="1677" customFormat="false" ht="15" hidden="false" customHeight="false" outlineLevel="0" collapsed="false">
      <c r="A1677" s="17" t="s">
        <v>2241</v>
      </c>
      <c r="B1677" s="17" t="n">
        <v>12044.87</v>
      </c>
      <c r="C1677" s="19" t="n">
        <f aca="false">B1677/B1676-1</f>
        <v>0.00890391395284373</v>
      </c>
      <c r="D1677" s="17" t="n">
        <f aca="false">AVERAGE(B1628:B1677)</f>
        <v>11754.155</v>
      </c>
      <c r="E1677" s="17" t="n">
        <f aca="false">AVERAGE(B1478:B1677)</f>
        <v>11901.79395</v>
      </c>
      <c r="F1677" s="17" t="n">
        <f aca="false">B1677*2/13+F1676*11/13</f>
        <v>12133.9502128992</v>
      </c>
      <c r="G1677" s="17" t="n">
        <f aca="false">B1677*2/27+G1676*25/27</f>
        <v>12107.4773073982</v>
      </c>
      <c r="H1677" s="17" t="n">
        <f aca="false">F1677-G1677</f>
        <v>26.4729055010394</v>
      </c>
      <c r="I1677" s="17" t="n">
        <f aca="false">H1677*2/10+I1676*8/10</f>
        <v>109.282829911676</v>
      </c>
      <c r="J1677" s="17" t="n">
        <f aca="false">H1677-I1677</f>
        <v>-82.8099244106364</v>
      </c>
      <c r="K1677" s="17" t="n">
        <f aca="false">MAX(B1677-B1676,0)</f>
        <v>106.300000000001</v>
      </c>
      <c r="L1677" s="17" t="n">
        <f aca="false">MAX(B1676-B1677,0)</f>
        <v>0</v>
      </c>
      <c r="M1677" s="17" t="n">
        <f aca="false">(M1676*13+K1677)/14</f>
        <v>68.2309398350108</v>
      </c>
      <c r="N1677" s="17" t="n">
        <f aca="false">(N1676*13+L1677)/14</f>
        <v>72.5125091859059</v>
      </c>
      <c r="O1677" s="17" t="n">
        <f aca="false">IF(N1677=0,100,100-100/(1+M1677/N1677))</f>
        <v>48.4789454213749</v>
      </c>
      <c r="P1677" s="17" t="n">
        <f aca="false">AVERAGE(B1658:B1677)+2*STDEV(B1658:B1677)</f>
        <v>12880.4747970161</v>
      </c>
      <c r="Q1677" s="17" t="n">
        <f aca="false">AVERAGE(B1658:B1677)-2*STDEV(B1658:B1677)</f>
        <v>11788.7462029839</v>
      </c>
      <c r="R1677" s="19" t="n">
        <f aca="false">B1677/B1657-1</f>
        <v>-0.0257403078515905</v>
      </c>
      <c r="S1677" s="17" t="n">
        <f aca="false">STDEV(C1658:C1677)*SQRT(252)*100</f>
        <v>24.4427381964914</v>
      </c>
      <c r="T1677" s="19" t="n">
        <f aca="false">B1656/B1426-1</f>
        <v>-0.150365530280426</v>
      </c>
      <c r="U1677" s="19" t="n">
        <f aca="false">B1677/MAX(B1426:B1677)-1</f>
        <v>-0.20961893312825</v>
      </c>
      <c r="V1677" s="17" t="n">
        <f aca="false">(B1677-AVERAGE(B1658:B1677))/STDEV(B1658:B1677)</f>
        <v>-1.06158435927701</v>
      </c>
    </row>
    <row r="1678" customFormat="false" ht="15" hidden="false" customHeight="false" outlineLevel="0" collapsed="false">
      <c r="A1678" s="17" t="s">
        <v>2242</v>
      </c>
      <c r="B1678" s="17" t="n">
        <v>12290.81</v>
      </c>
      <c r="C1678" s="19" t="n">
        <f aca="false">B1678/B1677-1</f>
        <v>0.0204186512598308</v>
      </c>
      <c r="D1678" s="17" t="n">
        <f aca="false">AVERAGE(B1629:B1678)</f>
        <v>11778.2794</v>
      </c>
      <c r="E1678" s="17" t="n">
        <f aca="false">AVERAGE(B1479:B1678)</f>
        <v>11902.0301</v>
      </c>
      <c r="F1678" s="17" t="n">
        <f aca="false">B1678*2/13+F1677*11/13</f>
        <v>12158.0824878378</v>
      </c>
      <c r="G1678" s="17" t="n">
        <f aca="false">B1678*2/27+G1677*25/27</f>
        <v>12121.0575068502</v>
      </c>
      <c r="H1678" s="17" t="n">
        <f aca="false">F1678-G1678</f>
        <v>37.0249809876368</v>
      </c>
      <c r="I1678" s="17" t="n">
        <f aca="false">H1678*2/10+I1677*8/10</f>
        <v>94.831260126868</v>
      </c>
      <c r="J1678" s="17" t="n">
        <f aca="false">H1678-I1678</f>
        <v>-57.8062791392311</v>
      </c>
      <c r="K1678" s="17" t="n">
        <f aca="false">MAX(B1678-B1677,0)</f>
        <v>245.939999999999</v>
      </c>
      <c r="L1678" s="17" t="n">
        <f aca="false">MAX(B1677-B1678,0)</f>
        <v>0</v>
      </c>
      <c r="M1678" s="17" t="n">
        <f aca="false">(M1677*13+K1678)/14</f>
        <v>80.92444413251</v>
      </c>
      <c r="N1678" s="17" t="n">
        <f aca="false">(N1677*13+L1678)/14</f>
        <v>67.3330442440555</v>
      </c>
      <c r="O1678" s="17" t="n">
        <f aca="false">IF(N1678=0,100,100-100/(1+M1678/N1678))</f>
        <v>54.5837144677418</v>
      </c>
      <c r="P1678" s="17" t="n">
        <f aca="false">AVERAGE(B1659:B1678)+2*STDEV(B1659:B1678)</f>
        <v>12808.3876715405</v>
      </c>
      <c r="Q1678" s="17" t="n">
        <f aca="false">AVERAGE(B1659:B1678)-2*STDEV(B1659:B1678)</f>
        <v>11809.6003284595</v>
      </c>
      <c r="R1678" s="19" t="n">
        <f aca="false">B1678/B1658-1</f>
        <v>-0.0400159648336268</v>
      </c>
      <c r="S1678" s="17" t="n">
        <f aca="false">STDEV(C1659:C1678)*SQRT(252)*100</f>
        <v>21.8723102871153</v>
      </c>
      <c r="T1678" s="19" t="n">
        <f aca="false">B1657/B1427-1</f>
        <v>-0.119136799520634</v>
      </c>
      <c r="U1678" s="19" t="n">
        <f aca="false">B1678/MAX(B1427:B1678)-1</f>
        <v>-0.193480417761422</v>
      </c>
      <c r="V1678" s="17" t="n">
        <f aca="false">(B1678-AVERAGE(B1659:B1678))/STDEV(B1659:B1678)</f>
        <v>-0.0728243109044889</v>
      </c>
    </row>
    <row r="1679" customFormat="false" ht="15" hidden="false" customHeight="false" outlineLevel="0" collapsed="false">
      <c r="A1679" s="17" t="s">
        <v>2243</v>
      </c>
      <c r="B1679" s="17" t="n">
        <v>12302.48</v>
      </c>
      <c r="C1679" s="19" t="n">
        <f aca="false">B1679/B1678-1</f>
        <v>0.00094948990343191</v>
      </c>
      <c r="D1679" s="17" t="n">
        <f aca="false">AVERAGE(B1630:B1679)</f>
        <v>11802.8806</v>
      </c>
      <c r="E1679" s="17" t="n">
        <f aca="false">AVERAGE(B1480:B1679)</f>
        <v>11900.722</v>
      </c>
      <c r="F1679" s="17" t="n">
        <f aca="false">B1679*2/13+F1678*11/13</f>
        <v>12180.2974897089</v>
      </c>
      <c r="G1679" s="17" t="n">
        <f aca="false">B1679*2/27+G1678*25/27</f>
        <v>12134.4962100464</v>
      </c>
      <c r="H1679" s="17" t="n">
        <f aca="false">F1679-G1679</f>
        <v>45.8012796624589</v>
      </c>
      <c r="I1679" s="17" t="n">
        <f aca="false">H1679*2/10+I1678*8/10</f>
        <v>85.0252640339861</v>
      </c>
      <c r="J1679" s="17" t="n">
        <f aca="false">H1679-I1679</f>
        <v>-39.2239843715272</v>
      </c>
      <c r="K1679" s="17" t="n">
        <f aca="false">MAX(B1679-B1678,0)</f>
        <v>11.6700000000001</v>
      </c>
      <c r="L1679" s="17" t="n">
        <f aca="false">MAX(B1678-B1679,0)</f>
        <v>0</v>
      </c>
      <c r="M1679" s="17" t="n">
        <f aca="false">(M1678*13+K1679)/14</f>
        <v>75.977698123045</v>
      </c>
      <c r="N1679" s="17" t="n">
        <f aca="false">(N1678*13+L1679)/14</f>
        <v>62.5235410837658</v>
      </c>
      <c r="O1679" s="17" t="n">
        <f aca="false">IF(N1679=0,100,100-100/(1+M1679/N1679))</f>
        <v>54.8570529463601</v>
      </c>
      <c r="P1679" s="17" t="n">
        <f aca="false">AVERAGE(B1660:B1679)+2*STDEV(B1660:B1679)</f>
        <v>12779.0997074275</v>
      </c>
      <c r="Q1679" s="17" t="n">
        <f aca="false">AVERAGE(B1660:B1679)-2*STDEV(B1660:B1679)</f>
        <v>11811.8002925725</v>
      </c>
      <c r="R1679" s="19" t="n">
        <f aca="false">B1679/B1659-1</f>
        <v>-0.0215439627911712</v>
      </c>
      <c r="S1679" s="17" t="n">
        <f aca="false">STDEV(C1660:C1679)*SQRT(252)*100</f>
        <v>21.0523443171955</v>
      </c>
      <c r="T1679" s="19" t="n">
        <f aca="false">B1658/B1428-1</f>
        <v>-0.0747725618828964</v>
      </c>
      <c r="U1679" s="19" t="n">
        <f aca="false">B1679/MAX(B1428:B1679)-1</f>
        <v>-0.192714635561167</v>
      </c>
      <c r="V1679" s="17" t="n">
        <f aca="false">(B1679-AVERAGE(B1660:B1679))/STDEV(B1660:B1679)</f>
        <v>0.0290706264969764</v>
      </c>
    </row>
    <row r="1680" customFormat="false" ht="15" hidden="false" customHeight="false" outlineLevel="0" collapsed="false">
      <c r="A1680" s="17" t="s">
        <v>2244</v>
      </c>
      <c r="B1680" s="17" t="n">
        <v>12152.17</v>
      </c>
      <c r="C1680" s="19" t="n">
        <f aca="false">B1680/B1679-1</f>
        <v>-0.0122178617644572</v>
      </c>
      <c r="D1680" s="17" t="n">
        <f aca="false">AVERAGE(B1631:B1680)</f>
        <v>11821.2064</v>
      </c>
      <c r="E1680" s="17" t="n">
        <f aca="false">AVERAGE(B1481:B1680)</f>
        <v>11901.8413</v>
      </c>
      <c r="F1680" s="17" t="n">
        <f aca="false">B1680*2/13+F1679*11/13</f>
        <v>12175.9701835998</v>
      </c>
      <c r="G1680" s="17" t="n">
        <f aca="false">B1680*2/27+G1679*25/27</f>
        <v>12135.8053796726</v>
      </c>
      <c r="H1680" s="17" t="n">
        <f aca="false">F1680-G1680</f>
        <v>40.1648039272077</v>
      </c>
      <c r="I1680" s="17" t="n">
        <f aca="false">H1680*2/10+I1679*8/10</f>
        <v>76.0531720126304</v>
      </c>
      <c r="J1680" s="17" t="n">
        <f aca="false">H1680-I1680</f>
        <v>-35.8883680854228</v>
      </c>
      <c r="K1680" s="17" t="n">
        <f aca="false">MAX(B1680-B1679,0)</f>
        <v>0</v>
      </c>
      <c r="L1680" s="17" t="n">
        <f aca="false">MAX(B1679-B1680,0)</f>
        <v>150.31</v>
      </c>
      <c r="M1680" s="17" t="n">
        <f aca="false">(M1679*13+K1680)/14</f>
        <v>70.5507196856846</v>
      </c>
      <c r="N1680" s="17" t="n">
        <f aca="false">(N1679*13+L1680)/14</f>
        <v>68.7940024349253</v>
      </c>
      <c r="O1680" s="17" t="n">
        <f aca="false">IF(N1680=0,100,100-100/(1+M1680/N1680))</f>
        <v>50.6303494039906</v>
      </c>
      <c r="P1680" s="17" t="n">
        <f aca="false">AVERAGE(B1661:B1680)+2*STDEV(B1661:B1680)</f>
        <v>12760.6603568318</v>
      </c>
      <c r="Q1680" s="17" t="n">
        <f aca="false">AVERAGE(B1661:B1680)-2*STDEV(B1661:B1680)</f>
        <v>11799.0056431682</v>
      </c>
      <c r="R1680" s="19" t="n">
        <f aca="false">B1680/B1660-1</f>
        <v>-0.0250583456549837</v>
      </c>
      <c r="S1680" s="17" t="n">
        <f aca="false">STDEV(C1661:C1680)*SQRT(252)*100</f>
        <v>21.2609154404467</v>
      </c>
      <c r="T1680" s="19" t="n">
        <f aca="false">B1659/B1429-1</f>
        <v>-0.056010114584913</v>
      </c>
      <c r="U1680" s="19" t="n">
        <f aca="false">B1680/MAX(B1429:B1680)-1</f>
        <v>-0.20257793654835</v>
      </c>
      <c r="V1680" s="17" t="n">
        <f aca="false">(B1680-AVERAGE(B1661:B1680))/STDEV(B1661:B1680)</f>
        <v>-0.531013879248339</v>
      </c>
    </row>
    <row r="1681" customFormat="false" ht="15" hidden="false" customHeight="false" outlineLevel="0" collapsed="false">
      <c r="A1681" s="17" t="s">
        <v>2245</v>
      </c>
      <c r="B1681" s="17" t="n">
        <v>12215.33</v>
      </c>
      <c r="C1681" s="19" t="n">
        <f aca="false">B1681/B1680-1</f>
        <v>0.00519742564496717</v>
      </c>
      <c r="D1681" s="17" t="n">
        <f aca="false">AVERAGE(B1632:B1681)</f>
        <v>11846.3902</v>
      </c>
      <c r="E1681" s="17" t="n">
        <f aca="false">AVERAGE(B1482:B1681)</f>
        <v>11903.5398</v>
      </c>
      <c r="F1681" s="17" t="n">
        <f aca="false">B1681*2/13+F1680*11/13</f>
        <v>12182.0255399691</v>
      </c>
      <c r="G1681" s="17" t="n">
        <f aca="false">B1681*2/27+G1680*25/27</f>
        <v>12141.6960922895</v>
      </c>
      <c r="H1681" s="17" t="n">
        <f aca="false">F1681-G1681</f>
        <v>40.3294476796218</v>
      </c>
      <c r="I1681" s="17" t="n">
        <f aca="false">H1681*2/10+I1680*8/10</f>
        <v>68.9084271460287</v>
      </c>
      <c r="J1681" s="17" t="n">
        <f aca="false">H1681-I1681</f>
        <v>-28.5789794664069</v>
      </c>
      <c r="K1681" s="17" t="n">
        <f aca="false">MAX(B1681-B1680,0)</f>
        <v>63.1599999999999</v>
      </c>
      <c r="L1681" s="17" t="n">
        <f aca="false">MAX(B1680-B1681,0)</f>
        <v>0</v>
      </c>
      <c r="M1681" s="17" t="n">
        <f aca="false">(M1680*13+K1681)/14</f>
        <v>70.0228111367072</v>
      </c>
      <c r="N1681" s="17" t="n">
        <f aca="false">(N1680*13+L1681)/14</f>
        <v>63.8801451181449</v>
      </c>
      <c r="O1681" s="17" t="n">
        <f aca="false">IF(N1681=0,100,100-100/(1+M1681/N1681))</f>
        <v>52.2937006733709</v>
      </c>
      <c r="P1681" s="17" t="n">
        <f aca="false">AVERAGE(B1662:B1681)+2*STDEV(B1662:B1681)</f>
        <v>12686.5809268119</v>
      </c>
      <c r="Q1681" s="17" t="n">
        <f aca="false">AVERAGE(B1662:B1681)-2*STDEV(B1662:B1681)</f>
        <v>11821.7910731881</v>
      </c>
      <c r="R1681" s="19" t="n">
        <f aca="false">B1681/B1661-1</f>
        <v>-0.0402992708357067</v>
      </c>
      <c r="S1681" s="17" t="n">
        <f aca="false">STDEV(C1662:C1681)*SQRT(252)*100</f>
        <v>19.7362806089936</v>
      </c>
      <c r="T1681" s="19" t="n">
        <f aca="false">B1660/B1430-1</f>
        <v>-0.0605308717998193</v>
      </c>
      <c r="U1681" s="19" t="n">
        <f aca="false">B1681/MAX(B1430:B1681)-1</f>
        <v>-0.198433394665904</v>
      </c>
      <c r="V1681" s="17" t="n">
        <f aca="false">(B1681-AVERAGE(B1662:B1681))/STDEV(B1662:B1681)</f>
        <v>-0.179724587827584</v>
      </c>
    </row>
    <row r="1682" customFormat="false" ht="15" hidden="false" customHeight="false" outlineLevel="0" collapsed="false">
      <c r="A1682" s="17" t="s">
        <v>2246</v>
      </c>
      <c r="B1682" s="17" t="n">
        <v>11995.88</v>
      </c>
      <c r="C1682" s="19" t="n">
        <f aca="false">B1682/B1681-1</f>
        <v>-0.0179651307005214</v>
      </c>
      <c r="D1682" s="17" t="n">
        <f aca="false">AVERAGE(B1633:B1682)</f>
        <v>11866.5988</v>
      </c>
      <c r="E1682" s="17" t="n">
        <f aca="false">AVERAGE(B1483:B1682)</f>
        <v>11904.3411</v>
      </c>
      <c r="F1682" s="17" t="n">
        <f aca="false">B1682*2/13+F1681*11/13</f>
        <v>12153.3877645892</v>
      </c>
      <c r="G1682" s="17" t="n">
        <f aca="false">B1682*2/27+G1681*25/27</f>
        <v>12130.894900268</v>
      </c>
      <c r="H1682" s="17" t="n">
        <f aca="false">F1682-G1682</f>
        <v>22.4928643212043</v>
      </c>
      <c r="I1682" s="17" t="n">
        <f aca="false">H1682*2/10+I1681*8/10</f>
        <v>59.6253145810638</v>
      </c>
      <c r="J1682" s="17" t="n">
        <f aca="false">H1682-I1682</f>
        <v>-37.1324502598596</v>
      </c>
      <c r="K1682" s="17" t="n">
        <f aca="false">MAX(B1682-B1681,0)</f>
        <v>0</v>
      </c>
      <c r="L1682" s="17" t="n">
        <f aca="false">MAX(B1681-B1682,0)</f>
        <v>219.450000000001</v>
      </c>
      <c r="M1682" s="17" t="n">
        <f aca="false">(M1681*13+K1682)/14</f>
        <v>65.0211817697995</v>
      </c>
      <c r="N1682" s="17" t="n">
        <f aca="false">(N1681*13+L1682)/14</f>
        <v>74.9922776097061</v>
      </c>
      <c r="O1682" s="17" t="n">
        <f aca="false">IF(N1682=0,100,100-100/(1+M1682/N1682))</f>
        <v>46.4392366690691</v>
      </c>
      <c r="P1682" s="17" t="n">
        <f aca="false">AVERAGE(B1663:B1682)+2*STDEV(B1663:B1682)</f>
        <v>12660.6487315515</v>
      </c>
      <c r="Q1682" s="17" t="n">
        <f aca="false">AVERAGE(B1663:B1682)-2*STDEV(B1663:B1682)</f>
        <v>11797.7732684485</v>
      </c>
      <c r="R1682" s="19" t="n">
        <f aca="false">B1682/B1662-1</f>
        <v>-0.0399747746767205</v>
      </c>
      <c r="S1682" s="17" t="n">
        <f aca="false">STDEV(C1663:C1682)*SQRT(252)*100</f>
        <v>19.7002034557681</v>
      </c>
      <c r="T1682" s="19" t="n">
        <f aca="false">B1661/B1431-1</f>
        <v>-0.0737822182765496</v>
      </c>
      <c r="U1682" s="19" t="n">
        <f aca="false">B1682/MAX(B1431:B1682)-1</f>
        <v>-0.212833643495904</v>
      </c>
      <c r="V1682" s="17" t="n">
        <f aca="false">(B1682-AVERAGE(B1663:B1682))/STDEV(B1663:B1682)</f>
        <v>-1.08164392187446</v>
      </c>
    </row>
    <row r="1683" customFormat="false" ht="15" hidden="false" customHeight="false" outlineLevel="0" collapsed="false">
      <c r="A1683" s="17" t="s">
        <v>2247</v>
      </c>
      <c r="B1683" s="17" t="n">
        <v>11830.28</v>
      </c>
      <c r="C1683" s="19" t="n">
        <f aca="false">B1683/B1682-1</f>
        <v>-0.0138047396272719</v>
      </c>
      <c r="D1683" s="17" t="n">
        <f aca="false">AVERAGE(B1634:B1683)</f>
        <v>11886.7542</v>
      </c>
      <c r="E1683" s="17" t="n">
        <f aca="false">AVERAGE(B1484:B1683)</f>
        <v>11903.3211</v>
      </c>
      <c r="F1683" s="17" t="n">
        <f aca="false">B1683*2/13+F1682*11/13</f>
        <v>12103.6788777294</v>
      </c>
      <c r="G1683" s="17" t="n">
        <f aca="false">B1683*2/27+G1682*25/27</f>
        <v>12108.6271298778</v>
      </c>
      <c r="H1683" s="17" t="n">
        <f aca="false">F1683-G1683</f>
        <v>-4.94825214845332</v>
      </c>
      <c r="I1683" s="17" t="n">
        <f aca="false">H1683*2/10+I1682*8/10</f>
        <v>46.7106012351604</v>
      </c>
      <c r="J1683" s="17" t="n">
        <f aca="false">H1683-I1683</f>
        <v>-51.6588533836137</v>
      </c>
      <c r="K1683" s="17" t="n">
        <f aca="false">MAX(B1683-B1682,0)</f>
        <v>0</v>
      </c>
      <c r="L1683" s="17" t="n">
        <f aca="false">MAX(B1682-B1683,0)</f>
        <v>165.599999999999</v>
      </c>
      <c r="M1683" s="17" t="n">
        <f aca="false">(M1682*13+K1683)/14</f>
        <v>60.3768116433852</v>
      </c>
      <c r="N1683" s="17" t="n">
        <f aca="false">(N1682*13+L1683)/14</f>
        <v>81.4642577804413</v>
      </c>
      <c r="O1683" s="17" t="n">
        <f aca="false">IF(N1683=0,100,100-100/(1+M1683/N1683))</f>
        <v>42.5665231435735</v>
      </c>
      <c r="P1683" s="17" t="n">
        <f aca="false">AVERAGE(B1664:B1683)+2*STDEV(B1664:B1683)</f>
        <v>12661.6523962266</v>
      </c>
      <c r="Q1683" s="17" t="n">
        <f aca="false">AVERAGE(B1664:B1683)-2*STDEV(B1664:B1683)</f>
        <v>11741.6806037734</v>
      </c>
      <c r="R1683" s="19" t="n">
        <f aca="false">B1683/B1663-1</f>
        <v>-0.0444941794676916</v>
      </c>
      <c r="S1683" s="17" t="n">
        <f aca="false">STDEV(C1664:C1683)*SQRT(252)*100</f>
        <v>19.9929600884937</v>
      </c>
      <c r="T1683" s="19" t="n">
        <f aca="false">B1662/B1432-1</f>
        <v>-0.0806136413803252</v>
      </c>
      <c r="U1683" s="19" t="n">
        <f aca="false">B1683/MAX(B1432:B1683)-1</f>
        <v>-0.223700270090791</v>
      </c>
      <c r="V1683" s="17" t="n">
        <f aca="false">(B1683-AVERAGE(B1664:B1683))/STDEV(B1664:B1683)</f>
        <v>-1.61477342260539</v>
      </c>
    </row>
    <row r="1684" customFormat="false" ht="15" hidden="false" customHeight="false" outlineLevel="0" collapsed="false">
      <c r="A1684" s="17" t="s">
        <v>2248</v>
      </c>
      <c r="B1684" s="17" t="n">
        <v>11923.17</v>
      </c>
      <c r="C1684" s="19" t="n">
        <f aca="false">B1684/B1683-1</f>
        <v>0.00785188516248137</v>
      </c>
      <c r="D1684" s="17" t="n">
        <f aca="false">AVERAGE(B1635:B1684)</f>
        <v>11911.6308</v>
      </c>
      <c r="E1684" s="17" t="n">
        <f aca="false">AVERAGE(B1485:B1684)</f>
        <v>11904.08775</v>
      </c>
      <c r="F1684" s="17" t="n">
        <f aca="false">B1684*2/13+F1683*11/13</f>
        <v>12075.9082811556</v>
      </c>
      <c r="G1684" s="17" t="n">
        <f aca="false">B1684*2/27+G1683*25/27</f>
        <v>12094.8895647017</v>
      </c>
      <c r="H1684" s="17" t="n">
        <f aca="false">F1684-G1684</f>
        <v>-18.9812835460671</v>
      </c>
      <c r="I1684" s="17" t="n">
        <f aca="false">H1684*2/10+I1683*8/10</f>
        <v>33.5722242789149</v>
      </c>
      <c r="J1684" s="17" t="n">
        <f aca="false">H1684-I1684</f>
        <v>-52.553507824982</v>
      </c>
      <c r="K1684" s="17" t="n">
        <f aca="false">MAX(B1684-B1683,0)</f>
        <v>92.8899999999994</v>
      </c>
      <c r="L1684" s="17" t="n">
        <f aca="false">MAX(B1683-B1684,0)</f>
        <v>0</v>
      </c>
      <c r="M1684" s="17" t="n">
        <f aca="false">(M1683*13+K1684)/14</f>
        <v>62.6991822402863</v>
      </c>
      <c r="N1684" s="17" t="n">
        <f aca="false">(N1683*13+L1684)/14</f>
        <v>75.6453822246955</v>
      </c>
      <c r="O1684" s="17" t="n">
        <f aca="false">IF(N1684=0,100,100-100/(1+M1684/N1684))</f>
        <v>45.3210304884489</v>
      </c>
      <c r="P1684" s="17" t="n">
        <f aca="false">AVERAGE(B1665:B1684)+2*STDEV(B1665:B1684)</f>
        <v>12656.0100886508</v>
      </c>
      <c r="Q1684" s="17" t="n">
        <f aca="false">AVERAGE(B1665:B1684)-2*STDEV(B1665:B1684)</f>
        <v>11709.1479113492</v>
      </c>
      <c r="R1684" s="19" t="n">
        <f aca="false">B1684/B1664-1</f>
        <v>-0.0310241756955755</v>
      </c>
      <c r="S1684" s="17" t="n">
        <f aca="false">STDEV(C1665:C1684)*SQRT(252)*100</f>
        <v>20.2418014523802</v>
      </c>
      <c r="T1684" s="19" t="n">
        <f aca="false">B1663/B1433-1</f>
        <v>-0.0692130330939427</v>
      </c>
      <c r="U1684" s="19" t="n">
        <f aca="false">B1684/MAX(B1433:B1684)-1</f>
        <v>-0.217604853759879</v>
      </c>
      <c r="V1684" s="17" t="n">
        <f aca="false">(B1684-AVERAGE(B1665:B1684))/STDEV(B1665:B1684)</f>
        <v>-1.09586804170081</v>
      </c>
    </row>
    <row r="1685" customFormat="false" ht="15" hidden="false" customHeight="false" outlineLevel="0" collapsed="false">
      <c r="A1685" s="17" t="s">
        <v>2249</v>
      </c>
      <c r="B1685" s="17" t="n">
        <v>12199.79</v>
      </c>
      <c r="C1685" s="19" t="n">
        <f aca="false">B1685/B1684-1</f>
        <v>0.0232002059854888</v>
      </c>
      <c r="D1685" s="17" t="n">
        <f aca="false">AVERAGE(B1636:B1685)</f>
        <v>11936.6056</v>
      </c>
      <c r="E1685" s="17" t="n">
        <f aca="false">AVERAGE(B1486:B1685)</f>
        <v>11905.36705</v>
      </c>
      <c r="F1685" s="17" t="n">
        <f aca="false">B1685*2/13+F1684*11/13</f>
        <v>12094.9670071317</v>
      </c>
      <c r="G1685" s="17" t="n">
        <f aca="false">B1685*2/27+G1684*25/27</f>
        <v>12102.6599673164</v>
      </c>
      <c r="H1685" s="17" t="n">
        <f aca="false">F1685-G1685</f>
        <v>-7.69296018469686</v>
      </c>
      <c r="I1685" s="17" t="n">
        <f aca="false">H1685*2/10+I1684*8/10</f>
        <v>25.3191873861926</v>
      </c>
      <c r="J1685" s="17" t="n">
        <f aca="false">H1685-I1685</f>
        <v>-33.0121475708894</v>
      </c>
      <c r="K1685" s="17" t="n">
        <f aca="false">MAX(B1685-B1684,0)</f>
        <v>276.620000000001</v>
      </c>
      <c r="L1685" s="17" t="n">
        <f aca="false">MAX(B1684-B1685,0)</f>
        <v>0</v>
      </c>
      <c r="M1685" s="17" t="n">
        <f aca="false">(M1684*13+K1685)/14</f>
        <v>77.9792406516944</v>
      </c>
      <c r="N1685" s="17" t="n">
        <f aca="false">(N1684*13+L1685)/14</f>
        <v>70.2421406372172</v>
      </c>
      <c r="O1685" s="17" t="n">
        <f aca="false">IF(N1685=0,100,100-100/(1+M1685/N1685))</f>
        <v>52.6099810793816</v>
      </c>
      <c r="P1685" s="17" t="n">
        <f aca="false">AVERAGE(B1666:B1685)+2*STDEV(B1666:B1685)</f>
        <v>12616.5791968288</v>
      </c>
      <c r="Q1685" s="17" t="n">
        <f aca="false">AVERAGE(B1666:B1685)-2*STDEV(B1666:B1685)</f>
        <v>11718.3268031712</v>
      </c>
      <c r="R1685" s="19" t="n">
        <f aca="false">B1685/B1665-1</f>
        <v>-0.024197128370677</v>
      </c>
      <c r="S1685" s="17" t="n">
        <f aca="false">STDEV(C1666:C1685)*SQRT(252)*100</f>
        <v>21.2012289597722</v>
      </c>
      <c r="T1685" s="19" t="n">
        <f aca="false">B1664/B1434-1</f>
        <v>-0.056851419215982</v>
      </c>
      <c r="U1685" s="19" t="n">
        <f aca="false">B1685/MAX(B1434:B1685)-1</f>
        <v>-0.199453125205062</v>
      </c>
      <c r="V1685" s="17" t="n">
        <f aca="false">(B1685-AVERAGE(B1666:B1685))/STDEV(B1666:B1685)</f>
        <v>0.143999616269671</v>
      </c>
    </row>
    <row r="1686" customFormat="false" ht="15" hidden="false" customHeight="false" outlineLevel="0" collapsed="false">
      <c r="A1686" s="17" t="s">
        <v>2250</v>
      </c>
      <c r="B1686" s="17" t="n">
        <v>12251.32</v>
      </c>
      <c r="C1686" s="19" t="n">
        <f aca="false">B1686/B1685-1</f>
        <v>0.00422384319730074</v>
      </c>
      <c r="D1686" s="17" t="n">
        <f aca="false">AVERAGE(B1637:B1686)</f>
        <v>11962.8368</v>
      </c>
      <c r="E1686" s="17" t="n">
        <f aca="false">AVERAGE(B1487:B1686)</f>
        <v>11905.2397</v>
      </c>
      <c r="F1686" s="17" t="n">
        <f aca="false">B1686*2/13+F1685*11/13</f>
        <v>12119.0213137268</v>
      </c>
      <c r="G1686" s="17" t="n">
        <f aca="false">B1686*2/27+G1685*25/27</f>
        <v>12113.6718215892</v>
      </c>
      <c r="H1686" s="17" t="n">
        <f aca="false">F1686-G1686</f>
        <v>5.34949213756772</v>
      </c>
      <c r="I1686" s="17" t="n">
        <f aca="false">H1686*2/10+I1685*8/10</f>
        <v>21.3252483364676</v>
      </c>
      <c r="J1686" s="17" t="n">
        <f aca="false">H1686-I1686</f>
        <v>-15.9757561988999</v>
      </c>
      <c r="K1686" s="17" t="n">
        <f aca="false">MAX(B1686-B1685,0)</f>
        <v>51.5299999999988</v>
      </c>
      <c r="L1686" s="17" t="n">
        <f aca="false">MAX(B1685-B1686,0)</f>
        <v>0</v>
      </c>
      <c r="M1686" s="17" t="n">
        <f aca="false">(M1685*13+K1686)/14</f>
        <v>76.0900091765733</v>
      </c>
      <c r="N1686" s="17" t="n">
        <f aca="false">(N1685*13+L1686)/14</f>
        <v>65.224844877416</v>
      </c>
      <c r="O1686" s="17" t="n">
        <f aca="false">IF(N1686=0,100,100-100/(1+M1686/N1686))</f>
        <v>53.8443107668661</v>
      </c>
      <c r="P1686" s="17" t="n">
        <f aca="false">AVERAGE(B1667:B1686)+2*STDEV(B1667:B1686)</f>
        <v>12555.7327048119</v>
      </c>
      <c r="Q1686" s="17" t="n">
        <f aca="false">AVERAGE(B1667:B1686)-2*STDEV(B1667:B1686)</f>
        <v>11745.2162951881</v>
      </c>
      <c r="R1686" s="19" t="n">
        <f aca="false">B1686/B1666-1</f>
        <v>-0.0269694993761362</v>
      </c>
      <c r="S1686" s="17" t="n">
        <f aca="false">STDEV(C1667:C1686)*SQRT(252)*100</f>
        <v>21.0779883891698</v>
      </c>
      <c r="T1686" s="19" t="n">
        <f aca="false">B1665/B1435-1</f>
        <v>-0.0710514349232013</v>
      </c>
      <c r="U1686" s="19" t="n">
        <f aca="false">B1686/MAX(B1435:B1686)-1</f>
        <v>-0.196071740733838</v>
      </c>
      <c r="V1686" s="17" t="n">
        <f aca="false">(B1686-AVERAGE(B1667:B1686))/STDEV(B1667:B1686)</f>
        <v>0.497685173563879</v>
      </c>
    </row>
    <row r="1687" customFormat="false" ht="15" hidden="false" customHeight="false" outlineLevel="0" collapsed="false">
      <c r="A1687" s="17" t="s">
        <v>2251</v>
      </c>
      <c r="B1687" s="17" t="n">
        <v>12581.39</v>
      </c>
      <c r="C1687" s="19" t="n">
        <f aca="false">B1687/B1686-1</f>
        <v>0.026941586702494</v>
      </c>
      <c r="D1687" s="17" t="n">
        <f aca="false">AVERAGE(B1638:B1687)</f>
        <v>11997.2118</v>
      </c>
      <c r="E1687" s="17" t="n">
        <f aca="false">AVERAGE(B1488:B1687)</f>
        <v>11904.73955</v>
      </c>
      <c r="F1687" s="17" t="n">
        <f aca="false">B1687*2/13+F1686*11/13</f>
        <v>12190.1549577688</v>
      </c>
      <c r="G1687" s="17" t="n">
        <f aca="false">B1687*2/27+G1686*25/27</f>
        <v>12148.3176125826</v>
      </c>
      <c r="H1687" s="17" t="n">
        <f aca="false">F1687-G1687</f>
        <v>41.8373451862099</v>
      </c>
      <c r="I1687" s="17" t="n">
        <f aca="false">H1687*2/10+I1686*8/10</f>
        <v>25.427667706416</v>
      </c>
      <c r="J1687" s="17" t="n">
        <f aca="false">H1687-I1687</f>
        <v>16.4096774797938</v>
      </c>
      <c r="K1687" s="17" t="n">
        <f aca="false">MAX(B1687-B1686,0)</f>
        <v>330.07</v>
      </c>
      <c r="L1687" s="17" t="n">
        <f aca="false">MAX(B1686-B1687,0)</f>
        <v>0</v>
      </c>
      <c r="M1687" s="17" t="n">
        <f aca="false">(M1686*13+K1687)/14</f>
        <v>94.2314370925324</v>
      </c>
      <c r="N1687" s="17" t="n">
        <f aca="false">(N1686*13+L1687)/14</f>
        <v>60.565927386172</v>
      </c>
      <c r="O1687" s="17" t="n">
        <f aca="false">IF(N1687=0,100,100-100/(1+M1687/N1687))</f>
        <v>60.8740577786102</v>
      </c>
      <c r="P1687" s="17" t="n">
        <f aca="false">AVERAGE(B1668:B1687)+2*STDEV(B1668:B1687)</f>
        <v>12522.5138069321</v>
      </c>
      <c r="Q1687" s="17" t="n">
        <f aca="false">AVERAGE(B1668:B1687)-2*STDEV(B1668:B1687)</f>
        <v>11767.7851930679</v>
      </c>
      <c r="R1687" s="19" t="n">
        <f aca="false">B1687/B1667-1</f>
        <v>-0.00839383065269328</v>
      </c>
      <c r="S1687" s="17" t="n">
        <f aca="false">STDEV(C1668:C1687)*SQRT(252)*100</f>
        <v>23.1682762743974</v>
      </c>
      <c r="T1687" s="19" t="n">
        <f aca="false">B1666/B1436-1</f>
        <v>-0.0978663431920951</v>
      </c>
      <c r="U1687" s="19" t="n">
        <f aca="false">B1687/MAX(B1436:B1687)-1</f>
        <v>-0.174412637834234</v>
      </c>
      <c r="V1687" s="17" t="n">
        <f aca="false">(B1687-AVERAGE(B1668:B1687))/STDEV(B1668:B1687)</f>
        <v>2.31203901368731</v>
      </c>
    </row>
    <row r="1688" customFormat="false" ht="15" hidden="false" customHeight="false" outlineLevel="0" collapsed="false">
      <c r="A1688" s="17" t="s">
        <v>2252</v>
      </c>
      <c r="B1688" s="17" t="n">
        <v>12519.88</v>
      </c>
      <c r="C1688" s="19" t="n">
        <f aca="false">B1688/B1687-1</f>
        <v>-0.00488896695834085</v>
      </c>
      <c r="D1688" s="17" t="n">
        <f aca="false">AVERAGE(B1639:B1688)</f>
        <v>12029.3134</v>
      </c>
      <c r="E1688" s="17" t="n">
        <f aca="false">AVERAGE(B1489:B1688)</f>
        <v>11904.12845</v>
      </c>
      <c r="F1688" s="17" t="n">
        <f aca="false">B1688*2/13+F1687*11/13</f>
        <v>12240.8818873429</v>
      </c>
      <c r="G1688" s="17" t="n">
        <f aca="false">B1688*2/27+G1687*25/27</f>
        <v>12175.8407523913</v>
      </c>
      <c r="H1688" s="17" t="n">
        <f aca="false">F1688-G1688</f>
        <v>65.0411349515434</v>
      </c>
      <c r="I1688" s="17" t="n">
        <f aca="false">H1688*2/10+I1687*8/10</f>
        <v>33.3503611554415</v>
      </c>
      <c r="J1688" s="17" t="n">
        <f aca="false">H1688-I1688</f>
        <v>31.6907737961019</v>
      </c>
      <c r="K1688" s="17" t="n">
        <f aca="false">MAX(B1688-B1687,0)</f>
        <v>0</v>
      </c>
      <c r="L1688" s="17" t="n">
        <f aca="false">MAX(B1687-B1688,0)</f>
        <v>61.5100000000002</v>
      </c>
      <c r="M1688" s="17" t="n">
        <f aca="false">(M1687*13+K1688)/14</f>
        <v>87.5006201573515</v>
      </c>
      <c r="N1688" s="17" t="n">
        <f aca="false">(N1687*13+L1688)/14</f>
        <v>60.6333611443026</v>
      </c>
      <c r="O1688" s="17" t="n">
        <f aca="false">IF(N1688=0,100,100-100/(1+M1688/N1688))</f>
        <v>59.0685671096416</v>
      </c>
      <c r="P1688" s="17" t="n">
        <f aca="false">AVERAGE(B1669:B1688)+2*STDEV(B1669:B1688)</f>
        <v>12540.5444885404</v>
      </c>
      <c r="Q1688" s="17" t="n">
        <f aca="false">AVERAGE(B1669:B1688)-2*STDEV(B1669:B1688)</f>
        <v>11757.4945114596</v>
      </c>
      <c r="R1688" s="19" t="n">
        <f aca="false">B1688/B1668-1</f>
        <v>0.00622062482720476</v>
      </c>
      <c r="S1688" s="17" t="n">
        <f aca="false">STDEV(C1669:C1688)*SQRT(252)*100</f>
        <v>22.1396112483407</v>
      </c>
      <c r="T1688" s="19" t="n">
        <f aca="false">B1667/B1437-1</f>
        <v>-0.101335118212854</v>
      </c>
      <c r="U1688" s="19" t="n">
        <f aca="false">B1688/MAX(B1437:B1688)-1</f>
        <v>-0.178448907169086</v>
      </c>
      <c r="V1688" s="17" t="n">
        <f aca="false">(B1688-AVERAGE(B1669:B1688))/STDEV(B1669:B1688)</f>
        <v>1.89444102345825</v>
      </c>
    </row>
    <row r="1689" customFormat="false" ht="15" hidden="false" customHeight="false" outlineLevel="0" collapsed="false">
      <c r="A1689" s="17" t="s">
        <v>2253</v>
      </c>
      <c r="B1689" s="17" t="n">
        <v>12562.61</v>
      </c>
      <c r="C1689" s="19" t="n">
        <f aca="false">B1689/B1688-1</f>
        <v>0.00341297200931656</v>
      </c>
      <c r="D1689" s="17" t="n">
        <f aca="false">AVERAGE(B1640:B1689)</f>
        <v>12065.7412</v>
      </c>
      <c r="E1689" s="17" t="n">
        <f aca="false">AVERAGE(B1490:B1689)</f>
        <v>11904.1997</v>
      </c>
      <c r="F1689" s="17" t="n">
        <f aca="false">B1689*2/13+F1688*11/13</f>
        <v>12290.3785200593</v>
      </c>
      <c r="G1689" s="17" t="n">
        <f aca="false">B1689*2/27+G1688*25/27</f>
        <v>12204.4903262882</v>
      </c>
      <c r="H1689" s="17" t="n">
        <f aca="false">F1689-G1689</f>
        <v>85.8881937710903</v>
      </c>
      <c r="I1689" s="17" t="n">
        <f aca="false">H1689*2/10+I1688*8/10</f>
        <v>43.8579276785713</v>
      </c>
      <c r="J1689" s="17" t="n">
        <f aca="false">H1689-I1689</f>
        <v>42.030266092519</v>
      </c>
      <c r="K1689" s="17" t="n">
        <f aca="false">MAX(B1689-B1688,0)</f>
        <v>42.7300000000014</v>
      </c>
      <c r="L1689" s="17" t="n">
        <f aca="false">MAX(B1688-B1689,0)</f>
        <v>0</v>
      </c>
      <c r="M1689" s="17" t="n">
        <f aca="false">(M1688*13+K1689)/14</f>
        <v>84.3027187175407</v>
      </c>
      <c r="N1689" s="17" t="n">
        <f aca="false">(N1688*13+L1689)/14</f>
        <v>56.3024067768524</v>
      </c>
      <c r="O1689" s="17" t="n">
        <f aca="false">IF(N1689=0,100,100-100/(1+M1689/N1689))</f>
        <v>59.9570736992105</v>
      </c>
      <c r="P1689" s="17" t="n">
        <f aca="false">AVERAGE(B1670:B1689)+2*STDEV(B1670:B1689)</f>
        <v>12583.0968679502</v>
      </c>
      <c r="Q1689" s="17" t="n">
        <f aca="false">AVERAGE(B1670:B1689)-2*STDEV(B1670:B1689)</f>
        <v>11735.3851320498</v>
      </c>
      <c r="R1689" s="19" t="n">
        <f aca="false">B1689/B1669-1</f>
        <v>0.0165420798208151</v>
      </c>
      <c r="S1689" s="17" t="n">
        <f aca="false">STDEV(C1670:C1689)*SQRT(252)*100</f>
        <v>21.9964412768509</v>
      </c>
      <c r="T1689" s="19" t="n">
        <f aca="false">B1668/B1438-1</f>
        <v>-0.13714209629905</v>
      </c>
      <c r="U1689" s="19" t="n">
        <f aca="false">B1689/MAX(B1438:B1689)-1</f>
        <v>-0.175644976285031</v>
      </c>
      <c r="V1689" s="17" t="n">
        <f aca="false">(B1689-AVERAGE(B1670:B1689))/STDEV(B1670:B1689)</f>
        <v>1.90333096932576</v>
      </c>
    </row>
    <row r="1690" customFormat="false" ht="15" hidden="false" customHeight="false" outlineLevel="0" collapsed="false">
      <c r="A1690" s="17" t="s">
        <v>2254</v>
      </c>
      <c r="B1690" s="17" t="n">
        <v>12741.44</v>
      </c>
      <c r="C1690" s="19" t="n">
        <f aca="false">B1690/B1689-1</f>
        <v>0.014235099234952</v>
      </c>
      <c r="D1690" s="17" t="n">
        <f aca="false">AVERAGE(B1641:B1690)</f>
        <v>12099.763</v>
      </c>
      <c r="E1690" s="17" t="n">
        <f aca="false">AVERAGE(B1491:B1690)</f>
        <v>11903.44245</v>
      </c>
      <c r="F1690" s="17" t="n">
        <f aca="false">B1690*2/13+F1689*11/13</f>
        <v>12359.7725938964</v>
      </c>
      <c r="G1690" s="17" t="n">
        <f aca="false">B1690*2/27+G1689*25/27</f>
        <v>12244.2643761928</v>
      </c>
      <c r="H1690" s="17" t="n">
        <f aca="false">F1690-G1690</f>
        <v>115.508217703544</v>
      </c>
      <c r="I1690" s="17" t="n">
        <f aca="false">H1690*2/10+I1689*8/10</f>
        <v>58.1879856835658</v>
      </c>
      <c r="J1690" s="17" t="n">
        <f aca="false">H1690-I1690</f>
        <v>57.320232019978</v>
      </c>
      <c r="K1690" s="17" t="n">
        <f aca="false">MAX(B1690-B1689,0)</f>
        <v>178.83</v>
      </c>
      <c r="L1690" s="17" t="n">
        <f aca="false">MAX(B1689-B1690,0)</f>
        <v>0</v>
      </c>
      <c r="M1690" s="17" t="n">
        <f aca="false">(M1689*13+K1690)/14</f>
        <v>91.0546673805735</v>
      </c>
      <c r="N1690" s="17" t="n">
        <f aca="false">(N1689*13+L1690)/14</f>
        <v>52.2808062927915</v>
      </c>
      <c r="O1690" s="17" t="n">
        <f aca="false">IF(N1690=0,100,100-100/(1+M1690/N1690))</f>
        <v>63.5255635238421</v>
      </c>
      <c r="P1690" s="17" t="n">
        <f aca="false">AVERAGE(B1671:B1690)+2*STDEV(B1671:B1690)</f>
        <v>12687.3306654276</v>
      </c>
      <c r="Q1690" s="17" t="n">
        <f aca="false">AVERAGE(B1671:B1690)-2*STDEV(B1671:B1690)</f>
        <v>11699.2653345724</v>
      </c>
      <c r="R1690" s="19" t="n">
        <f aca="false">B1690/B1670-1</f>
        <v>0.0564778653930667</v>
      </c>
      <c r="S1690" s="17" t="n">
        <f aca="false">STDEV(C1671:C1690)*SQRT(252)*100</f>
        <v>20.3627365297252</v>
      </c>
      <c r="T1690" s="19" t="n">
        <f aca="false">B1669/B1439-1</f>
        <v>-0.140365704443976</v>
      </c>
      <c r="U1690" s="19" t="n">
        <f aca="false">B1690/MAX(B1439:B1690)-1</f>
        <v>-0.163910200717617</v>
      </c>
      <c r="V1690" s="17" t="n">
        <f aca="false">(B1690-AVERAGE(B1671:B1690))/STDEV(B1671:B1690)</f>
        <v>2.21905164722497</v>
      </c>
    </row>
    <row r="1691" customFormat="false" ht="15" hidden="false" customHeight="false" outlineLevel="0" collapsed="false">
      <c r="A1691" s="17" t="s">
        <v>2255</v>
      </c>
      <c r="B1691" s="17" t="n">
        <v>12567.15</v>
      </c>
      <c r="C1691" s="19" t="n">
        <f aca="false">B1691/B1690-1</f>
        <v>-0.0136789876183541</v>
      </c>
      <c r="D1691" s="17" t="n">
        <f aca="false">AVERAGE(B1642:B1691)</f>
        <v>12128.937</v>
      </c>
      <c r="E1691" s="17" t="n">
        <f aca="false">AVERAGE(B1492:B1691)</f>
        <v>11903.53805</v>
      </c>
      <c r="F1691" s="17" t="n">
        <f aca="false">B1691*2/13+F1690*11/13</f>
        <v>12391.67681022</v>
      </c>
      <c r="G1691" s="17" t="n">
        <f aca="false">B1691*2/27+G1690*25/27</f>
        <v>12268.1818298082</v>
      </c>
      <c r="H1691" s="17" t="n">
        <f aca="false">F1691-G1691</f>
        <v>123.494980411833</v>
      </c>
      <c r="I1691" s="17" t="n">
        <f aca="false">H1691*2/10+I1690*8/10</f>
        <v>71.2493846292193</v>
      </c>
      <c r="J1691" s="17" t="n">
        <f aca="false">H1691-I1691</f>
        <v>52.245595782614</v>
      </c>
      <c r="K1691" s="17" t="n">
        <f aca="false">MAX(B1691-B1690,0)</f>
        <v>0</v>
      </c>
      <c r="L1691" s="17" t="n">
        <f aca="false">MAX(B1690-B1691,0)</f>
        <v>174.290000000001</v>
      </c>
      <c r="M1691" s="17" t="n">
        <f aca="false">(M1690*13+K1691)/14</f>
        <v>84.5507625676754</v>
      </c>
      <c r="N1691" s="17" t="n">
        <f aca="false">(N1690*13+L1691)/14</f>
        <v>60.9957487004493</v>
      </c>
      <c r="O1691" s="17" t="n">
        <f aca="false">IF(N1691=0,100,100-100/(1+M1691/N1691))</f>
        <v>58.0919197794557</v>
      </c>
      <c r="P1691" s="17" t="n">
        <f aca="false">AVERAGE(B1672:B1691)+2*STDEV(B1672:B1691)</f>
        <v>12735.5021544304</v>
      </c>
      <c r="Q1691" s="17" t="n">
        <f aca="false">AVERAGE(B1672:B1691)-2*STDEV(B1672:B1691)</f>
        <v>11701.1818455696</v>
      </c>
      <c r="R1691" s="19" t="n">
        <f aca="false">B1691/B1671-1</f>
        <v>0.0415107568453217</v>
      </c>
      <c r="S1691" s="17" t="n">
        <f aca="false">STDEV(C1672:C1691)*SQRT(252)*100</f>
        <v>21.1832253224861</v>
      </c>
      <c r="T1691" s="19" t="n">
        <f aca="false">B1670/B1440-1</f>
        <v>-0.177014575214288</v>
      </c>
      <c r="U1691" s="19" t="n">
        <f aca="false">B1691/MAX(B1440:B1691)-1</f>
        <v>-0.175347062729833</v>
      </c>
      <c r="V1691" s="17" t="n">
        <f aca="false">(B1691-AVERAGE(B1672:B1691))/STDEV(B1672:B1691)</f>
        <v>1.34893609653336</v>
      </c>
    </row>
    <row r="1692" customFormat="false" ht="15" hidden="false" customHeight="false" outlineLevel="0" collapsed="false">
      <c r="A1692" s="17" t="s">
        <v>2256</v>
      </c>
      <c r="B1692" s="17" t="n">
        <v>12729.23</v>
      </c>
      <c r="C1692" s="19" t="n">
        <f aca="false">B1692/B1691-1</f>
        <v>0.0128971166891458</v>
      </c>
      <c r="D1692" s="17" t="n">
        <f aca="false">AVERAGE(B1643:B1692)</f>
        <v>12159.406</v>
      </c>
      <c r="E1692" s="17" t="n">
        <f aca="false">AVERAGE(B1493:B1692)</f>
        <v>11904.18605</v>
      </c>
      <c r="F1692" s="17" t="n">
        <f aca="false">B1692*2/13+F1691*11/13</f>
        <v>12443.6080701862</v>
      </c>
      <c r="G1692" s="17" t="n">
        <f aca="false">B1692*2/27+G1691*25/27</f>
        <v>12302.3335461187</v>
      </c>
      <c r="H1692" s="17" t="n">
        <f aca="false">F1692-G1692</f>
        <v>141.274524067479</v>
      </c>
      <c r="I1692" s="17" t="n">
        <f aca="false">H1692*2/10+I1691*8/10</f>
        <v>85.2544125168713</v>
      </c>
      <c r="J1692" s="17" t="n">
        <f aca="false">H1692-I1692</f>
        <v>56.0201115506081</v>
      </c>
      <c r="K1692" s="17" t="n">
        <f aca="false">MAX(B1692-B1691,0)</f>
        <v>162.08</v>
      </c>
      <c r="L1692" s="17" t="n">
        <f aca="false">MAX(B1691-B1692,0)</f>
        <v>0</v>
      </c>
      <c r="M1692" s="17" t="n">
        <f aca="false">(M1691*13+K1692)/14</f>
        <v>90.0885652414129</v>
      </c>
      <c r="N1692" s="17" t="n">
        <f aca="false">(N1691*13+L1692)/14</f>
        <v>56.6389095075601</v>
      </c>
      <c r="O1692" s="17" t="n">
        <f aca="false">IF(N1692=0,100,100-100/(1+M1692/N1692))</f>
        <v>61.3985658756411</v>
      </c>
      <c r="P1692" s="17" t="n">
        <f aca="false">AVERAGE(B1673:B1692)+2*STDEV(B1673:B1692)</f>
        <v>12810.5286926374</v>
      </c>
      <c r="Q1692" s="17" t="n">
        <f aca="false">AVERAGE(B1673:B1692)-2*STDEV(B1673:B1692)</f>
        <v>11681.0643073626</v>
      </c>
      <c r="R1692" s="19" t="n">
        <f aca="false">B1692/B1672-1</f>
        <v>0.0450807626184921</v>
      </c>
      <c r="S1692" s="17" t="n">
        <f aca="false">STDEV(C1673:C1692)*SQRT(252)*100</f>
        <v>21.3764661374751</v>
      </c>
      <c r="T1692" s="19" t="n">
        <f aca="false">B1671/B1441-1</f>
        <v>-0.164822409335839</v>
      </c>
      <c r="U1692" s="19" t="n">
        <f aca="false">B1692/MAX(B1441:B1692)-1</f>
        <v>-0.164711417569813</v>
      </c>
      <c r="V1692" s="17" t="n">
        <f aca="false">(B1692-AVERAGE(B1673:B1692))/STDEV(B1673:B1692)</f>
        <v>1.71208054473492</v>
      </c>
    </row>
    <row r="1693" customFormat="false" ht="15" hidden="false" customHeight="false" outlineLevel="0" collapsed="false">
      <c r="A1693" s="17" t="s">
        <v>2257</v>
      </c>
      <c r="B1693" s="17" t="n">
        <v>12767.05</v>
      </c>
      <c r="C1693" s="19" t="n">
        <f aca="false">B1693/B1692-1</f>
        <v>0.00297111451360377</v>
      </c>
      <c r="D1693" s="17" t="n">
        <f aca="false">AVERAGE(B1644:B1693)</f>
        <v>12186.6966</v>
      </c>
      <c r="E1693" s="17" t="n">
        <f aca="false">AVERAGE(B1494:B1693)</f>
        <v>11904.4629</v>
      </c>
      <c r="F1693" s="17" t="n">
        <f aca="false">B1693*2/13+F1692*11/13</f>
        <v>12493.3683670806</v>
      </c>
      <c r="G1693" s="17" t="n">
        <f aca="false">B1693*2/27+G1692*25/27</f>
        <v>12336.7569871469</v>
      </c>
      <c r="H1693" s="17" t="n">
        <f aca="false">F1693-G1693</f>
        <v>156.611379933671</v>
      </c>
      <c r="I1693" s="17" t="n">
        <f aca="false">H1693*2/10+I1692*8/10</f>
        <v>99.5258060002312</v>
      </c>
      <c r="J1693" s="17" t="n">
        <f aca="false">H1693-I1693</f>
        <v>57.0855739334396</v>
      </c>
      <c r="K1693" s="17" t="n">
        <f aca="false">MAX(B1693-B1692,0)</f>
        <v>37.8199999999997</v>
      </c>
      <c r="L1693" s="17" t="n">
        <f aca="false">MAX(B1692-B1693,0)</f>
        <v>0</v>
      </c>
      <c r="M1693" s="17" t="n">
        <f aca="false">(M1692*13+K1693)/14</f>
        <v>86.3550962955977</v>
      </c>
      <c r="N1693" s="17" t="n">
        <f aca="false">(N1692*13+L1693)/14</f>
        <v>52.5932731141629</v>
      </c>
      <c r="O1693" s="17" t="n">
        <f aca="false">IF(N1693=0,100,100-100/(1+M1693/N1693))</f>
        <v>62.1490533947436</v>
      </c>
      <c r="P1693" s="17" t="n">
        <f aca="false">AVERAGE(B1674:B1693)+2*STDEV(B1674:B1693)</f>
        <v>12880.1211582603</v>
      </c>
      <c r="Q1693" s="17" t="n">
        <f aca="false">AVERAGE(B1674:B1693)-2*STDEV(B1674:B1693)</f>
        <v>11691.2118417397</v>
      </c>
      <c r="R1693" s="19" t="n">
        <f aca="false">B1693/B1673-1</f>
        <v>0.0666184892624262</v>
      </c>
      <c r="S1693" s="17" t="n">
        <f aca="false">STDEV(C1674:C1693)*SQRT(252)*100</f>
        <v>20.0866976067225</v>
      </c>
      <c r="T1693" s="19" t="n">
        <f aca="false">B1672/B1442-1</f>
        <v>-0.175105260912291</v>
      </c>
      <c r="U1693" s="19" t="n">
        <f aca="false">B1693/MAX(B1442:B1693)-1</f>
        <v>-0.162229679539507</v>
      </c>
      <c r="V1693" s="17" t="n">
        <f aca="false">(B1693-AVERAGE(B1674:B1693))/STDEV(B1674:B1693)</f>
        <v>1.61958020956146</v>
      </c>
    </row>
    <row r="1694" customFormat="false" ht="15" hidden="false" customHeight="false" outlineLevel="0" collapsed="false">
      <c r="A1694" s="17" t="s">
        <v>2258</v>
      </c>
      <c r="B1694" s="17" t="n">
        <v>12673.07</v>
      </c>
      <c r="C1694" s="19" t="n">
        <f aca="false">B1694/B1693-1</f>
        <v>-0.00736113667605276</v>
      </c>
      <c r="D1694" s="17" t="n">
        <f aca="false">AVERAGE(B1645:B1694)</f>
        <v>12210.9658</v>
      </c>
      <c r="E1694" s="17" t="n">
        <f aca="false">AVERAGE(B1495:B1694)</f>
        <v>11904.7526</v>
      </c>
      <c r="F1694" s="17" t="n">
        <f aca="false">B1694*2/13+F1693*11/13</f>
        <v>12521.0147721451</v>
      </c>
      <c r="G1694" s="17" t="n">
        <f aca="false">B1694*2/27+G1693*25/27</f>
        <v>12361.6690621731</v>
      </c>
      <c r="H1694" s="17" t="n">
        <f aca="false">F1694-G1694</f>
        <v>159.345709972042</v>
      </c>
      <c r="I1694" s="17" t="n">
        <f aca="false">H1694*2/10+I1693*8/10</f>
        <v>111.489786794593</v>
      </c>
      <c r="J1694" s="17" t="n">
        <f aca="false">H1694-I1694</f>
        <v>47.8559231774484</v>
      </c>
      <c r="K1694" s="17" t="n">
        <f aca="false">MAX(B1694-B1693,0)</f>
        <v>0</v>
      </c>
      <c r="L1694" s="17" t="n">
        <f aca="false">MAX(B1693-B1694,0)</f>
        <v>93.9799999999996</v>
      </c>
      <c r="M1694" s="17" t="n">
        <f aca="false">(M1693*13+K1694)/14</f>
        <v>80.1868751316264</v>
      </c>
      <c r="N1694" s="17" t="n">
        <f aca="false">(N1693*13+L1694)/14</f>
        <v>55.5494678917227</v>
      </c>
      <c r="O1694" s="17" t="n">
        <f aca="false">IF(N1694=0,100,100-100/(1+M1694/N1694))</f>
        <v>59.075464496515</v>
      </c>
      <c r="P1694" s="17" t="n">
        <f aca="false">AVERAGE(B1675:B1694)+2*STDEV(B1675:B1694)</f>
        <v>12924.7522495433</v>
      </c>
      <c r="Q1694" s="17" t="n">
        <f aca="false">AVERAGE(B1675:B1694)-2*STDEV(B1675:B1694)</f>
        <v>11708.1087504567</v>
      </c>
      <c r="R1694" s="19" t="n">
        <f aca="false">B1694/B1674-1</f>
        <v>0.0510275929502835</v>
      </c>
      <c r="S1694" s="17" t="n">
        <f aca="false">STDEV(C1675:C1694)*SQRT(252)*100</f>
        <v>20.3701819039203</v>
      </c>
      <c r="T1694" s="19" t="n">
        <f aca="false">B1673/B1443-1</f>
        <v>-0.18873535936279</v>
      </c>
      <c r="U1694" s="19" t="n">
        <f aca="false">B1694/MAX(B1443:B1694)-1</f>
        <v>-0.168396621371557</v>
      </c>
      <c r="V1694" s="17" t="n">
        <f aca="false">(B1694-AVERAGE(B1675:B1694))/STDEV(B1675:B1694)</f>
        <v>1.17253575190358</v>
      </c>
    </row>
    <row r="1695" customFormat="false" ht="15" hidden="false" customHeight="false" outlineLevel="0" collapsed="false">
      <c r="A1695" s="17" t="s">
        <v>2259</v>
      </c>
      <c r="B1695" s="17" t="n">
        <v>12610.57</v>
      </c>
      <c r="C1695" s="19" t="n">
        <f aca="false">B1695/B1694-1</f>
        <v>-0.00493171741338128</v>
      </c>
      <c r="D1695" s="17" t="n">
        <f aca="false">AVERAGE(B1646:B1695)</f>
        <v>12232.3476</v>
      </c>
      <c r="E1695" s="17" t="n">
        <f aca="false">AVERAGE(B1496:B1695)</f>
        <v>11906.45655</v>
      </c>
      <c r="F1695" s="17" t="n">
        <f aca="false">B1695*2/13+F1694*11/13</f>
        <v>12534.7924995074</v>
      </c>
      <c r="G1695" s="17" t="n">
        <f aca="false">B1695*2/27+G1694*25/27</f>
        <v>12380.1061686788</v>
      </c>
      <c r="H1695" s="17" t="n">
        <f aca="false">F1695-G1695</f>
        <v>154.686330828634</v>
      </c>
      <c r="I1695" s="17" t="n">
        <f aca="false">H1695*2/10+I1694*8/10</f>
        <v>120.129095601401</v>
      </c>
      <c r="J1695" s="17" t="n">
        <f aca="false">H1695-I1695</f>
        <v>34.5572352272324</v>
      </c>
      <c r="K1695" s="17" t="n">
        <f aca="false">MAX(B1695-B1694,0)</f>
        <v>0</v>
      </c>
      <c r="L1695" s="17" t="n">
        <f aca="false">MAX(B1694-B1695,0)</f>
        <v>62.5</v>
      </c>
      <c r="M1695" s="17" t="n">
        <f aca="false">(M1694*13+K1695)/14</f>
        <v>74.4592411936531</v>
      </c>
      <c r="N1695" s="17" t="n">
        <f aca="false">(N1694*13+L1695)/14</f>
        <v>56.0459344708854</v>
      </c>
      <c r="O1695" s="17" t="n">
        <f aca="false">IF(N1695=0,100,100-100/(1+M1695/N1695))</f>
        <v>57.0546270019585</v>
      </c>
      <c r="P1695" s="17" t="n">
        <f aca="false">AVERAGE(B1676:B1695)+2*STDEV(B1676:B1695)</f>
        <v>12952.3288720823</v>
      </c>
      <c r="Q1695" s="17" t="n">
        <f aca="false">AVERAGE(B1676:B1695)-2*STDEV(B1676:B1695)</f>
        <v>11737.3771279177</v>
      </c>
      <c r="R1695" s="19" t="n">
        <f aca="false">B1695/B1675-1</f>
        <v>0.047205143280419</v>
      </c>
      <c r="S1695" s="17" t="n">
        <f aca="false">STDEV(C1676:C1695)*SQRT(252)*100</f>
        <v>20.5020538519373</v>
      </c>
      <c r="T1695" s="19" t="n">
        <f aca="false">B1674/B1444-1</f>
        <v>-0.195471529418044</v>
      </c>
      <c r="U1695" s="19" t="n">
        <f aca="false">B1695/MAX(B1444:B1695)-1</f>
        <v>-0.172497854234966</v>
      </c>
      <c r="V1695" s="17" t="n">
        <f aca="false">(B1695-AVERAGE(B1676:B1695))/STDEV(B1676:B1695)</f>
        <v>0.874823222490121</v>
      </c>
    </row>
    <row r="1696" customFormat="false" ht="15" hidden="false" customHeight="false" outlineLevel="0" collapsed="false">
      <c r="A1696" s="17" t="s">
        <v>2260</v>
      </c>
      <c r="B1696" s="17" t="n">
        <v>12846.03</v>
      </c>
      <c r="C1696" s="19" t="n">
        <f aca="false">B1696/B1695-1</f>
        <v>0.018671638157514</v>
      </c>
      <c r="D1696" s="17" t="n">
        <f aca="false">AVERAGE(B1647:B1696)</f>
        <v>12258.1244</v>
      </c>
      <c r="E1696" s="17" t="n">
        <f aca="false">AVERAGE(B1497:B1696)</f>
        <v>11911.5226</v>
      </c>
      <c r="F1696" s="17" t="n">
        <f aca="false">B1696*2/13+F1695*11/13</f>
        <v>12582.6751918909</v>
      </c>
      <c r="G1696" s="17" t="n">
        <f aca="false">B1696*2/27+G1695*25/27</f>
        <v>12414.6190450729</v>
      </c>
      <c r="H1696" s="17" t="n">
        <f aca="false">F1696-G1696</f>
        <v>168.056146817944</v>
      </c>
      <c r="I1696" s="17" t="n">
        <f aca="false">H1696*2/10+I1695*8/10</f>
        <v>129.71450584471</v>
      </c>
      <c r="J1696" s="17" t="n">
        <f aca="false">H1696-I1696</f>
        <v>38.341640973234</v>
      </c>
      <c r="K1696" s="17" t="n">
        <f aca="false">MAX(B1696-B1695,0)</f>
        <v>235.460000000001</v>
      </c>
      <c r="L1696" s="17" t="n">
        <f aca="false">MAX(B1695-B1696,0)</f>
        <v>0</v>
      </c>
      <c r="M1696" s="17" t="n">
        <f aca="false">(M1695*13+K1696)/14</f>
        <v>85.9592953941065</v>
      </c>
      <c r="N1696" s="17" t="n">
        <f aca="false">(N1695*13+L1696)/14</f>
        <v>52.0426534372507</v>
      </c>
      <c r="O1696" s="17" t="n">
        <f aca="false">IF(N1696=0,100,100-100/(1+M1696/N1696))</f>
        <v>62.2884648528779</v>
      </c>
      <c r="P1696" s="17" t="n">
        <f aca="false">AVERAGE(B1677:B1696)+2*STDEV(B1677:B1696)</f>
        <v>13005.4394877517</v>
      </c>
      <c r="Q1696" s="17" t="n">
        <f aca="false">AVERAGE(B1677:B1696)-2*STDEV(B1677:B1696)</f>
        <v>11775.0125122483</v>
      </c>
      <c r="R1696" s="19" t="n">
        <f aca="false">B1696/B1676-1</f>
        <v>0.0760107785103241</v>
      </c>
      <c r="S1696" s="17" t="n">
        <f aca="false">STDEV(C1677:C1696)*SQRT(252)*100</f>
        <v>20.8461418591187</v>
      </c>
      <c r="T1696" s="19" t="n">
        <f aca="false">B1675/B1445-1</f>
        <v>-0.20979938737424</v>
      </c>
      <c r="U1696" s="19" t="n">
        <f aca="false">B1696/MAX(B1445:B1696)-1</f>
        <v>-0.157047033594675</v>
      </c>
      <c r="V1696" s="17" t="n">
        <f aca="false">(B1696-AVERAGE(B1677:B1696))/STDEV(B1677:B1696)</f>
        <v>1.48177505556895</v>
      </c>
    </row>
    <row r="1697" customFormat="false" ht="15" hidden="false" customHeight="false" outlineLevel="0" collapsed="false">
      <c r="A1697" s="17" t="s">
        <v>2261</v>
      </c>
      <c r="B1697" s="17" t="n">
        <v>12963.14</v>
      </c>
      <c r="C1697" s="19" t="n">
        <f aca="false">B1697/B1696-1</f>
        <v>0.00911643519437511</v>
      </c>
      <c r="D1697" s="17" t="n">
        <f aca="false">AVERAGE(B1648:B1697)</f>
        <v>12289.1814</v>
      </c>
      <c r="E1697" s="17" t="n">
        <f aca="false">AVERAGE(B1498:B1697)</f>
        <v>11919.8967</v>
      </c>
      <c r="F1697" s="17" t="n">
        <f aca="false">B1697*2/13+F1696*11/13</f>
        <v>12641.2082392923</v>
      </c>
      <c r="G1697" s="17" t="n">
        <f aca="false">B1697*2/27+G1696*25/27</f>
        <v>12455.2502269194</v>
      </c>
      <c r="H1697" s="17" t="n">
        <f aca="false">F1697-G1697</f>
        <v>185.958012372897</v>
      </c>
      <c r="I1697" s="17" t="n">
        <f aca="false">H1697*2/10+I1696*8/10</f>
        <v>140.963207150347</v>
      </c>
      <c r="J1697" s="17" t="n">
        <f aca="false">H1697-I1697</f>
        <v>44.99480522255</v>
      </c>
      <c r="K1697" s="17" t="n">
        <f aca="false">MAX(B1697-B1696,0)</f>
        <v>117.109999999999</v>
      </c>
      <c r="L1697" s="17" t="n">
        <f aca="false">MAX(B1696-B1697,0)</f>
        <v>0</v>
      </c>
      <c r="M1697" s="17" t="n">
        <f aca="false">(M1696*13+K1697)/14</f>
        <v>88.1843457230988</v>
      </c>
      <c r="N1697" s="17" t="n">
        <f aca="false">(N1696*13+L1697)/14</f>
        <v>48.3253210488756</v>
      </c>
      <c r="O1697" s="17" t="n">
        <f aca="false">IF(N1697=0,100,100-100/(1+M1697/N1697))</f>
        <v>64.5993414300848</v>
      </c>
      <c r="P1697" s="17" t="n">
        <f aca="false">AVERAGE(B1678:B1697)+2*STDEV(B1678:B1697)</f>
        <v>13079.259356832</v>
      </c>
      <c r="Q1697" s="17" t="n">
        <f aca="false">AVERAGE(B1678:B1697)-2*STDEV(B1678:B1697)</f>
        <v>11793.019643168</v>
      </c>
      <c r="R1697" s="19" t="n">
        <f aca="false">B1697/B1677-1</f>
        <v>0.0762374355223425</v>
      </c>
      <c r="S1697" s="17" t="n">
        <f aca="false">STDEV(C1678:C1697)*SQRT(252)*100</f>
        <v>20.8532442044183</v>
      </c>
      <c r="T1697" s="19" t="n">
        <f aca="false">B1676/B1446-1</f>
        <v>-0.207873775424558</v>
      </c>
      <c r="U1697" s="19" t="n">
        <f aca="false">B1697/MAX(B1446:B1697)-1</f>
        <v>-0.144887919058444</v>
      </c>
      <c r="V1697" s="17" t="n">
        <f aca="false">(B1697-AVERAGE(B1678:B1697))/STDEV(B1678:B1697)</f>
        <v>1.63888735327196</v>
      </c>
    </row>
    <row r="1698" customFormat="false" ht="15" hidden="false" customHeight="false" outlineLevel="0" collapsed="false">
      <c r="A1698" s="17" t="s">
        <v>2262</v>
      </c>
      <c r="B1698" s="17" t="n">
        <v>13181.35</v>
      </c>
      <c r="C1698" s="19" t="n">
        <f aca="false">B1698/B1697-1</f>
        <v>0.0168331129649144</v>
      </c>
      <c r="D1698" s="17" t="n">
        <f aca="false">AVERAGE(B1649:B1698)</f>
        <v>12326.895</v>
      </c>
      <c r="E1698" s="17" t="n">
        <f aca="false">AVERAGE(B1499:B1698)</f>
        <v>11929.245</v>
      </c>
      <c r="F1698" s="17" t="n">
        <f aca="false">B1698*2/13+F1697*11/13</f>
        <v>12724.3069717089</v>
      </c>
      <c r="G1698" s="17" t="n">
        <f aca="false">B1698*2/27+G1697*25/27</f>
        <v>12509.0353952957</v>
      </c>
      <c r="H1698" s="17" t="n">
        <f aca="false">F1698-G1698</f>
        <v>215.271576413128</v>
      </c>
      <c r="I1698" s="17" t="n">
        <f aca="false">H1698*2/10+I1697*8/10</f>
        <v>155.824881002904</v>
      </c>
      <c r="J1698" s="17" t="n">
        <f aca="false">H1698-I1698</f>
        <v>59.4466954102245</v>
      </c>
      <c r="K1698" s="17" t="n">
        <f aca="false">MAX(B1698-B1697,0)</f>
        <v>218.210000000001</v>
      </c>
      <c r="L1698" s="17" t="n">
        <f aca="false">MAX(B1697-B1698,0)</f>
        <v>0</v>
      </c>
      <c r="M1698" s="17" t="n">
        <f aca="false">(M1697*13+K1698)/14</f>
        <v>97.4718924571632</v>
      </c>
      <c r="N1698" s="17" t="n">
        <f aca="false">(N1697*13+L1698)/14</f>
        <v>44.8735124025274</v>
      </c>
      <c r="O1698" s="17" t="n">
        <f aca="false">IF(N1698=0,100,100-100/(1+M1698/N1698))</f>
        <v>68.4756157413307</v>
      </c>
      <c r="P1698" s="17" t="n">
        <f aca="false">AVERAGE(B1679:B1698)+2*STDEV(B1679:B1698)</f>
        <v>13200.1955733097</v>
      </c>
      <c r="Q1698" s="17" t="n">
        <f aca="false">AVERAGE(B1679:B1698)-2*STDEV(B1679:B1698)</f>
        <v>11761.1374266903</v>
      </c>
      <c r="R1698" s="19" t="n">
        <f aca="false">B1698/B1678-1</f>
        <v>0.0724557616625756</v>
      </c>
      <c r="S1698" s="17" t="n">
        <f aca="false">STDEV(C1679:C1698)*SQRT(252)*100</f>
        <v>20.5093949586794</v>
      </c>
      <c r="T1698" s="19" t="n">
        <f aca="false">B1677/B1447-1</f>
        <v>-0.188268482844279</v>
      </c>
      <c r="U1698" s="19" t="n">
        <f aca="false">B1698/MAX(B1447:B1698)-1</f>
        <v>-0.130493720802291</v>
      </c>
      <c r="V1698" s="17" t="n">
        <f aca="false">(B1698-AVERAGE(B1679:B1698))/STDEV(B1679:B1698)</f>
        <v>1.94761692332181</v>
      </c>
    </row>
    <row r="1699" customFormat="false" ht="15" hidden="false" customHeight="false" outlineLevel="0" collapsed="false">
      <c r="A1699" s="17" t="s">
        <v>2263</v>
      </c>
      <c r="B1699" s="17" t="n">
        <v>13148.35</v>
      </c>
      <c r="C1699" s="19" t="n">
        <f aca="false">B1699/B1698-1</f>
        <v>-0.00250353719459695</v>
      </c>
      <c r="D1699" s="17" t="n">
        <f aca="false">AVERAGE(B1650:B1699)</f>
        <v>12357.4814</v>
      </c>
      <c r="E1699" s="17" t="n">
        <f aca="false">AVERAGE(B1500:B1699)</f>
        <v>11937.0179</v>
      </c>
      <c r="F1699" s="17" t="n">
        <f aca="false">B1699*2/13+F1698*11/13</f>
        <v>12789.5443606767</v>
      </c>
      <c r="G1699" s="17" t="n">
        <f aca="false">B1699*2/27+G1698*25/27</f>
        <v>12556.3920326812</v>
      </c>
      <c r="H1699" s="17" t="n">
        <f aca="false">F1699-G1699</f>
        <v>233.152327995495</v>
      </c>
      <c r="I1699" s="17" t="n">
        <f aca="false">H1699*2/10+I1698*8/10</f>
        <v>171.290370401422</v>
      </c>
      <c r="J1699" s="17" t="n">
        <f aca="false">H1699-I1699</f>
        <v>61.8619575940728</v>
      </c>
      <c r="K1699" s="17" t="n">
        <f aca="false">MAX(B1699-B1698,0)</f>
        <v>0</v>
      </c>
      <c r="L1699" s="17" t="n">
        <f aca="false">MAX(B1698-B1699,0)</f>
        <v>33</v>
      </c>
      <c r="M1699" s="17" t="n">
        <f aca="false">(M1698*13+K1699)/14</f>
        <v>90.5096144245087</v>
      </c>
      <c r="N1699" s="17" t="n">
        <f aca="false">(N1698*13+L1699)/14</f>
        <v>44.0254043737754</v>
      </c>
      <c r="O1699" s="17" t="n">
        <f aca="false">IF(N1699=0,100,100-100/(1+M1699/N1699))</f>
        <v>67.2758774874926</v>
      </c>
      <c r="P1699" s="17" t="n">
        <f aca="false">AVERAGE(B1680:B1699)+2*STDEV(B1680:B1699)</f>
        <v>13295.8501248799</v>
      </c>
      <c r="Q1699" s="17" t="n">
        <f aca="false">AVERAGE(B1680:B1699)-2*STDEV(B1680:B1699)</f>
        <v>11750.0698751201</v>
      </c>
      <c r="R1699" s="19" t="n">
        <f aca="false">B1699/B1679-1</f>
        <v>0.0687560556895845</v>
      </c>
      <c r="S1699" s="17" t="n">
        <f aca="false">STDEV(C1680:C1699)*SQRT(252)*100</f>
        <v>20.6045994554061</v>
      </c>
      <c r="T1699" s="19" t="n">
        <f aca="false">B1678/B1448-1</f>
        <v>-0.172960344413409</v>
      </c>
      <c r="U1699" s="19" t="n">
        <f aca="false">B1699/MAX(B1448:B1699)-1</f>
        <v>-0.132670562113198</v>
      </c>
      <c r="V1699" s="17" t="n">
        <f aca="false">(B1699-AVERAGE(B1680:B1699))/STDEV(B1680:B1699)</f>
        <v>1.61831541086695</v>
      </c>
    </row>
    <row r="1700" customFormat="false" ht="15" hidden="false" customHeight="false" outlineLevel="0" collapsed="false">
      <c r="A1700" s="17" t="s">
        <v>2264</v>
      </c>
      <c r="B1700" s="17" t="n">
        <v>13100.08</v>
      </c>
      <c r="C1700" s="19" t="n">
        <f aca="false">B1700/B1699-1</f>
        <v>-0.00367118307620351</v>
      </c>
      <c r="D1700" s="17" t="n">
        <f aca="false">AVERAGE(B1651:B1700)</f>
        <v>12382.0322</v>
      </c>
      <c r="E1700" s="17" t="n">
        <f aca="false">AVERAGE(B1501:B1700)</f>
        <v>11946.88045</v>
      </c>
      <c r="F1700" s="17" t="n">
        <f aca="false">B1700*2/13+F1699*11/13</f>
        <v>12837.3190744188</v>
      </c>
      <c r="G1700" s="17" t="n">
        <f aca="false">B1700*2/27+G1699*25/27</f>
        <v>12596.6652154456</v>
      </c>
      <c r="H1700" s="17" t="n">
        <f aca="false">F1700-G1700</f>
        <v>240.653858973186</v>
      </c>
      <c r="I1700" s="17" t="n">
        <f aca="false">H1700*2/10+I1699*8/10</f>
        <v>185.163068115775</v>
      </c>
      <c r="J1700" s="17" t="n">
        <f aca="false">H1700-I1700</f>
        <v>55.4907908574116</v>
      </c>
      <c r="K1700" s="17" t="n">
        <f aca="false">MAX(B1700-B1699,0)</f>
        <v>0</v>
      </c>
      <c r="L1700" s="17" t="n">
        <f aca="false">MAX(B1699-B1700,0)</f>
        <v>48.2700000000004</v>
      </c>
      <c r="M1700" s="17" t="n">
        <f aca="false">(M1699*13+K1700)/14</f>
        <v>84.0446419656152</v>
      </c>
      <c r="N1700" s="17" t="n">
        <f aca="false">(N1699*13+L1700)/14</f>
        <v>44.3285897756486</v>
      </c>
      <c r="O1700" s="17" t="n">
        <f aca="false">IF(N1700=0,100,100-100/(1+M1700/N1700))</f>
        <v>65.4689773137496</v>
      </c>
      <c r="P1700" s="17" t="n">
        <f aca="false">AVERAGE(B1681:B1700)+2*STDEV(B1681:B1700)</f>
        <v>13363.4986862891</v>
      </c>
      <c r="Q1700" s="17" t="n">
        <f aca="false">AVERAGE(B1681:B1700)-2*STDEV(B1681:B1700)</f>
        <v>11777.2123137109</v>
      </c>
      <c r="R1700" s="19" t="n">
        <f aca="false">B1700/B1680-1</f>
        <v>0.0780033524876627</v>
      </c>
      <c r="S1700" s="17" t="n">
        <f aca="false">STDEV(C1681:C1700)*SQRT(252)*100</f>
        <v>19.9580313780403</v>
      </c>
      <c r="T1700" s="19" t="n">
        <f aca="false">B1679/B1449-1</f>
        <v>-0.188468282102802</v>
      </c>
      <c r="U1700" s="19" t="n">
        <f aca="false">B1700/MAX(B1449:B1700)-1</f>
        <v>-0.135854687267062</v>
      </c>
      <c r="V1700" s="17" t="n">
        <f aca="false">(B1700-AVERAGE(B1681:B1700))/STDEV(B1681:B1700)</f>
        <v>1.33576007247425</v>
      </c>
    </row>
    <row r="1701" customFormat="false" ht="15" hidden="false" customHeight="false" outlineLevel="0" collapsed="false">
      <c r="A1701" s="17" t="s">
        <v>2265</v>
      </c>
      <c r="B1701" s="17" t="n">
        <v>12967.2</v>
      </c>
      <c r="C1701" s="19" t="n">
        <f aca="false">B1701/B1700-1</f>
        <v>-0.0101434495056518</v>
      </c>
      <c r="D1701" s="17" t="n">
        <f aca="false">AVERAGE(B1652:B1701)</f>
        <v>12404.4434</v>
      </c>
      <c r="E1701" s="17" t="n">
        <f aca="false">AVERAGE(B1502:B1701)</f>
        <v>11955.3865</v>
      </c>
      <c r="F1701" s="17" t="n">
        <f aca="false">B1701*2/13+F1700*11/13</f>
        <v>12857.3007552774</v>
      </c>
      <c r="G1701" s="17" t="n">
        <f aca="false">B1701*2/27+G1700*25/27</f>
        <v>12624.1122365237</v>
      </c>
      <c r="H1701" s="17" t="n">
        <f aca="false">F1701-G1701</f>
        <v>233.188518753734</v>
      </c>
      <c r="I1701" s="17" t="n">
        <f aca="false">H1701*2/10+I1700*8/10</f>
        <v>194.768158243366</v>
      </c>
      <c r="J1701" s="17" t="n">
        <f aca="false">H1701-I1701</f>
        <v>38.4203605103672</v>
      </c>
      <c r="K1701" s="17" t="n">
        <f aca="false">MAX(B1701-B1700,0)</f>
        <v>0</v>
      </c>
      <c r="L1701" s="17" t="n">
        <f aca="false">MAX(B1700-B1701,0)</f>
        <v>132.879999999999</v>
      </c>
      <c r="M1701" s="17" t="n">
        <f aca="false">(M1700*13+K1701)/14</f>
        <v>78.0414532537856</v>
      </c>
      <c r="N1701" s="17" t="n">
        <f aca="false">(N1700*13+L1701)/14</f>
        <v>50.6536905059594</v>
      </c>
      <c r="O1701" s="17" t="n">
        <f aca="false">IF(N1701=0,100,100-100/(1+M1701/N1701))</f>
        <v>60.6405579681216</v>
      </c>
      <c r="P1701" s="17" t="n">
        <f aca="false">AVERAGE(B1682:B1701)+2*STDEV(B1682:B1701)</f>
        <v>13401.5137180161</v>
      </c>
      <c r="Q1701" s="17" t="n">
        <f aca="false">AVERAGE(B1682:B1701)-2*STDEV(B1682:B1701)</f>
        <v>11814.3842819839</v>
      </c>
      <c r="R1701" s="19" t="n">
        <f aca="false">B1701/B1681-1</f>
        <v>0.0615513457270496</v>
      </c>
      <c r="S1701" s="17" t="n">
        <f aca="false">STDEV(C1682:C1701)*SQRT(252)*100</f>
        <v>20.5533822751741</v>
      </c>
      <c r="T1701" s="19" t="n">
        <f aca="false">B1680/B1450-1</f>
        <v>-0.180050928974727</v>
      </c>
      <c r="U1701" s="19" t="n">
        <f aca="false">B1701/MAX(B1450:B1701)-1</f>
        <v>-0.125058027183711</v>
      </c>
      <c r="V1701" s="17" t="n">
        <f aca="false">(B1701-AVERAGE(B1682:B1701))/STDEV(B1682:B1701)</f>
        <v>0.905410716590613</v>
      </c>
    </row>
    <row r="1702" customFormat="false" ht="15" hidden="false" customHeight="false" outlineLevel="0" collapsed="false">
      <c r="A1702" s="17" t="s">
        <v>2266</v>
      </c>
      <c r="B1702" s="17" t="n">
        <v>13062.6</v>
      </c>
      <c r="C1702" s="19" t="n">
        <f aca="false">B1702/B1701-1</f>
        <v>0.00735702387562465</v>
      </c>
      <c r="D1702" s="17" t="n">
        <f aca="false">AVERAGE(B1653:B1702)</f>
        <v>12429.4016</v>
      </c>
      <c r="E1702" s="17" t="n">
        <f aca="false">AVERAGE(B1503:B1702)</f>
        <v>11962.9657</v>
      </c>
      <c r="F1702" s="17" t="n">
        <f aca="false">B1702*2/13+F1701*11/13</f>
        <v>12888.8852544655</v>
      </c>
      <c r="G1702" s="17" t="n">
        <f aca="false">B1702*2/27+G1701*25/27</f>
        <v>12656.592811596</v>
      </c>
      <c r="H1702" s="17" t="n">
        <f aca="false">F1702-G1702</f>
        <v>232.292442869502</v>
      </c>
      <c r="I1702" s="17" t="n">
        <f aca="false">H1702*2/10+I1701*8/10</f>
        <v>202.273015168594</v>
      </c>
      <c r="J1702" s="17" t="n">
        <f aca="false">H1702-I1702</f>
        <v>30.0194277009087</v>
      </c>
      <c r="K1702" s="17" t="n">
        <f aca="false">MAX(B1702-B1701,0)</f>
        <v>95.3999999999996</v>
      </c>
      <c r="L1702" s="17" t="n">
        <f aca="false">MAX(B1701-B1702,0)</f>
        <v>0</v>
      </c>
      <c r="M1702" s="17" t="n">
        <f aca="false">(M1701*13+K1702)/14</f>
        <v>79.2813494499437</v>
      </c>
      <c r="N1702" s="17" t="n">
        <f aca="false">(N1701*13+L1702)/14</f>
        <v>47.0355697555337</v>
      </c>
      <c r="O1702" s="17" t="n">
        <f aca="false">IF(N1702=0,100,100-100/(1+M1702/N1702))</f>
        <v>62.7638403062841</v>
      </c>
      <c r="P1702" s="17" t="n">
        <f aca="false">AVERAGE(B1683:B1702)+2*STDEV(B1683:B1702)</f>
        <v>13424.4464385464</v>
      </c>
      <c r="Q1702" s="17" t="n">
        <f aca="false">AVERAGE(B1683:B1702)-2*STDEV(B1683:B1702)</f>
        <v>11898.1235614536</v>
      </c>
      <c r="R1702" s="19" t="n">
        <f aca="false">B1702/B1682-1</f>
        <v>0.0889238638599252</v>
      </c>
      <c r="S1702" s="17" t="n">
        <f aca="false">STDEV(C1683:C1702)*SQRT(252)*100</f>
        <v>19.024678755233</v>
      </c>
      <c r="T1702" s="19" t="n">
        <f aca="false">B1681/B1451-1</f>
        <v>-0.157498953368154</v>
      </c>
      <c r="U1702" s="19" t="n">
        <f aca="false">B1702/MAX(B1451:B1702)-1</f>
        <v>-0.101103028459634</v>
      </c>
      <c r="V1702" s="17" t="n">
        <f aca="false">(B1702-AVERAGE(B1683:B1702))/STDEV(B1683:B1702)</f>
        <v>1.05171718519843</v>
      </c>
    </row>
    <row r="1703" customFormat="false" ht="15" hidden="false" customHeight="false" outlineLevel="0" collapsed="false">
      <c r="A1703" s="17" t="s">
        <v>2267</v>
      </c>
      <c r="B1703" s="17" t="n">
        <v>13051.23</v>
      </c>
      <c r="C1703" s="19" t="n">
        <f aca="false">B1703/B1702-1</f>
        <v>-0.000870423958476918</v>
      </c>
      <c r="D1703" s="17" t="n">
        <f aca="false">AVERAGE(B1654:B1703)</f>
        <v>12449.3966</v>
      </c>
      <c r="E1703" s="17" t="n">
        <f aca="false">AVERAGE(B1504:B1703)</f>
        <v>11970.5833</v>
      </c>
      <c r="F1703" s="17" t="n">
        <f aca="false">B1703*2/13+F1702*11/13</f>
        <v>12913.8613691631</v>
      </c>
      <c r="G1703" s="17" t="n">
        <f aca="false">B1703*2/27+G1702*25/27</f>
        <v>12685.8251959222</v>
      </c>
      <c r="H1703" s="17" t="n">
        <f aca="false">F1703-G1703</f>
        <v>228.036173240896</v>
      </c>
      <c r="I1703" s="17" t="n">
        <f aca="false">H1703*2/10+I1702*8/10</f>
        <v>207.425646783054</v>
      </c>
      <c r="J1703" s="17" t="n">
        <f aca="false">H1703-I1703</f>
        <v>20.6105264578423</v>
      </c>
      <c r="K1703" s="17" t="n">
        <f aca="false">MAX(B1703-B1702,0)</f>
        <v>0</v>
      </c>
      <c r="L1703" s="17" t="n">
        <f aca="false">MAX(B1702-B1703,0)</f>
        <v>11.3700000000008</v>
      </c>
      <c r="M1703" s="17" t="n">
        <f aca="false">(M1702*13+K1703)/14</f>
        <v>73.6183959178049</v>
      </c>
      <c r="N1703" s="17" t="n">
        <f aca="false">(N1702*13+L1703)/14</f>
        <v>44.48802905871</v>
      </c>
      <c r="O1703" s="17" t="n">
        <f aca="false">IF(N1703=0,100,100-100/(1+M1703/N1703))</f>
        <v>62.3322532473942</v>
      </c>
      <c r="P1703" s="17" t="n">
        <f aca="false">AVERAGE(B1684:B1703)+2*STDEV(B1684:B1703)</f>
        <v>13395.647145924</v>
      </c>
      <c r="Q1703" s="17" t="n">
        <f aca="false">AVERAGE(B1684:B1703)-2*STDEV(B1684:B1703)</f>
        <v>12049.017854076</v>
      </c>
      <c r="R1703" s="19" t="n">
        <f aca="false">B1703/B1683-1</f>
        <v>0.103205503166451</v>
      </c>
      <c r="S1703" s="17" t="n">
        <f aca="false">STDEV(C1684:C1703)*SQRT(252)*100</f>
        <v>17.9102067575124</v>
      </c>
      <c r="T1703" s="19" t="n">
        <f aca="false">B1682/B1452-1</f>
        <v>-0.174508887743509</v>
      </c>
      <c r="U1703" s="19" t="n">
        <f aca="false">B1703/MAX(B1452:B1703)-1</f>
        <v>-0.101885449919865</v>
      </c>
      <c r="V1703" s="17" t="n">
        <f aca="false">(B1703-AVERAGE(B1684:B1703))/STDEV(B1684:B1703)</f>
        <v>0.976950381195519</v>
      </c>
    </row>
    <row r="1704" customFormat="false" ht="15" hidden="false" customHeight="false" outlineLevel="0" collapsed="false">
      <c r="A1704" s="17" t="s">
        <v>2268</v>
      </c>
      <c r="B1704" s="17" t="n">
        <v>12964.15</v>
      </c>
      <c r="C1704" s="19" t="n">
        <f aca="false">B1704/B1703-1</f>
        <v>-0.00667216806385296</v>
      </c>
      <c r="D1704" s="17" t="n">
        <f aca="false">AVERAGE(B1655:B1704)</f>
        <v>12465.3476</v>
      </c>
      <c r="E1704" s="17" t="n">
        <f aca="false">AVERAGE(B1505:B1704)</f>
        <v>11976.91565</v>
      </c>
      <c r="F1704" s="17" t="n">
        <f aca="false">B1704*2/13+F1703*11/13</f>
        <v>12921.5980815996</v>
      </c>
      <c r="G1704" s="17" t="n">
        <f aca="false">B1704*2/27+G1703*25/27</f>
        <v>12706.4418480761</v>
      </c>
      <c r="H1704" s="17" t="n">
        <f aca="false">F1704-G1704</f>
        <v>215.15623352343</v>
      </c>
      <c r="I1704" s="17" t="n">
        <f aca="false">H1704*2/10+I1703*8/10</f>
        <v>208.971764131129</v>
      </c>
      <c r="J1704" s="17" t="n">
        <f aca="false">H1704-I1704</f>
        <v>6.18446939230086</v>
      </c>
      <c r="K1704" s="17" t="n">
        <f aca="false">MAX(B1704-B1703,0)</f>
        <v>0</v>
      </c>
      <c r="L1704" s="17" t="n">
        <f aca="false">MAX(B1703-B1704,0)</f>
        <v>87.0799999999999</v>
      </c>
      <c r="M1704" s="17" t="n">
        <f aca="false">(M1703*13+K1704)/14</f>
        <v>68.3599390665331</v>
      </c>
      <c r="N1704" s="17" t="n">
        <f aca="false">(N1703*13+L1704)/14</f>
        <v>47.5303126973735</v>
      </c>
      <c r="O1704" s="17" t="n">
        <f aca="false">IF(N1704=0,100,100-100/(1+M1704/N1704))</f>
        <v>58.986789679081</v>
      </c>
      <c r="P1704" s="17" t="n">
        <f aca="false">AVERAGE(B1685:B1704)+2*STDEV(B1685:B1704)</f>
        <v>13339.8915990964</v>
      </c>
      <c r="Q1704" s="17" t="n">
        <f aca="false">AVERAGE(B1685:B1704)-2*STDEV(B1685:B1704)</f>
        <v>12208.8714009036</v>
      </c>
      <c r="R1704" s="19" t="n">
        <f aca="false">B1704/B1684-1</f>
        <v>0.0873073184396431</v>
      </c>
      <c r="S1704" s="17" t="n">
        <f aca="false">STDEV(C1685:C1704)*SQRT(252)*100</f>
        <v>18.3385531961536</v>
      </c>
      <c r="T1704" s="19" t="n">
        <f aca="false">B1683/B1453-1</f>
        <v>-0.174281753803588</v>
      </c>
      <c r="U1704" s="19" t="n">
        <f aca="false">B1704/MAX(B1453:B1704)-1</f>
        <v>-0.0951410109120656</v>
      </c>
      <c r="V1704" s="17" t="n">
        <f aca="false">(B1704-AVERAGE(B1685:B1704))/STDEV(B1685:B1704)</f>
        <v>0.671140976273377</v>
      </c>
    </row>
    <row r="1705" customFormat="false" ht="15" hidden="false" customHeight="false" outlineLevel="0" collapsed="false">
      <c r="A1705" s="17" t="s">
        <v>2269</v>
      </c>
      <c r="B1705" s="17" t="n">
        <v>12848.35</v>
      </c>
      <c r="C1705" s="19" t="n">
        <f aca="false">B1705/B1704-1</f>
        <v>-0.00893232491139018</v>
      </c>
      <c r="D1705" s="17" t="n">
        <f aca="false">AVERAGE(B1656:B1705)</f>
        <v>12484.0668</v>
      </c>
      <c r="E1705" s="17" t="n">
        <f aca="false">AVERAGE(B1506:B1705)</f>
        <v>11980.62815</v>
      </c>
      <c r="F1705" s="17" t="n">
        <f aca="false">B1705*2/13+F1704*11/13</f>
        <v>12910.3291459689</v>
      </c>
      <c r="G1705" s="17" t="n">
        <f aca="false">B1705*2/27+G1704*25/27</f>
        <v>12716.9535630335</v>
      </c>
      <c r="H1705" s="17" t="n">
        <f aca="false">F1705-G1705</f>
        <v>193.375582935401</v>
      </c>
      <c r="I1705" s="17" t="n">
        <f aca="false">H1705*2/10+I1704*8/10</f>
        <v>205.852527891984</v>
      </c>
      <c r="J1705" s="17" t="n">
        <f aca="false">H1705-I1705</f>
        <v>-12.4769449565825</v>
      </c>
      <c r="K1705" s="17" t="n">
        <f aca="false">MAX(B1705-B1704,0)</f>
        <v>0</v>
      </c>
      <c r="L1705" s="17" t="n">
        <f aca="false">MAX(B1704-B1705,0)</f>
        <v>115.799999999999</v>
      </c>
      <c r="M1705" s="17" t="n">
        <f aca="false">(M1704*13+K1705)/14</f>
        <v>63.4770862760665</v>
      </c>
      <c r="N1705" s="17" t="n">
        <f aca="false">(N1704*13+L1705)/14</f>
        <v>52.4067189332754</v>
      </c>
      <c r="O1705" s="17" t="n">
        <f aca="false">IF(N1705=0,100,100-100/(1+M1705/N1705))</f>
        <v>54.7764945769569</v>
      </c>
      <c r="P1705" s="17" t="n">
        <f aca="false">AVERAGE(B1686:B1705)+2*STDEV(B1686:B1705)</f>
        <v>13303.8200127121</v>
      </c>
      <c r="Q1705" s="17" t="n">
        <f aca="false">AVERAGE(B1686:B1705)-2*STDEV(B1686:B1705)</f>
        <v>12309.7989872879</v>
      </c>
      <c r="R1705" s="19" t="n">
        <f aca="false">B1705/B1685-1</f>
        <v>0.0531615708139237</v>
      </c>
      <c r="S1705" s="17" t="n">
        <f aca="false">STDEV(C1686:C1705)*SQRT(252)*100</f>
        <v>17.4623309444314</v>
      </c>
      <c r="T1705" s="19" t="n">
        <f aca="false">B1684/B1454-1</f>
        <v>-0.147749033073842</v>
      </c>
      <c r="U1705" s="19" t="n">
        <f aca="false">B1705/MAX(B1454:B1705)-1</f>
        <v>-0.0962869857757702</v>
      </c>
      <c r="V1705" s="17" t="n">
        <f aca="false">(B1705-AVERAGE(B1686:B1705))/STDEV(B1686:B1705)</f>
        <v>0.167161454084036</v>
      </c>
    </row>
    <row r="1706" customFormat="false" ht="15" hidden="false" customHeight="false" outlineLevel="0" collapsed="false">
      <c r="A1706" s="17" t="s">
        <v>2270</v>
      </c>
      <c r="B1706" s="17" t="n">
        <v>13109.39</v>
      </c>
      <c r="C1706" s="19" t="n">
        <f aca="false">B1706/B1705-1</f>
        <v>0.0203170056855548</v>
      </c>
      <c r="D1706" s="17" t="n">
        <f aca="false">AVERAGE(B1657:B1706)</f>
        <v>12504.216</v>
      </c>
      <c r="E1706" s="17" t="n">
        <f aca="false">AVERAGE(B1507:B1706)</f>
        <v>11986.1339</v>
      </c>
      <c r="F1706" s="17" t="n">
        <f aca="false">B1706*2/13+F1705*11/13</f>
        <v>12940.9538927429</v>
      </c>
      <c r="G1706" s="17" t="n">
        <f aca="false">B1706*2/27+G1705*25/27</f>
        <v>12746.0229287347</v>
      </c>
      <c r="H1706" s="17" t="n">
        <f aca="false">F1706-G1706</f>
        <v>194.930964008196</v>
      </c>
      <c r="I1706" s="17" t="n">
        <f aca="false">H1706*2/10+I1705*8/10</f>
        <v>203.668215115226</v>
      </c>
      <c r="J1706" s="17" t="n">
        <f aca="false">H1706-I1706</f>
        <v>-8.7372511070306</v>
      </c>
      <c r="K1706" s="17" t="n">
        <f aca="false">MAX(B1706-B1705,0)</f>
        <v>261.039999999999</v>
      </c>
      <c r="L1706" s="17" t="n">
        <f aca="false">MAX(B1705-B1706,0)</f>
        <v>0</v>
      </c>
      <c r="M1706" s="17" t="n">
        <f aca="false">(M1705*13+K1706)/14</f>
        <v>77.5887229706331</v>
      </c>
      <c r="N1706" s="17" t="n">
        <f aca="false">(N1705*13+L1706)/14</f>
        <v>48.6633818666128</v>
      </c>
      <c r="O1706" s="17" t="n">
        <f aca="false">IF(N1706=0,100,100-100/(1+M1706/N1706))</f>
        <v>61.4553896512492</v>
      </c>
      <c r="P1706" s="17" t="n">
        <f aca="false">AVERAGE(B1687:B1706)+2*STDEV(B1687:B1706)</f>
        <v>13289.6925579988</v>
      </c>
      <c r="Q1706" s="17" t="n">
        <f aca="false">AVERAGE(B1687:B1706)-2*STDEV(B1687:B1706)</f>
        <v>12409.7334420012</v>
      </c>
      <c r="R1706" s="19" t="n">
        <f aca="false">B1706/B1686-1</f>
        <v>0.0700389835544251</v>
      </c>
      <c r="S1706" s="17" t="n">
        <f aca="false">STDEV(C1687:C1706)*SQRT(252)*100</f>
        <v>18.5548659814973</v>
      </c>
      <c r="T1706" s="19" t="n">
        <f aca="false">B1685/B1455-1</f>
        <v>-0.124850791664993</v>
      </c>
      <c r="U1706" s="19" t="n">
        <f aca="false">B1706/MAX(B1455:B1706)-1</f>
        <v>-0.0779262433276666</v>
      </c>
      <c r="V1706" s="17" t="n">
        <f aca="false">(B1706-AVERAGE(B1687:B1706))/STDEV(B1687:B1706)</f>
        <v>1.18040484053894</v>
      </c>
    </row>
    <row r="1707" customFormat="false" ht="15" hidden="false" customHeight="false" outlineLevel="0" collapsed="false">
      <c r="A1707" s="17" t="s">
        <v>2271</v>
      </c>
      <c r="B1707" s="17" t="n">
        <v>13079.52</v>
      </c>
      <c r="C1707" s="19" t="n">
        <f aca="false">B1707/B1706-1</f>
        <v>-0.00227851944293356</v>
      </c>
      <c r="D1707" s="17" t="n">
        <f aca="false">AVERAGE(B1658:B1707)</f>
        <v>12518.5444</v>
      </c>
      <c r="E1707" s="17" t="n">
        <f aca="false">AVERAGE(B1508:B1707)</f>
        <v>11993.34265</v>
      </c>
      <c r="F1707" s="17" t="n">
        <f aca="false">B1707*2/13+F1706*11/13</f>
        <v>12962.2717553978</v>
      </c>
      <c r="G1707" s="17" t="n">
        <f aca="false">B1707*2/27+G1706*25/27</f>
        <v>12770.7264154951</v>
      </c>
      <c r="H1707" s="17" t="n">
        <f aca="false">F1707-G1707</f>
        <v>191.545339902745</v>
      </c>
      <c r="I1707" s="17" t="n">
        <f aca="false">H1707*2/10+I1706*8/10</f>
        <v>201.24364007273</v>
      </c>
      <c r="J1707" s="17" t="n">
        <f aca="false">H1707-I1707</f>
        <v>-9.6983001699852</v>
      </c>
      <c r="K1707" s="17" t="n">
        <f aca="false">MAX(B1707-B1706,0)</f>
        <v>0</v>
      </c>
      <c r="L1707" s="17" t="n">
        <f aca="false">MAX(B1706-B1707,0)</f>
        <v>29.869999999999</v>
      </c>
      <c r="M1707" s="17" t="n">
        <f aca="false">(M1706*13+K1707)/14</f>
        <v>72.0466713298736</v>
      </c>
      <c r="N1707" s="17" t="n">
        <f aca="false">(N1706*13+L1707)/14</f>
        <v>47.320997447569</v>
      </c>
      <c r="O1707" s="17" t="n">
        <f aca="false">IF(N1707=0,100,100-100/(1+M1707/N1707))</f>
        <v>60.3569392514504</v>
      </c>
      <c r="P1707" s="17" t="n">
        <f aca="false">AVERAGE(B1688:B1707)+2*STDEV(B1688:B1707)</f>
        <v>13306.9745939472</v>
      </c>
      <c r="Q1707" s="17" t="n">
        <f aca="false">AVERAGE(B1688:B1707)-2*STDEV(B1688:B1707)</f>
        <v>12442.2644060528</v>
      </c>
      <c r="R1707" s="19" t="n">
        <f aca="false">B1707/B1687-1</f>
        <v>0.0395926046327155</v>
      </c>
      <c r="S1707" s="17" t="n">
        <f aca="false">STDEV(C1688:C1707)*SQRT(252)*100</f>
        <v>16.426151030739</v>
      </c>
      <c r="T1707" s="19" t="n">
        <f aca="false">B1686/B1456-1</f>
        <v>-0.138280220773439</v>
      </c>
      <c r="U1707" s="19" t="n">
        <f aca="false">B1707/MAX(B1456:B1707)-1</f>
        <v>-0.0800272063100633</v>
      </c>
      <c r="V1707" s="17" t="n">
        <f aca="false">(B1707-AVERAGE(B1688:B1707))/STDEV(B1688:B1707)</f>
        <v>0.947834328164596</v>
      </c>
    </row>
    <row r="1708" customFormat="false" ht="15" hidden="false" customHeight="false" outlineLevel="0" collapsed="false">
      <c r="A1708" s="17" t="s">
        <v>2272</v>
      </c>
      <c r="B1708" s="17" t="n">
        <v>13087.71</v>
      </c>
      <c r="C1708" s="19" t="n">
        <f aca="false">B1708/B1707-1</f>
        <v>0.000626169767697693</v>
      </c>
      <c r="D1708" s="17" t="n">
        <f aca="false">AVERAGE(B1659:B1708)</f>
        <v>12524.2358</v>
      </c>
      <c r="E1708" s="17" t="n">
        <f aca="false">AVERAGE(B1509:B1708)</f>
        <v>12000.4899</v>
      </c>
      <c r="F1708" s="17" t="n">
        <f aca="false">B1708*2/13+F1707*11/13</f>
        <v>12981.5699468751</v>
      </c>
      <c r="G1708" s="17" t="n">
        <f aca="false">B1708*2/27+G1707*25/27</f>
        <v>12794.206681014</v>
      </c>
      <c r="H1708" s="17" t="n">
        <f aca="false">F1708-G1708</f>
        <v>187.363265861122</v>
      </c>
      <c r="I1708" s="17" t="n">
        <f aca="false">H1708*2/10+I1707*8/10</f>
        <v>198.467565230408</v>
      </c>
      <c r="J1708" s="17" t="n">
        <f aca="false">H1708-I1708</f>
        <v>-11.1042993692861</v>
      </c>
      <c r="K1708" s="17" t="n">
        <f aca="false">MAX(B1708-B1707,0)</f>
        <v>8.18999999999869</v>
      </c>
      <c r="L1708" s="17" t="n">
        <f aca="false">MAX(B1707-B1708,0)</f>
        <v>0</v>
      </c>
      <c r="M1708" s="17" t="n">
        <f aca="false">(M1707*13+K1708)/14</f>
        <v>67.4854805205968</v>
      </c>
      <c r="N1708" s="17" t="n">
        <f aca="false">(N1707*13+L1708)/14</f>
        <v>43.9409262013141</v>
      </c>
      <c r="O1708" s="17" t="n">
        <f aca="false">IF(N1708=0,100,100-100/(1+M1708/N1708))</f>
        <v>60.5650693636937</v>
      </c>
      <c r="P1708" s="17" t="n">
        <f aca="false">AVERAGE(B1689:B1708)+2*STDEV(B1689:B1708)</f>
        <v>13311.182225005</v>
      </c>
      <c r="Q1708" s="17" t="n">
        <f aca="false">AVERAGE(B1689:B1708)-2*STDEV(B1689:B1708)</f>
        <v>12494.839774995</v>
      </c>
      <c r="R1708" s="19" t="n">
        <f aca="false">B1708/B1688-1</f>
        <v>0.0453542685712642</v>
      </c>
      <c r="S1708" s="17" t="n">
        <f aca="false">STDEV(C1689:C1708)*SQRT(252)*100</f>
        <v>16.2351929001432</v>
      </c>
      <c r="T1708" s="19" t="n">
        <f aca="false">B1687/B1457-1</f>
        <v>-0.0944216635320418</v>
      </c>
      <c r="U1708" s="19" t="n">
        <f aca="false">B1708/MAX(B1457:B1708)-1</f>
        <v>-0.0789957396979366</v>
      </c>
      <c r="V1708" s="17" t="n">
        <f aca="false">(B1708-AVERAGE(B1689:B1708))/STDEV(B1689:B1708)</f>
        <v>0.905007451212287</v>
      </c>
    </row>
    <row r="1709" customFormat="false" ht="15" hidden="false" customHeight="false" outlineLevel="0" collapsed="false">
      <c r="A1709" s="17" t="s">
        <v>2273</v>
      </c>
      <c r="B1709" s="17" t="n">
        <v>13091.79</v>
      </c>
      <c r="C1709" s="19" t="n">
        <f aca="false">B1709/B1708-1</f>
        <v>0.000311742848825514</v>
      </c>
      <c r="D1709" s="17" t="n">
        <f aca="false">AVERAGE(B1660:B1709)</f>
        <v>12534.6044</v>
      </c>
      <c r="E1709" s="17" t="n">
        <f aca="false">AVERAGE(B1510:B1709)</f>
        <v>12008.43025</v>
      </c>
      <c r="F1709" s="17" t="n">
        <f aca="false">B1709*2/13+F1708*11/13</f>
        <v>12998.5268781251</v>
      </c>
      <c r="G1709" s="17" t="n">
        <f aca="false">B1709*2/27+G1708*25/27</f>
        <v>12816.2498898277</v>
      </c>
      <c r="H1709" s="17" t="n">
        <f aca="false">F1709-G1709</f>
        <v>182.27698829733</v>
      </c>
      <c r="I1709" s="17" t="n">
        <f aca="false">H1709*2/10+I1708*8/10</f>
        <v>195.229449843793</v>
      </c>
      <c r="J1709" s="17" t="n">
        <f aca="false">H1709-I1709</f>
        <v>-12.9524615464628</v>
      </c>
      <c r="K1709" s="17" t="n">
        <f aca="false">MAX(B1709-B1708,0)</f>
        <v>4.08000000000175</v>
      </c>
      <c r="L1709" s="17" t="n">
        <f aca="false">MAX(B1708-B1709,0)</f>
        <v>0</v>
      </c>
      <c r="M1709" s="17" t="n">
        <f aca="false">(M1708*13+K1709)/14</f>
        <v>62.9565176262686</v>
      </c>
      <c r="N1709" s="17" t="n">
        <f aca="false">(N1708*13+L1709)/14</f>
        <v>40.8022886155059</v>
      </c>
      <c r="O1709" s="17" t="n">
        <f aca="false">IF(N1709=0,100,100-100/(1+M1709/N1709))</f>
        <v>60.6758307141371</v>
      </c>
      <c r="P1709" s="17" t="n">
        <f aca="false">AVERAGE(B1690:B1709)+2*STDEV(B1690:B1709)</f>
        <v>13312.5684218187</v>
      </c>
      <c r="Q1709" s="17" t="n">
        <f aca="false">AVERAGE(B1690:B1709)-2*STDEV(B1690:B1709)</f>
        <v>12546.3715781813</v>
      </c>
      <c r="R1709" s="19" t="n">
        <f aca="false">B1709/B1689-1</f>
        <v>0.0421234122527086</v>
      </c>
      <c r="S1709" s="17" t="n">
        <f aca="false">STDEV(C1690:C1709)*SQRT(252)*100</f>
        <v>16.2435468850476</v>
      </c>
      <c r="T1709" s="19" t="n">
        <f aca="false">B1688/B1458-1</f>
        <v>-0.0999859101875096</v>
      </c>
      <c r="U1709" s="19" t="n">
        <f aca="false">B1709/MAX(B1458:B1709)-1</f>
        <v>-0.0787086232060497</v>
      </c>
      <c r="V1709" s="17" t="n">
        <f aca="false">(B1709-AVERAGE(B1690:B1709))/STDEV(B1690:B1709)</f>
        <v>0.847406257793497</v>
      </c>
    </row>
    <row r="1710" customFormat="false" ht="15" hidden="false" customHeight="false" outlineLevel="0" collapsed="false">
      <c r="A1710" s="17" t="s">
        <v>2274</v>
      </c>
      <c r="B1710" s="17" t="n">
        <v>13088.71</v>
      </c>
      <c r="C1710" s="19" t="n">
        <f aca="false">B1710/B1709-1</f>
        <v>-0.000235261946609389</v>
      </c>
      <c r="D1710" s="17" t="n">
        <f aca="false">AVERAGE(B1661:B1710)</f>
        <v>12547.0884</v>
      </c>
      <c r="E1710" s="17" t="n">
        <f aca="false">AVERAGE(B1511:B1710)</f>
        <v>12015.9454</v>
      </c>
      <c r="F1710" s="17" t="n">
        <f aca="false">B1710*2/13+F1709*11/13</f>
        <v>13012.4012045674</v>
      </c>
      <c r="G1710" s="17" t="n">
        <f aca="false">B1710*2/27+G1709*25/27</f>
        <v>12836.4321202109</v>
      </c>
      <c r="H1710" s="17" t="n">
        <f aca="false">F1710-G1710</f>
        <v>175.969084356495</v>
      </c>
      <c r="I1710" s="17" t="n">
        <f aca="false">H1710*2/10+I1709*8/10</f>
        <v>191.377376746333</v>
      </c>
      <c r="J1710" s="17" t="n">
        <f aca="false">H1710-I1710</f>
        <v>-15.4082923898382</v>
      </c>
      <c r="K1710" s="17" t="n">
        <f aca="false">MAX(B1710-B1709,0)</f>
        <v>0</v>
      </c>
      <c r="L1710" s="17" t="n">
        <f aca="false">MAX(B1709-B1710,0)</f>
        <v>3.08000000000175</v>
      </c>
      <c r="M1710" s="17" t="n">
        <f aca="false">(M1709*13+K1710)/14</f>
        <v>58.4596235101065</v>
      </c>
      <c r="N1710" s="17" t="n">
        <f aca="false">(N1709*13+L1710)/14</f>
        <v>38.1078394286842</v>
      </c>
      <c r="O1710" s="17" t="n">
        <f aca="false">IF(N1710=0,100,100-100/(1+M1710/N1710))</f>
        <v>60.5375990328763</v>
      </c>
      <c r="P1710" s="17" t="n">
        <f aca="false">AVERAGE(B1691:B1710)+2*STDEV(B1691:B1710)</f>
        <v>13325.5024090833</v>
      </c>
      <c r="Q1710" s="17" t="n">
        <f aca="false">AVERAGE(B1691:B1710)-2*STDEV(B1691:B1710)</f>
        <v>12568.1645909167</v>
      </c>
      <c r="R1710" s="19" t="n">
        <f aca="false">B1710/B1690-1</f>
        <v>0.0272551611120877</v>
      </c>
      <c r="S1710" s="17" t="n">
        <f aca="false">STDEV(C1691:C1710)*SQRT(252)*100</f>
        <v>15.6112890155878</v>
      </c>
      <c r="T1710" s="19" t="n">
        <f aca="false">B1689/B1459-1</f>
        <v>-0.115947913690531</v>
      </c>
      <c r="U1710" s="19" t="n">
        <f aca="false">B1710/MAX(B1459:B1710)-1</f>
        <v>-0.0789253680087487</v>
      </c>
      <c r="V1710" s="17" t="n">
        <f aca="false">(B1710-AVERAGE(B1691:B1710))/STDEV(B1691:B1710)</f>
        <v>0.749343273750528</v>
      </c>
    </row>
    <row r="1711" customFormat="false" ht="15" hidden="false" customHeight="false" outlineLevel="0" collapsed="false">
      <c r="A1711" s="17" t="s">
        <v>2275</v>
      </c>
      <c r="B1711" s="17" t="n">
        <v>12985.98</v>
      </c>
      <c r="C1711" s="19" t="n">
        <f aca="false">B1711/B1710-1</f>
        <v>-0.00784874903638322</v>
      </c>
      <c r="D1711" s="17" t="n">
        <f aca="false">AVERAGE(B1662:B1711)</f>
        <v>12552.2426</v>
      </c>
      <c r="E1711" s="17" t="n">
        <f aca="false">AVERAGE(B1512:B1711)</f>
        <v>12021.9758</v>
      </c>
      <c r="F1711" s="17" t="n">
        <f aca="false">B1711*2/13+F1710*11/13</f>
        <v>13008.3364038647</v>
      </c>
      <c r="G1711" s="17" t="n">
        <f aca="false">B1711*2/27+G1710*25/27</f>
        <v>12847.509740936</v>
      </c>
      <c r="H1711" s="17" t="n">
        <f aca="false">F1711-G1711</f>
        <v>160.826662928705</v>
      </c>
      <c r="I1711" s="17" t="n">
        <f aca="false">H1711*2/10+I1710*8/10</f>
        <v>185.267233982807</v>
      </c>
      <c r="J1711" s="17" t="n">
        <f aca="false">H1711-I1711</f>
        <v>-24.4405710541028</v>
      </c>
      <c r="K1711" s="17" t="n">
        <f aca="false">MAX(B1711-B1710,0)</f>
        <v>0</v>
      </c>
      <c r="L1711" s="17" t="n">
        <f aca="false">MAX(B1710-B1711,0)</f>
        <v>102.73</v>
      </c>
      <c r="M1711" s="17" t="n">
        <f aca="false">(M1710*13+K1711)/14</f>
        <v>54.2839361165275</v>
      </c>
      <c r="N1711" s="17" t="n">
        <f aca="false">(N1710*13+L1711)/14</f>
        <v>42.723708040921</v>
      </c>
      <c r="O1711" s="17" t="n">
        <f aca="false">IF(N1711=0,100,100-100/(1+M1711/N1711))</f>
        <v>55.9584108943227</v>
      </c>
      <c r="P1711" s="17" t="n">
        <f aca="false">AVERAGE(B1692:B1711)+2*STDEV(B1692:B1711)</f>
        <v>13301.7164186571</v>
      </c>
      <c r="Q1711" s="17" t="n">
        <f aca="false">AVERAGE(B1692:B1711)-2*STDEV(B1692:B1711)</f>
        <v>12633.8335813429</v>
      </c>
      <c r="R1711" s="19" t="n">
        <f aca="false">B1711/B1691-1</f>
        <v>0.0333273653931083</v>
      </c>
      <c r="S1711" s="17" t="n">
        <f aca="false">STDEV(C1692:C1711)*SQRT(252)*100</f>
        <v>14.9896177437061</v>
      </c>
      <c r="T1711" s="19" t="n">
        <f aca="false">B1690/B1460-1</f>
        <v>-0.0898015720222052</v>
      </c>
      <c r="U1711" s="19" t="n">
        <f aca="false">B1711/MAX(B1460:B1711)-1</f>
        <v>-0.0723325949224669</v>
      </c>
      <c r="V1711" s="17" t="n">
        <f aca="false">(B1711-AVERAGE(B1692:B1711))/STDEV(B1692:B1711)</f>
        <v>0.109031099365914</v>
      </c>
    </row>
    <row r="1712" customFormat="false" ht="15" hidden="false" customHeight="false" outlineLevel="0" collapsed="false">
      <c r="A1712" s="17" t="s">
        <v>2276</v>
      </c>
      <c r="B1712" s="17" t="n">
        <v>13000.77</v>
      </c>
      <c r="C1712" s="19" t="n">
        <f aca="false">B1712/B1711-1</f>
        <v>0.00113892058974385</v>
      </c>
      <c r="D1712" s="17" t="n">
        <f aca="false">AVERAGE(B1663:B1712)</f>
        <v>12562.3504</v>
      </c>
      <c r="E1712" s="17" t="n">
        <f aca="false">AVERAGE(B1513:B1712)</f>
        <v>12027.7167</v>
      </c>
      <c r="F1712" s="17" t="n">
        <f aca="false">B1712*2/13+F1711*11/13</f>
        <v>13007.1723417317</v>
      </c>
      <c r="G1712" s="17" t="n">
        <f aca="false">B1712*2/27+G1711*25/27</f>
        <v>12858.8623527185</v>
      </c>
      <c r="H1712" s="17" t="n">
        <f aca="false">F1712-G1712</f>
        <v>148.309989013154</v>
      </c>
      <c r="I1712" s="17" t="n">
        <f aca="false">H1712*2/10+I1711*8/10</f>
        <v>177.875784988877</v>
      </c>
      <c r="J1712" s="17" t="n">
        <f aca="false">H1712-I1712</f>
        <v>-29.5657959757224</v>
      </c>
      <c r="K1712" s="17" t="n">
        <f aca="false">MAX(B1712-B1711,0)</f>
        <v>14.7900000000009</v>
      </c>
      <c r="L1712" s="17" t="n">
        <f aca="false">MAX(B1711-B1712,0)</f>
        <v>0</v>
      </c>
      <c r="M1712" s="17" t="n">
        <f aca="false">(M1711*13+K1712)/14</f>
        <v>51.4629406796327</v>
      </c>
      <c r="N1712" s="17" t="n">
        <f aca="false">(N1711*13+L1712)/14</f>
        <v>39.6720146094266</v>
      </c>
      <c r="O1712" s="17" t="n">
        <f aca="false">IF(N1712=0,100,100-100/(1+M1712/N1712))</f>
        <v>56.4689372111985</v>
      </c>
      <c r="P1712" s="17" t="n">
        <f aca="false">AVERAGE(B1693:B1712)+2*STDEV(B1693:B1712)</f>
        <v>13295.9790614787</v>
      </c>
      <c r="Q1712" s="17" t="n">
        <f aca="false">AVERAGE(B1693:B1712)-2*STDEV(B1693:B1712)</f>
        <v>12666.7249385213</v>
      </c>
      <c r="R1712" s="19" t="n">
        <f aca="false">B1712/B1692-1</f>
        <v>0.0213320051566357</v>
      </c>
      <c r="S1712" s="17" t="n">
        <f aca="false">STDEV(C1693:C1712)*SQRT(252)*100</f>
        <v>14.392034992554</v>
      </c>
      <c r="T1712" s="19" t="n">
        <f aca="false">B1691/B1461-1</f>
        <v>-0.084057009791953</v>
      </c>
      <c r="U1712" s="19" t="n">
        <f aca="false">B1712/MAX(B1461:B1712)-1</f>
        <v>-0.0524530900954415</v>
      </c>
      <c r="V1712" s="17" t="n">
        <f aca="false">(B1712-AVERAGE(B1693:B1712))/STDEV(B1693:B1712)</f>
        <v>0.123435027544907</v>
      </c>
    </row>
    <row r="1713" customFormat="false" ht="15" hidden="false" customHeight="false" outlineLevel="0" collapsed="false">
      <c r="A1713" s="17" t="s">
        <v>2277</v>
      </c>
      <c r="B1713" s="17" t="n">
        <v>12969.76</v>
      </c>
      <c r="C1713" s="19" t="n">
        <f aca="false">B1713/B1712-1</f>
        <v>-0.0023852433355871</v>
      </c>
      <c r="D1713" s="17" t="n">
        <f aca="false">AVERAGE(B1664:B1713)</f>
        <v>12574.1222</v>
      </c>
      <c r="E1713" s="17" t="n">
        <f aca="false">AVERAGE(B1514:B1713)</f>
        <v>12032.02025</v>
      </c>
      <c r="F1713" s="17" t="n">
        <f aca="false">B1713*2/13+F1712*11/13</f>
        <v>13001.4165968499</v>
      </c>
      <c r="G1713" s="17" t="n">
        <f aca="false">B1713*2/27+G1712*25/27</f>
        <v>12867.0769932579</v>
      </c>
      <c r="H1713" s="17" t="n">
        <f aca="false">F1713-G1713</f>
        <v>134.33960359199</v>
      </c>
      <c r="I1713" s="17" t="n">
        <f aca="false">H1713*2/10+I1712*8/10</f>
        <v>169.1685487095</v>
      </c>
      <c r="J1713" s="17" t="n">
        <f aca="false">H1713-I1713</f>
        <v>-34.8289451175091</v>
      </c>
      <c r="K1713" s="17" t="n">
        <f aca="false">MAX(B1713-B1712,0)</f>
        <v>0</v>
      </c>
      <c r="L1713" s="17" t="n">
        <f aca="false">MAX(B1712-B1713,0)</f>
        <v>31.0100000000002</v>
      </c>
      <c r="M1713" s="17" t="n">
        <f aca="false">(M1712*13+K1713)/14</f>
        <v>47.7870163453733</v>
      </c>
      <c r="N1713" s="17" t="n">
        <f aca="false">(N1712*13+L1713)/14</f>
        <v>39.0532992801819</v>
      </c>
      <c r="O1713" s="17" t="n">
        <f aca="false">IF(N1713=0,100,100-100/(1+M1713/N1713))</f>
        <v>55.0286073940876</v>
      </c>
      <c r="P1713" s="17" t="n">
        <f aca="false">AVERAGE(B1694:B1713)+2*STDEV(B1694:B1713)</f>
        <v>13289.6777791225</v>
      </c>
      <c r="Q1713" s="17" t="n">
        <f aca="false">AVERAGE(B1694:B1713)-2*STDEV(B1694:B1713)</f>
        <v>12693.2972208775</v>
      </c>
      <c r="R1713" s="19" t="n">
        <f aca="false">B1713/B1693-1</f>
        <v>0.0158775911428248</v>
      </c>
      <c r="S1713" s="17" t="n">
        <f aca="false">STDEV(C1694:C1713)*SQRT(252)*100</f>
        <v>14.4249658270054</v>
      </c>
      <c r="T1713" s="19" t="n">
        <f aca="false">B1692/B1462-1</f>
        <v>-0.0469900508128028</v>
      </c>
      <c r="U1713" s="19" t="n">
        <f aca="false">B1713/MAX(B1462:B1713)-1</f>
        <v>-0.0510288150152409</v>
      </c>
      <c r="V1713" s="17" t="n">
        <f aca="false">(B1713-AVERAGE(B1694:B1713))/STDEV(B1694:B1713)</f>
        <v>-0.145729096628752</v>
      </c>
    </row>
    <row r="1714" customFormat="false" ht="15" hidden="false" customHeight="false" outlineLevel="0" collapsed="false">
      <c r="A1714" s="17" t="s">
        <v>2278</v>
      </c>
      <c r="B1714" s="17" t="n">
        <v>12725.11</v>
      </c>
      <c r="C1714" s="19" t="n">
        <f aca="false">B1714/B1713-1</f>
        <v>-0.0188631092633942</v>
      </c>
      <c r="D1714" s="17" t="n">
        <f aca="false">AVERAGE(B1665:B1714)</f>
        <v>12582.526</v>
      </c>
      <c r="E1714" s="17" t="n">
        <f aca="false">AVERAGE(B1515:B1714)</f>
        <v>12035.01735</v>
      </c>
      <c r="F1714" s="17" t="n">
        <f aca="false">B1714*2/13+F1713*11/13</f>
        <v>12958.9078896422</v>
      </c>
      <c r="G1714" s="17" t="n">
        <f aca="false">B1714*2/27+G1713*25/27</f>
        <v>12856.5609196832</v>
      </c>
      <c r="H1714" s="17" t="n">
        <f aca="false">F1714-G1714</f>
        <v>102.346969958977</v>
      </c>
      <c r="I1714" s="17" t="n">
        <f aca="false">H1714*2/10+I1713*8/10</f>
        <v>155.804232959395</v>
      </c>
      <c r="J1714" s="17" t="n">
        <f aca="false">H1714-I1714</f>
        <v>-53.4572630004181</v>
      </c>
      <c r="K1714" s="17" t="n">
        <f aca="false">MAX(B1714-B1713,0)</f>
        <v>0</v>
      </c>
      <c r="L1714" s="17" t="n">
        <f aca="false">MAX(B1713-B1714,0)</f>
        <v>244.65</v>
      </c>
      <c r="M1714" s="17" t="n">
        <f aca="false">(M1713*13+K1714)/14</f>
        <v>44.3736580349895</v>
      </c>
      <c r="N1714" s="17" t="n">
        <f aca="false">(N1713*13+L1714)/14</f>
        <v>53.738777903026</v>
      </c>
      <c r="O1714" s="17" t="n">
        <f aca="false">IF(N1714=0,100,100-100/(1+M1714/N1714))</f>
        <v>45.2273533021068</v>
      </c>
      <c r="P1714" s="17" t="n">
        <f aca="false">AVERAGE(B1695:B1714)+2*STDEV(B1695:B1714)</f>
        <v>13281.2863744497</v>
      </c>
      <c r="Q1714" s="17" t="n">
        <f aca="false">AVERAGE(B1695:B1714)-2*STDEV(B1695:B1714)</f>
        <v>12706.8926255503</v>
      </c>
      <c r="R1714" s="19" t="n">
        <f aca="false">B1714/B1694-1</f>
        <v>0.00410634518707798</v>
      </c>
      <c r="S1714" s="17" t="n">
        <f aca="false">STDEV(C1695:C1714)*SQRT(252)*100</f>
        <v>15.8028798949752</v>
      </c>
      <c r="T1714" s="19" t="n">
        <f aca="false">B1693/B1463-1</f>
        <v>-0.0566140209055938</v>
      </c>
      <c r="U1714" s="19" t="n">
        <f aca="false">B1714/MAX(B1463:B1714)-1</f>
        <v>-0.0689293621654211</v>
      </c>
      <c r="V1714" s="17" t="n">
        <f aca="false">(B1714-AVERAGE(B1695:B1714))/STDEV(B1695:B1714)</f>
        <v>-1.87313668030253</v>
      </c>
    </row>
    <row r="1715" customFormat="false" ht="15" hidden="false" customHeight="false" outlineLevel="0" collapsed="false">
      <c r="A1715" s="17" t="s">
        <v>2279</v>
      </c>
      <c r="B1715" s="17" t="n">
        <v>12806.48</v>
      </c>
      <c r="C1715" s="19" t="n">
        <f aca="false">B1715/B1714-1</f>
        <v>0.00639444374154707</v>
      </c>
      <c r="D1715" s="17" t="n">
        <f aca="false">AVERAGE(B1666:B1715)</f>
        <v>12588.6094</v>
      </c>
      <c r="E1715" s="17" t="n">
        <f aca="false">AVERAGE(B1516:B1715)</f>
        <v>12039.74835</v>
      </c>
      <c r="F1715" s="17" t="n">
        <f aca="false">B1715*2/13+F1714*11/13</f>
        <v>12935.4574450819</v>
      </c>
      <c r="G1715" s="17" t="n">
        <f aca="false">B1715*2/27+G1714*25/27</f>
        <v>12852.8512219289</v>
      </c>
      <c r="H1715" s="17" t="n">
        <f aca="false">F1715-G1715</f>
        <v>82.6062231529522</v>
      </c>
      <c r="I1715" s="17" t="n">
        <f aca="false">H1715*2/10+I1714*8/10</f>
        <v>141.164630998106</v>
      </c>
      <c r="J1715" s="17" t="n">
        <f aca="false">H1715-I1715</f>
        <v>-58.5584078451542</v>
      </c>
      <c r="K1715" s="17" t="n">
        <f aca="false">MAX(B1715-B1714,0)</f>
        <v>81.369999999999</v>
      </c>
      <c r="L1715" s="17" t="n">
        <f aca="false">MAX(B1714-B1715,0)</f>
        <v>0</v>
      </c>
      <c r="M1715" s="17" t="n">
        <f aca="false">(M1714*13+K1715)/14</f>
        <v>47.016253889633</v>
      </c>
      <c r="N1715" s="17" t="n">
        <f aca="false">(N1714*13+L1715)/14</f>
        <v>49.9002937670956</v>
      </c>
      <c r="O1715" s="17" t="n">
        <f aca="false">IF(N1715=0,100,100-100/(1+M1715/N1715))</f>
        <v>48.5121014175631</v>
      </c>
      <c r="P1715" s="17" t="n">
        <f aca="false">AVERAGE(B1696:B1715)+2*STDEV(B1696:B1715)</f>
        <v>13245.7987704137</v>
      </c>
      <c r="Q1715" s="17" t="n">
        <f aca="false">AVERAGE(B1696:B1715)-2*STDEV(B1696:B1715)</f>
        <v>12761.9712295863</v>
      </c>
      <c r="R1715" s="19" t="n">
        <f aca="false">B1715/B1695-1</f>
        <v>0.0155353802405442</v>
      </c>
      <c r="S1715" s="17" t="n">
        <f aca="false">STDEV(C1696:C1715)*SQRT(252)*100</f>
        <v>15.8215376249557</v>
      </c>
      <c r="T1715" s="19" t="n">
        <f aca="false">B1694/B1464-1</f>
        <v>-0.0258760571911287</v>
      </c>
      <c r="U1715" s="19" t="n">
        <f aca="false">B1715/MAX(B1464:B1715)-1</f>
        <v>-0.0629756833523815</v>
      </c>
      <c r="V1715" s="17" t="n">
        <f aca="false">(B1715-AVERAGE(B1696:B1715))/STDEV(B1696:B1715)</f>
        <v>-1.63202780612602</v>
      </c>
    </row>
    <row r="1716" customFormat="false" ht="15" hidden="false" customHeight="false" outlineLevel="0" collapsed="false">
      <c r="A1716" s="17" t="s">
        <v>2280</v>
      </c>
      <c r="B1716" s="17" t="n">
        <v>13160.03</v>
      </c>
      <c r="C1716" s="19" t="n">
        <f aca="false">B1716/B1715-1</f>
        <v>0.0276071176466914</v>
      </c>
      <c r="D1716" s="17" t="n">
        <f aca="false">AVERAGE(B1667:B1716)</f>
        <v>12599.9922</v>
      </c>
      <c r="E1716" s="17" t="n">
        <f aca="false">AVERAGE(B1517:B1716)</f>
        <v>12046.82355</v>
      </c>
      <c r="F1716" s="17" t="n">
        <f aca="false">B1716*2/13+F1715*11/13</f>
        <v>12970.0070689154</v>
      </c>
      <c r="G1716" s="17" t="n">
        <f aca="false">B1716*2/27+G1715*25/27</f>
        <v>12875.6052054897</v>
      </c>
      <c r="H1716" s="17" t="n">
        <f aca="false">F1716-G1716</f>
        <v>94.4018634256918</v>
      </c>
      <c r="I1716" s="17" t="n">
        <f aca="false">H1716*2/10+I1715*8/10</f>
        <v>131.812077483623</v>
      </c>
      <c r="J1716" s="17" t="n">
        <f aca="false">H1716-I1716</f>
        <v>-37.4102140579317</v>
      </c>
      <c r="K1716" s="17" t="n">
        <f aca="false">MAX(B1716-B1715,0)</f>
        <v>353.550000000001</v>
      </c>
      <c r="L1716" s="17" t="n">
        <f aca="false">MAX(B1715-B1716,0)</f>
        <v>0</v>
      </c>
      <c r="M1716" s="17" t="n">
        <f aca="false">(M1715*13+K1716)/14</f>
        <v>68.911521468945</v>
      </c>
      <c r="N1716" s="17" t="n">
        <f aca="false">(N1715*13+L1716)/14</f>
        <v>46.3359870694459</v>
      </c>
      <c r="O1716" s="17" t="n">
        <f aca="false">IF(N1716=0,100,100-100/(1+M1716/N1716))</f>
        <v>59.7943698244803</v>
      </c>
      <c r="P1716" s="17" t="n">
        <f aca="false">AVERAGE(B1697:B1716)+2*STDEV(B1697:B1716)</f>
        <v>13259.1082341219</v>
      </c>
      <c r="Q1716" s="17" t="n">
        <f aca="false">AVERAGE(B1697:B1716)-2*STDEV(B1697:B1716)</f>
        <v>12780.0617658781</v>
      </c>
      <c r="R1716" s="19" t="n">
        <f aca="false">B1716/B1696-1</f>
        <v>0.0244433494239076</v>
      </c>
      <c r="S1716" s="17" t="n">
        <f aca="false">STDEV(C1697:C1716)*SQRT(252)*100</f>
        <v>17.3982353776041</v>
      </c>
      <c r="T1716" s="19" t="n">
        <f aca="false">B1695/B1465-1</f>
        <v>-0.0302068080865254</v>
      </c>
      <c r="U1716" s="19" t="n">
        <f aca="false">B1716/MAX(B1465:B1716)-1</f>
        <v>-0.03710714280488</v>
      </c>
      <c r="V1716" s="17" t="n">
        <f aca="false">(B1716-AVERAGE(B1697:B1716))/STDEV(B1697:B1716)</f>
        <v>1.17270460642268</v>
      </c>
    </row>
    <row r="1717" customFormat="false" ht="15" hidden="false" customHeight="false" outlineLevel="0" collapsed="false">
      <c r="A1717" s="17" t="s">
        <v>2281</v>
      </c>
      <c r="B1717" s="17" t="n">
        <v>13245.99</v>
      </c>
      <c r="C1717" s="19" t="n">
        <f aca="false">B1717/B1716-1</f>
        <v>0.00653190000326731</v>
      </c>
      <c r="D1717" s="17" t="n">
        <f aca="false">AVERAGE(B1668:B1717)</f>
        <v>12611.1542</v>
      </c>
      <c r="E1717" s="17" t="n">
        <f aca="false">AVERAGE(B1518:B1717)</f>
        <v>12054.41085</v>
      </c>
      <c r="F1717" s="17" t="n">
        <f aca="false">B1717*2/13+F1716*11/13</f>
        <v>13012.46598139</v>
      </c>
      <c r="G1717" s="17" t="n">
        <f aca="false">B1717*2/27+G1716*25/27</f>
        <v>12903.0411161942</v>
      </c>
      <c r="H1717" s="17" t="n">
        <f aca="false">F1717-G1717</f>
        <v>109.424865195779</v>
      </c>
      <c r="I1717" s="17" t="n">
        <f aca="false">H1717*2/10+I1716*8/10</f>
        <v>127.334635026055</v>
      </c>
      <c r="J1717" s="17" t="n">
        <f aca="false">H1717-I1717</f>
        <v>-17.9097698302758</v>
      </c>
      <c r="K1717" s="17" t="n">
        <f aca="false">MAX(B1717-B1716,0)</f>
        <v>85.9599999999991</v>
      </c>
      <c r="L1717" s="17" t="n">
        <f aca="false">MAX(B1716-B1717,0)</f>
        <v>0</v>
      </c>
      <c r="M1717" s="17" t="n">
        <f aca="false">(M1716*13+K1717)/14</f>
        <v>70.1292699354489</v>
      </c>
      <c r="N1717" s="17" t="n">
        <f aca="false">(N1716*13+L1717)/14</f>
        <v>43.0262737073426</v>
      </c>
      <c r="O1717" s="17" t="n">
        <f aca="false">IF(N1717=0,100,100-100/(1+M1717/N1717))</f>
        <v>61.9759913458879</v>
      </c>
      <c r="P1717" s="17" t="n">
        <f aca="false">AVERAGE(B1698:B1717)+2*STDEV(B1698:B1717)</f>
        <v>13291.8939226098</v>
      </c>
      <c r="Q1717" s="17" t="n">
        <f aca="false">AVERAGE(B1698:B1717)-2*STDEV(B1698:B1717)</f>
        <v>12775.5610773902</v>
      </c>
      <c r="R1717" s="19" t="n">
        <f aca="false">B1717/B1697-1</f>
        <v>0.0218195591500208</v>
      </c>
      <c r="S1717" s="17" t="n">
        <f aca="false">STDEV(C1698:C1717)*SQRT(252)*100</f>
        <v>17.2672343180919</v>
      </c>
      <c r="T1717" s="19" t="n">
        <f aca="false">B1696/B1466-1</f>
        <v>-0.0453349643209081</v>
      </c>
      <c r="U1717" s="19" t="n">
        <f aca="false">B1717/MAX(B1466:B1717)-1</f>
        <v>-0.030817622947821</v>
      </c>
      <c r="V1717" s="17" t="n">
        <f aca="false">(B1717-AVERAGE(B1698:B1717))/STDEV(B1698:B1717)</f>
        <v>1.6443850277214</v>
      </c>
    </row>
    <row r="1718" customFormat="false" ht="15" hidden="false" customHeight="false" outlineLevel="0" collapsed="false">
      <c r="A1718" s="17" t="s">
        <v>2282</v>
      </c>
      <c r="B1718" s="17" t="n">
        <v>13231.47</v>
      </c>
      <c r="C1718" s="19" t="n">
        <f aca="false">B1718/B1717-1</f>
        <v>-0.00109618080641771</v>
      </c>
      <c r="D1718" s="17" t="n">
        <f aca="false">AVERAGE(B1669:B1718)</f>
        <v>12626.934</v>
      </c>
      <c r="E1718" s="17" t="n">
        <f aca="false">AVERAGE(B1519:B1718)</f>
        <v>12061.7262</v>
      </c>
      <c r="F1718" s="17" t="n">
        <f aca="false">B1718*2/13+F1717*11/13</f>
        <v>13046.15890733</v>
      </c>
      <c r="G1718" s="17" t="n">
        <f aca="false">B1718*2/27+G1717*25/27</f>
        <v>12927.3691816613</v>
      </c>
      <c r="H1718" s="17" t="n">
        <f aca="false">F1718-G1718</f>
        <v>118.789725668687</v>
      </c>
      <c r="I1718" s="17" t="n">
        <f aca="false">H1718*2/10+I1717*8/10</f>
        <v>125.625653154581</v>
      </c>
      <c r="J1718" s="17" t="n">
        <f aca="false">H1718-I1718</f>
        <v>-6.83592748589442</v>
      </c>
      <c r="K1718" s="17" t="n">
        <f aca="false">MAX(B1718-B1717,0)</f>
        <v>0</v>
      </c>
      <c r="L1718" s="17" t="n">
        <f aca="false">MAX(B1717-B1718,0)</f>
        <v>14.5200000000004</v>
      </c>
      <c r="M1718" s="17" t="n">
        <f aca="false">(M1717*13+K1718)/14</f>
        <v>65.1200363686311</v>
      </c>
      <c r="N1718" s="17" t="n">
        <f aca="false">(N1717*13+L1718)/14</f>
        <v>40.9901112996753</v>
      </c>
      <c r="O1718" s="17" t="n">
        <f aca="false">IF(N1718=0,100,100-100/(1+M1718/N1718))</f>
        <v>61.3702249969458</v>
      </c>
      <c r="P1718" s="17" t="n">
        <f aca="false">AVERAGE(B1699:B1718)+2*STDEV(B1699:B1718)</f>
        <v>13301.3138756778</v>
      </c>
      <c r="Q1718" s="17" t="n">
        <f aca="false">AVERAGE(B1699:B1718)-2*STDEV(B1699:B1718)</f>
        <v>12771.1531243222</v>
      </c>
      <c r="R1718" s="19" t="n">
        <f aca="false">B1718/B1698-1</f>
        <v>0.00380234194524842</v>
      </c>
      <c r="S1718" s="17" t="n">
        <f aca="false">STDEV(C1699:C1718)*SQRT(252)*100</f>
        <v>16.2482171843728</v>
      </c>
      <c r="T1718" s="19" t="n">
        <f aca="false">B1697/B1467-1</f>
        <v>0.00842798020972713</v>
      </c>
      <c r="U1718" s="19" t="n">
        <f aca="false">B1718/MAX(B1467:B1718)-1</f>
        <v>-0.0318800220674639</v>
      </c>
      <c r="V1718" s="17" t="n">
        <f aca="false">(B1718-AVERAGE(B1699:B1718))/STDEV(B1699:B1718)</f>
        <v>1.47303624042935</v>
      </c>
    </row>
    <row r="1719" customFormat="false" ht="15" hidden="false" customHeight="false" outlineLevel="0" collapsed="false">
      <c r="A1719" s="17" t="s">
        <v>2283</v>
      </c>
      <c r="B1719" s="17" t="n">
        <v>13113.66</v>
      </c>
      <c r="C1719" s="19" t="n">
        <f aca="false">B1719/B1718-1</f>
        <v>-0.00890377259669561</v>
      </c>
      <c r="D1719" s="17" t="n">
        <f aca="false">AVERAGE(B1670:B1719)</f>
        <v>12642.0436</v>
      </c>
      <c r="E1719" s="17" t="n">
        <f aca="false">AVERAGE(B1520:B1719)</f>
        <v>12067.3764</v>
      </c>
      <c r="F1719" s="17" t="n">
        <f aca="false">B1719*2/13+F1718*11/13</f>
        <v>13056.5436908177</v>
      </c>
      <c r="G1719" s="17" t="n">
        <f aca="false">B1719*2/27+G1718*25/27</f>
        <v>12941.1685015382</v>
      </c>
      <c r="H1719" s="17" t="n">
        <f aca="false">F1719-G1719</f>
        <v>115.375189279441</v>
      </c>
      <c r="I1719" s="17" t="n">
        <f aca="false">H1719*2/10+I1718*8/10</f>
        <v>123.575560379553</v>
      </c>
      <c r="J1719" s="17" t="n">
        <f aca="false">H1719-I1719</f>
        <v>-8.20037110011214</v>
      </c>
      <c r="K1719" s="17" t="n">
        <f aca="false">MAX(B1719-B1718,0)</f>
        <v>0</v>
      </c>
      <c r="L1719" s="17" t="n">
        <f aca="false">MAX(B1718-B1719,0)</f>
        <v>117.809999999999</v>
      </c>
      <c r="M1719" s="17" t="n">
        <f aca="false">(M1718*13+K1719)/14</f>
        <v>60.4686051994432</v>
      </c>
      <c r="N1719" s="17" t="n">
        <f aca="false">(N1718*13+L1719)/14</f>
        <v>46.4772462068413</v>
      </c>
      <c r="O1719" s="17" t="n">
        <f aca="false">IF(N1719=0,100,100-100/(1+M1719/N1719))</f>
        <v>56.5413285361809</v>
      </c>
      <c r="P1719" s="17" t="n">
        <f aca="false">AVERAGE(B1700:B1719)+2*STDEV(B1700:B1719)</f>
        <v>13296.9312308431</v>
      </c>
      <c r="Q1719" s="17" t="n">
        <f aca="false">AVERAGE(B1700:B1719)-2*STDEV(B1700:B1719)</f>
        <v>12772.0667691569</v>
      </c>
      <c r="R1719" s="19" t="n">
        <f aca="false">B1719/B1699-1</f>
        <v>-0.00263835386189149</v>
      </c>
      <c r="S1719" s="17" t="n">
        <f aca="false">STDEV(C1700:C1719)*SQRT(252)*100</f>
        <v>16.5475795501024</v>
      </c>
      <c r="T1719" s="19" t="n">
        <f aca="false">B1698/B1468-1</f>
        <v>0.00806830913477907</v>
      </c>
      <c r="U1719" s="19" t="n">
        <f aca="false">B1719/MAX(B1468:B1719)-1</f>
        <v>-0.0404999421972931</v>
      </c>
      <c r="V1719" s="17" t="n">
        <f aca="false">(B1719-AVERAGE(B1700:B1719))/STDEV(B1700:B1719)</f>
        <v>0.603287178146508</v>
      </c>
    </row>
    <row r="1720" customFormat="false" ht="15" hidden="false" customHeight="false" outlineLevel="0" collapsed="false">
      <c r="A1720" s="17" t="s">
        <v>2284</v>
      </c>
      <c r="B1720" s="17" t="n">
        <v>13030.21</v>
      </c>
      <c r="C1720" s="19" t="n">
        <f aca="false">B1720/B1719-1</f>
        <v>-0.00636359338277803</v>
      </c>
      <c r="D1720" s="17" t="n">
        <f aca="false">AVERAGE(B1671:B1720)</f>
        <v>12661.4418</v>
      </c>
      <c r="E1720" s="17" t="n">
        <f aca="false">AVERAGE(B1521:B1720)</f>
        <v>12073.13995</v>
      </c>
      <c r="F1720" s="17" t="n">
        <f aca="false">B1720*2/13+F1719*11/13</f>
        <v>13052.4923537688</v>
      </c>
      <c r="G1720" s="17" t="n">
        <f aca="false">B1720*2/27+G1719*25/27</f>
        <v>12947.764168091</v>
      </c>
      <c r="H1720" s="17" t="n">
        <f aca="false">F1720-G1720</f>
        <v>104.728185677845</v>
      </c>
      <c r="I1720" s="17" t="n">
        <f aca="false">H1720*2/10+I1719*8/10</f>
        <v>119.806085439211</v>
      </c>
      <c r="J1720" s="17" t="n">
        <f aca="false">H1720-I1720</f>
        <v>-15.0778997613667</v>
      </c>
      <c r="K1720" s="17" t="n">
        <f aca="false">MAX(B1720-B1719,0)</f>
        <v>0</v>
      </c>
      <c r="L1720" s="17" t="n">
        <f aca="false">MAX(B1719-B1720,0)</f>
        <v>83.4500000000007</v>
      </c>
      <c r="M1720" s="17" t="n">
        <f aca="false">(M1719*13+K1720)/14</f>
        <v>56.1494191137687</v>
      </c>
      <c r="N1720" s="17" t="n">
        <f aca="false">(N1719*13+L1720)/14</f>
        <v>49.118157192067</v>
      </c>
      <c r="O1720" s="17" t="n">
        <f aca="false">IF(N1720=0,100,100-100/(1+M1720/N1720))</f>
        <v>53.3397092288292</v>
      </c>
      <c r="P1720" s="17" t="n">
        <f aca="false">AVERAGE(B1701:B1720)+2*STDEV(B1701:B1720)</f>
        <v>13291.6157745056</v>
      </c>
      <c r="Q1720" s="17" t="n">
        <f aca="false">AVERAGE(B1701:B1720)-2*STDEV(B1701:B1720)</f>
        <v>12770.3952254944</v>
      </c>
      <c r="R1720" s="19" t="n">
        <f aca="false">B1720/B1700-1</f>
        <v>-0.00533355521493006</v>
      </c>
      <c r="S1720" s="17" t="n">
        <f aca="false">STDEV(C1701:C1720)*SQRT(252)*100</f>
        <v>16.6523275174259</v>
      </c>
      <c r="T1720" s="19" t="n">
        <f aca="false">B1699/B1469-1</f>
        <v>0.00446527475381786</v>
      </c>
      <c r="U1720" s="19" t="n">
        <f aca="false">B1720/MAX(B1469:B1720)-1</f>
        <v>-0.0466058104159015</v>
      </c>
      <c r="V1720" s="17" t="n">
        <f aca="false">(B1720-AVERAGE(B1701:B1720))/STDEV(B1701:B1720)</f>
        <v>-0.00610490128610044</v>
      </c>
    </row>
    <row r="1721" customFormat="false" ht="15" hidden="false" customHeight="false" outlineLevel="0" collapsed="false">
      <c r="A1721" s="17" t="s">
        <v>2285</v>
      </c>
      <c r="B1721" s="17" t="n">
        <v>12982.48</v>
      </c>
      <c r="C1721" s="19" t="n">
        <f aca="false">B1721/B1720-1</f>
        <v>-0.00366302615230296</v>
      </c>
      <c r="D1721" s="17" t="n">
        <f aca="false">AVERAGE(B1672:B1721)</f>
        <v>12679.766</v>
      </c>
      <c r="E1721" s="17" t="n">
        <f aca="false">AVERAGE(B1522:B1721)</f>
        <v>12076.80525</v>
      </c>
      <c r="F1721" s="17" t="n">
        <f aca="false">B1721*2/13+F1720*11/13</f>
        <v>13041.7212224198</v>
      </c>
      <c r="G1721" s="17" t="n">
        <f aca="false">B1721*2/27+G1720*25/27</f>
        <v>12950.3357111953</v>
      </c>
      <c r="H1721" s="17" t="n">
        <f aca="false">F1721-G1721</f>
        <v>91.3855112244255</v>
      </c>
      <c r="I1721" s="17" t="n">
        <f aca="false">H1721*2/10+I1720*8/10</f>
        <v>114.121970596254</v>
      </c>
      <c r="J1721" s="17" t="n">
        <f aca="false">H1721-I1721</f>
        <v>-22.7364593718286</v>
      </c>
      <c r="K1721" s="17" t="n">
        <f aca="false">MAX(B1721-B1720,0)</f>
        <v>0</v>
      </c>
      <c r="L1721" s="17" t="n">
        <f aca="false">MAX(B1720-B1721,0)</f>
        <v>47.7299999999996</v>
      </c>
      <c r="M1721" s="17" t="n">
        <f aca="false">(M1720*13+K1721)/14</f>
        <v>52.138746319928</v>
      </c>
      <c r="N1721" s="17" t="n">
        <f aca="false">(N1720*13+L1721)/14</f>
        <v>49.0190031069193</v>
      </c>
      <c r="O1721" s="17" t="n">
        <f aca="false">IF(N1721=0,100,100-100/(1+M1721/N1721))</f>
        <v>51.5420188916247</v>
      </c>
      <c r="P1721" s="17" t="n">
        <f aca="false">AVERAGE(B1702:B1721)+2*STDEV(B1702:B1721)</f>
        <v>13291.6808433846</v>
      </c>
      <c r="Q1721" s="17" t="n">
        <f aca="false">AVERAGE(B1702:B1721)-2*STDEV(B1702:B1721)</f>
        <v>12771.8581566154</v>
      </c>
      <c r="R1721" s="19" t="n">
        <f aca="false">B1721/B1701-1</f>
        <v>0.00117835770251085</v>
      </c>
      <c r="S1721" s="17" t="n">
        <f aca="false">STDEV(C1702:C1721)*SQRT(252)*100</f>
        <v>16.2949391713307</v>
      </c>
      <c r="T1721" s="19" t="n">
        <f aca="false">B1700/B1470-1</f>
        <v>-0.0321837568919546</v>
      </c>
      <c r="U1721" s="19" t="n">
        <f aca="false">B1721/MAX(B1470:B1721)-1</f>
        <v>-0.0500981182658018</v>
      </c>
      <c r="V1721" s="17" t="n">
        <f aca="false">(B1721-AVERAGE(B1702:B1721))/STDEV(B1702:B1721)</f>
        <v>-0.379279329313911</v>
      </c>
    </row>
    <row r="1722" customFormat="false" ht="15" hidden="false" customHeight="false" outlineLevel="0" collapsed="false">
      <c r="A1722" s="17" t="s">
        <v>2286</v>
      </c>
      <c r="B1722" s="17" t="n">
        <v>13259.13</v>
      </c>
      <c r="C1722" s="19" t="n">
        <f aca="false">B1722/B1721-1</f>
        <v>0.021309487863644</v>
      </c>
      <c r="D1722" s="17" t="n">
        <f aca="false">AVERAGE(B1673:B1722)</f>
        <v>12701.3458</v>
      </c>
      <c r="E1722" s="17" t="n">
        <f aca="false">AVERAGE(B1523:B1722)</f>
        <v>12080.9025</v>
      </c>
      <c r="F1722" s="17" t="n">
        <f aca="false">B1722*2/13+F1721*11/13</f>
        <v>13075.1687266629</v>
      </c>
      <c r="G1722" s="17" t="n">
        <f aca="false">B1722*2/27+G1721*25/27</f>
        <v>12973.2093622179</v>
      </c>
      <c r="H1722" s="17" t="n">
        <f aca="false">F1722-G1722</f>
        <v>101.959364444971</v>
      </c>
      <c r="I1722" s="17" t="n">
        <f aca="false">H1722*2/10+I1721*8/10</f>
        <v>111.689449365997</v>
      </c>
      <c r="J1722" s="17" t="n">
        <f aca="false">H1722-I1722</f>
        <v>-9.7300849210268</v>
      </c>
      <c r="K1722" s="17" t="n">
        <f aca="false">MAX(B1722-B1721,0)</f>
        <v>276.65</v>
      </c>
      <c r="L1722" s="17" t="n">
        <f aca="false">MAX(B1721-B1722,0)</f>
        <v>0</v>
      </c>
      <c r="M1722" s="17" t="n">
        <f aca="false">(M1721*13+K1722)/14</f>
        <v>68.1752644399332</v>
      </c>
      <c r="N1722" s="17" t="n">
        <f aca="false">(N1721*13+L1722)/14</f>
        <v>45.5176457421394</v>
      </c>
      <c r="O1722" s="17" t="n">
        <f aca="false">IF(N1722=0,100,100-100/(1+M1722/N1722))</f>
        <v>59.9643938489695</v>
      </c>
      <c r="P1722" s="17" t="n">
        <f aca="false">AVERAGE(B1703:B1722)+2*STDEV(B1703:B1722)</f>
        <v>13320.5761466922</v>
      </c>
      <c r="Q1722" s="17" t="n">
        <f aca="false">AVERAGE(B1703:B1722)-2*STDEV(B1703:B1722)</f>
        <v>12762.6158533078</v>
      </c>
      <c r="R1722" s="19" t="n">
        <f aca="false">B1722/B1702-1</f>
        <v>0.0150452436727757</v>
      </c>
      <c r="S1722" s="17" t="n">
        <f aca="false">STDEV(C1703:C1722)*SQRT(252)*100</f>
        <v>17.8011400533943</v>
      </c>
      <c r="T1722" s="19" t="n">
        <f aca="false">B1701/B1471-1</f>
        <v>0.00907743248343462</v>
      </c>
      <c r="U1722" s="19" t="n">
        <f aca="false">B1722/MAX(B1471:B1722)-1</f>
        <v>-0.0298561956453344</v>
      </c>
      <c r="V1722" s="17" t="n">
        <f aca="false">(B1722-AVERAGE(B1703:B1722))/STDEV(B1703:B1722)</f>
        <v>1.55949448431525</v>
      </c>
    </row>
    <row r="1723" customFormat="false" ht="15" hidden="false" customHeight="false" outlineLevel="0" collapsed="false">
      <c r="A1723" s="17" t="s">
        <v>2287</v>
      </c>
      <c r="B1723" s="17" t="n">
        <v>13291.64</v>
      </c>
      <c r="C1723" s="19" t="n">
        <f aca="false">B1723/B1722-1</f>
        <v>0.00245189541093582</v>
      </c>
      <c r="D1723" s="17" t="n">
        <f aca="false">AVERAGE(B1674:B1723)</f>
        <v>12727.7856</v>
      </c>
      <c r="E1723" s="17" t="n">
        <f aca="false">AVERAGE(B1524:B1723)</f>
        <v>12084.26365</v>
      </c>
      <c r="F1723" s="17" t="n">
        <f aca="false">B1723*2/13+F1722*11/13</f>
        <v>13108.471999484</v>
      </c>
      <c r="G1723" s="17" t="n">
        <f aca="false">B1723*2/27+G1722*25/27</f>
        <v>12996.7968168684</v>
      </c>
      <c r="H1723" s="17" t="n">
        <f aca="false">F1723-G1723</f>
        <v>111.675182615543</v>
      </c>
      <c r="I1723" s="17" t="n">
        <f aca="false">H1723*2/10+I1722*8/10</f>
        <v>111.686596015907</v>
      </c>
      <c r="J1723" s="17" t="n">
        <f aca="false">H1723-I1723</f>
        <v>-0.0114134003632955</v>
      </c>
      <c r="K1723" s="17" t="n">
        <f aca="false">MAX(B1723-B1722,0)</f>
        <v>32.5100000000002</v>
      </c>
      <c r="L1723" s="17" t="n">
        <f aca="false">MAX(B1722-B1723,0)</f>
        <v>0</v>
      </c>
      <c r="M1723" s="17" t="n">
        <f aca="false">(M1722*13+K1723)/14</f>
        <v>65.6277455513665</v>
      </c>
      <c r="N1723" s="17" t="n">
        <f aca="false">(N1722*13+L1723)/14</f>
        <v>42.2663853319866</v>
      </c>
      <c r="O1723" s="17" t="n">
        <f aca="false">IF(N1723=0,100,100-100/(1+M1723/N1723))</f>
        <v>60.8260570005594</v>
      </c>
      <c r="P1723" s="17" t="n">
        <f aca="false">AVERAGE(B1704:B1723)+2*STDEV(B1704:B1723)</f>
        <v>13354.223419504</v>
      </c>
      <c r="Q1723" s="17" t="n">
        <f aca="false">AVERAGE(B1704:B1723)-2*STDEV(B1704:B1723)</f>
        <v>12753.009580496</v>
      </c>
      <c r="R1723" s="19" t="n">
        <f aca="false">B1723/B1703-1</f>
        <v>0.0184204860384807</v>
      </c>
      <c r="S1723" s="17" t="n">
        <f aca="false">STDEV(C1704:C1723)*SQRT(252)*100</f>
        <v>17.798700579753</v>
      </c>
      <c r="T1723" s="19" t="n">
        <f aca="false">B1702/B1472-1</f>
        <v>0.0290754423710347</v>
      </c>
      <c r="U1723" s="19" t="n">
        <f aca="false">B1723/MAX(B1472:B1723)-1</f>
        <v>-0.0274775045034894</v>
      </c>
      <c r="V1723" s="17" t="n">
        <f aca="false">(B1723-AVERAGE(B1704:B1723))/STDEV(B1704:B1723)</f>
        <v>1.5836195679909</v>
      </c>
    </row>
    <row r="1724" customFormat="false" ht="15" hidden="false" customHeight="false" outlineLevel="0" collapsed="false">
      <c r="A1724" s="17" t="s">
        <v>2288</v>
      </c>
      <c r="B1724" s="17" t="n">
        <v>13201.11</v>
      </c>
      <c r="C1724" s="19" t="n">
        <f aca="false">B1724/B1723-1</f>
        <v>-0.00681104814755729</v>
      </c>
      <c r="D1724" s="17" t="n">
        <f aca="false">AVERAGE(B1675:B1724)</f>
        <v>12750.652</v>
      </c>
      <c r="E1724" s="17" t="n">
        <f aca="false">AVERAGE(B1525:B1724)</f>
        <v>12088.28685</v>
      </c>
      <c r="F1724" s="17" t="n">
        <f aca="false">B1724*2/13+F1723*11/13</f>
        <v>13122.7239995634</v>
      </c>
      <c r="G1724" s="17" t="n">
        <f aca="false">B1724*2/27+G1723*25/27</f>
        <v>13011.93112673</v>
      </c>
      <c r="H1724" s="17" t="n">
        <f aca="false">F1724-G1724</f>
        <v>110.792872833335</v>
      </c>
      <c r="I1724" s="17" t="n">
        <f aca="false">H1724*2/10+I1723*8/10</f>
        <v>111.507851379392</v>
      </c>
      <c r="J1724" s="17" t="n">
        <f aca="false">H1724-I1724</f>
        <v>-0.714978546056884</v>
      </c>
      <c r="K1724" s="17" t="n">
        <f aca="false">MAX(B1724-B1723,0)</f>
        <v>0</v>
      </c>
      <c r="L1724" s="17" t="n">
        <f aca="false">MAX(B1723-B1724,0)</f>
        <v>90.5299999999988</v>
      </c>
      <c r="M1724" s="17" t="n">
        <f aca="false">(M1723*13+K1724)/14</f>
        <v>60.9400494405546</v>
      </c>
      <c r="N1724" s="17" t="n">
        <f aca="false">(N1723*13+L1724)/14</f>
        <v>45.7137863797017</v>
      </c>
      <c r="O1724" s="17" t="n">
        <f aca="false">IF(N1724=0,100,100-100/(1+M1724/N1724))</f>
        <v>57.1381694543615</v>
      </c>
      <c r="P1724" s="17" t="n">
        <f aca="false">AVERAGE(B1705:B1724)+2*STDEV(B1705:B1724)</f>
        <v>13369.8790532502</v>
      </c>
      <c r="Q1724" s="17" t="n">
        <f aca="false">AVERAGE(B1705:B1724)-2*STDEV(B1705:B1724)</f>
        <v>12761.0499467498</v>
      </c>
      <c r="R1724" s="19" t="n">
        <f aca="false">B1724/B1704-1</f>
        <v>0.0182780976770556</v>
      </c>
      <c r="S1724" s="17" t="n">
        <f aca="false">STDEV(C1705:C1724)*SQRT(252)*100</f>
        <v>17.8066783643165</v>
      </c>
      <c r="T1724" s="19" t="n">
        <f aca="false">B1703/B1473-1</f>
        <v>0.070850823615902</v>
      </c>
      <c r="U1724" s="19" t="n">
        <f aca="false">B1724/MAX(B1473:B1724)-1</f>
        <v>-0.0341014020448988</v>
      </c>
      <c r="V1724" s="17" t="n">
        <f aca="false">(B1724-AVERAGE(B1705:B1724))/STDEV(B1705:B1724)</f>
        <v>0.891189324240405</v>
      </c>
    </row>
    <row r="1725" customFormat="false" ht="15" hidden="false" customHeight="false" outlineLevel="0" collapsed="false">
      <c r="A1725" s="17" t="s">
        <v>2289</v>
      </c>
      <c r="B1725" s="17" t="n">
        <v>13347.83</v>
      </c>
      <c r="C1725" s="19" t="n">
        <f aca="false">B1725/B1724-1</f>
        <v>0.0111142169105476</v>
      </c>
      <c r="D1725" s="17" t="n">
        <f aca="false">AVERAGE(B1676:B1725)</f>
        <v>12776.7662</v>
      </c>
      <c r="E1725" s="17" t="n">
        <f aca="false">AVERAGE(B1526:B1725)</f>
        <v>12093.38395</v>
      </c>
      <c r="F1725" s="17" t="n">
        <f aca="false">B1725*2/13+F1724*11/13</f>
        <v>13157.3556919382</v>
      </c>
      <c r="G1725" s="17" t="n">
        <f aca="false">B1725*2/27+G1724*25/27</f>
        <v>13036.81252475</v>
      </c>
      <c r="H1725" s="17" t="n">
        <f aca="false">F1725-G1725</f>
        <v>120.543167188203</v>
      </c>
      <c r="I1725" s="17" t="n">
        <f aca="false">H1725*2/10+I1724*8/10</f>
        <v>113.314914541155</v>
      </c>
      <c r="J1725" s="17" t="n">
        <f aca="false">H1725-I1725</f>
        <v>7.22825264704885</v>
      </c>
      <c r="K1725" s="17" t="n">
        <f aca="false">MAX(B1725-B1724,0)</f>
        <v>146.719999999999</v>
      </c>
      <c r="L1725" s="17" t="n">
        <f aca="false">MAX(B1724-B1725,0)</f>
        <v>0</v>
      </c>
      <c r="M1725" s="17" t="n">
        <f aca="false">(M1724*13+K1725)/14</f>
        <v>67.0671887662293</v>
      </c>
      <c r="N1725" s="17" t="n">
        <f aca="false">(N1724*13+L1725)/14</f>
        <v>42.4485159240088</v>
      </c>
      <c r="O1725" s="17" t="n">
        <f aca="false">IF(N1725=0,100,100-100/(1+M1725/N1725))</f>
        <v>61.2397910929093</v>
      </c>
      <c r="P1725" s="17" t="n">
        <f aca="false">AVERAGE(B1706:B1725)+2*STDEV(B1706:B1725)</f>
        <v>13401.7317623259</v>
      </c>
      <c r="Q1725" s="17" t="n">
        <f aca="false">AVERAGE(B1706:B1725)-2*STDEV(B1706:B1725)</f>
        <v>12779.1452376741</v>
      </c>
      <c r="R1725" s="19" t="n">
        <f aca="false">B1725/B1705-1</f>
        <v>0.0388750306459584</v>
      </c>
      <c r="S1725" s="17" t="n">
        <f aca="false">STDEV(C1706:C1725)*SQRT(252)*100</f>
        <v>17.7505055085083</v>
      </c>
      <c r="T1725" s="19" t="n">
        <f aca="false">B1704/B1474-1</f>
        <v>0.0500807558161196</v>
      </c>
      <c r="U1725" s="19" t="n">
        <f aca="false">B1725/MAX(B1474:B1725)-1</f>
        <v>-0.023366195513632</v>
      </c>
      <c r="V1725" s="17" t="n">
        <f aca="false">(B1725-AVERAGE(B1706:B1725))/STDEV(B1706:B1725)</f>
        <v>1.65369142959842</v>
      </c>
    </row>
    <row r="1726" customFormat="false" ht="15" hidden="false" customHeight="false" outlineLevel="0" collapsed="false">
      <c r="A1726" s="17" t="s">
        <v>2290</v>
      </c>
      <c r="B1726" s="17" t="n">
        <v>13389.78</v>
      </c>
      <c r="C1726" s="19" t="n">
        <f aca="false">B1726/B1725-1</f>
        <v>0.00314283295486995</v>
      </c>
      <c r="D1726" s="17" t="n">
        <f aca="false">AVERAGE(B1677:B1726)</f>
        <v>12805.7904</v>
      </c>
      <c r="E1726" s="17" t="n">
        <f aca="false">AVERAGE(B1527:B1726)</f>
        <v>12099.89835</v>
      </c>
      <c r="F1726" s="17" t="n">
        <f aca="false">B1726*2/13+F1725*11/13</f>
        <v>13193.1132777939</v>
      </c>
      <c r="G1726" s="17" t="n">
        <f aca="false">B1726*2/27+G1725*25/27</f>
        <v>13062.9582636574</v>
      </c>
      <c r="H1726" s="17" t="n">
        <f aca="false">F1726-G1726</f>
        <v>130.155014136457</v>
      </c>
      <c r="I1726" s="17" t="n">
        <f aca="false">H1726*2/10+I1725*8/10</f>
        <v>116.682934460215</v>
      </c>
      <c r="J1726" s="17" t="n">
        <f aca="false">H1726-I1726</f>
        <v>13.4720796762419</v>
      </c>
      <c r="K1726" s="17" t="n">
        <f aca="false">MAX(B1726-B1725,0)</f>
        <v>41.9500000000007</v>
      </c>
      <c r="L1726" s="17" t="n">
        <f aca="false">MAX(B1725-B1726,0)</f>
        <v>0</v>
      </c>
      <c r="M1726" s="17" t="n">
        <f aca="false">(M1725*13+K1726)/14</f>
        <v>65.2731038543558</v>
      </c>
      <c r="N1726" s="17" t="n">
        <f aca="false">(N1725*13+L1726)/14</f>
        <v>39.4164790722938</v>
      </c>
      <c r="O1726" s="17" t="n">
        <f aca="false">IF(N1726=0,100,100-100/(1+M1726/N1726))</f>
        <v>62.3491870247388</v>
      </c>
      <c r="P1726" s="17" t="n">
        <f aca="false">AVERAGE(B1707:B1726)+2*STDEV(B1707:B1726)</f>
        <v>13443.3748035529</v>
      </c>
      <c r="Q1726" s="17" t="n">
        <f aca="false">AVERAGE(B1707:B1726)-2*STDEV(B1707:B1726)</f>
        <v>12765.5411964471</v>
      </c>
      <c r="R1726" s="19" t="n">
        <f aca="false">B1726/B1706-1</f>
        <v>0.0213884856579902</v>
      </c>
      <c r="S1726" s="17" t="n">
        <f aca="false">STDEV(C1707:C1726)*SQRT(252)*100</f>
        <v>16.3905776552315</v>
      </c>
      <c r="T1726" s="19" t="n">
        <f aca="false">B1705/B1475-1</f>
        <v>0.0735981269364849</v>
      </c>
      <c r="U1726" s="19" t="n">
        <f aca="false">B1726/MAX(B1475:B1726)-1</f>
        <v>-0.0202967986080522</v>
      </c>
      <c r="V1726" s="17" t="n">
        <f aca="false">(B1726-AVERAGE(B1707:B1726))/STDEV(B1707:B1726)</f>
        <v>1.68372885031917</v>
      </c>
    </row>
    <row r="1727" customFormat="false" ht="15" hidden="false" customHeight="false" outlineLevel="0" collapsed="false">
      <c r="A1727" s="17" t="s">
        <v>2291</v>
      </c>
      <c r="B1727" s="17" t="n">
        <v>13340.18</v>
      </c>
      <c r="C1727" s="19" t="n">
        <f aca="false">B1727/B1726-1</f>
        <v>-0.00370431777071767</v>
      </c>
      <c r="D1727" s="17" t="n">
        <f aca="false">AVERAGE(B1678:B1727)</f>
        <v>12831.6966</v>
      </c>
      <c r="E1727" s="17" t="n">
        <f aca="false">AVERAGE(B1528:B1727)</f>
        <v>12103.5919</v>
      </c>
      <c r="F1727" s="17" t="n">
        <f aca="false">B1727*2/13+F1726*11/13</f>
        <v>13215.7389273641</v>
      </c>
      <c r="G1727" s="17" t="n">
        <f aca="false">B1727*2/27+G1726*25/27</f>
        <v>13083.4932070902</v>
      </c>
      <c r="H1727" s="17" t="n">
        <f aca="false">F1727-G1727</f>
        <v>132.245720273844</v>
      </c>
      <c r="I1727" s="17" t="n">
        <f aca="false">H1727*2/10+I1726*8/10</f>
        <v>119.795491622941</v>
      </c>
      <c r="J1727" s="17" t="n">
        <f aca="false">H1727-I1727</f>
        <v>12.4502286509034</v>
      </c>
      <c r="K1727" s="17" t="n">
        <f aca="false">MAX(B1727-B1726,0)</f>
        <v>0</v>
      </c>
      <c r="L1727" s="17" t="n">
        <f aca="false">MAX(B1726-B1727,0)</f>
        <v>49.6000000000004</v>
      </c>
      <c r="M1727" s="17" t="n">
        <f aca="false">(M1726*13+K1727)/14</f>
        <v>60.6107392933304</v>
      </c>
      <c r="N1727" s="17" t="n">
        <f aca="false">(N1726*13+L1727)/14</f>
        <v>40.1438734242729</v>
      </c>
      <c r="O1727" s="17" t="n">
        <f aca="false">IF(N1727=0,100,100-100/(1+M1727/N1727))</f>
        <v>60.1567885166818</v>
      </c>
      <c r="P1727" s="17" t="n">
        <f aca="false">AVERAGE(B1708:B1727)+2*STDEV(B1708:B1727)</f>
        <v>13472.0560038776</v>
      </c>
      <c r="Q1727" s="17" t="n">
        <f aca="false">AVERAGE(B1708:B1727)-2*STDEV(B1708:B1727)</f>
        <v>12762.9259961224</v>
      </c>
      <c r="R1727" s="19" t="n">
        <f aca="false">B1727/B1707-1</f>
        <v>0.019928865891103</v>
      </c>
      <c r="S1727" s="17" t="n">
        <f aca="false">STDEV(C1708:C1727)*SQRT(252)*100</f>
        <v>16.4374081084881</v>
      </c>
      <c r="T1727" s="19" t="n">
        <f aca="false">B1706/B1476-1</f>
        <v>0.0974333430999121</v>
      </c>
      <c r="U1727" s="19" t="n">
        <f aca="false">B1727/MAX(B1476:B1727)-1</f>
        <v>-0.0239259305869974</v>
      </c>
      <c r="V1727" s="17" t="n">
        <f aca="false">(B1727-AVERAGE(B1708:B1727))/STDEV(B1708:B1727)</f>
        <v>1.25612509731424</v>
      </c>
    </row>
    <row r="1728" customFormat="false" ht="15" hidden="false" customHeight="false" outlineLevel="0" collapsed="false">
      <c r="A1728" s="17" t="s">
        <v>2292</v>
      </c>
      <c r="B1728" s="17" t="n">
        <v>13413.51</v>
      </c>
      <c r="C1728" s="19" t="n">
        <f aca="false">B1728/B1727-1</f>
        <v>0.00549692732781715</v>
      </c>
      <c r="D1728" s="17" t="n">
        <f aca="false">AVERAGE(B1679:B1728)</f>
        <v>12854.1506</v>
      </c>
      <c r="E1728" s="17" t="n">
        <f aca="false">AVERAGE(B1529:B1728)</f>
        <v>12107.0701</v>
      </c>
      <c r="F1728" s="17" t="n">
        <f aca="false">B1728*2/13+F1727*11/13</f>
        <v>13246.1652462311</v>
      </c>
      <c r="G1728" s="17" t="n">
        <f aca="false">B1728*2/27+G1727*25/27</f>
        <v>13107.9388954539</v>
      </c>
      <c r="H1728" s="17" t="n">
        <f aca="false">F1728-G1728</f>
        <v>138.226350777224</v>
      </c>
      <c r="I1728" s="17" t="n">
        <f aca="false">H1728*2/10+I1727*8/10</f>
        <v>123.481663453797</v>
      </c>
      <c r="J1728" s="17" t="n">
        <f aca="false">H1728-I1728</f>
        <v>14.7446873234266</v>
      </c>
      <c r="K1728" s="17" t="n">
        <f aca="false">MAX(B1728-B1727,0)</f>
        <v>73.3299999999999</v>
      </c>
      <c r="L1728" s="17" t="n">
        <f aca="false">MAX(B1727-B1728,0)</f>
        <v>0</v>
      </c>
      <c r="M1728" s="17" t="n">
        <f aca="false">(M1727*13+K1728)/14</f>
        <v>61.5192579152353</v>
      </c>
      <c r="N1728" s="17" t="n">
        <f aca="false">(N1727*13+L1728)/14</f>
        <v>37.2764538939677</v>
      </c>
      <c r="O1728" s="17" t="n">
        <f aca="false">IF(N1728=0,100,100-100/(1+M1728/N1728))</f>
        <v>62.2691580319225</v>
      </c>
      <c r="P1728" s="17" t="n">
        <f aca="false">AVERAGE(B1709:B1728)+2*STDEV(B1709:B1728)</f>
        <v>13511.7494427874</v>
      </c>
      <c r="Q1728" s="17" t="n">
        <f aca="false">AVERAGE(B1709:B1728)-2*STDEV(B1709:B1728)</f>
        <v>12755.8125572126</v>
      </c>
      <c r="R1728" s="19" t="n">
        <f aca="false">B1728/B1708-1</f>
        <v>0.0248935833694359</v>
      </c>
      <c r="S1728" s="17" t="n">
        <f aca="false">STDEV(C1709:C1728)*SQRT(252)*100</f>
        <v>16.5119928107551</v>
      </c>
      <c r="T1728" s="19" t="n">
        <f aca="false">B1707/B1477-1</f>
        <v>0.055872903111226</v>
      </c>
      <c r="U1728" s="19" t="n">
        <f aca="false">B1728/MAX(B1477:B1728)-1</f>
        <v>-0.0185605223608675</v>
      </c>
      <c r="V1728" s="17" t="n">
        <f aca="false">(B1728-AVERAGE(B1709:B1728))/STDEV(B1709:B1728)</f>
        <v>1.48017119067963</v>
      </c>
    </row>
    <row r="1729" customFormat="false" ht="15" hidden="false" customHeight="false" outlineLevel="0" collapsed="false">
      <c r="A1729" s="17" t="s">
        <v>2293</v>
      </c>
      <c r="B1729" s="17" t="n">
        <v>13426.01</v>
      </c>
      <c r="C1729" s="19" t="n">
        <f aca="false">B1729/B1728-1</f>
        <v>0.000931896274726007</v>
      </c>
      <c r="D1729" s="17" t="n">
        <f aca="false">AVERAGE(B1680:B1729)</f>
        <v>12876.6212</v>
      </c>
      <c r="E1729" s="17" t="n">
        <f aca="false">AVERAGE(B1530:B1729)</f>
        <v>12109.4603</v>
      </c>
      <c r="F1729" s="17" t="n">
        <f aca="false">B1729*2/13+F1728*11/13</f>
        <v>13273.8336698879</v>
      </c>
      <c r="G1729" s="17" t="n">
        <f aca="false">B1729*2/27+G1728*25/27</f>
        <v>13131.4997180129</v>
      </c>
      <c r="H1729" s="17" t="n">
        <f aca="false">F1729-G1729</f>
        <v>142.333951875004</v>
      </c>
      <c r="I1729" s="17" t="n">
        <f aca="false">H1729*2/10+I1728*8/10</f>
        <v>127.252121138039</v>
      </c>
      <c r="J1729" s="17" t="n">
        <f aca="false">H1729-I1729</f>
        <v>15.0818307369649</v>
      </c>
      <c r="K1729" s="17" t="n">
        <f aca="false">MAX(B1729-B1728,0)</f>
        <v>12.5</v>
      </c>
      <c r="L1729" s="17" t="n">
        <f aca="false">MAX(B1728-B1729,0)</f>
        <v>0</v>
      </c>
      <c r="M1729" s="17" t="n">
        <f aca="false">(M1728*13+K1729)/14</f>
        <v>58.0178823498614</v>
      </c>
      <c r="N1729" s="17" t="n">
        <f aca="false">(N1728*13+L1729)/14</f>
        <v>34.6138500443986</v>
      </c>
      <c r="O1729" s="17" t="n">
        <f aca="false">IF(N1729=0,100,100-100/(1+M1729/N1729))</f>
        <v>62.6328374200379</v>
      </c>
      <c r="P1729" s="17" t="n">
        <f aca="false">AVERAGE(B1710:B1729)+2*STDEV(B1710:B1729)</f>
        <v>13549.6055115465</v>
      </c>
      <c r="Q1729" s="17" t="n">
        <f aca="false">AVERAGE(B1710:B1729)-2*STDEV(B1710:B1729)</f>
        <v>12751.3784884535</v>
      </c>
      <c r="R1729" s="19" t="n">
        <f aca="false">B1729/B1709-1</f>
        <v>0.0255289765570637</v>
      </c>
      <c r="S1729" s="17" t="n">
        <f aca="false">STDEV(C1710:C1729)*SQRT(252)*100</f>
        <v>16.5086303425719</v>
      </c>
      <c r="T1729" s="19" t="n">
        <f aca="false">B1708/B1478-1</f>
        <v>0.0689447040816493</v>
      </c>
      <c r="U1729" s="19" t="n">
        <f aca="false">B1729/MAX(B1478:B1729)-1</f>
        <v>-0.0176459225677865</v>
      </c>
      <c r="V1729" s="17" t="n">
        <f aca="false">(B1729-AVERAGE(B1710:B1729))/STDEV(B1710:B1729)</f>
        <v>1.38064982532131</v>
      </c>
    </row>
    <row r="1730" customFormat="false" ht="15" hidden="false" customHeight="false" outlineLevel="0" collapsed="false">
      <c r="A1730" s="17" t="s">
        <v>2294</v>
      </c>
      <c r="B1730" s="17" t="n">
        <v>13589.26</v>
      </c>
      <c r="C1730" s="19" t="n">
        <f aca="false">B1730/B1729-1</f>
        <v>0.0121592342028645</v>
      </c>
      <c r="D1730" s="17" t="n">
        <f aca="false">AVERAGE(B1681:B1730)</f>
        <v>12905.363</v>
      </c>
      <c r="E1730" s="17" t="n">
        <f aca="false">AVERAGE(B1531:B1730)</f>
        <v>12112.7027</v>
      </c>
      <c r="F1730" s="17" t="n">
        <f aca="false">B1730*2/13+F1729*11/13</f>
        <v>13322.3607975974</v>
      </c>
      <c r="G1730" s="17" t="n">
        <f aca="false">B1730*2/27+G1729*25/27</f>
        <v>13165.407887049</v>
      </c>
      <c r="H1730" s="17" t="n">
        <f aca="false">F1730-G1730</f>
        <v>156.95291054848</v>
      </c>
      <c r="I1730" s="17" t="n">
        <f aca="false">H1730*2/10+I1729*8/10</f>
        <v>133.192279020127</v>
      </c>
      <c r="J1730" s="17" t="n">
        <f aca="false">H1730-I1730</f>
        <v>23.7606315283529</v>
      </c>
      <c r="K1730" s="17" t="n">
        <f aca="false">MAX(B1730-B1729,0)</f>
        <v>163.25</v>
      </c>
      <c r="L1730" s="17" t="n">
        <f aca="false">MAX(B1729-B1730,0)</f>
        <v>0</v>
      </c>
      <c r="M1730" s="17" t="n">
        <f aca="false">(M1729*13+K1730)/14</f>
        <v>65.5344621820142</v>
      </c>
      <c r="N1730" s="17" t="n">
        <f aca="false">(N1729*13+L1730)/14</f>
        <v>32.1414321840844</v>
      </c>
      <c r="O1730" s="17" t="n">
        <f aca="false">IF(N1730=0,100,100-100/(1+M1730/N1730))</f>
        <v>67.0937928004885</v>
      </c>
      <c r="P1730" s="17" t="n">
        <f aca="false">AVERAGE(B1711:B1730)+2*STDEV(B1711:B1730)</f>
        <v>13618.668020641</v>
      </c>
      <c r="Q1730" s="17" t="n">
        <f aca="false">AVERAGE(B1711:B1730)-2*STDEV(B1711:B1730)</f>
        <v>12732.370979359</v>
      </c>
      <c r="R1730" s="19" t="n">
        <f aca="false">B1730/B1710-1</f>
        <v>0.0382428826064603</v>
      </c>
      <c r="S1730" s="17" t="n">
        <f aca="false">STDEV(C1711:C1730)*SQRT(252)*100</f>
        <v>16.9352729879718</v>
      </c>
      <c r="T1730" s="19" t="n">
        <f aca="false">B1709/B1479-1</f>
        <v>0.0419998248979234</v>
      </c>
      <c r="U1730" s="19" t="n">
        <f aca="false">B1730/MAX(B1479:B1730)-1</f>
        <v>-0.00570124927014937</v>
      </c>
      <c r="V1730" s="17" t="n">
        <f aca="false">(B1730-AVERAGE(B1711:B1730))/STDEV(B1711:B1730)</f>
        <v>1.86727690933743</v>
      </c>
    </row>
    <row r="1731" customFormat="false" ht="15" hidden="false" customHeight="false" outlineLevel="0" collapsed="false">
      <c r="A1731" s="17" t="s">
        <v>2295</v>
      </c>
      <c r="B1731" s="17" t="n">
        <v>13834.62</v>
      </c>
      <c r="C1731" s="19" t="n">
        <f aca="false">B1731/B1730-1</f>
        <v>0.0180554349537798</v>
      </c>
      <c r="D1731" s="17" t="n">
        <f aca="false">AVERAGE(B1682:B1731)</f>
        <v>12937.7488</v>
      </c>
      <c r="E1731" s="17" t="n">
        <f aca="false">AVERAGE(B1532:B1731)</f>
        <v>12117.3678</v>
      </c>
      <c r="F1731" s="17" t="n">
        <f aca="false">B1731*2/13+F1730*11/13</f>
        <v>13401.1699056594</v>
      </c>
      <c r="G1731" s="17" t="n">
        <f aca="false">B1731*2/27+G1730*25/27</f>
        <v>13214.979154675</v>
      </c>
      <c r="H1731" s="17" t="n">
        <f aca="false">F1731-G1731</f>
        <v>186.19075098441</v>
      </c>
      <c r="I1731" s="17" t="n">
        <f aca="false">H1731*2/10+I1730*8/10</f>
        <v>143.791973412983</v>
      </c>
      <c r="J1731" s="17" t="n">
        <f aca="false">H1731-I1731</f>
        <v>42.3987775714261</v>
      </c>
      <c r="K1731" s="17" t="n">
        <f aca="false">MAX(B1731-B1730,0)</f>
        <v>245.360000000001</v>
      </c>
      <c r="L1731" s="17" t="n">
        <f aca="false">MAX(B1730-B1731,0)</f>
        <v>0</v>
      </c>
      <c r="M1731" s="17" t="n">
        <f aca="false">(M1730*13+K1731)/14</f>
        <v>78.3791434547275</v>
      </c>
      <c r="N1731" s="17" t="n">
        <f aca="false">(N1730*13+L1731)/14</f>
        <v>29.8456155995069</v>
      </c>
      <c r="O1731" s="17" t="n">
        <f aca="false">IF(N1731=0,100,100-100/(1+M1731/N1731))</f>
        <v>72.422562211896</v>
      </c>
      <c r="P1731" s="17" t="n">
        <f aca="false">AVERAGE(B1712:B1731)+2*STDEV(B1712:B1731)</f>
        <v>13740.1506268623</v>
      </c>
      <c r="Q1731" s="17" t="n">
        <f aca="false">AVERAGE(B1712:B1731)-2*STDEV(B1712:B1731)</f>
        <v>12695.7523731377</v>
      </c>
      <c r="R1731" s="19" t="n">
        <f aca="false">B1731/B1711-1</f>
        <v>0.0653504779770184</v>
      </c>
      <c r="S1731" s="17" t="n">
        <f aca="false">STDEV(C1712:C1731)*SQRT(252)*100</f>
        <v>17.4397594374462</v>
      </c>
      <c r="T1731" s="19" t="n">
        <f aca="false">B1710/B1480-1</f>
        <v>0.0972811739466866</v>
      </c>
      <c r="U1731" s="19" t="n">
        <f aca="false">B1731/MAX(B1480:B1731)-1</f>
        <v>0</v>
      </c>
      <c r="V1731" s="17" t="n">
        <f aca="false">(B1731-AVERAGE(B1712:B1731))/STDEV(B1712:B1731)</f>
        <v>2.36181360051398</v>
      </c>
    </row>
    <row r="1732" customFormat="false" ht="15" hidden="false" customHeight="false" outlineLevel="0" collapsed="false">
      <c r="A1732" s="17" t="s">
        <v>2296</v>
      </c>
      <c r="B1732" s="17" t="n">
        <v>13803.49</v>
      </c>
      <c r="C1732" s="19" t="n">
        <f aca="false">B1732/B1731-1</f>
        <v>-0.00225015215452262</v>
      </c>
      <c r="D1732" s="17" t="n">
        <f aca="false">AVERAGE(B1683:B1732)</f>
        <v>12973.901</v>
      </c>
      <c r="E1732" s="17" t="n">
        <f aca="false">AVERAGE(B1533:B1732)</f>
        <v>12120.11895</v>
      </c>
      <c r="F1732" s="17" t="n">
        <f aca="false">B1732*2/13+F1731*11/13</f>
        <v>13463.0653047887</v>
      </c>
      <c r="G1732" s="17" t="n">
        <f aca="false">B1732*2/27+G1731*25/27</f>
        <v>13258.572550625</v>
      </c>
      <c r="H1732" s="17" t="n">
        <f aca="false">F1732-G1732</f>
        <v>204.492754163733</v>
      </c>
      <c r="I1732" s="17" t="n">
        <f aca="false">H1732*2/10+I1731*8/10</f>
        <v>155.932129563133</v>
      </c>
      <c r="J1732" s="17" t="n">
        <f aca="false">H1732-I1732</f>
        <v>48.5606246006</v>
      </c>
      <c r="K1732" s="17" t="n">
        <f aca="false">MAX(B1732-B1731,0)</f>
        <v>0</v>
      </c>
      <c r="L1732" s="17" t="n">
        <f aca="false">MAX(B1731-B1732,0)</f>
        <v>31.130000000001</v>
      </c>
      <c r="M1732" s="17" t="n">
        <f aca="false">(M1731*13+K1732)/14</f>
        <v>72.7806332079612</v>
      </c>
      <c r="N1732" s="17" t="n">
        <f aca="false">(N1731*13+L1732)/14</f>
        <v>29.9373573423994</v>
      </c>
      <c r="O1732" s="17" t="n">
        <f aca="false">IF(N1732=0,100,100-100/(1+M1732/N1732))</f>
        <v>70.854806269091</v>
      </c>
      <c r="P1732" s="17" t="n">
        <f aca="false">AVERAGE(B1713:B1732)+2*STDEV(B1713:B1732)</f>
        <v>13830.939316896</v>
      </c>
      <c r="Q1732" s="17" t="n">
        <f aca="false">AVERAGE(B1713:B1732)-2*STDEV(B1713:B1732)</f>
        <v>12685.235683104</v>
      </c>
      <c r="R1732" s="19" t="n">
        <f aca="false">B1732/B1712-1</f>
        <v>0.0617440351609944</v>
      </c>
      <c r="S1732" s="17" t="n">
        <f aca="false">STDEV(C1713:C1732)*SQRT(252)*100</f>
        <v>17.5348161573621</v>
      </c>
      <c r="T1732" s="19" t="n">
        <f aca="false">B1711/B1481-1</f>
        <v>0.0934981975693079</v>
      </c>
      <c r="U1732" s="19" t="n">
        <f aca="false">B1732/MAX(B1481:B1732)-1</f>
        <v>-0.00225015215452262</v>
      </c>
      <c r="V1732" s="17" t="n">
        <f aca="false">(B1732-AVERAGE(B1713:B1732))/STDEV(B1713:B1732)</f>
        <v>1.90416608244436</v>
      </c>
    </row>
    <row r="1733" customFormat="false" ht="15" hidden="false" customHeight="false" outlineLevel="0" collapsed="false">
      <c r="A1733" s="17" t="s">
        <v>2297</v>
      </c>
      <c r="B1733" s="17" t="n">
        <v>13849.74</v>
      </c>
      <c r="C1733" s="19" t="n">
        <f aca="false">B1733/B1732-1</f>
        <v>0.00335060191299452</v>
      </c>
      <c r="D1733" s="17" t="n">
        <f aca="false">AVERAGE(B1684:B1733)</f>
        <v>13014.2902</v>
      </c>
      <c r="E1733" s="17" t="n">
        <f aca="false">AVERAGE(B1534:B1733)</f>
        <v>12122.81245</v>
      </c>
      <c r="F1733" s="17" t="n">
        <f aca="false">B1733*2/13+F1732*11/13</f>
        <v>13522.5537194366</v>
      </c>
      <c r="G1733" s="17" t="n">
        <f aca="false">B1733*2/27+G1732*25/27</f>
        <v>13302.3627320602</v>
      </c>
      <c r="H1733" s="17" t="n">
        <f aca="false">F1733-G1733</f>
        <v>220.190987376434</v>
      </c>
      <c r="I1733" s="17" t="n">
        <f aca="false">H1733*2/10+I1732*8/10</f>
        <v>168.783901125794</v>
      </c>
      <c r="J1733" s="17" t="n">
        <f aca="false">H1733-I1733</f>
        <v>51.4070862506407</v>
      </c>
      <c r="K1733" s="17" t="n">
        <f aca="false">MAX(B1733-B1732,0)</f>
        <v>46.25</v>
      </c>
      <c r="L1733" s="17" t="n">
        <f aca="false">MAX(B1732-B1733,0)</f>
        <v>0</v>
      </c>
      <c r="M1733" s="17" t="n">
        <f aca="false">(M1732*13+K1733)/14</f>
        <v>70.8855879788211</v>
      </c>
      <c r="N1733" s="17" t="n">
        <f aca="false">(N1732*13+L1733)/14</f>
        <v>27.7989746750851</v>
      </c>
      <c r="O1733" s="17" t="n">
        <f aca="false">IF(N1733=0,100,100-100/(1+M1733/N1733))</f>
        <v>71.8304728444933</v>
      </c>
      <c r="P1733" s="17" t="n">
        <f aca="false">AVERAGE(B1714:B1733)+2*STDEV(B1714:B1733)</f>
        <v>13915.439307042</v>
      </c>
      <c r="Q1733" s="17" t="n">
        <f aca="false">AVERAGE(B1714:B1733)-2*STDEV(B1714:B1733)</f>
        <v>12688.733692958</v>
      </c>
      <c r="R1733" s="19" t="n">
        <f aca="false">B1733/B1713-1</f>
        <v>0.0678485955021526</v>
      </c>
      <c r="S1733" s="17" t="n">
        <f aca="false">STDEV(C1714:C1733)*SQRT(252)*100</f>
        <v>17.4164752965749</v>
      </c>
      <c r="T1733" s="19" t="n">
        <f aca="false">B1712/B1482-1</f>
        <v>0.0984443569496147</v>
      </c>
      <c r="U1733" s="19" t="n">
        <f aca="false">B1733/MAX(B1482:B1733)-1</f>
        <v>0</v>
      </c>
      <c r="V1733" s="17" t="n">
        <f aca="false">(B1733-AVERAGE(B1714:B1733))/STDEV(B1714:B1733)</f>
        <v>1.78576993114662</v>
      </c>
    </row>
    <row r="1734" customFormat="false" ht="15" hidden="false" customHeight="false" outlineLevel="0" collapsed="false">
      <c r="A1734" s="17" t="s">
        <v>2298</v>
      </c>
      <c r="B1734" s="17" t="n">
        <v>13672.54</v>
      </c>
      <c r="C1734" s="19" t="n">
        <f aca="false">B1734/B1733-1</f>
        <v>-0.0127944640115987</v>
      </c>
      <c r="D1734" s="17" t="n">
        <f aca="false">AVERAGE(B1685:B1734)</f>
        <v>13049.2776</v>
      </c>
      <c r="E1734" s="17" t="n">
        <f aca="false">AVERAGE(B1535:B1734)</f>
        <v>12125.1367</v>
      </c>
      <c r="F1734" s="17" t="n">
        <f aca="false">B1734*2/13+F1733*11/13</f>
        <v>13545.628531831</v>
      </c>
      <c r="G1734" s="17" t="n">
        <f aca="false">B1734*2/27+G1733*25/27</f>
        <v>13329.7832704261</v>
      </c>
      <c r="H1734" s="17" t="n">
        <f aca="false">F1734-G1734</f>
        <v>215.845261404891</v>
      </c>
      <c r="I1734" s="17" t="n">
        <f aca="false">H1734*2/10+I1733*8/10</f>
        <v>178.196173181613</v>
      </c>
      <c r="J1734" s="17" t="n">
        <f aca="false">H1734-I1734</f>
        <v>37.6490882232779</v>
      </c>
      <c r="K1734" s="17" t="n">
        <f aca="false">MAX(B1734-B1733,0)</f>
        <v>0</v>
      </c>
      <c r="L1734" s="17" t="n">
        <f aca="false">MAX(B1733-B1734,0)</f>
        <v>177.199999999999</v>
      </c>
      <c r="M1734" s="17" t="n">
        <f aca="false">(M1733*13+K1734)/14</f>
        <v>65.8223316946196</v>
      </c>
      <c r="N1734" s="17" t="n">
        <f aca="false">(N1733*13+L1734)/14</f>
        <v>38.4704764840075</v>
      </c>
      <c r="O1734" s="17" t="n">
        <f aca="false">IF(N1734=0,100,100-100/(1+M1734/N1734))</f>
        <v>63.1130111885401</v>
      </c>
      <c r="P1734" s="17" t="n">
        <f aca="false">AVERAGE(B1715:B1734)+2*STDEV(B1715:B1734)</f>
        <v>13920.0367729961</v>
      </c>
      <c r="Q1734" s="17" t="n">
        <f aca="false">AVERAGE(B1715:B1734)-2*STDEV(B1715:B1734)</f>
        <v>12778.8792270039</v>
      </c>
      <c r="R1734" s="19" t="n">
        <f aca="false">B1734/B1714-1</f>
        <v>0.0744535803619773</v>
      </c>
      <c r="S1734" s="17" t="n">
        <f aca="false">STDEV(C1715:C1734)*SQRT(252)*100</f>
        <v>16.4992239401846</v>
      </c>
      <c r="T1734" s="19" t="n">
        <f aca="false">B1713/B1483-1</f>
        <v>0.0777346048122529</v>
      </c>
      <c r="U1734" s="19" t="n">
        <f aca="false">B1734/MAX(B1483:B1734)-1</f>
        <v>-0.0127944640115987</v>
      </c>
      <c r="V1734" s="17" t="n">
        <f aca="false">(B1734-AVERAGE(B1715:B1734))/STDEV(B1715:B1734)</f>
        <v>1.13247115136628</v>
      </c>
    </row>
    <row r="1735" customFormat="false" ht="15" hidden="false" customHeight="false" outlineLevel="0" collapsed="false">
      <c r="A1735" s="17" t="s">
        <v>2299</v>
      </c>
      <c r="B1735" s="17" t="n">
        <v>13604.48</v>
      </c>
      <c r="C1735" s="19" t="n">
        <f aca="false">B1735/B1734-1</f>
        <v>-0.00497786073399686</v>
      </c>
      <c r="D1735" s="17" t="n">
        <f aca="false">AVERAGE(B1686:B1735)</f>
        <v>13077.3714</v>
      </c>
      <c r="E1735" s="17" t="n">
        <f aca="false">AVERAGE(B1536:B1735)</f>
        <v>12127.3633</v>
      </c>
      <c r="F1735" s="17" t="n">
        <f aca="false">B1735*2/13+F1734*11/13</f>
        <v>13554.682603857</v>
      </c>
      <c r="G1735" s="17" t="n">
        <f aca="false">B1735*2/27+G1734*25/27</f>
        <v>13350.1311763204</v>
      </c>
      <c r="H1735" s="17" t="n">
        <f aca="false">F1735-G1735</f>
        <v>204.551427536531</v>
      </c>
      <c r="I1735" s="17" t="n">
        <f aca="false">H1735*2/10+I1734*8/10</f>
        <v>183.467224052597</v>
      </c>
      <c r="J1735" s="17" t="n">
        <f aca="false">H1735-I1735</f>
        <v>21.0842034839345</v>
      </c>
      <c r="K1735" s="17" t="n">
        <f aca="false">MAX(B1735-B1734,0)</f>
        <v>0</v>
      </c>
      <c r="L1735" s="17" t="n">
        <f aca="false">MAX(B1734-B1735,0)</f>
        <v>68.0600000000013</v>
      </c>
      <c r="M1735" s="17" t="n">
        <f aca="false">(M1734*13+K1735)/14</f>
        <v>61.1207365735754</v>
      </c>
      <c r="N1735" s="17" t="n">
        <f aca="false">(N1734*13+L1735)/14</f>
        <v>40.5840138780071</v>
      </c>
      <c r="O1735" s="17" t="n">
        <f aca="false">IF(N1735=0,100,100-100/(1+M1735/N1735))</f>
        <v>60.0962455560741</v>
      </c>
      <c r="P1735" s="17" t="n">
        <f aca="false">AVERAGE(B1716:B1735)+2*STDEV(B1716:B1735)</f>
        <v>13909.4352329123</v>
      </c>
      <c r="Q1735" s="17" t="n">
        <f aca="false">AVERAGE(B1716:B1735)-2*STDEV(B1716:B1735)</f>
        <v>12869.2807670877</v>
      </c>
      <c r="R1735" s="19" t="n">
        <f aca="false">B1735/B1715-1</f>
        <v>0.062312204446499</v>
      </c>
      <c r="S1735" s="17" t="n">
        <f aca="false">STDEV(C1716:C1735)*SQRT(252)*100</f>
        <v>16.7402129432225</v>
      </c>
      <c r="T1735" s="19" t="n">
        <f aca="false">B1714/B1484-1</f>
        <v>0.0811625306716151</v>
      </c>
      <c r="U1735" s="19" t="n">
        <f aca="false">B1735/MAX(B1484:B1735)-1</f>
        <v>-0.0177086356855797</v>
      </c>
      <c r="V1735" s="17" t="n">
        <f aca="false">(B1735-AVERAGE(B1716:B1735))/STDEV(B1716:B1735)</f>
        <v>0.827269437638655</v>
      </c>
    </row>
    <row r="1736" customFormat="false" ht="15" hidden="false" customHeight="false" outlineLevel="0" collapsed="false">
      <c r="A1736" s="17" t="s">
        <v>2300</v>
      </c>
      <c r="B1736" s="17" t="n">
        <v>13938.53</v>
      </c>
      <c r="C1736" s="19" t="n">
        <f aca="false">B1736/B1735-1</f>
        <v>0.0245544114879805</v>
      </c>
      <c r="D1736" s="17" t="n">
        <f aca="false">AVERAGE(B1687:B1736)</f>
        <v>13111.1156</v>
      </c>
      <c r="E1736" s="17" t="n">
        <f aca="false">AVERAGE(B1537:B1736)</f>
        <v>12132.0151</v>
      </c>
      <c r="F1736" s="17" t="n">
        <f aca="false">B1736*2/13+F1735*11/13</f>
        <v>13613.7360494174</v>
      </c>
      <c r="G1736" s="17" t="n">
        <f aca="false">B1736*2/27+G1735*25/27</f>
        <v>13393.7162743708</v>
      </c>
      <c r="H1736" s="17" t="n">
        <f aca="false">F1736-G1736</f>
        <v>220.019775046661</v>
      </c>
      <c r="I1736" s="17" t="n">
        <f aca="false">H1736*2/10+I1735*8/10</f>
        <v>190.77773425141</v>
      </c>
      <c r="J1736" s="17" t="n">
        <f aca="false">H1736-I1736</f>
        <v>29.2420407952517</v>
      </c>
      <c r="K1736" s="17" t="n">
        <f aca="false">MAX(B1736-B1735,0)</f>
        <v>334.050000000001</v>
      </c>
      <c r="L1736" s="17" t="n">
        <f aca="false">MAX(B1735-B1736,0)</f>
        <v>0</v>
      </c>
      <c r="M1736" s="17" t="n">
        <f aca="false">(M1735*13+K1736)/14</f>
        <v>80.6156839611772</v>
      </c>
      <c r="N1736" s="17" t="n">
        <f aca="false">(N1735*13+L1736)/14</f>
        <v>37.6851557438637</v>
      </c>
      <c r="O1736" s="17" t="n">
        <f aca="false">IF(N1736=0,100,100-100/(1+M1736/N1736))</f>
        <v>68.1446422207788</v>
      </c>
      <c r="P1736" s="17" t="n">
        <f aca="false">AVERAGE(B1717:B1736)+2*STDEV(B1717:B1736)</f>
        <v>13990.8854118084</v>
      </c>
      <c r="Q1736" s="17" t="n">
        <f aca="false">AVERAGE(B1717:B1736)-2*STDEV(B1717:B1736)</f>
        <v>12865.6805881916</v>
      </c>
      <c r="R1736" s="19" t="n">
        <f aca="false">B1736/B1716-1</f>
        <v>0.0591564000993918</v>
      </c>
      <c r="S1736" s="17" t="n">
        <f aca="false">STDEV(C1717:C1736)*SQRT(252)*100</f>
        <v>16.1724169014762</v>
      </c>
      <c r="T1736" s="19" t="n">
        <f aca="false">B1715/B1485-1</f>
        <v>0.0722165987242054</v>
      </c>
      <c r="U1736" s="19" t="n">
        <f aca="false">B1736/MAX(B1485:B1736)-1</f>
        <v>0</v>
      </c>
      <c r="V1736" s="17" t="n">
        <f aca="false">(B1736-AVERAGE(B1717:B1736))/STDEV(B1717:B1736)</f>
        <v>1.81388131046181</v>
      </c>
    </row>
    <row r="1737" customFormat="false" ht="15" hidden="false" customHeight="false" outlineLevel="0" collapsed="false">
      <c r="A1737" s="17" t="s">
        <v>2301</v>
      </c>
      <c r="B1737" s="17" t="n">
        <v>14298.41</v>
      </c>
      <c r="C1737" s="19" t="n">
        <f aca="false">B1737/B1736-1</f>
        <v>0.025819078482451</v>
      </c>
      <c r="D1737" s="17" t="n">
        <f aca="false">AVERAGE(B1688:B1737)</f>
        <v>13145.456</v>
      </c>
      <c r="E1737" s="17" t="n">
        <f aca="false">AVERAGE(B1538:B1737)</f>
        <v>12136.61555</v>
      </c>
      <c r="F1737" s="17" t="n">
        <f aca="false">B1737*2/13+F1736*11/13</f>
        <v>13719.0705033532</v>
      </c>
      <c r="G1737" s="17" t="n">
        <f aca="false">B1737*2/27+G1736*25/27</f>
        <v>13460.7306244174</v>
      </c>
      <c r="H1737" s="17" t="n">
        <f aca="false">F1737-G1737</f>
        <v>258.339878935833</v>
      </c>
      <c r="I1737" s="17" t="n">
        <f aca="false">H1737*2/10+I1736*8/10</f>
        <v>204.290163188294</v>
      </c>
      <c r="J1737" s="17" t="n">
        <f aca="false">H1737-I1737</f>
        <v>54.0497157475383</v>
      </c>
      <c r="K1737" s="17" t="n">
        <f aca="false">MAX(B1737-B1736,0)</f>
        <v>359.879999999999</v>
      </c>
      <c r="L1737" s="17" t="n">
        <f aca="false">MAX(B1736-B1737,0)</f>
        <v>0</v>
      </c>
      <c r="M1737" s="17" t="n">
        <f aca="false">(M1736*13+K1737)/14</f>
        <v>100.563135106807</v>
      </c>
      <c r="N1737" s="17" t="n">
        <f aca="false">(N1736*13+L1737)/14</f>
        <v>34.9933589050163</v>
      </c>
      <c r="O1737" s="17" t="n">
        <f aca="false">IF(N1737=0,100,100-100/(1+M1737/N1737))</f>
        <v>74.1854057527011</v>
      </c>
      <c r="P1737" s="17" t="n">
        <f aca="false">AVERAGE(B1718:B1737)+2*STDEV(B1718:B1737)</f>
        <v>14157.114472666</v>
      </c>
      <c r="Q1737" s="17" t="n">
        <f aca="false">AVERAGE(B1718:B1737)-2*STDEV(B1718:B1737)</f>
        <v>12804.693527334</v>
      </c>
      <c r="R1737" s="19" t="n">
        <f aca="false">B1737/B1717-1</f>
        <v>0.0794519699924279</v>
      </c>
      <c r="S1737" s="17" t="n">
        <f aca="false">STDEV(C1718:C1737)*SQRT(252)*100</f>
        <v>18.0793585762156</v>
      </c>
      <c r="T1737" s="19" t="n">
        <f aca="false">B1716/B1486-1</f>
        <v>0.0719438876123155</v>
      </c>
      <c r="U1737" s="19" t="n">
        <f aca="false">B1737/MAX(B1486:B1737)-1</f>
        <v>0</v>
      </c>
      <c r="V1737" s="17" t="n">
        <f aca="false">(B1737-AVERAGE(B1718:B1737))/STDEV(B1718:B1737)</f>
        <v>2.41790399009039</v>
      </c>
    </row>
    <row r="1738" customFormat="false" ht="15" hidden="false" customHeight="false" outlineLevel="0" collapsed="false">
      <c r="A1738" s="17" t="s">
        <v>2302</v>
      </c>
      <c r="B1738" s="17" t="n">
        <v>14354.99</v>
      </c>
      <c r="C1738" s="19" t="n">
        <f aca="false">B1738/B1737-1</f>
        <v>0.00395708334003575</v>
      </c>
      <c r="D1738" s="17" t="n">
        <f aca="false">AVERAGE(B1689:B1738)</f>
        <v>13182.1582</v>
      </c>
      <c r="E1738" s="17" t="n">
        <f aca="false">AVERAGE(B1539:B1738)</f>
        <v>12141.93055</v>
      </c>
      <c r="F1738" s="17" t="n">
        <f aca="false">B1738*2/13+F1737*11/13</f>
        <v>13816.9042720681</v>
      </c>
      <c r="G1738" s="17" t="n">
        <f aca="false">B1738*2/27+G1737*25/27</f>
        <v>13526.9720596457</v>
      </c>
      <c r="H1738" s="17" t="n">
        <f aca="false">F1738-G1738</f>
        <v>289.932212422382</v>
      </c>
      <c r="I1738" s="17" t="n">
        <f aca="false">H1738*2/10+I1737*8/10</f>
        <v>221.418573035112</v>
      </c>
      <c r="J1738" s="17" t="n">
        <f aca="false">H1738-I1738</f>
        <v>68.51363938727</v>
      </c>
      <c r="K1738" s="17" t="n">
        <f aca="false">MAX(B1738-B1737,0)</f>
        <v>56.5799999999999</v>
      </c>
      <c r="L1738" s="17" t="n">
        <f aca="false">MAX(B1737-B1738,0)</f>
        <v>0</v>
      </c>
      <c r="M1738" s="17" t="n">
        <f aca="false">(M1737*13+K1738)/14</f>
        <v>97.4214825991782</v>
      </c>
      <c r="N1738" s="17" t="n">
        <f aca="false">(N1737*13+L1738)/14</f>
        <v>32.4938332689437</v>
      </c>
      <c r="O1738" s="17" t="n">
        <f aca="false">IF(N1738=0,100,100-100/(1+M1738/N1738))</f>
        <v>74.988450705898</v>
      </c>
      <c r="P1738" s="17" t="n">
        <f aca="false">AVERAGE(B1719:B1738)+2*STDEV(B1719:B1738)</f>
        <v>14306.3150296373</v>
      </c>
      <c r="Q1738" s="17" t="n">
        <f aca="false">AVERAGE(B1719:B1738)-2*STDEV(B1719:B1738)</f>
        <v>12767.8449703627</v>
      </c>
      <c r="R1738" s="19" t="n">
        <f aca="false">B1738/B1718-1</f>
        <v>0.0849127118906667</v>
      </c>
      <c r="S1738" s="17" t="n">
        <f aca="false">STDEV(C1719:C1738)*SQRT(252)*100</f>
        <v>17.9832012958453</v>
      </c>
      <c r="T1738" s="19" t="n">
        <f aca="false">B1717/B1487-1</f>
        <v>0.0445194623315055</v>
      </c>
      <c r="U1738" s="19" t="n">
        <f aca="false">B1738/MAX(B1487:B1738)-1</f>
        <v>0</v>
      </c>
      <c r="V1738" s="17" t="n">
        <f aca="false">(B1738-AVERAGE(B1719:B1738))/STDEV(B1719:B1738)</f>
        <v>2.12655422201894</v>
      </c>
    </row>
    <row r="1739" customFormat="false" ht="15" hidden="false" customHeight="false" outlineLevel="0" collapsed="false">
      <c r="A1739" s="17" t="s">
        <v>2303</v>
      </c>
      <c r="B1739" s="17" t="n">
        <v>14254.09</v>
      </c>
      <c r="C1739" s="19" t="n">
        <f aca="false">B1739/B1738-1</f>
        <v>-0.00702891468402278</v>
      </c>
      <c r="D1739" s="17" t="n">
        <f aca="false">AVERAGE(B1690:B1739)</f>
        <v>13215.9878</v>
      </c>
      <c r="E1739" s="17" t="n">
        <f aca="false">AVERAGE(B1540:B1739)</f>
        <v>12145.37165</v>
      </c>
      <c r="F1739" s="17" t="n">
        <f aca="false">B1739*2/13+F1738*11/13</f>
        <v>13884.1636148269</v>
      </c>
      <c r="G1739" s="17" t="n">
        <f aca="false">B1739*2/27+G1738*25/27</f>
        <v>13580.8326478201</v>
      </c>
      <c r="H1739" s="17" t="n">
        <f aca="false">F1739-G1739</f>
        <v>303.330967006745</v>
      </c>
      <c r="I1739" s="17" t="n">
        <f aca="false">H1739*2/10+I1738*8/10</f>
        <v>237.801051829438</v>
      </c>
      <c r="J1739" s="17" t="n">
        <f aca="false">H1739-I1739</f>
        <v>65.5299151773064</v>
      </c>
      <c r="K1739" s="17" t="n">
        <f aca="false">MAX(B1739-B1738,0)</f>
        <v>0</v>
      </c>
      <c r="L1739" s="17" t="n">
        <f aca="false">MAX(B1738-B1739,0)</f>
        <v>100.9</v>
      </c>
      <c r="M1739" s="17" t="n">
        <f aca="false">(M1738*13+K1739)/14</f>
        <v>90.4628052706655</v>
      </c>
      <c r="N1739" s="17" t="n">
        <f aca="false">(N1738*13+L1739)/14</f>
        <v>37.3799880354477</v>
      </c>
      <c r="O1739" s="17" t="n">
        <f aca="false">IF(N1739=0,100,100-100/(1+M1739/N1739))</f>
        <v>70.760973638973</v>
      </c>
      <c r="P1739" s="17" t="n">
        <f aca="false">AVERAGE(B1720:B1739)+2*STDEV(B1720:B1739)</f>
        <v>14399.4091346936</v>
      </c>
      <c r="Q1739" s="17" t="n">
        <f aca="false">AVERAGE(B1720:B1739)-2*STDEV(B1720:B1739)</f>
        <v>12788.7938653064</v>
      </c>
      <c r="R1739" s="19" t="n">
        <f aca="false">B1739/B1719-1</f>
        <v>0.0869650425586754</v>
      </c>
      <c r="S1739" s="17" t="n">
        <f aca="false">STDEV(C1720:C1739)*SQRT(252)*100</f>
        <v>17.8143060444834</v>
      </c>
      <c r="T1739" s="19" t="n">
        <f aca="false">B1718/B1488-1</f>
        <v>0.0466196280681215</v>
      </c>
      <c r="U1739" s="19" t="n">
        <f aca="false">B1739/MAX(B1488:B1739)-1</f>
        <v>-0.00702891468402278</v>
      </c>
      <c r="V1739" s="17" t="n">
        <f aca="false">(B1739-AVERAGE(B1720:B1739))/STDEV(B1720:B1739)</f>
        <v>1.63909659257388</v>
      </c>
    </row>
    <row r="1740" customFormat="false" ht="15" hidden="false" customHeight="false" outlineLevel="0" collapsed="false">
      <c r="A1740" s="17" t="s">
        <v>2304</v>
      </c>
      <c r="B1740" s="17" t="n">
        <v>14441.51</v>
      </c>
      <c r="C1740" s="19" t="n">
        <f aca="false">B1740/B1739-1</f>
        <v>0.0131485068496129</v>
      </c>
      <c r="D1740" s="17" t="n">
        <f aca="false">AVERAGE(B1691:B1740)</f>
        <v>13249.9892</v>
      </c>
      <c r="E1740" s="17" t="n">
        <f aca="false">AVERAGE(B1541:B1740)</f>
        <v>12149.2433</v>
      </c>
      <c r="F1740" s="17" t="n">
        <f aca="false">B1740*2/13+F1739*11/13</f>
        <v>13969.9092125458</v>
      </c>
      <c r="G1740" s="17" t="n">
        <f aca="false">B1740*2/27+G1739*25/27</f>
        <v>13644.5865257594</v>
      </c>
      <c r="H1740" s="17" t="n">
        <f aca="false">F1740-G1740</f>
        <v>325.32268678644</v>
      </c>
      <c r="I1740" s="17" t="n">
        <f aca="false">H1740*2/10+I1739*8/10</f>
        <v>255.305378820839</v>
      </c>
      <c r="J1740" s="17" t="n">
        <f aca="false">H1740-I1740</f>
        <v>70.017307965601</v>
      </c>
      <c r="K1740" s="17" t="n">
        <f aca="false">MAX(B1740-B1739,0)</f>
        <v>187.42</v>
      </c>
      <c r="L1740" s="17" t="n">
        <f aca="false">MAX(B1739-B1740,0)</f>
        <v>0</v>
      </c>
      <c r="M1740" s="17" t="n">
        <f aca="false">(M1739*13+K1740)/14</f>
        <v>97.3883191799037</v>
      </c>
      <c r="N1740" s="17" t="n">
        <f aca="false">(N1739*13+L1740)/14</f>
        <v>34.7099888900586</v>
      </c>
      <c r="O1740" s="17" t="n">
        <f aca="false">IF(N1740=0,100,100-100/(1+M1740/N1740))</f>
        <v>73.7241230435174</v>
      </c>
      <c r="P1740" s="17" t="n">
        <f aca="false">AVERAGE(B1721:B1740)+2*STDEV(B1721:B1740)</f>
        <v>14508.3440379823</v>
      </c>
      <c r="Q1740" s="17" t="n">
        <f aca="false">AVERAGE(B1721:B1740)-2*STDEV(B1721:B1740)</f>
        <v>12820.9889620178</v>
      </c>
      <c r="R1740" s="19" t="n">
        <f aca="false">B1740/B1720-1</f>
        <v>0.108309843049345</v>
      </c>
      <c r="S1740" s="17" t="n">
        <f aca="false">STDEV(C1721:C1740)*SQRT(252)*100</f>
        <v>17.619618980635</v>
      </c>
      <c r="T1740" s="19" t="n">
        <f aca="false">B1719/B1489-1</f>
        <v>0.0450497116754698</v>
      </c>
      <c r="U1740" s="19" t="n">
        <f aca="false">B1740/MAX(B1489:B1740)-1</f>
        <v>0</v>
      </c>
      <c r="V1740" s="17" t="n">
        <f aca="false">(B1740-AVERAGE(B1721:B1740))/STDEV(B1721:B1740)</f>
        <v>1.84156497009013</v>
      </c>
    </row>
    <row r="1741" customFormat="false" ht="15" hidden="false" customHeight="false" outlineLevel="0" collapsed="false">
      <c r="A1741" s="17" t="s">
        <v>2305</v>
      </c>
      <c r="B1741" s="17" t="n">
        <v>14546.64</v>
      </c>
      <c r="C1741" s="19" t="n">
        <f aca="false">B1741/B1740-1</f>
        <v>0.00727970967024905</v>
      </c>
      <c r="D1741" s="17" t="n">
        <f aca="false">AVERAGE(B1692:B1741)</f>
        <v>13289.579</v>
      </c>
      <c r="E1741" s="17" t="n">
        <f aca="false">AVERAGE(B1542:B1741)</f>
        <v>12153.80045</v>
      </c>
      <c r="F1741" s="17" t="n">
        <f aca="false">B1741*2/13+F1740*11/13</f>
        <v>14058.6370260003</v>
      </c>
      <c r="G1741" s="17" t="n">
        <f aca="false">B1741*2/27+G1740*25/27</f>
        <v>13711.405301629</v>
      </c>
      <c r="H1741" s="17" t="n">
        <f aca="false">F1741-G1741</f>
        <v>347.231724371255</v>
      </c>
      <c r="I1741" s="17" t="n">
        <f aca="false">H1741*2/10+I1740*8/10</f>
        <v>273.690647930922</v>
      </c>
      <c r="J1741" s="17" t="n">
        <f aca="false">H1741-I1741</f>
        <v>73.5410764403331</v>
      </c>
      <c r="K1741" s="17" t="n">
        <f aca="false">MAX(B1741-B1740,0)</f>
        <v>105.129999999999</v>
      </c>
      <c r="L1741" s="17" t="n">
        <f aca="false">MAX(B1740-B1741,0)</f>
        <v>0</v>
      </c>
      <c r="M1741" s="17" t="n">
        <f aca="false">(M1740*13+K1741)/14</f>
        <v>97.9412963813391</v>
      </c>
      <c r="N1741" s="17" t="n">
        <f aca="false">(N1740*13+L1741)/14</f>
        <v>32.2307039693401</v>
      </c>
      <c r="O1741" s="17" t="n">
        <f aca="false">IF(N1741=0,100,100-100/(1+M1741/N1741))</f>
        <v>75.2399103628187</v>
      </c>
      <c r="P1741" s="17" t="n">
        <f aca="false">AVERAGE(B1722:B1741)+2*STDEV(B1722:B1741)</f>
        <v>14609.9542938264</v>
      </c>
      <c r="Q1741" s="17" t="n">
        <f aca="false">AVERAGE(B1722:B1741)-2*STDEV(B1722:B1741)</f>
        <v>12875.7947061736</v>
      </c>
      <c r="R1741" s="19" t="n">
        <f aca="false">B1741/B1721-1</f>
        <v>0.12048237316753</v>
      </c>
      <c r="S1741" s="17" t="n">
        <f aca="false">STDEV(C1722:C1741)*SQRT(252)*100</f>
        <v>17.3139799771843</v>
      </c>
      <c r="T1741" s="19" t="n">
        <f aca="false">B1720/B1490-1</f>
        <v>0.0106508315823683</v>
      </c>
      <c r="U1741" s="19" t="n">
        <f aca="false">B1741/MAX(B1490:B1741)-1</f>
        <v>0</v>
      </c>
      <c r="V1741" s="17" t="n">
        <f aca="false">(B1741-AVERAGE(B1722:B1741))/STDEV(B1722:B1741)</f>
        <v>1.85395970641402</v>
      </c>
    </row>
    <row r="1742" customFormat="false" ht="15" hidden="false" customHeight="false" outlineLevel="0" collapsed="false">
      <c r="A1742" s="17" t="s">
        <v>2306</v>
      </c>
      <c r="B1742" s="17" t="n">
        <v>14556.5</v>
      </c>
      <c r="C1742" s="19" t="n">
        <f aca="false">B1742/B1741-1</f>
        <v>0.000677819757689768</v>
      </c>
      <c r="D1742" s="17" t="n">
        <f aca="false">AVERAGE(B1693:B1742)</f>
        <v>13326.1244</v>
      </c>
      <c r="E1742" s="17" t="n">
        <f aca="false">AVERAGE(B1543:B1742)</f>
        <v>12159.22865</v>
      </c>
      <c r="F1742" s="17" t="n">
        <f aca="false">B1742*2/13+F1741*11/13</f>
        <v>14135.2313296926</v>
      </c>
      <c r="G1742" s="17" t="n">
        <f aca="false">B1742*2/27+G1741*25/27</f>
        <v>13774.0049089158</v>
      </c>
      <c r="H1742" s="17" t="n">
        <f aca="false">F1742-G1742</f>
        <v>361.226420776782</v>
      </c>
      <c r="I1742" s="17" t="n">
        <f aca="false">H1742*2/10+I1741*8/10</f>
        <v>291.197802500094</v>
      </c>
      <c r="J1742" s="17" t="n">
        <f aca="false">H1742-I1742</f>
        <v>70.0286182766882</v>
      </c>
      <c r="K1742" s="17" t="n">
        <f aca="false">MAX(B1742-B1741,0)</f>
        <v>9.86000000000058</v>
      </c>
      <c r="L1742" s="17" t="n">
        <f aca="false">MAX(B1741-B1742,0)</f>
        <v>0</v>
      </c>
      <c r="M1742" s="17" t="n">
        <f aca="false">(M1741*13+K1742)/14</f>
        <v>91.6497752112435</v>
      </c>
      <c r="N1742" s="17" t="n">
        <f aca="false">(N1741*13+L1742)/14</f>
        <v>29.928510828673</v>
      </c>
      <c r="O1742" s="17" t="n">
        <f aca="false">IF(N1742=0,100,100-100/(1+M1742/N1742))</f>
        <v>75.3833420395095</v>
      </c>
      <c r="P1742" s="17" t="n">
        <f aca="false">AVERAGE(B1723:B1742)+2*STDEV(B1723:B1742)</f>
        <v>14715.6033265191</v>
      </c>
      <c r="Q1742" s="17" t="n">
        <f aca="false">AVERAGE(B1723:B1742)-2*STDEV(B1723:B1742)</f>
        <v>12899.8826734809</v>
      </c>
      <c r="R1742" s="19" t="n">
        <f aca="false">B1742/B1722-1</f>
        <v>0.0978472946565876</v>
      </c>
      <c r="S1742" s="17" t="n">
        <f aca="false">STDEV(C1723:C1742)*SQRT(252)*100</f>
        <v>16.3801545124168</v>
      </c>
      <c r="T1742" s="19" t="n">
        <f aca="false">B1721/B1491-1</f>
        <v>0.0346229647203584</v>
      </c>
      <c r="U1742" s="19" t="n">
        <f aca="false">B1742/MAX(B1491:B1742)-1</f>
        <v>0</v>
      </c>
      <c r="V1742" s="17" t="n">
        <f aca="false">(B1742-AVERAGE(B1723:B1742))/STDEV(B1723:B1742)</f>
        <v>1.64949822814897</v>
      </c>
    </row>
    <row r="1743" customFormat="false" ht="15" hidden="false" customHeight="false" outlineLevel="0" collapsed="false">
      <c r="A1743" s="17" t="s">
        <v>2307</v>
      </c>
      <c r="B1743" s="17" t="n">
        <v>14558.09</v>
      </c>
      <c r="C1743" s="19" t="n">
        <f aca="false">B1743/B1742-1</f>
        <v>0.000109229553807655</v>
      </c>
      <c r="D1743" s="17" t="n">
        <f aca="false">AVERAGE(B1694:B1743)</f>
        <v>13361.9452</v>
      </c>
      <c r="E1743" s="17" t="n">
        <f aca="false">AVERAGE(B1544:B1743)</f>
        <v>12164.48915</v>
      </c>
      <c r="F1743" s="17" t="n">
        <f aca="false">B1743*2/13+F1742*11/13</f>
        <v>14200.2865097399</v>
      </c>
      <c r="G1743" s="17" t="n">
        <f aca="false">B1743*2/27+G1742*25/27</f>
        <v>13832.0852860331</v>
      </c>
      <c r="H1743" s="17" t="n">
        <f aca="false">F1743-G1743</f>
        <v>368.201223706734</v>
      </c>
      <c r="I1743" s="17" t="n">
        <f aca="false">H1743*2/10+I1742*8/10</f>
        <v>306.598486741422</v>
      </c>
      <c r="J1743" s="17" t="n">
        <f aca="false">H1743-I1743</f>
        <v>61.6027369653119</v>
      </c>
      <c r="K1743" s="17" t="n">
        <f aca="false">MAX(B1743-B1742,0)</f>
        <v>1.59000000000015</v>
      </c>
      <c r="L1743" s="17" t="n">
        <f aca="false">MAX(B1742-B1743,0)</f>
        <v>0</v>
      </c>
      <c r="M1743" s="17" t="n">
        <f aca="false">(M1742*13+K1743)/14</f>
        <v>85.2169341247261</v>
      </c>
      <c r="N1743" s="17" t="n">
        <f aca="false">(N1742*13+L1743)/14</f>
        <v>27.7907600551963</v>
      </c>
      <c r="O1743" s="17" t="n">
        <f aca="false">IF(N1743=0,100,100-100/(1+M1743/N1743))</f>
        <v>75.40808149669</v>
      </c>
      <c r="P1743" s="17" t="n">
        <f aca="false">AVERAGE(B1724:B1743)+2*STDEV(B1724:B1743)</f>
        <v>14803.6863461721</v>
      </c>
      <c r="Q1743" s="17" t="n">
        <f aca="false">AVERAGE(B1724:B1743)-2*STDEV(B1724:B1743)</f>
        <v>12938.4446538279</v>
      </c>
      <c r="R1743" s="19" t="n">
        <f aca="false">B1743/B1723-1</f>
        <v>0.0952816958629636</v>
      </c>
      <c r="S1743" s="17" t="n">
        <f aca="false">STDEV(C1724:C1743)*SQRT(252)*100</f>
        <v>16.4443237784862</v>
      </c>
      <c r="T1743" s="19" t="n">
        <f aca="false">B1722/B1492-1</f>
        <v>0.0523428068919485</v>
      </c>
      <c r="U1743" s="19" t="n">
        <f aca="false">B1743/MAX(B1492:B1743)-1</f>
        <v>0</v>
      </c>
      <c r="V1743" s="17" t="n">
        <f aca="false">(B1743-AVERAGE(B1724:B1743))/STDEV(B1724:B1743)</f>
        <v>1.47332005888539</v>
      </c>
    </row>
    <row r="1744" customFormat="false" ht="15" hidden="false" customHeight="false" outlineLevel="0" collapsed="false">
      <c r="A1744" s="17" t="s">
        <v>2308</v>
      </c>
      <c r="B1744" s="17" t="n">
        <v>14303.29</v>
      </c>
      <c r="C1744" s="19" t="n">
        <f aca="false">B1744/B1743-1</f>
        <v>-0.0175022959742658</v>
      </c>
      <c r="D1744" s="17" t="n">
        <f aca="false">AVERAGE(B1695:B1744)</f>
        <v>13394.5496</v>
      </c>
      <c r="E1744" s="17" t="n">
        <f aca="false">AVERAGE(B1545:B1744)</f>
        <v>12169.7911</v>
      </c>
      <c r="F1744" s="17" t="n">
        <f aca="false">B1744*2/13+F1743*11/13</f>
        <v>14216.1332005491</v>
      </c>
      <c r="G1744" s="17" t="n">
        <f aca="false">B1744*2/27+G1743*25/27</f>
        <v>13866.9893389196</v>
      </c>
      <c r="H1744" s="17" t="n">
        <f aca="false">F1744-G1744</f>
        <v>349.143861629551</v>
      </c>
      <c r="I1744" s="17" t="n">
        <f aca="false">H1744*2/10+I1743*8/10</f>
        <v>315.107561719048</v>
      </c>
      <c r="J1744" s="17" t="n">
        <f aca="false">H1744-I1744</f>
        <v>34.0362999105032</v>
      </c>
      <c r="K1744" s="17" t="n">
        <f aca="false">MAX(B1744-B1743,0)</f>
        <v>0</v>
      </c>
      <c r="L1744" s="17" t="n">
        <f aca="false">MAX(B1743-B1744,0)</f>
        <v>254.799999999999</v>
      </c>
      <c r="M1744" s="17" t="n">
        <f aca="false">(M1743*13+K1744)/14</f>
        <v>79.1300102586742</v>
      </c>
      <c r="N1744" s="17" t="n">
        <f aca="false">(N1743*13+L1744)/14</f>
        <v>44.0057057655394</v>
      </c>
      <c r="O1744" s="17" t="n">
        <f aca="false">IF(N1744=0,100,100-100/(1+M1744/N1744))</f>
        <v>64.2624356389936</v>
      </c>
      <c r="P1744" s="17" t="n">
        <f aca="false">AVERAGE(B1725:B1744)+2*STDEV(B1725:B1744)</f>
        <v>14821.6250377853</v>
      </c>
      <c r="Q1744" s="17" t="n">
        <f aca="false">AVERAGE(B1725:B1744)-2*STDEV(B1725:B1744)</f>
        <v>13030.7239622147</v>
      </c>
      <c r="R1744" s="19" t="n">
        <f aca="false">B1744/B1724-1</f>
        <v>0.0834914639753779</v>
      </c>
      <c r="S1744" s="17" t="n">
        <f aca="false">STDEV(C1725:C1744)*SQRT(252)*100</f>
        <v>17.8104532996185</v>
      </c>
      <c r="T1744" s="19" t="n">
        <f aca="false">B1723/B1493-1</f>
        <v>0.045624181854798</v>
      </c>
      <c r="U1744" s="19" t="n">
        <f aca="false">B1744/MAX(B1493:B1744)-1</f>
        <v>-0.0175022959742658</v>
      </c>
      <c r="V1744" s="17" t="n">
        <f aca="false">(B1744-AVERAGE(B1725:B1744))/STDEV(B1725:B1744)</f>
        <v>0.842292196133379</v>
      </c>
    </row>
    <row r="1745" customFormat="false" ht="15" hidden="false" customHeight="false" outlineLevel="0" collapsed="false">
      <c r="A1745" s="17" t="s">
        <v>2309</v>
      </c>
      <c r="B1745" s="17" t="n">
        <v>14484.54</v>
      </c>
      <c r="C1745" s="19" t="n">
        <f aca="false">B1745/B1744-1</f>
        <v>0.0126719097494352</v>
      </c>
      <c r="D1745" s="17" t="n">
        <f aca="false">AVERAGE(B1696:B1745)</f>
        <v>13432.029</v>
      </c>
      <c r="E1745" s="17" t="n">
        <f aca="false">AVERAGE(B1546:B1745)</f>
        <v>12177.7611</v>
      </c>
      <c r="F1745" s="17" t="n">
        <f aca="false">B1745*2/13+F1744*11/13</f>
        <v>14257.4265543108</v>
      </c>
      <c r="G1745" s="17" t="n">
        <f aca="false">B1745*2/27+G1744*25/27</f>
        <v>13912.7338323329</v>
      </c>
      <c r="H1745" s="17" t="n">
        <f aca="false">F1745-G1745</f>
        <v>344.692721977863</v>
      </c>
      <c r="I1745" s="17" t="n">
        <f aca="false">H1745*2/10+I1744*8/10</f>
        <v>321.024593770811</v>
      </c>
      <c r="J1745" s="17" t="n">
        <f aca="false">H1745-I1745</f>
        <v>23.668128207052</v>
      </c>
      <c r="K1745" s="17" t="n">
        <f aca="false">MAX(B1745-B1744,0)</f>
        <v>181.25</v>
      </c>
      <c r="L1745" s="17" t="n">
        <f aca="false">MAX(B1744-B1745,0)</f>
        <v>0</v>
      </c>
      <c r="M1745" s="17" t="n">
        <f aca="false">(M1744*13+K1745)/14</f>
        <v>86.4242952401975</v>
      </c>
      <c r="N1745" s="17" t="n">
        <f aca="false">(N1744*13+L1745)/14</f>
        <v>40.8624410680009</v>
      </c>
      <c r="O1745" s="17" t="n">
        <f aca="false">IF(N1745=0,100,100-100/(1+M1745/N1745))</f>
        <v>67.8973298764916</v>
      </c>
      <c r="P1745" s="17" t="n">
        <f aca="false">AVERAGE(B1726:B1745)+2*STDEV(B1726:B1745)</f>
        <v>14868.1367648018</v>
      </c>
      <c r="Q1745" s="17" t="n">
        <f aca="false">AVERAGE(B1726:B1745)-2*STDEV(B1726:B1745)</f>
        <v>13097.8832351982</v>
      </c>
      <c r="R1745" s="19" t="n">
        <f aca="false">B1745/B1725-1</f>
        <v>0.0851606590734224</v>
      </c>
      <c r="S1745" s="17" t="n">
        <f aca="false">STDEV(C1726:C1745)*SQRT(252)*100</f>
        <v>17.9004402947901</v>
      </c>
      <c r="T1745" s="19" t="n">
        <f aca="false">B1724/B1494-1</f>
        <v>0.0464505716548305</v>
      </c>
      <c r="U1745" s="19" t="n">
        <f aca="false">B1745/MAX(B1494:B1745)-1</f>
        <v>-0.00505217373982436</v>
      </c>
      <c r="V1745" s="17" t="n">
        <f aca="false">(B1745-AVERAGE(B1726:B1745))/STDEV(B1726:B1745)</f>
        <v>1.13323880814367</v>
      </c>
    </row>
    <row r="1746" customFormat="false" ht="15" hidden="false" customHeight="false" outlineLevel="0" collapsed="false">
      <c r="A1746" s="17" t="s">
        <v>2310</v>
      </c>
      <c r="B1746" s="17" t="n">
        <v>14528.36</v>
      </c>
      <c r="C1746" s="19" t="n">
        <f aca="false">B1746/B1745-1</f>
        <v>0.00302529455543632</v>
      </c>
      <c r="D1746" s="17" t="n">
        <f aca="false">AVERAGE(B1697:B1746)</f>
        <v>13465.6756</v>
      </c>
      <c r="E1746" s="17" t="n">
        <f aca="false">AVERAGE(B1547:B1746)</f>
        <v>12185.99395</v>
      </c>
      <c r="F1746" s="17" t="n">
        <f aca="false">B1746*2/13+F1745*11/13</f>
        <v>14299.1086228784</v>
      </c>
      <c r="G1746" s="17" t="n">
        <f aca="false">B1746*2/27+G1745*25/27</f>
        <v>13958.3357706786</v>
      </c>
      <c r="H1746" s="17" t="n">
        <f aca="false">F1746-G1746</f>
        <v>340.772852199723</v>
      </c>
      <c r="I1746" s="17" t="n">
        <f aca="false">H1746*2/10+I1745*8/10</f>
        <v>324.974245456593</v>
      </c>
      <c r="J1746" s="17" t="n">
        <f aca="false">H1746-I1746</f>
        <v>15.7986067431301</v>
      </c>
      <c r="K1746" s="17" t="n">
        <f aca="false">MAX(B1746-B1745,0)</f>
        <v>43.8199999999997</v>
      </c>
      <c r="L1746" s="17" t="n">
        <f aca="false">MAX(B1745-B1746,0)</f>
        <v>0</v>
      </c>
      <c r="M1746" s="17" t="n">
        <f aca="false">(M1745*13+K1746)/14</f>
        <v>83.3811312944691</v>
      </c>
      <c r="N1746" s="17" t="n">
        <f aca="false">(N1745*13+L1746)/14</f>
        <v>37.9436952774294</v>
      </c>
      <c r="O1746" s="17" t="n">
        <f aca="false">IF(N1746=0,100,100-100/(1+M1746/N1746))</f>
        <v>68.7255309984362</v>
      </c>
      <c r="P1746" s="17" t="n">
        <f aca="false">AVERAGE(B1727:B1746)+2*STDEV(B1727:B1746)</f>
        <v>14910.7584773563</v>
      </c>
      <c r="Q1746" s="17" t="n">
        <f aca="false">AVERAGE(B1727:B1746)-2*STDEV(B1727:B1746)</f>
        <v>13169.1195226437</v>
      </c>
      <c r="R1746" s="19" t="n">
        <f aca="false">B1746/B1726-1</f>
        <v>0.0850335106327362</v>
      </c>
      <c r="S1746" s="17" t="n">
        <f aca="false">STDEV(C1727:C1746)*SQRT(252)*100</f>
        <v>17.9013702336212</v>
      </c>
      <c r="T1746" s="19" t="n">
        <f aca="false">B1725/B1495-1</f>
        <v>0.0878622110583889</v>
      </c>
      <c r="U1746" s="19" t="n">
        <f aca="false">B1746/MAX(B1495:B1746)-1</f>
        <v>-0.00204216349809627</v>
      </c>
      <c r="V1746" s="17" t="n">
        <f aca="false">(B1746-AVERAGE(B1727:B1746))/STDEV(B1727:B1746)</f>
        <v>1.12175028855065</v>
      </c>
    </row>
    <row r="1747" customFormat="false" ht="15" hidden="false" customHeight="false" outlineLevel="0" collapsed="false">
      <c r="A1747" s="17" t="s">
        <v>2311</v>
      </c>
      <c r="B1747" s="17" t="n">
        <v>14784.3</v>
      </c>
      <c r="C1747" s="19" t="n">
        <f aca="false">B1747/B1746-1</f>
        <v>0.0176165788843337</v>
      </c>
      <c r="D1747" s="17" t="n">
        <f aca="false">AVERAGE(B1698:B1747)</f>
        <v>13502.0988</v>
      </c>
      <c r="E1747" s="17" t="n">
        <f aca="false">AVERAGE(B1548:B1747)</f>
        <v>12195.32615</v>
      </c>
      <c r="F1747" s="17" t="n">
        <f aca="false">B1747*2/13+F1746*11/13</f>
        <v>14373.7534501278</v>
      </c>
      <c r="G1747" s="17" t="n">
        <f aca="false">B1747*2/27+G1746*25/27</f>
        <v>14019.5183061839</v>
      </c>
      <c r="H1747" s="17" t="n">
        <f aca="false">F1747-G1747</f>
        <v>354.235143943919</v>
      </c>
      <c r="I1747" s="17" t="n">
        <f aca="false">H1747*2/10+I1746*8/10</f>
        <v>330.826425154058</v>
      </c>
      <c r="J1747" s="17" t="n">
        <f aca="false">H1747-I1747</f>
        <v>23.4087187898606</v>
      </c>
      <c r="K1747" s="17" t="n">
        <f aca="false">MAX(B1747-B1746,0)</f>
        <v>255.939999999999</v>
      </c>
      <c r="L1747" s="17" t="n">
        <f aca="false">MAX(B1746-B1747,0)</f>
        <v>0</v>
      </c>
      <c r="M1747" s="17" t="n">
        <f aca="false">(M1746*13+K1747)/14</f>
        <v>95.7067647734355</v>
      </c>
      <c r="N1747" s="17" t="n">
        <f aca="false">(N1746*13+L1747)/14</f>
        <v>35.2334313290416</v>
      </c>
      <c r="O1747" s="17" t="n">
        <f aca="false">IF(N1747=0,100,100-100/(1+M1747/N1747))</f>
        <v>73.0919668842813</v>
      </c>
      <c r="P1747" s="17" t="n">
        <f aca="false">AVERAGE(B1728:B1747)+2*STDEV(B1728:B1747)</f>
        <v>14978.1324414672</v>
      </c>
      <c r="Q1747" s="17" t="n">
        <f aca="false">AVERAGE(B1728:B1747)-2*STDEV(B1728:B1747)</f>
        <v>13246.1575585328</v>
      </c>
      <c r="R1747" s="19" t="n">
        <f aca="false">B1747/B1727-1</f>
        <v>0.108253411873003</v>
      </c>
      <c r="S1747" s="17" t="n">
        <f aca="false">STDEV(C1728:C1747)*SQRT(252)*100</f>
        <v>18.2570769151025</v>
      </c>
      <c r="T1747" s="19" t="n">
        <f aca="false">B1726/B1496-1</f>
        <v>0.131579792475505</v>
      </c>
      <c r="U1747" s="19" t="n">
        <f aca="false">B1747/MAX(B1496:B1747)-1</f>
        <v>0</v>
      </c>
      <c r="V1747" s="17" t="n">
        <f aca="false">(B1747-AVERAGE(B1728:B1747))/STDEV(B1728:B1747)</f>
        <v>1.552343527895</v>
      </c>
    </row>
    <row r="1748" customFormat="false" ht="15" hidden="false" customHeight="false" outlineLevel="0" collapsed="false">
      <c r="A1748" s="17" t="s">
        <v>2312</v>
      </c>
      <c r="B1748" s="17" t="n">
        <v>14900.85</v>
      </c>
      <c r="C1748" s="19" t="n">
        <f aca="false">B1748/B1747-1</f>
        <v>0.00788336275643764</v>
      </c>
      <c r="D1748" s="17" t="n">
        <f aca="false">AVERAGE(B1699:B1748)</f>
        <v>13536.4888</v>
      </c>
      <c r="E1748" s="17" t="n">
        <f aca="false">AVERAGE(B1549:B1748)</f>
        <v>12204.1125</v>
      </c>
      <c r="F1748" s="17" t="n">
        <f aca="false">B1748*2/13+F1747*11/13</f>
        <v>14454.8452270312</v>
      </c>
      <c r="G1748" s="17" t="n">
        <f aca="false">B1748*2/27+G1747*25/27</f>
        <v>14084.8021353555</v>
      </c>
      <c r="H1748" s="17" t="n">
        <f aca="false">F1748-G1748</f>
        <v>370.043091675767</v>
      </c>
      <c r="I1748" s="17" t="n">
        <f aca="false">H1748*2/10+I1747*8/10</f>
        <v>338.6697584584</v>
      </c>
      <c r="J1748" s="17" t="n">
        <f aca="false">H1748-I1748</f>
        <v>31.3733332173669</v>
      </c>
      <c r="K1748" s="17" t="n">
        <f aca="false">MAX(B1748-B1747,0)</f>
        <v>116.550000000001</v>
      </c>
      <c r="L1748" s="17" t="n">
        <f aca="false">MAX(B1747-B1748,0)</f>
        <v>0</v>
      </c>
      <c r="M1748" s="17" t="n">
        <f aca="false">(M1747*13+K1748)/14</f>
        <v>97.1955672896187</v>
      </c>
      <c r="N1748" s="17" t="n">
        <f aca="false">(N1747*13+L1748)/14</f>
        <v>32.7167576626814</v>
      </c>
      <c r="O1748" s="17" t="n">
        <f aca="false">IF(N1748=0,100,100-100/(1+M1748/N1748))</f>
        <v>74.8162788444483</v>
      </c>
      <c r="P1748" s="17" t="n">
        <f aca="false">AVERAGE(B1729:B1748)+2*STDEV(B1729:B1748)</f>
        <v>15055.3337528681</v>
      </c>
      <c r="Q1748" s="17" t="n">
        <f aca="false">AVERAGE(B1729:B1748)-2*STDEV(B1729:B1748)</f>
        <v>13317.6902471319</v>
      </c>
      <c r="R1748" s="19" t="n">
        <f aca="false">B1748/B1728-1</f>
        <v>0.110883728420078</v>
      </c>
      <c r="S1748" s="17" t="n">
        <f aca="false">STDEV(C1729:C1748)*SQRT(252)*100</f>
        <v>18.281600184262</v>
      </c>
      <c r="T1748" s="19" t="n">
        <f aca="false">B1727/B1497-1</f>
        <v>0.181768411951468</v>
      </c>
      <c r="U1748" s="19" t="n">
        <f aca="false">B1748/MAX(B1497:B1748)-1</f>
        <v>0</v>
      </c>
      <c r="V1748" s="17" t="n">
        <f aca="false">(B1748-AVERAGE(B1729:B1748))/STDEV(B1729:B1748)</f>
        <v>1.64438332176158</v>
      </c>
    </row>
    <row r="1749" customFormat="false" ht="15" hidden="false" customHeight="false" outlineLevel="0" collapsed="false">
      <c r="A1749" s="17" t="s">
        <v>2313</v>
      </c>
      <c r="B1749" s="17" t="n">
        <v>15005.69</v>
      </c>
      <c r="C1749" s="19" t="n">
        <f aca="false">B1749/B1748-1</f>
        <v>0.00703584023730186</v>
      </c>
      <c r="D1749" s="17" t="n">
        <f aca="false">AVERAGE(B1700:B1749)</f>
        <v>13573.6356</v>
      </c>
      <c r="E1749" s="17" t="n">
        <f aca="false">AVERAGE(B1550:B1749)</f>
        <v>12216.1151</v>
      </c>
      <c r="F1749" s="17" t="n">
        <f aca="false">B1749*2/13+F1748*11/13</f>
        <v>14539.5905767188</v>
      </c>
      <c r="G1749" s="17" t="n">
        <f aca="false">B1749*2/27+G1748*25/27</f>
        <v>14153.0160512551</v>
      </c>
      <c r="H1749" s="17" t="n">
        <f aca="false">F1749-G1749</f>
        <v>386.574525463675</v>
      </c>
      <c r="I1749" s="17" t="n">
        <f aca="false">H1749*2/10+I1748*8/10</f>
        <v>348.250711859455</v>
      </c>
      <c r="J1749" s="17" t="n">
        <f aca="false">H1749-I1749</f>
        <v>38.3238136042199</v>
      </c>
      <c r="K1749" s="17" t="n">
        <f aca="false">MAX(B1749-B1748,0)</f>
        <v>104.84</v>
      </c>
      <c r="L1749" s="17" t="n">
        <f aca="false">MAX(B1748-B1749,0)</f>
        <v>0</v>
      </c>
      <c r="M1749" s="17" t="n">
        <f aca="false">(M1748*13+K1749)/14</f>
        <v>97.7415981975031</v>
      </c>
      <c r="N1749" s="17" t="n">
        <f aca="false">(N1748*13+L1749)/14</f>
        <v>30.3798464010613</v>
      </c>
      <c r="O1749" s="17" t="n">
        <f aca="false">IF(N1749=0,100,100-100/(1+M1749/N1749))</f>
        <v>76.2882423810871</v>
      </c>
      <c r="P1749" s="17" t="n">
        <f aca="false">AVERAGE(B1730:B1749)+2*STDEV(B1730:B1749)</f>
        <v>15130.4223114679</v>
      </c>
      <c r="Q1749" s="17" t="n">
        <f aca="false">AVERAGE(B1730:B1749)-2*STDEV(B1730:B1749)</f>
        <v>13400.5696885321</v>
      </c>
      <c r="R1749" s="19" t="n">
        <f aca="false">B1749/B1729-1</f>
        <v>0.117658187354247</v>
      </c>
      <c r="S1749" s="17" t="n">
        <f aca="false">STDEV(C1730:C1749)*SQRT(252)*100</f>
        <v>18.2149178944388</v>
      </c>
      <c r="T1749" s="19" t="n">
        <f aca="false">B1728/B1498-1</f>
        <v>0.18580954746815</v>
      </c>
      <c r="U1749" s="19" t="n">
        <f aca="false">B1749/MAX(B1498:B1749)-1</f>
        <v>0</v>
      </c>
      <c r="V1749" s="17" t="n">
        <f aca="false">(B1749-AVERAGE(B1730:B1749))/STDEV(B1730:B1749)</f>
        <v>1.71157702150091</v>
      </c>
    </row>
    <row r="1750" customFormat="false" ht="15" hidden="false" customHeight="false" outlineLevel="0" collapsed="false">
      <c r="A1750" s="17" t="s">
        <v>2314</v>
      </c>
      <c r="B1750" s="17" t="n">
        <v>15185.48</v>
      </c>
      <c r="C1750" s="19" t="n">
        <f aca="false">B1750/B1749-1</f>
        <v>0.0119814550347235</v>
      </c>
      <c r="D1750" s="17" t="n">
        <f aca="false">AVERAGE(B1701:B1750)</f>
        <v>13615.3436</v>
      </c>
      <c r="E1750" s="17" t="n">
        <f aca="false">AVERAGE(B1551:B1750)</f>
        <v>12229.6209</v>
      </c>
      <c r="F1750" s="17" t="n">
        <f aca="false">B1750*2/13+F1749*11/13</f>
        <v>14638.9581803005</v>
      </c>
      <c r="G1750" s="17" t="n">
        <f aca="false">B1750*2/27+G1749*25/27</f>
        <v>14229.4948622732</v>
      </c>
      <c r="H1750" s="17" t="n">
        <f aca="false">F1750-G1750</f>
        <v>409.463318027267</v>
      </c>
      <c r="I1750" s="17" t="n">
        <f aca="false">H1750*2/10+I1749*8/10</f>
        <v>360.493233093017</v>
      </c>
      <c r="J1750" s="17" t="n">
        <f aca="false">H1750-I1750</f>
        <v>48.9700849342494</v>
      </c>
      <c r="K1750" s="17" t="n">
        <f aca="false">MAX(B1750-B1749,0)</f>
        <v>179.789999999999</v>
      </c>
      <c r="L1750" s="17" t="n">
        <f aca="false">MAX(B1749-B1750,0)</f>
        <v>0</v>
      </c>
      <c r="M1750" s="17" t="n">
        <f aca="false">(M1749*13+K1750)/14</f>
        <v>103.602198326253</v>
      </c>
      <c r="N1750" s="17" t="n">
        <f aca="false">(N1749*13+L1750)/14</f>
        <v>28.2098573724141</v>
      </c>
      <c r="O1750" s="17" t="n">
        <f aca="false">IF(N1750=0,100,100-100/(1+M1750/N1750))</f>
        <v>78.5984239280024</v>
      </c>
      <c r="P1750" s="17" t="n">
        <f aca="false">AVERAGE(B1731:B1750)+2*STDEV(B1731:B1750)</f>
        <v>15241.5145368691</v>
      </c>
      <c r="Q1750" s="17" t="n">
        <f aca="false">AVERAGE(B1731:B1750)-2*STDEV(B1731:B1750)</f>
        <v>13449.0994631309</v>
      </c>
      <c r="R1750" s="19" t="n">
        <f aca="false">B1750/B1730-1</f>
        <v>0.117461877983054</v>
      </c>
      <c r="S1750" s="17" t="n">
        <f aca="false">STDEV(C1731:C1750)*SQRT(252)*100</f>
        <v>18.2065855614349</v>
      </c>
      <c r="T1750" s="19" t="n">
        <f aca="false">B1729/B1499-1</f>
        <v>0.158036600691578</v>
      </c>
      <c r="U1750" s="19" t="n">
        <f aca="false">B1750/MAX(B1499:B1750)-1</f>
        <v>0</v>
      </c>
      <c r="V1750" s="17" t="n">
        <f aca="false">(B1750-AVERAGE(B1731:B1750))/STDEV(B1731:B1750)</f>
        <v>1.87495187316791</v>
      </c>
    </row>
    <row r="1751" customFormat="false" ht="15" hidden="false" customHeight="false" outlineLevel="0" collapsed="false">
      <c r="A1751" s="17" t="s">
        <v>2315</v>
      </c>
      <c r="B1751" s="17" t="n">
        <v>15083.92</v>
      </c>
      <c r="C1751" s="19" t="n">
        <f aca="false">B1751/B1750-1</f>
        <v>-0.00668796771652913</v>
      </c>
      <c r="D1751" s="17" t="n">
        <f aca="false">AVERAGE(B1702:B1751)</f>
        <v>13657.678</v>
      </c>
      <c r="E1751" s="17" t="n">
        <f aca="false">AVERAGE(B1552:B1751)</f>
        <v>12243.327</v>
      </c>
      <c r="F1751" s="17" t="n">
        <f aca="false">B1751*2/13+F1750*11/13</f>
        <v>14707.4138448696</v>
      </c>
      <c r="G1751" s="17" t="n">
        <f aca="false">B1751*2/27+G1750*25/27</f>
        <v>14292.7856132159</v>
      </c>
      <c r="H1751" s="17" t="n">
        <f aca="false">F1751-G1751</f>
        <v>414.628231653698</v>
      </c>
      <c r="I1751" s="17" t="n">
        <f aca="false">H1751*2/10+I1750*8/10</f>
        <v>371.320232805154</v>
      </c>
      <c r="J1751" s="17" t="n">
        <f aca="false">H1751-I1751</f>
        <v>43.3079988485446</v>
      </c>
      <c r="K1751" s="17" t="n">
        <f aca="false">MAX(B1751-B1750,0)</f>
        <v>0</v>
      </c>
      <c r="L1751" s="17" t="n">
        <f aca="false">MAX(B1750-B1751,0)</f>
        <v>101.559999999999</v>
      </c>
      <c r="M1751" s="17" t="n">
        <f aca="false">(M1750*13+K1751)/14</f>
        <v>96.202041302949</v>
      </c>
      <c r="N1751" s="17" t="n">
        <f aca="false">(N1750*13+L1751)/14</f>
        <v>33.4491532743845</v>
      </c>
      <c r="O1751" s="17" t="n">
        <f aca="false">IF(N1751=0,100,100-100/(1+M1751/N1751))</f>
        <v>74.2006594050833</v>
      </c>
      <c r="P1751" s="17" t="n">
        <f aca="false">AVERAGE(B1732:B1751)+2*STDEV(B1732:B1751)</f>
        <v>15327.9382533672</v>
      </c>
      <c r="Q1751" s="17" t="n">
        <f aca="false">AVERAGE(B1732:B1751)-2*STDEV(B1732:B1751)</f>
        <v>13487.6057466328</v>
      </c>
      <c r="R1751" s="19" t="n">
        <f aca="false">B1751/B1731-1</f>
        <v>0.0903024441582059</v>
      </c>
      <c r="S1751" s="17" t="n">
        <f aca="false">STDEV(C1732:C1751)*SQRT(252)*100</f>
        <v>18.0851079630935</v>
      </c>
      <c r="T1751" s="19" t="n">
        <f aca="false">B1730/B1500-1</f>
        <v>0.221224400295842</v>
      </c>
      <c r="U1751" s="19" t="n">
        <f aca="false">B1751/MAX(B1500:B1751)-1</f>
        <v>-0.00668796771652913</v>
      </c>
      <c r="V1751" s="17" t="n">
        <f aca="false">(B1751-AVERAGE(B1732:B1751))/STDEV(B1732:B1751)</f>
        <v>1.46962138097493</v>
      </c>
    </row>
    <row r="1752" customFormat="false" ht="15" hidden="false" customHeight="false" outlineLevel="0" collapsed="false">
      <c r="A1752" s="17" t="s">
        <v>2316</v>
      </c>
      <c r="B1752" s="17" t="n">
        <v>15070.15</v>
      </c>
      <c r="C1752" s="19" t="n">
        <f aca="false">B1752/B1751-1</f>
        <v>-0.000912892669809984</v>
      </c>
      <c r="D1752" s="17" t="n">
        <f aca="false">AVERAGE(B1703:B1752)</f>
        <v>13697.829</v>
      </c>
      <c r="E1752" s="17" t="n">
        <f aca="false">AVERAGE(B1553:B1752)</f>
        <v>12257.3176</v>
      </c>
      <c r="F1752" s="17" t="n">
        <f aca="false">B1752*2/13+F1751*11/13</f>
        <v>14763.2194071974</v>
      </c>
      <c r="G1752" s="17" t="n">
        <f aca="false">B1752*2/27+G1751*25/27</f>
        <v>14350.3681603851</v>
      </c>
      <c r="H1752" s="17" t="n">
        <f aca="false">F1752-G1752</f>
        <v>412.851246812257</v>
      </c>
      <c r="I1752" s="17" t="n">
        <f aca="false">H1752*2/10+I1751*8/10</f>
        <v>379.626435606574</v>
      </c>
      <c r="J1752" s="17" t="n">
        <f aca="false">H1752-I1752</f>
        <v>33.2248112056829</v>
      </c>
      <c r="K1752" s="17" t="n">
        <f aca="false">MAX(B1752-B1751,0)</f>
        <v>0</v>
      </c>
      <c r="L1752" s="17" t="n">
        <f aca="false">MAX(B1751-B1752,0)</f>
        <v>13.7700000000004</v>
      </c>
      <c r="M1752" s="17" t="n">
        <f aca="false">(M1751*13+K1752)/14</f>
        <v>89.330466924167</v>
      </c>
      <c r="N1752" s="17" t="n">
        <f aca="false">(N1751*13+L1752)/14</f>
        <v>32.0434994690713</v>
      </c>
      <c r="O1752" s="17" t="n">
        <f aca="false">IF(N1752=0,100,100-100/(1+M1752/N1752))</f>
        <v>73.5993636681083</v>
      </c>
      <c r="P1752" s="17" t="n">
        <f aca="false">AVERAGE(B1733:B1752)+2*STDEV(B1733:B1752)</f>
        <v>15390.5120958246</v>
      </c>
      <c r="Q1752" s="17" t="n">
        <f aca="false">AVERAGE(B1733:B1752)-2*STDEV(B1733:B1752)</f>
        <v>13551.6979041754</v>
      </c>
      <c r="R1752" s="19" t="n">
        <f aca="false">B1752/B1732-1</f>
        <v>0.0917637496024557</v>
      </c>
      <c r="S1752" s="17" t="n">
        <f aca="false">STDEV(C1733:C1752)*SQRT(252)*100</f>
        <v>18.0260863996815</v>
      </c>
      <c r="T1752" s="19" t="n">
        <f aca="false">B1731/B1501-1</f>
        <v>0.227998604649924</v>
      </c>
      <c r="U1752" s="19" t="n">
        <f aca="false">B1752/MAX(B1501:B1752)-1</f>
        <v>-0.0075947549896348</v>
      </c>
      <c r="V1752" s="17" t="n">
        <f aca="false">(B1752-AVERAGE(B1733:B1752))/STDEV(B1733:B1752)</f>
        <v>1.30311154377751</v>
      </c>
    </row>
    <row r="1753" customFormat="false" ht="15" hidden="false" customHeight="false" outlineLevel="0" collapsed="false">
      <c r="A1753" s="17" t="s">
        <v>2317</v>
      </c>
      <c r="B1753" s="17" t="n">
        <v>14867.45</v>
      </c>
      <c r="C1753" s="19" t="n">
        <f aca="false">B1753/B1752-1</f>
        <v>-0.0134504301549752</v>
      </c>
      <c r="D1753" s="17" t="n">
        <f aca="false">AVERAGE(B1704:B1753)</f>
        <v>13734.1534</v>
      </c>
      <c r="E1753" s="17" t="n">
        <f aca="false">AVERAGE(B1554:B1753)</f>
        <v>12270.28175</v>
      </c>
      <c r="F1753" s="17" t="n">
        <f aca="false">B1753*2/13+F1752*11/13</f>
        <v>14779.2548830132</v>
      </c>
      <c r="G1753" s="17" t="n">
        <f aca="false">B1753*2/27+G1752*25/27</f>
        <v>14388.6705188751</v>
      </c>
      <c r="H1753" s="17" t="n">
        <f aca="false">F1753-G1753</f>
        <v>390.584364138056</v>
      </c>
      <c r="I1753" s="17" t="n">
        <f aca="false">H1753*2/10+I1752*8/10</f>
        <v>381.818021312871</v>
      </c>
      <c r="J1753" s="17" t="n">
        <f aca="false">H1753-I1753</f>
        <v>8.76634282518546</v>
      </c>
      <c r="K1753" s="17" t="n">
        <f aca="false">MAX(B1753-B1752,0)</f>
        <v>0</v>
      </c>
      <c r="L1753" s="17" t="n">
        <f aca="false">MAX(B1752-B1753,0)</f>
        <v>202.699999999999</v>
      </c>
      <c r="M1753" s="17" t="n">
        <f aca="false">(M1752*13+K1753)/14</f>
        <v>82.9497192867265</v>
      </c>
      <c r="N1753" s="17" t="n">
        <f aca="false">(N1752*13+L1753)/14</f>
        <v>44.2332495069947</v>
      </c>
      <c r="O1753" s="17" t="n">
        <f aca="false">IF(N1753=0,100,100-100/(1+M1753/N1753))</f>
        <v>65.220776078331</v>
      </c>
      <c r="P1753" s="17" t="n">
        <f aca="false">AVERAGE(B1734:B1753)+2*STDEV(B1734:B1753)</f>
        <v>15408.6670743815</v>
      </c>
      <c r="Q1753" s="17" t="n">
        <f aca="false">AVERAGE(B1734:B1753)-2*STDEV(B1734:B1753)</f>
        <v>13635.3139256185</v>
      </c>
      <c r="R1753" s="19" t="n">
        <f aca="false">B1753/B1733-1</f>
        <v>0.073482245876096</v>
      </c>
      <c r="S1753" s="17" t="n">
        <f aca="false">STDEV(C1734:C1753)*SQRT(252)*100</f>
        <v>19.1168013671144</v>
      </c>
      <c r="T1753" s="19" t="n">
        <f aca="false">B1732/B1502-1</f>
        <v>0.195442704273753</v>
      </c>
      <c r="U1753" s="19" t="n">
        <f aca="false">B1753/MAX(B1502:B1753)-1</f>
        <v>-0.0209430324230777</v>
      </c>
      <c r="V1753" s="17" t="n">
        <f aca="false">(B1753-AVERAGE(B1734:B1753))/STDEV(B1734:B1753)</f>
        <v>0.779223247757484</v>
      </c>
    </row>
    <row r="1754" customFormat="false" ht="15" hidden="false" customHeight="false" outlineLevel="0" collapsed="false">
      <c r="A1754" s="17" t="s">
        <v>2318</v>
      </c>
      <c r="B1754" s="17" t="n">
        <v>15042.32</v>
      </c>
      <c r="C1754" s="19" t="n">
        <f aca="false">B1754/B1753-1</f>
        <v>0.0117619363105306</v>
      </c>
      <c r="D1754" s="17" t="n">
        <f aca="false">AVERAGE(B1705:B1754)</f>
        <v>13775.7168</v>
      </c>
      <c r="E1754" s="17" t="n">
        <f aca="false">AVERAGE(B1555:B1754)</f>
        <v>12285.00115</v>
      </c>
      <c r="F1754" s="17" t="n">
        <f aca="false">B1754*2/13+F1753*11/13</f>
        <v>14819.7264394727</v>
      </c>
      <c r="G1754" s="17" t="n">
        <f aca="false">B1754*2/27+G1753*25/27</f>
        <v>14437.0889989584</v>
      </c>
      <c r="H1754" s="17" t="n">
        <f aca="false">F1754-G1754</f>
        <v>382.637440514241</v>
      </c>
      <c r="I1754" s="17" t="n">
        <f aca="false">H1754*2/10+I1753*8/10</f>
        <v>381.981905153145</v>
      </c>
      <c r="J1754" s="17" t="n">
        <f aca="false">H1754-I1754</f>
        <v>0.655535361096668</v>
      </c>
      <c r="K1754" s="17" t="n">
        <f aca="false">MAX(B1754-B1753,0)</f>
        <v>174.869999999999</v>
      </c>
      <c r="L1754" s="17" t="n">
        <f aca="false">MAX(B1753-B1754,0)</f>
        <v>0</v>
      </c>
      <c r="M1754" s="17" t="n">
        <f aca="false">(M1753*13+K1754)/14</f>
        <v>89.5154536233888</v>
      </c>
      <c r="N1754" s="17" t="n">
        <f aca="false">(N1753*13+L1754)/14</f>
        <v>41.0737316850665</v>
      </c>
      <c r="O1754" s="17" t="n">
        <f aca="false">IF(N1754=0,100,100-100/(1+M1754/N1754))</f>
        <v>68.5473712175712</v>
      </c>
      <c r="P1754" s="17" t="n">
        <f aca="false">AVERAGE(B1735:B1754)+2*STDEV(B1735:B1754)</f>
        <v>15409.9516889369</v>
      </c>
      <c r="Q1754" s="17" t="n">
        <f aca="false">AVERAGE(B1735:B1754)-2*STDEV(B1735:B1754)</f>
        <v>13771.0073110631</v>
      </c>
      <c r="R1754" s="19" t="n">
        <f aca="false">B1754/B1734-1</f>
        <v>0.100184749870909</v>
      </c>
      <c r="S1754" s="17" t="n">
        <f aca="false">STDEV(C1735:C1754)*SQRT(252)*100</f>
        <v>18.2895631748602</v>
      </c>
      <c r="T1754" s="19" t="n">
        <f aca="false">B1733/B1503-1</f>
        <v>0.201430292746781</v>
      </c>
      <c r="U1754" s="19" t="n">
        <f aca="false">B1754/MAX(B1503:B1754)-1</f>
        <v>-0.00942742672605668</v>
      </c>
      <c r="V1754" s="17" t="n">
        <f aca="false">(B1754-AVERAGE(B1735:B1754))/STDEV(B1735:B1754)</f>
        <v>1.1027598156471</v>
      </c>
    </row>
    <row r="1755" customFormat="false" ht="15" hidden="false" customHeight="false" outlineLevel="0" collapsed="false">
      <c r="A1755" s="17" t="s">
        <v>2319</v>
      </c>
      <c r="B1755" s="17" t="n">
        <v>14891.48</v>
      </c>
      <c r="C1755" s="19" t="n">
        <f aca="false">B1755/B1754-1</f>
        <v>-0.0100277084917753</v>
      </c>
      <c r="D1755" s="17" t="n">
        <f aca="false">AVERAGE(B1706:B1755)</f>
        <v>13816.5794</v>
      </c>
      <c r="E1755" s="17" t="n">
        <f aca="false">AVERAGE(B1556:B1755)</f>
        <v>12299.402</v>
      </c>
      <c r="F1755" s="17" t="n">
        <f aca="false">B1755*2/13+F1754*11/13</f>
        <v>14830.7654487846</v>
      </c>
      <c r="G1755" s="17" t="n">
        <f aca="false">B1755*2/27+G1754*25/27</f>
        <v>14470.7475916282</v>
      </c>
      <c r="H1755" s="17" t="n">
        <f aca="false">F1755-G1755</f>
        <v>360.017857156392</v>
      </c>
      <c r="I1755" s="17" t="n">
        <f aca="false">H1755*2/10+I1754*8/10</f>
        <v>377.589095553794</v>
      </c>
      <c r="J1755" s="17" t="n">
        <f aca="false">H1755-I1755</f>
        <v>-17.5712383974022</v>
      </c>
      <c r="K1755" s="17" t="n">
        <f aca="false">MAX(B1755-B1754,0)</f>
        <v>0</v>
      </c>
      <c r="L1755" s="17" t="n">
        <f aca="false">MAX(B1754-B1755,0)</f>
        <v>150.84</v>
      </c>
      <c r="M1755" s="17" t="n">
        <f aca="false">(M1754*13+K1755)/14</f>
        <v>83.1214926502896</v>
      </c>
      <c r="N1755" s="17" t="n">
        <f aca="false">(N1754*13+L1755)/14</f>
        <v>48.9141794218475</v>
      </c>
      <c r="O1755" s="17" t="n">
        <f aca="false">IF(N1755=0,100,100-100/(1+M1755/N1755))</f>
        <v>62.9538149394025</v>
      </c>
      <c r="P1755" s="17" t="n">
        <f aca="false">AVERAGE(B1736:B1755)+2*STDEV(B1736:B1755)</f>
        <v>15339.3004846751</v>
      </c>
      <c r="Q1755" s="17" t="n">
        <f aca="false">AVERAGE(B1736:B1755)-2*STDEV(B1736:B1755)</f>
        <v>13970.3585153249</v>
      </c>
      <c r="R1755" s="19" t="n">
        <f aca="false">B1755/B1735-1</f>
        <v>0.0946011901961708</v>
      </c>
      <c r="S1755" s="17" t="n">
        <f aca="false">STDEV(C1736:C1755)*SQRT(252)*100</f>
        <v>18.7318842079545</v>
      </c>
      <c r="T1755" s="19" t="n">
        <f aca="false">B1734/B1504-1</f>
        <v>0.168824929387708</v>
      </c>
      <c r="U1755" s="19" t="n">
        <f aca="false">B1755/MAX(B1504:B1755)-1</f>
        <v>-0.0193605997307955</v>
      </c>
      <c r="V1755" s="17" t="n">
        <f aca="false">(B1755-AVERAGE(B1736:B1755))/STDEV(B1736:B1755)</f>
        <v>0.691484388084993</v>
      </c>
    </row>
    <row r="1756" customFormat="false" ht="15" hidden="false" customHeight="false" outlineLevel="0" collapsed="false">
      <c r="A1756" s="17" t="s">
        <v>2320</v>
      </c>
      <c r="B1756" s="17" t="n">
        <v>14689.02</v>
      </c>
      <c r="C1756" s="19" t="n">
        <f aca="false">B1756/B1755-1</f>
        <v>-0.0135956936449566</v>
      </c>
      <c r="D1756" s="17" t="n">
        <f aca="false">AVERAGE(B1707:B1756)</f>
        <v>13848.172</v>
      </c>
      <c r="E1756" s="17" t="n">
        <f aca="false">AVERAGE(B1557:B1756)</f>
        <v>12311.55015</v>
      </c>
      <c r="F1756" s="17" t="n">
        <f aca="false">B1756*2/13+F1755*11/13</f>
        <v>14808.9584566639</v>
      </c>
      <c r="G1756" s="17" t="n">
        <f aca="false">B1756*2/27+G1755*25/27</f>
        <v>14486.9159181742</v>
      </c>
      <c r="H1756" s="17" t="n">
        <f aca="false">F1756-G1756</f>
        <v>322.042538489628</v>
      </c>
      <c r="I1756" s="17" t="n">
        <f aca="false">H1756*2/10+I1755*8/10</f>
        <v>366.479784140961</v>
      </c>
      <c r="J1756" s="17" t="n">
        <f aca="false">H1756-I1756</f>
        <v>-44.4372456513329</v>
      </c>
      <c r="K1756" s="17" t="n">
        <f aca="false">MAX(B1756-B1755,0)</f>
        <v>0</v>
      </c>
      <c r="L1756" s="17" t="n">
        <f aca="false">MAX(B1755-B1756,0)</f>
        <v>202.459999999999</v>
      </c>
      <c r="M1756" s="17" t="n">
        <f aca="false">(M1755*13+K1756)/14</f>
        <v>77.1842431752689</v>
      </c>
      <c r="N1756" s="17" t="n">
        <f aca="false">(N1755*13+L1756)/14</f>
        <v>59.8817380345726</v>
      </c>
      <c r="O1756" s="17" t="n">
        <f aca="false">IF(N1756=0,100,100-100/(1+M1756/N1756))</f>
        <v>56.3117430700062</v>
      </c>
      <c r="P1756" s="17" t="n">
        <f aca="false">AVERAGE(B1737:B1756)+2*STDEV(B1737:B1756)</f>
        <v>15288.0048632412</v>
      </c>
      <c r="Q1756" s="17" t="n">
        <f aca="false">AVERAGE(B1737:B1756)-2*STDEV(B1737:B1756)</f>
        <v>14096.7031367588</v>
      </c>
      <c r="R1756" s="19" t="n">
        <f aca="false">B1756/B1736-1</f>
        <v>0.0538428370854027</v>
      </c>
      <c r="S1756" s="17" t="n">
        <f aca="false">STDEV(C1737:C1756)*SQRT(252)*100</f>
        <v>18.2287741833405</v>
      </c>
      <c r="T1756" s="19" t="n">
        <f aca="false">B1735/B1505-1</f>
        <v>0.123793868253778</v>
      </c>
      <c r="U1756" s="19" t="n">
        <f aca="false">B1756/MAX(B1505:B1756)-1</f>
        <v>-0.0326930725930296</v>
      </c>
      <c r="V1756" s="17" t="n">
        <f aca="false">(B1756-AVERAGE(B1737:B1756))/STDEV(B1737:B1756)</f>
        <v>-0.0111944771870519</v>
      </c>
    </row>
    <row r="1757" customFormat="false" ht="15" hidden="false" customHeight="false" outlineLevel="0" collapsed="false">
      <c r="A1757" s="17" t="s">
        <v>2321</v>
      </c>
      <c r="B1757" s="17" t="n">
        <v>14945.91</v>
      </c>
      <c r="C1757" s="19" t="n">
        <f aca="false">B1757/B1756-1</f>
        <v>0.0174885730974563</v>
      </c>
      <c r="D1757" s="17" t="n">
        <f aca="false">AVERAGE(B1708:B1757)</f>
        <v>13885.4998</v>
      </c>
      <c r="E1757" s="17" t="n">
        <f aca="false">AVERAGE(B1558:B1757)</f>
        <v>12324.67375</v>
      </c>
      <c r="F1757" s="17" t="n">
        <f aca="false">B1757*2/13+F1756*11/13</f>
        <v>14830.0279248694</v>
      </c>
      <c r="G1757" s="17" t="n">
        <f aca="false">B1757*2/27+G1756*25/27</f>
        <v>14520.915479791</v>
      </c>
      <c r="H1757" s="17" t="n">
        <f aca="false">F1757-G1757</f>
        <v>309.112445078465</v>
      </c>
      <c r="I1757" s="17" t="n">
        <f aca="false">H1757*2/10+I1756*8/10</f>
        <v>355.006316328462</v>
      </c>
      <c r="J1757" s="17" t="n">
        <f aca="false">H1757-I1757</f>
        <v>-45.8938712499971</v>
      </c>
      <c r="K1757" s="17" t="n">
        <f aca="false">MAX(B1757-B1756,0)</f>
        <v>256.889999999999</v>
      </c>
      <c r="L1757" s="17" t="n">
        <f aca="false">MAX(B1756-B1757,0)</f>
        <v>0</v>
      </c>
      <c r="M1757" s="17" t="n">
        <f aca="false">(M1756*13+K1757)/14</f>
        <v>90.0203686627497</v>
      </c>
      <c r="N1757" s="17" t="n">
        <f aca="false">(N1756*13+L1757)/14</f>
        <v>55.6044710321032</v>
      </c>
      <c r="O1757" s="17" t="n">
        <f aca="false">IF(N1757=0,100,100-100/(1+M1757/N1757))</f>
        <v>61.8166302200788</v>
      </c>
      <c r="P1757" s="17" t="n">
        <f aca="false">AVERAGE(B1738:B1757)+2*STDEV(B1738:B1757)</f>
        <v>15300.2718968749</v>
      </c>
      <c r="Q1757" s="17" t="n">
        <f aca="false">AVERAGE(B1738:B1757)-2*STDEV(B1738:B1757)</f>
        <v>14149.1861031251</v>
      </c>
      <c r="R1757" s="19" t="n">
        <f aca="false">B1757/B1737-1</f>
        <v>0.0452847554378424</v>
      </c>
      <c r="S1757" s="17" t="n">
        <f aca="false">STDEV(C1738:C1757)*SQRT(252)*100</f>
        <v>17.0269778518746</v>
      </c>
      <c r="T1757" s="19" t="n">
        <f aca="false">B1736/B1506-1</f>
        <v>0.16074712031072</v>
      </c>
      <c r="U1757" s="19" t="n">
        <f aca="false">B1757/MAX(B1506:B1757)-1</f>
        <v>-0.0157762546853968</v>
      </c>
      <c r="V1757" s="17" t="n">
        <f aca="false">(B1757-AVERAGE(B1738:B1757))/STDEV(B1738:B1757)</f>
        <v>0.768599529942849</v>
      </c>
    </row>
    <row r="1758" customFormat="false" ht="15" hidden="false" customHeight="false" outlineLevel="0" collapsed="false">
      <c r="A1758" s="17" t="s">
        <v>2322</v>
      </c>
      <c r="B1758" s="17" t="n">
        <v>14964.57</v>
      </c>
      <c r="C1758" s="19" t="n">
        <f aca="false">B1758/B1757-1</f>
        <v>0.00124850209856753</v>
      </c>
      <c r="D1758" s="17" t="n">
        <f aca="false">AVERAGE(B1709:B1758)</f>
        <v>13923.037</v>
      </c>
      <c r="E1758" s="17" t="n">
        <f aca="false">AVERAGE(B1559:B1758)</f>
        <v>12336.55515</v>
      </c>
      <c r="F1758" s="17" t="n">
        <f aca="false">B1758*2/13+F1757*11/13</f>
        <v>14850.7267056588</v>
      </c>
      <c r="G1758" s="17" t="n">
        <f aca="false">B1758*2/27+G1757*25/27</f>
        <v>14553.7787775842</v>
      </c>
      <c r="H1758" s="17" t="n">
        <f aca="false">F1758-G1758</f>
        <v>296.947928074522</v>
      </c>
      <c r="I1758" s="17" t="n">
        <f aca="false">H1758*2/10+I1757*8/10</f>
        <v>343.394638677674</v>
      </c>
      <c r="J1758" s="17" t="n">
        <f aca="false">H1758-I1758</f>
        <v>-46.4467106031519</v>
      </c>
      <c r="K1758" s="17" t="n">
        <f aca="false">MAX(B1758-B1757,0)</f>
        <v>18.6599999999999</v>
      </c>
      <c r="L1758" s="17" t="n">
        <f aca="false">MAX(B1757-B1758,0)</f>
        <v>0</v>
      </c>
      <c r="M1758" s="17" t="n">
        <f aca="false">(M1757*13+K1758)/14</f>
        <v>84.9231994725533</v>
      </c>
      <c r="N1758" s="17" t="n">
        <f aca="false">(N1757*13+L1758)/14</f>
        <v>51.6327231012386</v>
      </c>
      <c r="O1758" s="17" t="n">
        <f aca="false">IF(N1758=0,100,100-100/(1+M1758/N1758))</f>
        <v>62.189319856605</v>
      </c>
      <c r="P1758" s="17" t="n">
        <f aca="false">AVERAGE(B1739:B1758)+2*STDEV(B1739:B1758)</f>
        <v>15312.5840164273</v>
      </c>
      <c r="Q1758" s="17" t="n">
        <f aca="false">AVERAGE(B1739:B1758)-2*STDEV(B1739:B1758)</f>
        <v>14197.8319835726</v>
      </c>
      <c r="R1758" s="19" t="n">
        <f aca="false">B1758/B1738-1</f>
        <v>0.042464676046448</v>
      </c>
      <c r="S1758" s="17" t="n">
        <f aca="false">STDEV(C1739:C1758)*SQRT(252)*100</f>
        <v>17.0185587958349</v>
      </c>
      <c r="T1758" s="19" t="n">
        <f aca="false">B1737/B1507-1</f>
        <v>0.228621118994446</v>
      </c>
      <c r="U1758" s="19" t="n">
        <f aca="false">B1758/MAX(B1507:B1758)-1</f>
        <v>-0.0145474492739116</v>
      </c>
      <c r="V1758" s="17" t="n">
        <f aca="false">(B1758-AVERAGE(B1739:B1758))/STDEV(B1739:B1758)</f>
        <v>0.751241509607689</v>
      </c>
    </row>
    <row r="1759" customFormat="false" ht="15" hidden="false" customHeight="false" outlineLevel="0" collapsed="false">
      <c r="A1759" s="17" t="s">
        <v>2323</v>
      </c>
      <c r="B1759" s="17" t="n">
        <v>14939.95</v>
      </c>
      <c r="C1759" s="19" t="n">
        <f aca="false">B1759/B1758-1</f>
        <v>-0.0016452193414177</v>
      </c>
      <c r="D1759" s="17" t="n">
        <f aca="false">AVERAGE(B1710:B1759)</f>
        <v>13960.0002</v>
      </c>
      <c r="E1759" s="17" t="n">
        <f aca="false">AVERAGE(B1560:B1759)</f>
        <v>12347.5563</v>
      </c>
      <c r="F1759" s="17" t="n">
        <f aca="false">B1759*2/13+F1758*11/13</f>
        <v>14864.4533663266</v>
      </c>
      <c r="G1759" s="17" t="n">
        <f aca="false">B1759*2/27+G1758*25/27</f>
        <v>14582.3840533187</v>
      </c>
      <c r="H1759" s="17" t="n">
        <f aca="false">F1759-G1759</f>
        <v>282.069313007907</v>
      </c>
      <c r="I1759" s="17" t="n">
        <f aca="false">H1759*2/10+I1758*8/10</f>
        <v>331.12957354372</v>
      </c>
      <c r="J1759" s="17" t="n">
        <f aca="false">H1759-I1759</f>
        <v>-49.0602605358133</v>
      </c>
      <c r="K1759" s="17" t="n">
        <f aca="false">MAX(B1759-B1758,0)</f>
        <v>0</v>
      </c>
      <c r="L1759" s="17" t="n">
        <f aca="false">MAX(B1758-B1759,0)</f>
        <v>24.619999999999</v>
      </c>
      <c r="M1759" s="17" t="n">
        <f aca="false">(M1758*13+K1759)/14</f>
        <v>78.8572566530852</v>
      </c>
      <c r="N1759" s="17" t="n">
        <f aca="false">(N1758*13+L1759)/14</f>
        <v>49.7032428797215</v>
      </c>
      <c r="O1759" s="17" t="n">
        <f aca="false">IF(N1759=0,100,100-100/(1+M1759/N1759))</f>
        <v>61.3386358482233</v>
      </c>
      <c r="P1759" s="17" t="n">
        <f aca="false">AVERAGE(B1740:B1759)+2*STDEV(B1740:B1759)</f>
        <v>15299.4366558337</v>
      </c>
      <c r="Q1759" s="17" t="n">
        <f aca="false">AVERAGE(B1740:B1759)-2*STDEV(B1740:B1759)</f>
        <v>14279.5653441663</v>
      </c>
      <c r="R1759" s="19" t="n">
        <f aca="false">B1759/B1739-1</f>
        <v>0.048116715974152</v>
      </c>
      <c r="S1759" s="17" t="n">
        <f aca="false">STDEV(C1740:C1759)*SQRT(252)*100</f>
        <v>16.7390193957334</v>
      </c>
      <c r="T1759" s="19" t="n">
        <f aca="false">B1738/B1508-1</f>
        <v>0.231314964668827</v>
      </c>
      <c r="U1759" s="19" t="n">
        <f aca="false">B1759/MAX(B1508:B1759)-1</f>
        <v>-0.0161687348704156</v>
      </c>
      <c r="V1759" s="17" t="n">
        <f aca="false">(B1759-AVERAGE(B1740:B1759))/STDEV(B1740:B1759)</f>
        <v>0.590070524698005</v>
      </c>
    </row>
    <row r="1760" customFormat="false" ht="15" hidden="false" customHeight="false" outlineLevel="0" collapsed="false">
      <c r="A1760" s="17" t="s">
        <v>2324</v>
      </c>
      <c r="B1760" s="17" t="n">
        <v>15179.21</v>
      </c>
      <c r="C1760" s="19" t="n">
        <f aca="false">B1760/B1759-1</f>
        <v>0.0160147791659275</v>
      </c>
      <c r="D1760" s="17" t="n">
        <f aca="false">AVERAGE(B1711:B1760)</f>
        <v>14001.8102</v>
      </c>
      <c r="E1760" s="17" t="n">
        <f aca="false">AVERAGE(B1561:B1760)</f>
        <v>12363.28425</v>
      </c>
      <c r="F1760" s="17" t="n">
        <f aca="false">B1760*2/13+F1759*11/13</f>
        <v>14912.8774638148</v>
      </c>
      <c r="G1760" s="17" t="n">
        <f aca="false">B1760*2/27+G1759*25/27</f>
        <v>14626.5933827025</v>
      </c>
      <c r="H1760" s="17" t="n">
        <f aca="false">F1760-G1760</f>
        <v>286.284081112317</v>
      </c>
      <c r="I1760" s="17" t="n">
        <f aca="false">H1760*2/10+I1759*8/10</f>
        <v>322.16047505744</v>
      </c>
      <c r="J1760" s="17" t="n">
        <f aca="false">H1760-I1760</f>
        <v>-35.8763939451227</v>
      </c>
      <c r="K1760" s="17" t="n">
        <f aca="false">MAX(B1760-B1759,0)</f>
        <v>239.259999999998</v>
      </c>
      <c r="L1760" s="17" t="n">
        <f aca="false">MAX(B1759-B1760,0)</f>
        <v>0</v>
      </c>
      <c r="M1760" s="17" t="n">
        <f aca="false">(M1759*13+K1760)/14</f>
        <v>90.314595463579</v>
      </c>
      <c r="N1760" s="17" t="n">
        <f aca="false">(N1759*13+L1760)/14</f>
        <v>46.1530112454557</v>
      </c>
      <c r="O1760" s="17" t="n">
        <f aca="false">IF(N1760=0,100,100-100/(1+M1760/N1760))</f>
        <v>66.180244265689</v>
      </c>
      <c r="P1760" s="17" t="n">
        <f aca="false">AVERAGE(B1741:B1760)+2*STDEV(B1741:B1760)</f>
        <v>15337.0570912391</v>
      </c>
      <c r="Q1760" s="17" t="n">
        <f aca="false">AVERAGE(B1741:B1760)-2*STDEV(B1741:B1760)</f>
        <v>14315.7149087609</v>
      </c>
      <c r="R1760" s="19" t="n">
        <f aca="false">B1760/B1740-1</f>
        <v>0.0510819159492324</v>
      </c>
      <c r="S1760" s="17" t="n">
        <f aca="false">STDEV(C1741:C1760)*SQRT(252)*100</f>
        <v>17.0117060553279</v>
      </c>
      <c r="T1760" s="19" t="n">
        <f aca="false">B1739/B1509-1</f>
        <v>0.239085269808375</v>
      </c>
      <c r="U1760" s="19" t="n">
        <f aca="false">B1760/MAX(B1509:B1760)-1</f>
        <v>-0.000412894422830212</v>
      </c>
      <c r="V1760" s="17" t="n">
        <f aca="false">(B1760-AVERAGE(B1741:B1760))/STDEV(B1741:B1760)</f>
        <v>1.38180525999183</v>
      </c>
    </row>
    <row r="1761" customFormat="false" ht="15" hidden="false" customHeight="false" outlineLevel="0" collapsed="false">
      <c r="A1761" s="17" t="s">
        <v>2325</v>
      </c>
      <c r="B1761" s="17" t="n">
        <v>15208.69</v>
      </c>
      <c r="C1761" s="19" t="n">
        <f aca="false">B1761/B1760-1</f>
        <v>0.00194213005815191</v>
      </c>
      <c r="D1761" s="17" t="n">
        <f aca="false">AVERAGE(B1712:B1761)</f>
        <v>14046.2644</v>
      </c>
      <c r="E1761" s="17" t="n">
        <f aca="false">AVERAGE(B1562:B1761)</f>
        <v>12378.6557</v>
      </c>
      <c r="F1761" s="17" t="n">
        <f aca="false">B1761*2/13+F1760*11/13</f>
        <v>14958.3870847664</v>
      </c>
      <c r="G1761" s="17" t="n">
        <f aca="false">B1761*2/27+G1760*25/27</f>
        <v>14669.7116506505</v>
      </c>
      <c r="H1761" s="17" t="n">
        <f aca="false">F1761-G1761</f>
        <v>288.675434115916</v>
      </c>
      <c r="I1761" s="17" t="n">
        <f aca="false">H1761*2/10+I1760*8/10</f>
        <v>315.463466869135</v>
      </c>
      <c r="J1761" s="17" t="n">
        <f aca="false">H1761-I1761</f>
        <v>-26.7880327532191</v>
      </c>
      <c r="K1761" s="17" t="n">
        <f aca="false">MAX(B1761-B1760,0)</f>
        <v>29.4800000000014</v>
      </c>
      <c r="L1761" s="17" t="n">
        <f aca="false">MAX(B1760-B1761,0)</f>
        <v>0</v>
      </c>
      <c r="M1761" s="17" t="n">
        <f aca="false">(M1760*13+K1761)/14</f>
        <v>85.9692672161806</v>
      </c>
      <c r="N1761" s="17" t="n">
        <f aca="false">(N1760*13+L1761)/14</f>
        <v>42.856367585066</v>
      </c>
      <c r="O1761" s="17" t="n">
        <f aca="false">IF(N1761=0,100,100-100/(1+M1761/N1761))</f>
        <v>66.7330437368423</v>
      </c>
      <c r="P1761" s="17" t="n">
        <f aca="false">AVERAGE(B1742:B1761)+2*STDEV(B1742:B1761)</f>
        <v>15379.551571085</v>
      </c>
      <c r="Q1761" s="17" t="n">
        <f aca="false">AVERAGE(B1742:B1761)-2*STDEV(B1742:B1761)</f>
        <v>14339.425428915</v>
      </c>
      <c r="R1761" s="19" t="n">
        <f aca="false">B1761/B1741-1</f>
        <v>0.0455122282533975</v>
      </c>
      <c r="S1761" s="17" t="n">
        <f aca="false">STDEV(C1742:C1761)*SQRT(252)*100</f>
        <v>16.9200857981802</v>
      </c>
      <c r="T1761" s="19" t="n">
        <f aca="false">B1740/B1510-1</f>
        <v>0.246496537104425</v>
      </c>
      <c r="U1761" s="19" t="n">
        <f aca="false">B1761/MAX(B1510:B1761)-1</f>
        <v>0</v>
      </c>
      <c r="V1761" s="17" t="n">
        <f aca="false">(B1761-AVERAGE(B1742:B1761))/STDEV(B1742:B1761)</f>
        <v>1.34291980882817</v>
      </c>
    </row>
    <row r="1762" customFormat="false" ht="15" hidden="false" customHeight="false" outlineLevel="0" collapsed="false">
      <c r="A1762" s="17" t="s">
        <v>2326</v>
      </c>
      <c r="B1762" s="17" t="n">
        <v>15203.78</v>
      </c>
      <c r="C1762" s="19" t="n">
        <f aca="false">B1762/B1761-1</f>
        <v>-0.000322841743766178</v>
      </c>
      <c r="D1762" s="17" t="n">
        <f aca="false">AVERAGE(B1713:B1762)</f>
        <v>14090.3246</v>
      </c>
      <c r="E1762" s="17" t="n">
        <f aca="false">AVERAGE(B1563:B1762)</f>
        <v>12395.03715</v>
      </c>
      <c r="F1762" s="17" t="n">
        <f aca="false">B1762*2/13+F1761*11/13</f>
        <v>14996.1398409562</v>
      </c>
      <c r="G1762" s="17" t="n">
        <f aca="false">B1762*2/27+G1761*25/27</f>
        <v>14709.2722691208</v>
      </c>
      <c r="H1762" s="17" t="n">
        <f aca="false">F1762-G1762</f>
        <v>286.867571835366</v>
      </c>
      <c r="I1762" s="17" t="n">
        <f aca="false">H1762*2/10+I1761*8/10</f>
        <v>309.744287862381</v>
      </c>
      <c r="J1762" s="17" t="n">
        <f aca="false">H1762-I1762</f>
        <v>-22.876716027015</v>
      </c>
      <c r="K1762" s="17" t="n">
        <f aca="false">MAX(B1762-B1761,0)</f>
        <v>0</v>
      </c>
      <c r="L1762" s="17" t="n">
        <f aca="false">MAX(B1761-B1762,0)</f>
        <v>4.90999999999985</v>
      </c>
      <c r="M1762" s="17" t="n">
        <f aca="false">(M1761*13+K1762)/14</f>
        <v>79.8286052721677</v>
      </c>
      <c r="N1762" s="17" t="n">
        <f aca="false">(N1761*13+L1762)/14</f>
        <v>40.1459127575613</v>
      </c>
      <c r="O1762" s="17" t="n">
        <f aca="false">IF(N1762=0,100,100-100/(1+M1762/N1762))</f>
        <v>66.5379670476248</v>
      </c>
      <c r="P1762" s="17" t="n">
        <f aca="false">AVERAGE(B1743:B1762)+2*STDEV(B1743:B1762)</f>
        <v>15413.0853757202</v>
      </c>
      <c r="Q1762" s="17" t="n">
        <f aca="false">AVERAGE(B1743:B1762)-2*STDEV(B1743:B1762)</f>
        <v>14370.6196242798</v>
      </c>
      <c r="R1762" s="19" t="n">
        <f aca="false">B1762/B1742-1</f>
        <v>0.0444667330745716</v>
      </c>
      <c r="S1762" s="17" t="n">
        <f aca="false">STDEV(C1743:C1762)*SQRT(252)*100</f>
        <v>16.9363873926799</v>
      </c>
      <c r="T1762" s="19" t="n">
        <f aca="false">B1741/B1511-1</f>
        <v>0.234869565955568</v>
      </c>
      <c r="U1762" s="19" t="n">
        <f aca="false">B1762/MAX(B1511:B1762)-1</f>
        <v>-0.000322841743766178</v>
      </c>
      <c r="V1762" s="17" t="n">
        <f aca="false">(B1762-AVERAGE(B1743:B1762))/STDEV(B1743:B1762)</f>
        <v>1.19688344511649</v>
      </c>
    </row>
    <row r="1763" customFormat="false" ht="15" hidden="false" customHeight="false" outlineLevel="0" collapsed="false">
      <c r="A1763" s="17" t="s">
        <v>2327</v>
      </c>
      <c r="B1763" s="17" t="n">
        <v>15089.45</v>
      </c>
      <c r="C1763" s="19" t="n">
        <f aca="false">B1763/B1762-1</f>
        <v>-0.00751984046072751</v>
      </c>
      <c r="D1763" s="17" t="n">
        <f aca="false">AVERAGE(B1714:B1763)</f>
        <v>14132.7184</v>
      </c>
      <c r="E1763" s="17" t="n">
        <f aca="false">AVERAGE(B1564:B1763)</f>
        <v>12411.1775</v>
      </c>
      <c r="F1763" s="17" t="n">
        <f aca="false">B1763*2/13+F1762*11/13</f>
        <v>15010.4952500399</v>
      </c>
      <c r="G1763" s="17" t="n">
        <f aca="false">B1763*2/27+G1762*25/27</f>
        <v>14737.4335825193</v>
      </c>
      <c r="H1763" s="17" t="n">
        <f aca="false">F1763-G1763</f>
        <v>273.061667520571</v>
      </c>
      <c r="I1763" s="17" t="n">
        <f aca="false">H1763*2/10+I1762*8/10</f>
        <v>302.407763794019</v>
      </c>
      <c r="J1763" s="17" t="n">
        <f aca="false">H1763-I1763</f>
        <v>-29.346096273448</v>
      </c>
      <c r="K1763" s="17" t="n">
        <f aca="false">MAX(B1763-B1762,0)</f>
        <v>0</v>
      </c>
      <c r="L1763" s="17" t="n">
        <f aca="false">MAX(B1762-B1763,0)</f>
        <v>114.33</v>
      </c>
      <c r="M1763" s="17" t="n">
        <f aca="false">(M1762*13+K1763)/14</f>
        <v>74.1265620384414</v>
      </c>
      <c r="N1763" s="17" t="n">
        <f aca="false">(N1762*13+L1763)/14</f>
        <v>45.4447761320212</v>
      </c>
      <c r="O1763" s="17" t="n">
        <f aca="false">IF(N1763=0,100,100-100/(1+M1763/N1763))</f>
        <v>61.9935874036682</v>
      </c>
      <c r="P1763" s="17" t="n">
        <f aca="false">AVERAGE(B1744:B1763)+2*STDEV(B1744:B1763)</f>
        <v>15421.8880171867</v>
      </c>
      <c r="Q1763" s="17" t="n">
        <f aca="false">AVERAGE(B1744:B1763)-2*STDEV(B1744:B1763)</f>
        <v>14414.9529828133</v>
      </c>
      <c r="R1763" s="19" t="n">
        <f aca="false">B1763/B1743-1</f>
        <v>0.0364992935199604</v>
      </c>
      <c r="S1763" s="17" t="n">
        <f aca="false">STDEV(C1744:C1763)*SQRT(252)*100</f>
        <v>17.2762866764133</v>
      </c>
      <c r="T1763" s="19" t="n">
        <f aca="false">B1742/B1512-1</f>
        <v>0.22812819814066</v>
      </c>
      <c r="U1763" s="19" t="n">
        <f aca="false">B1763/MAX(B1512:B1763)-1</f>
        <v>-0.00784025448608661</v>
      </c>
      <c r="V1763" s="17" t="n">
        <f aca="false">(B1763-AVERAGE(B1744:B1763))/STDEV(B1744:B1763)</f>
        <v>0.679406293997664</v>
      </c>
    </row>
    <row r="1764" customFormat="false" ht="15" hidden="false" customHeight="false" outlineLevel="0" collapsed="false">
      <c r="A1764" s="17" t="s">
        <v>2328</v>
      </c>
      <c r="B1764" s="17" t="n">
        <v>15036.85</v>
      </c>
      <c r="C1764" s="19" t="n">
        <f aca="false">B1764/B1763-1</f>
        <v>-0.00348587920699561</v>
      </c>
      <c r="D1764" s="17" t="n">
        <f aca="false">AVERAGE(B1715:B1764)</f>
        <v>14178.9532</v>
      </c>
      <c r="E1764" s="17" t="n">
        <f aca="false">AVERAGE(B1565:B1764)</f>
        <v>12426.5954</v>
      </c>
      <c r="F1764" s="17" t="n">
        <f aca="false">B1764*2/13+F1763*11/13</f>
        <v>15014.5498269568</v>
      </c>
      <c r="G1764" s="17" t="n">
        <f aca="false">B1764*2/27+G1763*25/27</f>
        <v>14759.6125764067</v>
      </c>
      <c r="H1764" s="17" t="n">
        <f aca="false">F1764-G1764</f>
        <v>254.937250550054</v>
      </c>
      <c r="I1764" s="17" t="n">
        <f aca="false">H1764*2/10+I1763*8/10</f>
        <v>292.913661145226</v>
      </c>
      <c r="J1764" s="17" t="n">
        <f aca="false">H1764-I1764</f>
        <v>-37.976410595172</v>
      </c>
      <c r="K1764" s="17" t="n">
        <f aca="false">MAX(B1764-B1763,0)</f>
        <v>0</v>
      </c>
      <c r="L1764" s="17" t="n">
        <f aca="false">MAX(B1763-B1764,0)</f>
        <v>52.6000000000004</v>
      </c>
      <c r="M1764" s="17" t="n">
        <f aca="false">(M1763*13+K1764)/14</f>
        <v>68.8318076071242</v>
      </c>
      <c r="N1764" s="17" t="n">
        <f aca="false">(N1763*13+L1764)/14</f>
        <v>45.9558635511626</v>
      </c>
      <c r="O1764" s="17" t="n">
        <f aca="false">IF(N1764=0,100,100-100/(1+M1764/N1764))</f>
        <v>59.9644603924479</v>
      </c>
      <c r="P1764" s="17" t="n">
        <f aca="false">AVERAGE(B1745:B1764)+2*STDEV(B1745:B1764)</f>
        <v>15368.7503545971</v>
      </c>
      <c r="Q1764" s="17" t="n">
        <f aca="false">AVERAGE(B1745:B1764)-2*STDEV(B1745:B1764)</f>
        <v>14541.446645403</v>
      </c>
      <c r="R1764" s="19" t="n">
        <f aca="false">B1764/B1744-1</f>
        <v>0.0512861027078384</v>
      </c>
      <c r="S1764" s="17" t="n">
        <f aca="false">STDEV(C1745:C1764)*SQRT(252)*100</f>
        <v>15.8515117815326</v>
      </c>
      <c r="T1764" s="19" t="n">
        <f aca="false">B1743/B1513-1</f>
        <v>0.202248731320789</v>
      </c>
      <c r="U1764" s="19" t="n">
        <f aca="false">B1764/MAX(B1513:B1764)-1</f>
        <v>-0.0112988035129916</v>
      </c>
      <c r="V1764" s="17" t="n">
        <f aca="false">(B1764-AVERAGE(B1745:B1764))/STDEV(B1745:B1764)</f>
        <v>0.395267174999783</v>
      </c>
    </row>
    <row r="1765" customFormat="false" ht="15" hidden="false" customHeight="false" outlineLevel="0" collapsed="false">
      <c r="A1765" s="17" t="s">
        <v>2329</v>
      </c>
      <c r="B1765" s="17" t="n">
        <v>15045.64</v>
      </c>
      <c r="C1765" s="19" t="n">
        <f aca="false">B1765/B1764-1</f>
        <v>0.000584563921300019</v>
      </c>
      <c r="D1765" s="17" t="n">
        <f aca="false">AVERAGE(B1716:B1765)</f>
        <v>14223.7364</v>
      </c>
      <c r="E1765" s="17" t="n">
        <f aca="false">AVERAGE(B1566:B1765)</f>
        <v>12442.5659</v>
      </c>
      <c r="F1765" s="17" t="n">
        <f aca="false">B1765*2/13+F1764*11/13</f>
        <v>15019.3329305019</v>
      </c>
      <c r="G1765" s="17" t="n">
        <f aca="false">B1765*2/27+G1764*25/27</f>
        <v>14780.7997929692</v>
      </c>
      <c r="H1765" s="17" t="n">
        <f aca="false">F1765-G1765</f>
        <v>238.533137532697</v>
      </c>
      <c r="I1765" s="17" t="n">
        <f aca="false">H1765*2/10+I1764*8/10</f>
        <v>282.03755642272</v>
      </c>
      <c r="J1765" s="17" t="n">
        <f aca="false">H1765-I1765</f>
        <v>-43.5044188900234</v>
      </c>
      <c r="K1765" s="17" t="n">
        <f aca="false">MAX(B1765-B1764,0)</f>
        <v>8.78999999999905</v>
      </c>
      <c r="L1765" s="17" t="n">
        <f aca="false">MAX(B1764-B1765,0)</f>
        <v>0</v>
      </c>
      <c r="M1765" s="17" t="n">
        <f aca="false">(M1764*13+K1765)/14</f>
        <v>64.5431070637581</v>
      </c>
      <c r="N1765" s="17" t="n">
        <f aca="false">(N1764*13+L1765)/14</f>
        <v>42.6733018689367</v>
      </c>
      <c r="O1765" s="17" t="n">
        <f aca="false">IF(N1765=0,100,100-100/(1+M1765/N1765))</f>
        <v>60.1989077103628</v>
      </c>
      <c r="P1765" s="17" t="n">
        <f aca="false">AVERAGE(B1746:B1765)+2*STDEV(B1746:B1765)</f>
        <v>15333.7299037621</v>
      </c>
      <c r="Q1765" s="17" t="n">
        <f aca="false">AVERAGE(B1746:B1765)-2*STDEV(B1746:B1765)</f>
        <v>14632.5770962379</v>
      </c>
      <c r="R1765" s="19" t="n">
        <f aca="false">B1765/B1745-1</f>
        <v>0.0387378542915411</v>
      </c>
      <c r="S1765" s="17" t="n">
        <f aca="false">STDEV(C1746:C1765)*SQRT(252)*100</f>
        <v>15.4022359444529</v>
      </c>
      <c r="T1765" s="19" t="n">
        <f aca="false">B1744/B1514-1</f>
        <v>0.179585656568822</v>
      </c>
      <c r="U1765" s="19" t="n">
        <f aca="false">B1765/MAX(B1514:B1765)-1</f>
        <v>-0.0107208444645792</v>
      </c>
      <c r="V1765" s="17" t="n">
        <f aca="false">(B1765-AVERAGE(B1746:B1765))/STDEV(B1746:B1765)</f>
        <v>0.356478641057713</v>
      </c>
    </row>
    <row r="1766" customFormat="false" ht="15" hidden="false" customHeight="false" outlineLevel="0" collapsed="false">
      <c r="A1766" s="17" t="s">
        <v>2330</v>
      </c>
      <c r="B1766" s="17" t="n">
        <v>15119.06</v>
      </c>
      <c r="C1766" s="19" t="n">
        <f aca="false">B1766/B1765-1</f>
        <v>0.00487981900404377</v>
      </c>
      <c r="D1766" s="17" t="n">
        <f aca="false">AVERAGE(B1717:B1766)</f>
        <v>14262.917</v>
      </c>
      <c r="E1766" s="17" t="n">
        <f aca="false">AVERAGE(B1567:B1766)</f>
        <v>12459.97225</v>
      </c>
      <c r="F1766" s="17" t="n">
        <f aca="false">B1766*2/13+F1765*11/13</f>
        <v>15034.6755565785</v>
      </c>
      <c r="G1766" s="17" t="n">
        <f aca="false">B1766*2/27+G1765*25/27</f>
        <v>14805.8561046011</v>
      </c>
      <c r="H1766" s="17" t="n">
        <f aca="false">F1766-G1766</f>
        <v>228.819451977417</v>
      </c>
      <c r="I1766" s="17" t="n">
        <f aca="false">H1766*2/10+I1765*8/10</f>
        <v>271.39393553366</v>
      </c>
      <c r="J1766" s="17" t="n">
        <f aca="false">H1766-I1766</f>
        <v>-42.5744835562426</v>
      </c>
      <c r="K1766" s="17" t="n">
        <f aca="false">MAX(B1766-B1765,0)</f>
        <v>73.4200000000001</v>
      </c>
      <c r="L1766" s="17" t="n">
        <f aca="false">MAX(B1765-B1766,0)</f>
        <v>0</v>
      </c>
      <c r="M1766" s="17" t="n">
        <f aca="false">(M1765*13+K1766)/14</f>
        <v>65.1771708449182</v>
      </c>
      <c r="N1766" s="17" t="n">
        <f aca="false">(N1765*13+L1766)/14</f>
        <v>39.6252088782983</v>
      </c>
      <c r="O1766" s="17" t="n">
        <f aca="false">IF(N1766=0,100,100-100/(1+M1766/N1766))</f>
        <v>62.1905447348155</v>
      </c>
      <c r="P1766" s="17" t="n">
        <f aca="false">AVERAGE(B1747:B1766)+2*STDEV(B1747:B1766)</f>
        <v>15294.7785361139</v>
      </c>
      <c r="Q1766" s="17" t="n">
        <f aca="false">AVERAGE(B1747:B1766)-2*STDEV(B1747:B1766)</f>
        <v>14730.5984638861</v>
      </c>
      <c r="R1766" s="19" t="n">
        <f aca="false">B1766/B1746-1</f>
        <v>0.0406584087949362</v>
      </c>
      <c r="S1766" s="17" t="n">
        <f aca="false">STDEV(C1747:C1766)*SQRT(252)*100</f>
        <v>15.4334962403129</v>
      </c>
      <c r="T1766" s="19" t="n">
        <f aca="false">B1745/B1515-1</f>
        <v>0.221264590717926</v>
      </c>
      <c r="U1766" s="19" t="n">
        <f aca="false">B1766/MAX(B1515:B1766)-1</f>
        <v>-0.0058933412410932</v>
      </c>
      <c r="V1766" s="17" t="n">
        <f aca="false">(B1766-AVERAGE(B1747:B1766))/STDEV(B1747:B1766)</f>
        <v>0.754167013237239</v>
      </c>
    </row>
    <row r="1767" customFormat="false" ht="15" hidden="false" customHeight="false" outlineLevel="0" collapsed="false">
      <c r="A1767" s="17" t="s">
        <v>2331</v>
      </c>
      <c r="B1767" s="17" t="n">
        <v>15307.23</v>
      </c>
      <c r="C1767" s="19" t="n">
        <f aca="false">B1767/B1766-1</f>
        <v>0.0124458795718783</v>
      </c>
      <c r="D1767" s="17" t="n">
        <f aca="false">AVERAGE(B1718:B1767)</f>
        <v>14304.1418</v>
      </c>
      <c r="E1767" s="17" t="n">
        <f aca="false">AVERAGE(B1568:B1767)</f>
        <v>12479.00015</v>
      </c>
      <c r="F1767" s="17" t="n">
        <f aca="false">B1767*2/13+F1766*11/13</f>
        <v>15076.6070094126</v>
      </c>
      <c r="G1767" s="17" t="n">
        <f aca="false">B1767*2/27+G1766*25/27</f>
        <v>14842.9949116677</v>
      </c>
      <c r="H1767" s="17" t="n">
        <f aca="false">F1767-G1767</f>
        <v>233.612097744903</v>
      </c>
      <c r="I1767" s="17" t="n">
        <f aca="false">H1767*2/10+I1766*8/10</f>
        <v>263.837567975908</v>
      </c>
      <c r="J1767" s="17" t="n">
        <f aca="false">H1767-I1767</f>
        <v>-30.2254702310055</v>
      </c>
      <c r="K1767" s="17" t="n">
        <f aca="false">MAX(B1767-B1766,0)</f>
        <v>188.17</v>
      </c>
      <c r="L1767" s="17" t="n">
        <f aca="false">MAX(B1766-B1767,0)</f>
        <v>0</v>
      </c>
      <c r="M1767" s="17" t="n">
        <f aca="false">(M1766*13+K1767)/14</f>
        <v>73.9623729274241</v>
      </c>
      <c r="N1767" s="17" t="n">
        <f aca="false">(N1766*13+L1767)/14</f>
        <v>36.7948368155627</v>
      </c>
      <c r="O1767" s="17" t="n">
        <f aca="false">IF(N1767=0,100,100-100/(1+M1767/N1767))</f>
        <v>66.7788337202196</v>
      </c>
      <c r="P1767" s="17" t="n">
        <f aca="false">AVERAGE(B1748:B1767)+2*STDEV(B1748:B1767)</f>
        <v>15328.6265200895</v>
      </c>
      <c r="Q1767" s="17" t="n">
        <f aca="false">AVERAGE(B1748:B1767)-2*STDEV(B1748:B1767)</f>
        <v>14749.0434799105</v>
      </c>
      <c r="R1767" s="19" t="n">
        <f aca="false">B1767/B1747-1</f>
        <v>0.0353706296544307</v>
      </c>
      <c r="S1767" s="17" t="n">
        <f aca="false">STDEV(C1748:C1767)*SQRT(252)*100</f>
        <v>14.8390038496605</v>
      </c>
      <c r="T1767" s="19" t="n">
        <f aca="false">B1746/B1516-1</f>
        <v>0.236983598964325</v>
      </c>
      <c r="U1767" s="19" t="n">
        <f aca="false">B1767/MAX(B1516:B1767)-1</f>
        <v>0</v>
      </c>
      <c r="V1767" s="17" t="n">
        <f aca="false">(B1767-AVERAGE(B1748:B1767))/STDEV(B1748:B1767)</f>
        <v>1.85233163425277</v>
      </c>
    </row>
    <row r="1768" customFormat="false" ht="15" hidden="false" customHeight="false" outlineLevel="0" collapsed="false">
      <c r="A1768" s="17" t="s">
        <v>2332</v>
      </c>
      <c r="B1768" s="17" t="n">
        <v>15571.98</v>
      </c>
      <c r="C1768" s="19" t="n">
        <f aca="false">B1768/B1767-1</f>
        <v>0.0172957484796401</v>
      </c>
      <c r="D1768" s="17" t="n">
        <f aca="false">AVERAGE(B1719:B1768)</f>
        <v>14350.952</v>
      </c>
      <c r="E1768" s="17" t="n">
        <f aca="false">AVERAGE(B1569:B1768)</f>
        <v>12500.30385</v>
      </c>
      <c r="F1768" s="17" t="n">
        <f aca="false">B1768*2/13+F1767*11/13</f>
        <v>15152.8182387337</v>
      </c>
      <c r="G1768" s="17" t="n">
        <f aca="false">B1768*2/27+G1767*25/27</f>
        <v>14896.9938070997</v>
      </c>
      <c r="H1768" s="17" t="n">
        <f aca="false">F1768-G1768</f>
        <v>255.824431634017</v>
      </c>
      <c r="I1768" s="17" t="n">
        <f aca="false">H1768*2/10+I1767*8/10</f>
        <v>262.23494070753</v>
      </c>
      <c r="J1768" s="17" t="n">
        <f aca="false">H1768-I1768</f>
        <v>-6.41050907351303</v>
      </c>
      <c r="K1768" s="17" t="n">
        <f aca="false">MAX(B1768-B1767,0)</f>
        <v>264.75</v>
      </c>
      <c r="L1768" s="17" t="n">
        <f aca="false">MAX(B1767-B1768,0)</f>
        <v>0</v>
      </c>
      <c r="M1768" s="17" t="n">
        <f aca="false">(M1767*13+K1768)/14</f>
        <v>87.5900605754652</v>
      </c>
      <c r="N1768" s="17" t="n">
        <f aca="false">(N1767*13+L1768)/14</f>
        <v>34.1666341858797</v>
      </c>
      <c r="O1768" s="17" t="n">
        <f aca="false">IF(N1768=0,100,100-100/(1+M1768/N1768))</f>
        <v>71.9385991440966</v>
      </c>
      <c r="P1768" s="17" t="n">
        <f aca="false">AVERAGE(B1749:B1768)+2*STDEV(B1749:B1768)</f>
        <v>15439.9105797066</v>
      </c>
      <c r="Q1768" s="17" t="n">
        <f aca="false">AVERAGE(B1749:B1768)-2*STDEV(B1749:B1768)</f>
        <v>14704.8724202934</v>
      </c>
      <c r="R1768" s="19" t="n">
        <f aca="false">B1768/B1748-1</f>
        <v>0.0450397124996225</v>
      </c>
      <c r="S1768" s="17" t="n">
        <f aca="false">STDEV(C1749:C1768)*SQRT(252)*100</f>
        <v>15.7033463869727</v>
      </c>
      <c r="T1768" s="19" t="n">
        <f aca="false">B1747/B1517-1</f>
        <v>0.260541602400301</v>
      </c>
      <c r="U1768" s="19" t="n">
        <f aca="false">B1768/MAX(B1517:B1768)-1</f>
        <v>0</v>
      </c>
      <c r="V1768" s="17" t="n">
        <f aca="false">(B1768-AVERAGE(B1749:B1768))/STDEV(B1749:B1768)</f>
        <v>2.71870783089013</v>
      </c>
    </row>
    <row r="1769" customFormat="false" ht="15" hidden="false" customHeight="false" outlineLevel="0" collapsed="false">
      <c r="A1769" s="17" t="s">
        <v>2333</v>
      </c>
      <c r="B1769" s="17" t="n">
        <v>15565.6</v>
      </c>
      <c r="C1769" s="19" t="n">
        <f aca="false">B1769/B1768-1</f>
        <v>-0.000409710261636609</v>
      </c>
      <c r="D1769" s="17" t="n">
        <f aca="false">AVERAGE(B1720:B1769)</f>
        <v>14399.9908</v>
      </c>
      <c r="E1769" s="17" t="n">
        <f aca="false">AVERAGE(B1570:B1769)</f>
        <v>12521.8613</v>
      </c>
      <c r="F1769" s="17" t="n">
        <f aca="false">B1769*2/13+F1768*11/13</f>
        <v>15216.3231250824</v>
      </c>
      <c r="G1769" s="17" t="n">
        <f aca="false">B1769*2/27+G1768*25/27</f>
        <v>14946.520191759</v>
      </c>
      <c r="H1769" s="17" t="n">
        <f aca="false">F1769-G1769</f>
        <v>269.802933323394</v>
      </c>
      <c r="I1769" s="17" t="n">
        <f aca="false">H1769*2/10+I1768*8/10</f>
        <v>263.748539230703</v>
      </c>
      <c r="J1769" s="17" t="n">
        <f aca="false">H1769-I1769</f>
        <v>6.05439409269081</v>
      </c>
      <c r="K1769" s="17" t="n">
        <f aca="false">MAX(B1769-B1768,0)</f>
        <v>0</v>
      </c>
      <c r="L1769" s="17" t="n">
        <f aca="false">MAX(B1768-B1769,0)</f>
        <v>6.3799999999992</v>
      </c>
      <c r="M1769" s="17" t="n">
        <f aca="false">(M1768*13+K1769)/14</f>
        <v>81.3336276772177</v>
      </c>
      <c r="N1769" s="17" t="n">
        <f aca="false">(N1768*13+L1769)/14</f>
        <v>32.1818746011739</v>
      </c>
      <c r="O1769" s="17" t="n">
        <f aca="false">IF(N1769=0,100,100-100/(1+M1769/N1769))</f>
        <v>71.6497976441585</v>
      </c>
      <c r="P1769" s="17" t="n">
        <f aca="false">AVERAGE(B1750:B1769)+2*STDEV(B1750:B1769)</f>
        <v>15527.0544719559</v>
      </c>
      <c r="Q1769" s="17" t="n">
        <f aca="false">AVERAGE(B1750:B1769)-2*STDEV(B1750:B1769)</f>
        <v>14673.7195280441</v>
      </c>
      <c r="R1769" s="19" t="n">
        <f aca="false">B1769/B1749-1</f>
        <v>0.0373131792006898</v>
      </c>
      <c r="S1769" s="17" t="n">
        <f aca="false">STDEV(C1750:C1769)*SQRT(252)*100</f>
        <v>15.6246891018308</v>
      </c>
      <c r="T1769" s="19" t="n">
        <f aca="false">B1748/B1518-1</f>
        <v>0.266174671153258</v>
      </c>
      <c r="U1769" s="19" t="n">
        <f aca="false">B1769/MAX(B1518:B1769)-1</f>
        <v>-0.000409710261636609</v>
      </c>
      <c r="V1769" s="17" t="n">
        <f aca="false">(B1769-AVERAGE(B1750:B1769))/STDEV(B1750:B1769)</f>
        <v>2.18068182168832</v>
      </c>
    </row>
    <row r="1770" customFormat="false" ht="15" hidden="false" customHeight="false" outlineLevel="0" collapsed="false">
      <c r="A1770" s="17" t="s">
        <v>2334</v>
      </c>
      <c r="B1770" s="17" t="n">
        <v>15713.28</v>
      </c>
      <c r="C1770" s="19" t="n">
        <f aca="false">B1770/B1769-1</f>
        <v>0.00948758801459637</v>
      </c>
      <c r="D1770" s="17" t="n">
        <f aca="false">AVERAGE(B1721:B1770)</f>
        <v>14453.6522</v>
      </c>
      <c r="E1770" s="17" t="n">
        <f aca="false">AVERAGE(B1571:B1770)</f>
        <v>12544.06895</v>
      </c>
      <c r="F1770" s="17" t="n">
        <f aca="false">B1770*2/13+F1769*11/13</f>
        <v>15292.7780289159</v>
      </c>
      <c r="G1770" s="17" t="n">
        <f aca="false">B1770*2/27+G1769*25/27</f>
        <v>15003.3172145917</v>
      </c>
      <c r="H1770" s="17" t="n">
        <f aca="false">F1770-G1770</f>
        <v>289.460814324204</v>
      </c>
      <c r="I1770" s="17" t="n">
        <f aca="false">H1770*2/10+I1769*8/10</f>
        <v>268.890994249403</v>
      </c>
      <c r="J1770" s="17" t="n">
        <f aca="false">H1770-I1770</f>
        <v>20.569820074801</v>
      </c>
      <c r="K1770" s="17" t="n">
        <f aca="false">MAX(B1770-B1769,0)</f>
        <v>147.68</v>
      </c>
      <c r="L1770" s="17" t="n">
        <f aca="false">MAX(B1769-B1770,0)</f>
        <v>0</v>
      </c>
      <c r="M1770" s="17" t="n">
        <f aca="false">(M1769*13+K1770)/14</f>
        <v>86.0726542717022</v>
      </c>
      <c r="N1770" s="17" t="n">
        <f aca="false">(N1769*13+L1770)/14</f>
        <v>29.8831692725187</v>
      </c>
      <c r="O1770" s="17" t="n">
        <f aca="false">IF(N1770=0,100,100-100/(1+M1770/N1770))</f>
        <v>74.2288327061707</v>
      </c>
      <c r="P1770" s="17" t="n">
        <f aca="false">AVERAGE(B1751:B1770)+2*STDEV(B1751:B1770)</f>
        <v>15633.4031455675</v>
      </c>
      <c r="Q1770" s="17" t="n">
        <f aca="false">AVERAGE(B1751:B1770)-2*STDEV(B1751:B1770)</f>
        <v>14620.1508544325</v>
      </c>
      <c r="R1770" s="19" t="n">
        <f aca="false">B1770/B1750-1</f>
        <v>0.0347568861833805</v>
      </c>
      <c r="S1770" s="17" t="n">
        <f aca="false">STDEV(C1751:C1770)*SQRT(252)*100</f>
        <v>15.4347541280291</v>
      </c>
      <c r="T1770" s="19" t="n">
        <f aca="false">B1749/B1519-1</f>
        <v>0.252183397003577</v>
      </c>
      <c r="U1770" s="19" t="n">
        <f aca="false">B1770/MAX(B1519:B1770)-1</f>
        <v>0</v>
      </c>
      <c r="V1770" s="17" t="n">
        <f aca="false">(B1770-AVERAGE(B1751:B1770))/STDEV(B1751:B1770)</f>
        <v>2.31532859143292</v>
      </c>
    </row>
    <row r="1771" customFormat="false" ht="15" hidden="false" customHeight="false" outlineLevel="0" collapsed="false">
      <c r="A1771" s="17" t="s">
        <v>2335</v>
      </c>
      <c r="B1771" s="17" t="n">
        <v>15841.35</v>
      </c>
      <c r="C1771" s="19" t="n">
        <f aca="false">B1771/B1770-1</f>
        <v>0.00815043071847499</v>
      </c>
      <c r="D1771" s="17" t="n">
        <f aca="false">AVERAGE(B1722:B1771)</f>
        <v>14510.8296</v>
      </c>
      <c r="E1771" s="17" t="n">
        <f aca="false">AVERAGE(B1572:B1771)</f>
        <v>12565.80655</v>
      </c>
      <c r="F1771" s="17" t="n">
        <f aca="false">B1771*2/13+F1770*11/13</f>
        <v>15377.173716775</v>
      </c>
      <c r="G1771" s="17" t="n">
        <f aca="false">B1771*2/27+G1770*25/27</f>
        <v>15065.3937172145</v>
      </c>
      <c r="H1771" s="17" t="n">
        <f aca="false">F1771-G1771</f>
        <v>311.77999956046</v>
      </c>
      <c r="I1771" s="17" t="n">
        <f aca="false">H1771*2/10+I1770*8/10</f>
        <v>277.468795311614</v>
      </c>
      <c r="J1771" s="17" t="n">
        <f aca="false">H1771-I1771</f>
        <v>34.3112042488457</v>
      </c>
      <c r="K1771" s="17" t="n">
        <f aca="false">MAX(B1771-B1770,0)</f>
        <v>128.07</v>
      </c>
      <c r="L1771" s="17" t="n">
        <f aca="false">MAX(B1770-B1771,0)</f>
        <v>0</v>
      </c>
      <c r="M1771" s="17" t="n">
        <f aca="false">(M1770*13+K1771)/14</f>
        <v>89.0724646808663</v>
      </c>
      <c r="N1771" s="17" t="n">
        <f aca="false">(N1770*13+L1771)/14</f>
        <v>27.7486571816245</v>
      </c>
      <c r="O1771" s="17" t="n">
        <f aca="false">IF(N1771=0,100,100-100/(1+M1771/N1771))</f>
        <v>76.2468834922787</v>
      </c>
      <c r="P1771" s="17" t="n">
        <f aca="false">AVERAGE(B1752:B1771)+2*STDEV(B1752:B1771)</f>
        <v>15762.7640641997</v>
      </c>
      <c r="Q1771" s="17" t="n">
        <f aca="false">AVERAGE(B1752:B1771)-2*STDEV(B1752:B1771)</f>
        <v>14566.5329358003</v>
      </c>
      <c r="R1771" s="19" t="n">
        <f aca="false">B1771/B1751-1</f>
        <v>0.0502144005006657</v>
      </c>
      <c r="S1771" s="17" t="n">
        <f aca="false">STDEV(C1752:C1771)*SQRT(252)*100</f>
        <v>15.2559357859486</v>
      </c>
      <c r="T1771" s="19" t="n">
        <f aca="false">B1750/B1520-1</f>
        <v>0.278508103557146</v>
      </c>
      <c r="U1771" s="19" t="n">
        <f aca="false">B1771/MAX(B1520:B1771)-1</f>
        <v>0</v>
      </c>
      <c r="V1771" s="17" t="n">
        <f aca="false">(B1771-AVERAGE(B1752:B1771))/STDEV(B1752:B1771)</f>
        <v>2.26277843448358</v>
      </c>
    </row>
    <row r="1772" customFormat="false" ht="15" hidden="false" customHeight="false" outlineLevel="0" collapsed="false">
      <c r="A1772" s="17" t="s">
        <v>2336</v>
      </c>
      <c r="B1772" s="17" t="n">
        <v>15826.35</v>
      </c>
      <c r="C1772" s="19" t="n">
        <f aca="false">B1772/B1771-1</f>
        <v>-0.000946888996202988</v>
      </c>
      <c r="D1772" s="17" t="n">
        <f aca="false">AVERAGE(B1723:B1772)</f>
        <v>14562.174</v>
      </c>
      <c r="E1772" s="17" t="n">
        <f aca="false">AVERAGE(B1573:B1772)</f>
        <v>12589.1144</v>
      </c>
      <c r="F1772" s="17" t="n">
        <f aca="false">B1772*2/13+F1771*11/13</f>
        <v>15446.2777603481</v>
      </c>
      <c r="G1772" s="17" t="n">
        <f aca="false">B1772*2/27+G1771*25/27</f>
        <v>15121.7608492727</v>
      </c>
      <c r="H1772" s="17" t="n">
        <f aca="false">F1772-G1772</f>
        <v>324.516911075356</v>
      </c>
      <c r="I1772" s="17" t="n">
        <f aca="false">H1772*2/10+I1771*8/10</f>
        <v>286.878418464363</v>
      </c>
      <c r="J1772" s="17" t="n">
        <f aca="false">H1772-I1772</f>
        <v>37.6384926109932</v>
      </c>
      <c r="K1772" s="17" t="n">
        <f aca="false">MAX(B1772-B1771,0)</f>
        <v>0</v>
      </c>
      <c r="L1772" s="17" t="n">
        <f aca="false">MAX(B1771-B1772,0)</f>
        <v>15</v>
      </c>
      <c r="M1772" s="17" t="n">
        <f aca="false">(M1771*13+K1772)/14</f>
        <v>82.7101457750901</v>
      </c>
      <c r="N1772" s="17" t="n">
        <f aca="false">(N1771*13+L1772)/14</f>
        <v>26.8380388115084</v>
      </c>
      <c r="O1772" s="17" t="n">
        <f aca="false">IF(N1772=0,100,100-100/(1+M1772/N1772))</f>
        <v>75.5011560321269</v>
      </c>
      <c r="P1772" s="17" t="n">
        <f aca="false">AVERAGE(B1753:B1772)+2*STDEV(B1753:B1772)</f>
        <v>15867.3055453705</v>
      </c>
      <c r="Q1772" s="17" t="n">
        <f aca="false">AVERAGE(B1753:B1772)-2*STDEV(B1753:B1772)</f>
        <v>14537.6114546295</v>
      </c>
      <c r="R1772" s="19" t="n">
        <f aca="false">B1772/B1752-1</f>
        <v>0.0501786644459412</v>
      </c>
      <c r="S1772" s="17" t="n">
        <f aca="false">STDEV(C1753:C1772)*SQRT(252)*100</f>
        <v>15.2569481883001</v>
      </c>
      <c r="T1772" s="19" t="n">
        <f aca="false">B1751/B1521-1</f>
        <v>0.231398711122649</v>
      </c>
      <c r="U1772" s="19" t="n">
        <f aca="false">B1772/MAX(B1521:B1772)-1</f>
        <v>-0.000946888996202988</v>
      </c>
      <c r="V1772" s="17" t="n">
        <f aca="false">(B1772-AVERAGE(B1753:B1772))/STDEV(B1753:B1772)</f>
        <v>1.87679708993011</v>
      </c>
    </row>
    <row r="1773" customFormat="false" ht="15" hidden="false" customHeight="false" outlineLevel="0" collapsed="false">
      <c r="A1773" s="17" t="s">
        <v>2337</v>
      </c>
      <c r="B1773" s="17" t="n">
        <v>15466.09</v>
      </c>
      <c r="C1773" s="19" t="n">
        <f aca="false">B1773/B1772-1</f>
        <v>-0.0227633029725742</v>
      </c>
      <c r="D1773" s="17" t="n">
        <f aca="false">AVERAGE(B1724:B1773)</f>
        <v>14605.663</v>
      </c>
      <c r="E1773" s="17" t="n">
        <f aca="false">AVERAGE(B1574:B1773)</f>
        <v>12611.58875</v>
      </c>
      <c r="F1773" s="17" t="n">
        <f aca="false">B1773*2/13+F1772*11/13</f>
        <v>15449.3257972176</v>
      </c>
      <c r="G1773" s="17" t="n">
        <f aca="false">B1773*2/27+G1772*25/27</f>
        <v>15147.2667122895</v>
      </c>
      <c r="H1773" s="17" t="n">
        <f aca="false">F1773-G1773</f>
        <v>302.059084928049</v>
      </c>
      <c r="I1773" s="17" t="n">
        <f aca="false">H1773*2/10+I1772*8/10</f>
        <v>289.9145517571</v>
      </c>
      <c r="J1773" s="17" t="n">
        <f aca="false">H1773-I1773</f>
        <v>12.1445331709489</v>
      </c>
      <c r="K1773" s="17" t="n">
        <f aca="false">MAX(B1773-B1772,0)</f>
        <v>0</v>
      </c>
      <c r="L1773" s="17" t="n">
        <f aca="false">MAX(B1772-B1773,0)</f>
        <v>360.26</v>
      </c>
      <c r="M1773" s="17" t="n">
        <f aca="false">(M1772*13+K1773)/14</f>
        <v>76.8022782197265</v>
      </c>
      <c r="N1773" s="17" t="n">
        <f aca="false">(N1772*13+L1773)/14</f>
        <v>50.653893182115</v>
      </c>
      <c r="O1773" s="17" t="n">
        <f aca="false">IF(N1773=0,100,100-100/(1+M1773/N1773))</f>
        <v>60.2577947972293</v>
      </c>
      <c r="P1773" s="17" t="n">
        <f aca="false">AVERAGE(B1754:B1773)+2*STDEV(B1754:B1773)</f>
        <v>15887.5650368895</v>
      </c>
      <c r="Q1773" s="17" t="n">
        <f aca="false">AVERAGE(B1754:B1773)-2*STDEV(B1754:B1773)</f>
        <v>14577.2159631105</v>
      </c>
      <c r="R1773" s="19" t="n">
        <f aca="false">B1773/B1753-1</f>
        <v>0.0402651429801344</v>
      </c>
      <c r="S1773" s="17" t="n">
        <f aca="false">STDEV(C1754:C1773)*SQRT(252)*100</f>
        <v>16.8253634964127</v>
      </c>
      <c r="T1773" s="19" t="n">
        <f aca="false">B1752/B1522-1</f>
        <v>0.211458011781654</v>
      </c>
      <c r="U1773" s="19" t="n">
        <f aca="false">B1773/MAX(B1522:B1773)-1</f>
        <v>-0.0236886376476753</v>
      </c>
      <c r="V1773" s="17" t="n">
        <f aca="false">(B1773-AVERAGE(B1754:B1773))/STDEV(B1754:B1773)</f>
        <v>0.713396161912813</v>
      </c>
    </row>
    <row r="1774" customFormat="false" ht="15" hidden="false" customHeight="false" outlineLevel="0" collapsed="false">
      <c r="A1774" s="17" t="s">
        <v>2338</v>
      </c>
      <c r="B1774" s="17" t="n">
        <v>15425.67</v>
      </c>
      <c r="C1774" s="19" t="n">
        <f aca="false">B1774/B1773-1</f>
        <v>-0.00261345951045155</v>
      </c>
      <c r="D1774" s="17" t="n">
        <f aca="false">AVERAGE(B1725:B1774)</f>
        <v>14650.1542</v>
      </c>
      <c r="E1774" s="17" t="n">
        <f aca="false">AVERAGE(B1575:B1774)</f>
        <v>12632.56845</v>
      </c>
      <c r="F1774" s="17" t="n">
        <f aca="false">B1774*2/13+F1773*11/13</f>
        <v>15445.6864437995</v>
      </c>
      <c r="G1774" s="17" t="n">
        <f aca="false">B1774*2/27+G1773*25/27</f>
        <v>15167.8891780459</v>
      </c>
      <c r="H1774" s="17" t="n">
        <f aca="false">F1774-G1774</f>
        <v>277.797265753628</v>
      </c>
      <c r="I1774" s="17" t="n">
        <f aca="false">H1774*2/10+I1773*8/10</f>
        <v>287.491094556406</v>
      </c>
      <c r="J1774" s="17" t="n">
        <f aca="false">H1774-I1774</f>
        <v>-9.69382880277721</v>
      </c>
      <c r="K1774" s="17" t="n">
        <f aca="false">MAX(B1774-B1773,0)</f>
        <v>0</v>
      </c>
      <c r="L1774" s="17" t="n">
        <f aca="false">MAX(B1773-B1774,0)</f>
        <v>40.4200000000001</v>
      </c>
      <c r="M1774" s="17" t="n">
        <f aca="false">(M1773*13+K1774)/14</f>
        <v>71.3164012040318</v>
      </c>
      <c r="N1774" s="17" t="n">
        <f aca="false">(N1773*13+L1774)/14</f>
        <v>49.9229008119639</v>
      </c>
      <c r="O1774" s="17" t="n">
        <f aca="false">IF(N1774=0,100,100-100/(1+M1774/N1774))</f>
        <v>58.8228404635839</v>
      </c>
      <c r="P1774" s="17" t="n">
        <f aca="false">AVERAGE(B1755:B1774)+2*STDEV(B1755:B1774)</f>
        <v>15905.7489039771</v>
      </c>
      <c r="Q1774" s="17" t="n">
        <f aca="false">AVERAGE(B1755:B1774)-2*STDEV(B1755:B1774)</f>
        <v>14597.3670960229</v>
      </c>
      <c r="R1774" s="19" t="n">
        <f aca="false">B1774/B1754-1</f>
        <v>0.0254847656478523</v>
      </c>
      <c r="S1774" s="17" t="n">
        <f aca="false">STDEV(C1755:C1774)*SQRT(252)*100</f>
        <v>16.4929473069791</v>
      </c>
      <c r="T1774" s="19" t="n">
        <f aca="false">B1753/B1523-1</f>
        <v>0.178141450353067</v>
      </c>
      <c r="U1774" s="19" t="n">
        <f aca="false">B1774/MAX(B1523:B1774)-1</f>
        <v>-0.0262401878627768</v>
      </c>
      <c r="V1774" s="17" t="n">
        <f aca="false">(B1774-AVERAGE(B1755:B1774))/STDEV(B1755:B1774)</f>
        <v>0.532297220708859</v>
      </c>
    </row>
    <row r="1775" customFormat="false" ht="15" hidden="false" customHeight="false" outlineLevel="0" collapsed="false">
      <c r="A1775" s="17" t="s">
        <v>2339</v>
      </c>
      <c r="B1775" s="17" t="n">
        <v>15448.02</v>
      </c>
      <c r="C1775" s="19" t="n">
        <f aca="false">B1775/B1774-1</f>
        <v>0.00144888358171813</v>
      </c>
      <c r="D1775" s="17" t="n">
        <f aca="false">AVERAGE(B1726:B1775)</f>
        <v>14692.158</v>
      </c>
      <c r="E1775" s="17" t="n">
        <f aca="false">AVERAGE(B1576:B1775)</f>
        <v>12651.89585</v>
      </c>
      <c r="F1775" s="17" t="n">
        <f aca="false">B1775*2/13+F1774*11/13</f>
        <v>15446.0454524457</v>
      </c>
      <c r="G1775" s="17" t="n">
        <f aca="false">B1775*2/27+G1774*25/27</f>
        <v>15188.6396093017</v>
      </c>
      <c r="H1775" s="17" t="n">
        <f aca="false">F1775-G1775</f>
        <v>257.405843143997</v>
      </c>
      <c r="I1775" s="17" t="n">
        <f aca="false">H1775*2/10+I1774*8/10</f>
        <v>281.474044273924</v>
      </c>
      <c r="J1775" s="17" t="n">
        <f aca="false">H1775-I1775</f>
        <v>-24.0682011299268</v>
      </c>
      <c r="K1775" s="17" t="n">
        <f aca="false">MAX(B1775-B1774,0)</f>
        <v>22.3500000000004</v>
      </c>
      <c r="L1775" s="17" t="n">
        <f aca="false">MAX(B1774-B1775,0)</f>
        <v>0</v>
      </c>
      <c r="M1775" s="17" t="n">
        <f aca="false">(M1774*13+K1775)/14</f>
        <v>67.8188011180295</v>
      </c>
      <c r="N1775" s="17" t="n">
        <f aca="false">(N1774*13+L1775)/14</f>
        <v>46.3569793253951</v>
      </c>
      <c r="O1775" s="17" t="n">
        <f aca="false">IF(N1775=0,100,100-100/(1+M1775/N1775))</f>
        <v>59.3985877343177</v>
      </c>
      <c r="P1775" s="17" t="n">
        <f aca="false">AVERAGE(B1756:B1775)+2*STDEV(B1756:B1775)</f>
        <v>15916.2013533175</v>
      </c>
      <c r="Q1775" s="17" t="n">
        <f aca="false">AVERAGE(B1756:B1775)-2*STDEV(B1756:B1775)</f>
        <v>14642.5686466825</v>
      </c>
      <c r="R1775" s="19" t="n">
        <f aca="false">B1775/B1755-1</f>
        <v>0.0373730482128036</v>
      </c>
      <c r="S1775" s="17" t="n">
        <f aca="false">STDEV(C1756:C1775)*SQRT(252)*100</f>
        <v>15.9403992244073</v>
      </c>
      <c r="T1775" s="19" t="n">
        <f aca="false">B1754/B1524-1</f>
        <v>0.213435760341452</v>
      </c>
      <c r="U1775" s="19" t="n">
        <f aca="false">B1775/MAX(B1524:B1775)-1</f>
        <v>-0.0248293232584345</v>
      </c>
      <c r="V1775" s="17" t="n">
        <f aca="false">(B1775-AVERAGE(B1756:B1775))/STDEV(B1756:B1775)</f>
        <v>0.529618936830023</v>
      </c>
    </row>
    <row r="1776" customFormat="false" ht="15" hidden="false" customHeight="false" outlineLevel="0" collapsed="false">
      <c r="A1776" s="17" t="s">
        <v>2340</v>
      </c>
      <c r="B1776" s="17" t="n">
        <v>15561.42</v>
      </c>
      <c r="C1776" s="19" t="n">
        <f aca="false">B1776/B1775-1</f>
        <v>0.00734074658111528</v>
      </c>
      <c r="D1776" s="17" t="n">
        <f aca="false">AVERAGE(B1727:B1776)</f>
        <v>14735.5908</v>
      </c>
      <c r="E1776" s="17" t="n">
        <f aca="false">AVERAGE(B1577:B1776)</f>
        <v>12671.83705</v>
      </c>
      <c r="F1776" s="17" t="n">
        <f aca="false">B1776*2/13+F1775*11/13</f>
        <v>15463.7953828387</v>
      </c>
      <c r="G1776" s="17" t="n">
        <f aca="false">B1776*2/27+G1775*25/27</f>
        <v>15216.2529715757</v>
      </c>
      <c r="H1776" s="17" t="n">
        <f aca="false">F1776-G1776</f>
        <v>247.542411263019</v>
      </c>
      <c r="I1776" s="17" t="n">
        <f aca="false">H1776*2/10+I1775*8/10</f>
        <v>274.687717671743</v>
      </c>
      <c r="J1776" s="17" t="n">
        <f aca="false">H1776-I1776</f>
        <v>-27.145306408724</v>
      </c>
      <c r="K1776" s="17" t="n">
        <f aca="false">MAX(B1776-B1775,0)</f>
        <v>113.4</v>
      </c>
      <c r="L1776" s="17" t="n">
        <f aca="false">MAX(B1775-B1776,0)</f>
        <v>0</v>
      </c>
      <c r="M1776" s="17" t="n">
        <f aca="false">(M1775*13+K1776)/14</f>
        <v>71.0746010381703</v>
      </c>
      <c r="N1776" s="17" t="n">
        <f aca="false">(N1775*13+L1776)/14</f>
        <v>43.0457665164383</v>
      </c>
      <c r="O1776" s="17" t="n">
        <f aca="false">IF(N1776=0,100,100-100/(1+M1776/N1776))</f>
        <v>62.2803821624215</v>
      </c>
      <c r="P1776" s="17" t="n">
        <f aca="false">AVERAGE(B1757:B1776)+2*STDEV(B1757:B1776)</f>
        <v>15906.86698663</v>
      </c>
      <c r="Q1776" s="17" t="n">
        <f aca="false">AVERAGE(B1757:B1776)-2*STDEV(B1757:B1776)</f>
        <v>14739.14301337</v>
      </c>
      <c r="R1776" s="19" t="n">
        <f aca="false">B1776/B1756-1</f>
        <v>0.0593913004407374</v>
      </c>
      <c r="S1776" s="17" t="n">
        <f aca="false">STDEV(C1757:C1776)*SQRT(252)*100</f>
        <v>14.9451095061749</v>
      </c>
      <c r="T1776" s="19" t="n">
        <f aca="false">B1755/B1525-1</f>
        <v>0.207899477710427</v>
      </c>
      <c r="U1776" s="19" t="n">
        <f aca="false">B1776/MAX(B1525:B1776)-1</f>
        <v>-0.0176708424471399</v>
      </c>
      <c r="V1776" s="17" t="n">
        <f aca="false">(B1776-AVERAGE(B1757:B1776))/STDEV(B1757:B1776)</f>
        <v>0.816682727971705</v>
      </c>
    </row>
    <row r="1777" customFormat="false" ht="15" hidden="false" customHeight="false" outlineLevel="0" collapsed="false">
      <c r="A1777" s="17" t="s">
        <v>2341</v>
      </c>
      <c r="B1777" s="17" t="n">
        <v>15499.26</v>
      </c>
      <c r="C1777" s="19" t="n">
        <f aca="false">B1777/B1776-1</f>
        <v>-0.00399449407573349</v>
      </c>
      <c r="D1777" s="17" t="n">
        <f aca="false">AVERAGE(B1728:B1777)</f>
        <v>14778.7724</v>
      </c>
      <c r="E1777" s="17" t="n">
        <f aca="false">AVERAGE(B1578:B1777)</f>
        <v>12691.90585</v>
      </c>
      <c r="F1777" s="17" t="n">
        <f aca="false">B1777*2/13+F1776*11/13</f>
        <v>15469.2514777866</v>
      </c>
      <c r="G1777" s="17" t="n">
        <f aca="false">B1777*2/27+G1776*25/27</f>
        <v>15237.2164551627</v>
      </c>
      <c r="H1777" s="17" t="n">
        <f aca="false">F1777-G1777</f>
        <v>232.035022623924</v>
      </c>
      <c r="I1777" s="17" t="n">
        <f aca="false">H1777*2/10+I1776*8/10</f>
        <v>266.157178662179</v>
      </c>
      <c r="J1777" s="17" t="n">
        <f aca="false">H1777-I1777</f>
        <v>-34.1221560382549</v>
      </c>
      <c r="K1777" s="17" t="n">
        <f aca="false">MAX(B1777-B1776,0)</f>
        <v>0</v>
      </c>
      <c r="L1777" s="17" t="n">
        <f aca="false">MAX(B1776-B1777,0)</f>
        <v>62.1599999999999</v>
      </c>
      <c r="M1777" s="17" t="n">
        <f aca="false">(M1776*13+K1777)/14</f>
        <v>65.9978438211581</v>
      </c>
      <c r="N1777" s="17" t="n">
        <f aca="false">(N1776*13+L1777)/14</f>
        <v>44.4110689081213</v>
      </c>
      <c r="O1777" s="17" t="n">
        <f aca="false">IF(N1777=0,100,100-100/(1+M1777/N1777))</f>
        <v>59.7758298580329</v>
      </c>
      <c r="P1777" s="17" t="n">
        <f aca="false">AVERAGE(B1758:B1777)+2*STDEV(B1758:B1777)</f>
        <v>15911.274763956</v>
      </c>
      <c r="Q1777" s="17" t="n">
        <f aca="false">AVERAGE(B1758:B1777)-2*STDEV(B1758:B1777)</f>
        <v>14790.070236044</v>
      </c>
      <c r="R1777" s="19" t="n">
        <f aca="false">B1777/B1757-1</f>
        <v>0.0370235067653961</v>
      </c>
      <c r="S1777" s="17" t="n">
        <f aca="false">STDEV(C1758:C1777)*SQRT(252)*100</f>
        <v>14.0907588461598</v>
      </c>
      <c r="T1777" s="19" t="n">
        <f aca="false">B1756/B1526-1</f>
        <v>0.215284316077737</v>
      </c>
      <c r="U1777" s="19" t="n">
        <f aca="false">B1777/MAX(B1526:B1777)-1</f>
        <v>-0.0215947504474051</v>
      </c>
      <c r="V1777" s="17" t="n">
        <f aca="false">(B1777-AVERAGE(B1758:B1777))/STDEV(B1758:B1777)</f>
        <v>0.530099535993499</v>
      </c>
    </row>
    <row r="1778" customFormat="false" ht="15" hidden="false" customHeight="false" outlineLevel="0" collapsed="false">
      <c r="A1778" s="17" t="s">
        <v>2342</v>
      </c>
      <c r="B1778" s="17" t="n">
        <v>15464.93</v>
      </c>
      <c r="C1778" s="19" t="n">
        <f aca="false">B1778/B1777-1</f>
        <v>-0.0022149444554127</v>
      </c>
      <c r="D1778" s="17" t="n">
        <f aca="false">AVERAGE(B1729:B1778)</f>
        <v>14819.8008</v>
      </c>
      <c r="E1778" s="17" t="n">
        <f aca="false">AVERAGE(B1579:B1778)</f>
        <v>12714.03315</v>
      </c>
      <c r="F1778" s="17" t="n">
        <f aca="false">B1778*2/13+F1777*11/13</f>
        <v>15468.5866350502</v>
      </c>
      <c r="G1778" s="17" t="n">
        <f aca="false">B1778*2/27+G1777*25/27</f>
        <v>15254.0841251506</v>
      </c>
      <c r="H1778" s="17" t="n">
        <f aca="false">F1778-G1778</f>
        <v>214.502509899576</v>
      </c>
      <c r="I1778" s="17" t="n">
        <f aca="false">H1778*2/10+I1777*8/10</f>
        <v>255.826244909659</v>
      </c>
      <c r="J1778" s="17" t="n">
        <f aca="false">H1778-I1778</f>
        <v>-41.3237350100828</v>
      </c>
      <c r="K1778" s="17" t="n">
        <f aca="false">MAX(B1778-B1777,0)</f>
        <v>0</v>
      </c>
      <c r="L1778" s="17" t="n">
        <f aca="false">MAX(B1777-B1778,0)</f>
        <v>34.3299999999999</v>
      </c>
      <c r="M1778" s="17" t="n">
        <f aca="false">(M1777*13+K1778)/14</f>
        <v>61.2837121196468</v>
      </c>
      <c r="N1778" s="17" t="n">
        <f aca="false">(N1777*13+L1778)/14</f>
        <v>43.6909925575412</v>
      </c>
      <c r="O1778" s="17" t="n">
        <f aca="false">IF(N1778=0,100,100-100/(1+M1778/N1778))</f>
        <v>58.3795041939893</v>
      </c>
      <c r="P1778" s="17" t="n">
        <f aca="false">AVERAGE(B1759:B1778)+2*STDEV(B1759:B1778)</f>
        <v>15907.6713853897</v>
      </c>
      <c r="Q1778" s="17" t="n">
        <f aca="false">AVERAGE(B1759:B1778)-2*STDEV(B1759:B1778)</f>
        <v>14843.7096146103</v>
      </c>
      <c r="R1778" s="19" t="n">
        <f aca="false">B1778/B1758-1</f>
        <v>0.0334363098973107</v>
      </c>
      <c r="S1778" s="17" t="n">
        <f aca="false">STDEV(C1759:C1778)*SQRT(252)*100</f>
        <v>14.1640332295454</v>
      </c>
      <c r="T1778" s="19" t="n">
        <f aca="false">B1757/B1527-1</f>
        <v>0.186044961421168</v>
      </c>
      <c r="U1778" s="19" t="n">
        <f aca="false">B1778/MAX(B1527:B1778)-1</f>
        <v>-0.0237618637300483</v>
      </c>
      <c r="V1778" s="17" t="n">
        <f aca="false">(B1778-AVERAGE(B1759:B1778))/STDEV(B1759:B1778)</f>
        <v>0.335498896486212</v>
      </c>
    </row>
    <row r="1779" customFormat="false" ht="15" hidden="false" customHeight="false" outlineLevel="0" collapsed="false">
      <c r="A1779" s="17" t="s">
        <v>2343</v>
      </c>
      <c r="B1779" s="17" t="n">
        <v>15750.93</v>
      </c>
      <c r="C1779" s="19" t="n">
        <f aca="false">B1779/B1778-1</f>
        <v>0.0184934558384682</v>
      </c>
      <c r="D1779" s="17" t="n">
        <f aca="false">AVERAGE(B1730:B1779)</f>
        <v>14866.2992</v>
      </c>
      <c r="E1779" s="17" t="n">
        <f aca="false">AVERAGE(B1580:B1779)</f>
        <v>12738.15295</v>
      </c>
      <c r="F1779" s="17" t="n">
        <f aca="false">B1779*2/13+F1778*11/13</f>
        <v>15512.0240758117</v>
      </c>
      <c r="G1779" s="17" t="n">
        <f aca="false">B1779*2/27+G1778*25/27</f>
        <v>15290.8875232876</v>
      </c>
      <c r="H1779" s="17" t="n">
        <f aca="false">F1779-G1779</f>
        <v>221.136552524094</v>
      </c>
      <c r="I1779" s="17" t="n">
        <f aca="false">H1779*2/10+I1778*8/10</f>
        <v>248.888306432546</v>
      </c>
      <c r="J1779" s="17" t="n">
        <f aca="false">H1779-I1779</f>
        <v>-27.7517539084512</v>
      </c>
      <c r="K1779" s="17" t="n">
        <f aca="false">MAX(B1779-B1778,0)</f>
        <v>286</v>
      </c>
      <c r="L1779" s="17" t="n">
        <f aca="false">MAX(B1778-B1779,0)</f>
        <v>0</v>
      </c>
      <c r="M1779" s="17" t="n">
        <f aca="false">(M1778*13+K1779)/14</f>
        <v>77.334875539672</v>
      </c>
      <c r="N1779" s="17" t="n">
        <f aca="false">(N1778*13+L1779)/14</f>
        <v>40.5702073748597</v>
      </c>
      <c r="O1779" s="17" t="n">
        <f aca="false">IF(N1779=0,100,100-100/(1+M1779/N1779))</f>
        <v>65.5907901746114</v>
      </c>
      <c r="P1779" s="17" t="n">
        <f aca="false">AVERAGE(B1760:B1779)+2*STDEV(B1760:B1779)</f>
        <v>15931.7500527523</v>
      </c>
      <c r="Q1779" s="17" t="n">
        <f aca="false">AVERAGE(B1760:B1779)-2*STDEV(B1760:B1779)</f>
        <v>14900.7289472477</v>
      </c>
      <c r="R1779" s="19" t="n">
        <f aca="false">B1779/B1759-1</f>
        <v>0.0542826448549025</v>
      </c>
      <c r="S1779" s="17" t="n">
        <f aca="false">STDEV(C1760:C1779)*SQRT(252)*100</f>
        <v>15.2950298358948</v>
      </c>
      <c r="T1779" s="19" t="n">
        <f aca="false">B1758/B1528-1</f>
        <v>0.176656940195174</v>
      </c>
      <c r="U1779" s="19" t="n">
        <f aca="false">B1779/MAX(B1528:B1779)-1</f>
        <v>-0.00570784686911152</v>
      </c>
      <c r="V1779" s="17" t="n">
        <f aca="false">(B1779-AVERAGE(B1760:B1779))/STDEV(B1760:B1779)</f>
        <v>1.29848166332626</v>
      </c>
    </row>
    <row r="1780" customFormat="false" ht="15" hidden="false" customHeight="false" outlineLevel="0" collapsed="false">
      <c r="A1780" s="17" t="s">
        <v>2344</v>
      </c>
      <c r="B1780" s="17" t="n">
        <v>15757</v>
      </c>
      <c r="C1780" s="19" t="n">
        <f aca="false">B1780/B1779-1</f>
        <v>0.000385374069975519</v>
      </c>
      <c r="D1780" s="17" t="n">
        <f aca="false">AVERAGE(B1731:B1780)</f>
        <v>14909.654</v>
      </c>
      <c r="E1780" s="17" t="n">
        <f aca="false">AVERAGE(B1581:B1780)</f>
        <v>12762.9812</v>
      </c>
      <c r="F1780" s="17" t="n">
        <f aca="false">B1780*2/13+F1779*11/13</f>
        <v>15549.712679533</v>
      </c>
      <c r="G1780" s="17" t="n">
        <f aca="false">B1780*2/27+G1779*25/27</f>
        <v>15325.4143734144</v>
      </c>
      <c r="H1780" s="17" t="n">
        <f aca="false">F1780-G1780</f>
        <v>224.298306118528</v>
      </c>
      <c r="I1780" s="17" t="n">
        <f aca="false">H1780*2/10+I1779*8/10</f>
        <v>243.970306369742</v>
      </c>
      <c r="J1780" s="17" t="n">
        <f aca="false">H1780-I1780</f>
        <v>-19.6720002512143</v>
      </c>
      <c r="K1780" s="17" t="n">
        <f aca="false">MAX(B1780-B1779,0)</f>
        <v>6.06999999999971</v>
      </c>
      <c r="L1780" s="17" t="n">
        <f aca="false">MAX(B1779-B1780,0)</f>
        <v>0</v>
      </c>
      <c r="M1780" s="17" t="n">
        <f aca="false">(M1779*13+K1780)/14</f>
        <v>72.2445272868383</v>
      </c>
      <c r="N1780" s="17" t="n">
        <f aca="false">(N1779*13+L1780)/14</f>
        <v>37.6723354195125</v>
      </c>
      <c r="O1780" s="17" t="n">
        <f aca="false">IF(N1780=0,100,100-100/(1+M1780/N1780))</f>
        <v>65.7265186687903</v>
      </c>
      <c r="P1780" s="17" t="n">
        <f aca="false">AVERAGE(B1761:B1780)+2*STDEV(B1761:B1780)</f>
        <v>15969.3950107798</v>
      </c>
      <c r="Q1780" s="17" t="n">
        <f aca="false">AVERAGE(B1761:B1780)-2*STDEV(B1761:B1780)</f>
        <v>14920.8629892202</v>
      </c>
      <c r="R1780" s="19" t="n">
        <f aca="false">B1780/B1760-1</f>
        <v>0.0380645633073131</v>
      </c>
      <c r="S1780" s="17" t="n">
        <f aca="false">STDEV(C1761:C1780)*SQRT(252)*100</f>
        <v>14.4732980249237</v>
      </c>
      <c r="T1780" s="19" t="n">
        <f aca="false">B1759/B1529-1</f>
        <v>0.15384496565871</v>
      </c>
      <c r="U1780" s="19" t="n">
        <f aca="false">B1780/MAX(B1529:B1780)-1</f>
        <v>-0.00532467245531476</v>
      </c>
      <c r="V1780" s="17" t="n">
        <f aca="false">(B1780-AVERAGE(B1761:B1780))/STDEV(B1761:B1780)</f>
        <v>1.1897433500834</v>
      </c>
    </row>
    <row r="1781" customFormat="false" ht="15" hidden="false" customHeight="false" outlineLevel="0" collapsed="false">
      <c r="A1781" s="17" t="s">
        <v>2345</v>
      </c>
      <c r="B1781" s="17" t="n">
        <v>15718.01</v>
      </c>
      <c r="C1781" s="19" t="n">
        <f aca="false">B1781/B1780-1</f>
        <v>-0.00247445579742334</v>
      </c>
      <c r="D1781" s="17" t="n">
        <f aca="false">AVERAGE(B1732:B1781)</f>
        <v>14947.3218</v>
      </c>
      <c r="E1781" s="17" t="n">
        <f aca="false">AVERAGE(B1582:B1781)</f>
        <v>12787.64315</v>
      </c>
      <c r="F1781" s="17" t="n">
        <f aca="false">B1781*2/13+F1780*11/13</f>
        <v>15575.6045749894</v>
      </c>
      <c r="G1781" s="17" t="n">
        <f aca="false">B1781*2/27+G1780*25/27</f>
        <v>15354.4955309393</v>
      </c>
      <c r="H1781" s="17" t="n">
        <f aca="false">F1781-G1781</f>
        <v>221.109044050138</v>
      </c>
      <c r="I1781" s="17" t="n">
        <f aca="false">H1781*2/10+I1780*8/10</f>
        <v>239.398053905821</v>
      </c>
      <c r="J1781" s="17" t="n">
        <f aca="false">H1781-I1781</f>
        <v>-18.2890098556837</v>
      </c>
      <c r="K1781" s="17" t="n">
        <f aca="false">MAX(B1781-B1780,0)</f>
        <v>0</v>
      </c>
      <c r="L1781" s="17" t="n">
        <f aca="false">MAX(B1780-B1781,0)</f>
        <v>38.9899999999998</v>
      </c>
      <c r="M1781" s="17" t="n">
        <f aca="false">(M1780*13+K1781)/14</f>
        <v>67.084203909207</v>
      </c>
      <c r="N1781" s="17" t="n">
        <f aca="false">(N1780*13+L1781)/14</f>
        <v>37.7664543181188</v>
      </c>
      <c r="O1781" s="17" t="n">
        <f aca="false">IF(N1781=0,100,100-100/(1+M1781/N1781))</f>
        <v>63.9807179500603</v>
      </c>
      <c r="P1781" s="17" t="n">
        <f aca="false">AVERAGE(B1762:B1781)+2*STDEV(B1762:B1781)</f>
        <v>15995.9822424673</v>
      </c>
      <c r="Q1781" s="17" t="n">
        <f aca="false">AVERAGE(B1762:B1781)-2*STDEV(B1762:B1781)</f>
        <v>14945.2077575327</v>
      </c>
      <c r="R1781" s="19" t="n">
        <f aca="false">B1781/B1761-1</f>
        <v>0.0334887488666018</v>
      </c>
      <c r="S1781" s="17" t="n">
        <f aca="false">STDEV(C1762:C1781)*SQRT(252)*100</f>
        <v>14.5566314050921</v>
      </c>
      <c r="T1781" s="19" t="n">
        <f aca="false">B1760/B1530-1</f>
        <v>0.172974890230728</v>
      </c>
      <c r="U1781" s="19" t="n">
        <f aca="false">B1781/MAX(B1530:B1781)-1</f>
        <v>-0.0077859525861117</v>
      </c>
      <c r="V1781" s="17" t="n">
        <f aca="false">(B1781-AVERAGE(B1762:B1781))/STDEV(B1762:B1781)</f>
        <v>0.941838628734535</v>
      </c>
    </row>
    <row r="1782" customFormat="false" ht="15" hidden="false" customHeight="false" outlineLevel="0" collapsed="false">
      <c r="A1782" s="17" t="s">
        <v>2346</v>
      </c>
      <c r="B1782" s="17" t="n">
        <v>15370.74</v>
      </c>
      <c r="C1782" s="19" t="n">
        <f aca="false">B1782/B1781-1</f>
        <v>-0.0220937637779847</v>
      </c>
      <c r="D1782" s="17" t="n">
        <f aca="false">AVERAGE(B1733:B1782)</f>
        <v>14978.6668</v>
      </c>
      <c r="E1782" s="17" t="n">
        <f aca="false">AVERAGE(B1583:B1782)</f>
        <v>12809.32895</v>
      </c>
      <c r="F1782" s="17" t="n">
        <f aca="false">B1782*2/13+F1781*11/13</f>
        <v>15544.086948068</v>
      </c>
      <c r="G1782" s="17" t="n">
        <f aca="false">B1782*2/27+G1781*25/27</f>
        <v>15355.6988249438</v>
      </c>
      <c r="H1782" s="17" t="n">
        <f aca="false">F1782-G1782</f>
        <v>188.388123124189</v>
      </c>
      <c r="I1782" s="17" t="n">
        <f aca="false">H1782*2/10+I1781*8/10</f>
        <v>229.196067749495</v>
      </c>
      <c r="J1782" s="17" t="n">
        <f aca="false">H1782-I1782</f>
        <v>-40.8079446253062</v>
      </c>
      <c r="K1782" s="17" t="n">
        <f aca="false">MAX(B1782-B1781,0)</f>
        <v>0</v>
      </c>
      <c r="L1782" s="17" t="n">
        <f aca="false">MAX(B1781-B1782,0)</f>
        <v>347.27</v>
      </c>
      <c r="M1782" s="17" t="n">
        <f aca="false">(M1781*13+K1782)/14</f>
        <v>62.2924750585494</v>
      </c>
      <c r="N1782" s="17" t="n">
        <f aca="false">(N1781*13+L1782)/14</f>
        <v>59.8738504382532</v>
      </c>
      <c r="O1782" s="17" t="n">
        <f aca="false">IF(N1782=0,100,100-100/(1+M1782/N1782))</f>
        <v>50.9898900578619</v>
      </c>
      <c r="P1782" s="17" t="n">
        <f aca="false">AVERAGE(B1763:B1782)+2*STDEV(B1763:B1782)</f>
        <v>15991.6320570563</v>
      </c>
      <c r="Q1782" s="17" t="n">
        <f aca="false">AVERAGE(B1763:B1782)-2*STDEV(B1763:B1782)</f>
        <v>14966.2539429437</v>
      </c>
      <c r="R1782" s="19" t="n">
        <f aca="false">B1782/B1762-1</f>
        <v>0.0109814796057295</v>
      </c>
      <c r="S1782" s="17" t="n">
        <f aca="false">STDEV(C1763:C1782)*SQRT(252)*100</f>
        <v>16.8294594894041</v>
      </c>
      <c r="T1782" s="19" t="n">
        <f aca="false">B1761/B1531-1</f>
        <v>0.178822006572828</v>
      </c>
      <c r="U1782" s="19" t="n">
        <f aca="false">B1782/MAX(B1531:B1782)-1</f>
        <v>-0.0297076953668721</v>
      </c>
      <c r="V1782" s="17" t="n">
        <f aca="false">(B1782-AVERAGE(B1763:B1782))/STDEV(B1763:B1782)</f>
        <v>-0.422099900556764</v>
      </c>
    </row>
    <row r="1783" customFormat="false" ht="15" hidden="false" customHeight="false" outlineLevel="0" collapsed="false">
      <c r="A1783" s="17" t="s">
        <v>2347</v>
      </c>
      <c r="B1783" s="17" t="n">
        <v>15353.54</v>
      </c>
      <c r="C1783" s="19" t="n">
        <f aca="false">B1783/B1782-1</f>
        <v>-0.00111900923442843</v>
      </c>
      <c r="D1783" s="17" t="n">
        <f aca="false">AVERAGE(B1734:B1783)</f>
        <v>15008.7428</v>
      </c>
      <c r="E1783" s="17" t="n">
        <f aca="false">AVERAGE(B1584:B1783)</f>
        <v>12832.63635</v>
      </c>
      <c r="F1783" s="17" t="n">
        <f aca="false">B1783*2/13+F1782*11/13</f>
        <v>15514.7720329806</v>
      </c>
      <c r="G1783" s="17" t="n">
        <f aca="false">B1783*2/27+G1782*25/27</f>
        <v>15355.538911985</v>
      </c>
      <c r="H1783" s="17" t="n">
        <f aca="false">F1783-G1783</f>
        <v>159.233120995605</v>
      </c>
      <c r="I1783" s="17" t="n">
        <f aca="false">H1783*2/10+I1782*8/10</f>
        <v>215.203478398717</v>
      </c>
      <c r="J1783" s="17" t="n">
        <f aca="false">H1783-I1783</f>
        <v>-55.970357403112</v>
      </c>
      <c r="K1783" s="17" t="n">
        <f aca="false">MAX(B1783-B1782,0)</f>
        <v>0</v>
      </c>
      <c r="L1783" s="17" t="n">
        <f aca="false">MAX(B1782-B1783,0)</f>
        <v>17.1999999999989</v>
      </c>
      <c r="M1783" s="17" t="n">
        <f aca="false">(M1782*13+K1783)/14</f>
        <v>57.8430125543673</v>
      </c>
      <c r="N1783" s="17" t="n">
        <f aca="false">(N1782*13+L1783)/14</f>
        <v>56.8257182640921</v>
      </c>
      <c r="O1783" s="17" t="n">
        <f aca="false">IF(N1783=0,100,100-100/(1+M1783/N1783))</f>
        <v>50.4435796415527</v>
      </c>
      <c r="P1783" s="17" t="n">
        <f aca="false">AVERAGE(B1764:B1783)+2*STDEV(B1764:B1783)</f>
        <v>15975.3542810118</v>
      </c>
      <c r="Q1783" s="17" t="n">
        <f aca="false">AVERAGE(B1764:B1783)-2*STDEV(B1764:B1783)</f>
        <v>15008.9407189882</v>
      </c>
      <c r="R1783" s="19" t="n">
        <f aca="false">B1783/B1763-1</f>
        <v>0.0175016319348948</v>
      </c>
      <c r="S1783" s="17" t="n">
        <f aca="false">STDEV(C1764:C1783)*SQRT(252)*100</f>
        <v>16.5712598453028</v>
      </c>
      <c r="T1783" s="19" t="n">
        <f aca="false">B1762/B1532-1</f>
        <v>0.147172846529835</v>
      </c>
      <c r="U1783" s="19" t="n">
        <f aca="false">B1783/MAX(B1532:B1783)-1</f>
        <v>-0.0307934614158515</v>
      </c>
      <c r="V1783" s="17" t="n">
        <f aca="false">(B1783-AVERAGE(B1764:B1783))/STDEV(B1764:B1783)</f>
        <v>-0.573698488708146</v>
      </c>
    </row>
    <row r="1784" customFormat="false" ht="15" hidden="false" customHeight="false" outlineLevel="0" collapsed="false">
      <c r="A1784" s="17" t="s">
        <v>2348</v>
      </c>
      <c r="B1784" s="17" t="n">
        <v>15274.92</v>
      </c>
      <c r="C1784" s="19" t="n">
        <f aca="false">B1784/B1783-1</f>
        <v>-0.00512064318717387</v>
      </c>
      <c r="D1784" s="17" t="n">
        <f aca="false">AVERAGE(B1735:B1784)</f>
        <v>15040.7904</v>
      </c>
      <c r="E1784" s="17" t="n">
        <f aca="false">AVERAGE(B1585:B1784)</f>
        <v>12853.6983</v>
      </c>
      <c r="F1784" s="17" t="n">
        <f aca="false">B1784*2/13+F1783*11/13</f>
        <v>15477.8717202144</v>
      </c>
      <c r="G1784" s="17" t="n">
        <f aca="false">B1784*2/27+G1783*25/27</f>
        <v>15349.5671407269</v>
      </c>
      <c r="H1784" s="17" t="n">
        <f aca="false">F1784-G1784</f>
        <v>128.304579487507</v>
      </c>
      <c r="I1784" s="17" t="n">
        <f aca="false">H1784*2/10+I1783*8/10</f>
        <v>197.823698616475</v>
      </c>
      <c r="J1784" s="17" t="n">
        <f aca="false">H1784-I1784</f>
        <v>-69.5191191289677</v>
      </c>
      <c r="K1784" s="17" t="n">
        <f aca="false">MAX(B1784-B1783,0)</f>
        <v>0</v>
      </c>
      <c r="L1784" s="17" t="n">
        <f aca="false">MAX(B1783-B1784,0)</f>
        <v>78.6200000000008</v>
      </c>
      <c r="M1784" s="17" t="n">
        <f aca="false">(M1783*13+K1784)/14</f>
        <v>53.7113688004839</v>
      </c>
      <c r="N1784" s="17" t="n">
        <f aca="false">(N1783*13+L1784)/14</f>
        <v>58.3824526737999</v>
      </c>
      <c r="O1784" s="17" t="n">
        <f aca="false">IF(N1784=0,100,100-100/(1+M1784/N1784))</f>
        <v>47.9164400803359</v>
      </c>
      <c r="P1784" s="17" t="n">
        <f aca="false">AVERAGE(B1765:B1784)+2*STDEV(B1765:B1784)</f>
        <v>15950.352732907</v>
      </c>
      <c r="Q1784" s="17" t="n">
        <f aca="false">AVERAGE(B1765:B1784)-2*STDEV(B1765:B1784)</f>
        <v>15057.749267093</v>
      </c>
      <c r="R1784" s="19" t="n">
        <f aca="false">B1784/B1764-1</f>
        <v>0.0158324383098853</v>
      </c>
      <c r="S1784" s="17" t="n">
        <f aca="false">STDEV(C1765:C1784)*SQRT(252)*100</f>
        <v>16.6389267987023</v>
      </c>
      <c r="T1784" s="19" t="n">
        <f aca="false">B1763/B1533-1</f>
        <v>0.133604136115585</v>
      </c>
      <c r="U1784" s="19" t="n">
        <f aca="false">B1784/MAX(B1533:B1784)-1</f>
        <v>-0.0357564222746167</v>
      </c>
      <c r="V1784" s="17" t="n">
        <f aca="false">(B1784-AVERAGE(B1765:B1784))/STDEV(B1765:B1784)</f>
        <v>-1.02679861226417</v>
      </c>
    </row>
    <row r="1785" customFormat="false" ht="15" hidden="false" customHeight="false" outlineLevel="0" collapsed="false">
      <c r="A1785" s="17" t="s">
        <v>2349</v>
      </c>
      <c r="B1785" s="17" t="n">
        <v>15407.85</v>
      </c>
      <c r="C1785" s="19" t="n">
        <f aca="false">B1785/B1784-1</f>
        <v>0.00870250056956112</v>
      </c>
      <c r="D1785" s="17" t="n">
        <f aca="false">AVERAGE(B1736:B1785)</f>
        <v>15076.8578</v>
      </c>
      <c r="E1785" s="17" t="n">
        <f aca="false">AVERAGE(B1586:B1785)</f>
        <v>12874.99885</v>
      </c>
      <c r="F1785" s="17" t="n">
        <f aca="false">B1785*2/13+F1784*11/13</f>
        <v>15467.0991478737</v>
      </c>
      <c r="G1785" s="17" t="n">
        <f aca="false">B1785*2/27+G1784*25/27</f>
        <v>15353.8843895619</v>
      </c>
      <c r="H1785" s="17" t="n">
        <f aca="false">F1785-G1785</f>
        <v>113.214758311788</v>
      </c>
      <c r="I1785" s="17" t="n">
        <f aca="false">H1785*2/10+I1784*8/10</f>
        <v>180.901910555537</v>
      </c>
      <c r="J1785" s="17" t="n">
        <f aca="false">H1785-I1785</f>
        <v>-67.6871522437497</v>
      </c>
      <c r="K1785" s="17" t="n">
        <f aca="false">MAX(B1785-B1784,0)</f>
        <v>132.93</v>
      </c>
      <c r="L1785" s="17" t="n">
        <f aca="false">MAX(B1784-B1785,0)</f>
        <v>0</v>
      </c>
      <c r="M1785" s="17" t="n">
        <f aca="false">(M1784*13+K1785)/14</f>
        <v>59.3698424575922</v>
      </c>
      <c r="N1785" s="17" t="n">
        <f aca="false">(N1784*13+L1785)/14</f>
        <v>54.2122774828142</v>
      </c>
      <c r="O1785" s="17" t="n">
        <f aca="false">IF(N1785=0,100,100-100/(1+M1785/N1785))</f>
        <v>52.2704123578095</v>
      </c>
      <c r="P1785" s="17" t="n">
        <f aca="false">AVERAGE(B1766:B1785)+2*STDEV(B1766:B1785)</f>
        <v>15916.5121476155</v>
      </c>
      <c r="Q1785" s="17" t="n">
        <f aca="false">AVERAGE(B1766:B1785)-2*STDEV(B1766:B1785)</f>
        <v>15127.8108523845</v>
      </c>
      <c r="R1785" s="19" t="n">
        <f aca="false">B1785/B1765-1</f>
        <v>0.0240740839206575</v>
      </c>
      <c r="S1785" s="17" t="n">
        <f aca="false">STDEV(C1766:C1785)*SQRT(252)*100</f>
        <v>16.8704313979223</v>
      </c>
      <c r="T1785" s="19" t="n">
        <f aca="false">B1764/B1534-1</f>
        <v>0.138492045164597</v>
      </c>
      <c r="U1785" s="19" t="n">
        <f aca="false">B1785/MAX(B1534:B1785)-1</f>
        <v>-0.0273650919902659</v>
      </c>
      <c r="V1785" s="17" t="n">
        <f aca="false">(B1785-AVERAGE(B1766:B1785))/STDEV(B1766:B1785)</f>
        <v>-0.579745466078017</v>
      </c>
    </row>
    <row r="1786" customFormat="false" ht="15" hidden="false" customHeight="false" outlineLevel="0" collapsed="false">
      <c r="A1786" s="17" t="s">
        <v>2350</v>
      </c>
      <c r="B1786" s="17" t="n">
        <v>15273.05</v>
      </c>
      <c r="C1786" s="19" t="n">
        <f aca="false">B1786/B1785-1</f>
        <v>-0.00874878714421556</v>
      </c>
      <c r="D1786" s="17" t="n">
        <f aca="false">AVERAGE(B1737:B1786)</f>
        <v>15103.5482</v>
      </c>
      <c r="E1786" s="17" t="n">
        <f aca="false">AVERAGE(B1587:B1786)</f>
        <v>12895.8472</v>
      </c>
      <c r="F1786" s="17" t="n">
        <f aca="false">B1786*2/13+F1785*11/13</f>
        <v>15437.2454328162</v>
      </c>
      <c r="G1786" s="17" t="n">
        <f aca="false">B1786*2/27+G1785*25/27</f>
        <v>15347.8966570018</v>
      </c>
      <c r="H1786" s="17" t="n">
        <f aca="false">F1786-G1786</f>
        <v>89.3487758144402</v>
      </c>
      <c r="I1786" s="17" t="n">
        <f aca="false">H1786*2/10+I1785*8/10</f>
        <v>162.591283607318</v>
      </c>
      <c r="J1786" s="17" t="n">
        <f aca="false">H1786-I1786</f>
        <v>-73.2425077928777</v>
      </c>
      <c r="K1786" s="17" t="n">
        <f aca="false">MAX(B1786-B1785,0)</f>
        <v>0</v>
      </c>
      <c r="L1786" s="17" t="n">
        <f aca="false">MAX(B1785-B1786,0)</f>
        <v>134.800000000001</v>
      </c>
      <c r="M1786" s="17" t="n">
        <f aca="false">(M1785*13+K1786)/14</f>
        <v>55.129139424907</v>
      </c>
      <c r="N1786" s="17" t="n">
        <f aca="false">(N1785*13+L1786)/14</f>
        <v>59.968543376899</v>
      </c>
      <c r="O1786" s="17" t="n">
        <f aca="false">IF(N1786=0,100,100-100/(1+M1786/N1786))</f>
        <v>47.8976970542816</v>
      </c>
      <c r="P1786" s="17" t="n">
        <f aca="false">AVERAGE(B1767:B1786)+2*STDEV(B1767:B1786)</f>
        <v>15896.0832886028</v>
      </c>
      <c r="Q1786" s="17" t="n">
        <f aca="false">AVERAGE(B1767:B1786)-2*STDEV(B1767:B1786)</f>
        <v>15163.6387113972</v>
      </c>
      <c r="R1786" s="19" t="n">
        <f aca="false">B1786/B1766-1</f>
        <v>0.0101851570137297</v>
      </c>
      <c r="S1786" s="17" t="n">
        <f aca="false">STDEV(C1767:C1786)*SQRT(252)*100</f>
        <v>17.1717914019294</v>
      </c>
      <c r="T1786" s="19" t="n">
        <f aca="false">B1765/B1535-1</f>
        <v>0.143358694627925</v>
      </c>
      <c r="U1786" s="19" t="n">
        <f aca="false">B1786/MAX(B1535:B1786)-1</f>
        <v>-0.0358744677694768</v>
      </c>
      <c r="V1786" s="17" t="n">
        <f aca="false">(B1786-AVERAGE(B1767:B1786))/STDEV(B1767:B1786)</f>
        <v>-1.40248700307006</v>
      </c>
    </row>
    <row r="1787" customFormat="false" ht="15" hidden="false" customHeight="false" outlineLevel="0" collapsed="false">
      <c r="A1787" s="17" t="s">
        <v>2351</v>
      </c>
      <c r="B1787" s="17" t="n">
        <v>15101.71</v>
      </c>
      <c r="C1787" s="19" t="n">
        <f aca="false">B1787/B1786-1</f>
        <v>-0.0112184534195855</v>
      </c>
      <c r="D1787" s="17" t="n">
        <f aca="false">AVERAGE(B1738:B1787)</f>
        <v>15119.6142</v>
      </c>
      <c r="E1787" s="17" t="n">
        <f aca="false">AVERAGE(B1588:B1787)</f>
        <v>12916.1222</v>
      </c>
      <c r="F1787" s="17" t="n">
        <f aca="false">B1787*2/13+F1786*11/13</f>
        <v>15385.6245969983</v>
      </c>
      <c r="G1787" s="17" t="n">
        <f aca="false">B1787*2/27+G1786*25/27</f>
        <v>15329.660608335</v>
      </c>
      <c r="H1787" s="17" t="n">
        <f aca="false">F1787-G1787</f>
        <v>55.9639886633595</v>
      </c>
      <c r="I1787" s="17" t="n">
        <f aca="false">H1787*2/10+I1786*8/10</f>
        <v>141.265824618526</v>
      </c>
      <c r="J1787" s="17" t="n">
        <f aca="false">H1787-I1787</f>
        <v>-85.3018359551667</v>
      </c>
      <c r="K1787" s="17" t="n">
        <f aca="false">MAX(B1787-B1786,0)</f>
        <v>0</v>
      </c>
      <c r="L1787" s="17" t="n">
        <f aca="false">MAX(B1786-B1787,0)</f>
        <v>171.34</v>
      </c>
      <c r="M1787" s="17" t="n">
        <f aca="false">(M1786*13+K1787)/14</f>
        <v>51.1913437516994</v>
      </c>
      <c r="N1787" s="17" t="n">
        <f aca="false">(N1786*13+L1787)/14</f>
        <v>67.9236474214062</v>
      </c>
      <c r="O1787" s="17" t="n">
        <f aca="false">IF(N1787=0,100,100-100/(1+M1787/N1787))</f>
        <v>42.9764072914255</v>
      </c>
      <c r="P1787" s="17" t="n">
        <f aca="false">AVERAGE(B1768:B1787)+2*STDEV(B1768:B1787)</f>
        <v>15921.8682009261</v>
      </c>
      <c r="Q1787" s="17" t="n">
        <f aca="false">AVERAGE(B1768:B1787)-2*STDEV(B1768:B1787)</f>
        <v>15117.3017990739</v>
      </c>
      <c r="R1787" s="19" t="n">
        <f aca="false">B1787/B1767-1</f>
        <v>-0.0134263351370562</v>
      </c>
      <c r="S1787" s="17" t="n">
        <f aca="false">STDEV(C1768:C1787)*SQRT(252)*100</f>
        <v>17.0539031635602</v>
      </c>
      <c r="T1787" s="19" t="n">
        <f aca="false">B1766/B1536-1</f>
        <v>0.162274170771138</v>
      </c>
      <c r="U1787" s="19" t="n">
        <f aca="false">B1787/MAX(B1536:B1787)-1</f>
        <v>-0.046690465143438</v>
      </c>
      <c r="V1787" s="17" t="n">
        <f aca="false">(B1787-AVERAGE(B1768:B1787))/STDEV(B1768:B1787)</f>
        <v>-2.07751653083192</v>
      </c>
    </row>
    <row r="1788" customFormat="false" ht="15" hidden="false" customHeight="false" outlineLevel="0" collapsed="false">
      <c r="A1788" s="17" t="s">
        <v>2352</v>
      </c>
      <c r="B1788" s="17" t="n">
        <v>15128.84</v>
      </c>
      <c r="C1788" s="19" t="n">
        <f aca="false">B1788/B1787-1</f>
        <v>0.0017964852986847</v>
      </c>
      <c r="D1788" s="17" t="n">
        <f aca="false">AVERAGE(B1739:B1788)</f>
        <v>15135.0912</v>
      </c>
      <c r="E1788" s="17" t="n">
        <f aca="false">AVERAGE(B1589:B1788)</f>
        <v>12935.21475</v>
      </c>
      <c r="F1788" s="17" t="n">
        <f aca="false">B1788*2/13+F1787*11/13</f>
        <v>15346.1192743832</v>
      </c>
      <c r="G1788" s="17" t="n">
        <f aca="false">B1788*2/27+G1787*25/27</f>
        <v>15314.7850077176</v>
      </c>
      <c r="H1788" s="17" t="n">
        <f aca="false">F1788-G1788</f>
        <v>31.3342666656372</v>
      </c>
      <c r="I1788" s="17" t="n">
        <f aca="false">H1788*2/10+I1787*8/10</f>
        <v>119.279513027948</v>
      </c>
      <c r="J1788" s="17" t="n">
        <f aca="false">H1788-I1788</f>
        <v>-87.9452463623112</v>
      </c>
      <c r="K1788" s="17" t="n">
        <f aca="false">MAX(B1788-B1787,0)</f>
        <v>27.130000000001</v>
      </c>
      <c r="L1788" s="17" t="n">
        <f aca="false">MAX(B1787-B1788,0)</f>
        <v>0</v>
      </c>
      <c r="M1788" s="17" t="n">
        <f aca="false">(M1787*13+K1788)/14</f>
        <v>49.4726763408638</v>
      </c>
      <c r="N1788" s="17" t="n">
        <f aca="false">(N1787*13+L1788)/14</f>
        <v>63.0719583198772</v>
      </c>
      <c r="O1788" s="17" t="n">
        <f aca="false">IF(N1788=0,100,100-100/(1+M1788/N1788))</f>
        <v>43.9582717470239</v>
      </c>
      <c r="P1788" s="17" t="n">
        <f aca="false">AVERAGE(B1769:B1788)+2*STDEV(B1769:B1788)</f>
        <v>15934.8411351528</v>
      </c>
      <c r="Q1788" s="17" t="n">
        <f aca="false">AVERAGE(B1769:B1788)-2*STDEV(B1769:B1788)</f>
        <v>15060.0148648472</v>
      </c>
      <c r="R1788" s="19" t="n">
        <f aca="false">B1788/B1768-1</f>
        <v>-0.0284575243482202</v>
      </c>
      <c r="S1788" s="17" t="n">
        <f aca="false">STDEV(C1769:C1788)*SQRT(252)*100</f>
        <v>15.7303214243944</v>
      </c>
      <c r="T1788" s="19" t="n">
        <f aca="false">B1767/B1537-1</f>
        <v>0.144181780672013</v>
      </c>
      <c r="U1788" s="19" t="n">
        <f aca="false">B1788/MAX(B1537:B1788)-1</f>
        <v>-0.0449778585789722</v>
      </c>
      <c r="V1788" s="17" t="n">
        <f aca="false">(B1788-AVERAGE(B1769:B1788))/STDEV(B1769:B1788)</f>
        <v>-1.68530832925826</v>
      </c>
    </row>
    <row r="1789" customFormat="false" ht="15" hidden="false" customHeight="false" outlineLevel="0" collapsed="false">
      <c r="A1789" s="17" t="s">
        <v>2353</v>
      </c>
      <c r="B1789" s="17" t="n">
        <v>15028.07</v>
      </c>
      <c r="C1789" s="19" t="n">
        <f aca="false">B1789/B1788-1</f>
        <v>-0.00666078826929228</v>
      </c>
      <c r="D1789" s="17" t="n">
        <f aca="false">AVERAGE(B1740:B1789)</f>
        <v>15150.5708</v>
      </c>
      <c r="E1789" s="17" t="n">
        <f aca="false">AVERAGE(B1590:B1789)</f>
        <v>12953.2038</v>
      </c>
      <c r="F1789" s="17" t="n">
        <f aca="false">B1789*2/13+F1788*11/13</f>
        <v>15297.1886167858</v>
      </c>
      <c r="G1789" s="17" t="n">
        <f aca="false">B1789*2/27+G1788*25/27</f>
        <v>15293.5468589977</v>
      </c>
      <c r="H1789" s="17" t="n">
        <f aca="false">F1789-G1789</f>
        <v>3.64175778804201</v>
      </c>
      <c r="I1789" s="17" t="n">
        <f aca="false">H1789*2/10+I1788*8/10</f>
        <v>96.1519619799671</v>
      </c>
      <c r="J1789" s="17" t="n">
        <f aca="false">H1789-I1789</f>
        <v>-92.5102041919251</v>
      </c>
      <c r="K1789" s="17" t="n">
        <f aca="false">MAX(B1789-B1788,0)</f>
        <v>0</v>
      </c>
      <c r="L1789" s="17" t="n">
        <f aca="false">MAX(B1788-B1789,0)</f>
        <v>100.77</v>
      </c>
      <c r="M1789" s="17" t="n">
        <f aca="false">(M1788*13+K1789)/14</f>
        <v>45.9389137450878</v>
      </c>
      <c r="N1789" s="17" t="n">
        <f aca="false">(N1788*13+L1789)/14</f>
        <v>65.7646755827431</v>
      </c>
      <c r="O1789" s="17" t="n">
        <f aca="false">IF(N1789=0,100,100-100/(1+M1789/N1789))</f>
        <v>41.1257274914103</v>
      </c>
      <c r="P1789" s="17" t="n">
        <f aca="false">AVERAGE(B1770:B1789)+2*STDEV(B1770:B1789)</f>
        <v>15953.9650805542</v>
      </c>
      <c r="Q1789" s="17" t="n">
        <f aca="false">AVERAGE(B1770:B1789)-2*STDEV(B1770:B1789)</f>
        <v>14987.1379194458</v>
      </c>
      <c r="R1789" s="19" t="n">
        <f aca="false">B1789/B1769-1</f>
        <v>-0.0345332014185127</v>
      </c>
      <c r="S1789" s="17" t="n">
        <f aca="false">STDEV(C1770:C1789)*SQRT(252)*100</f>
        <v>15.8345118218898</v>
      </c>
      <c r="T1789" s="19" t="n">
        <f aca="false">B1768/B1538-1</f>
        <v>0.171531125136266</v>
      </c>
      <c r="U1789" s="19" t="n">
        <f aca="false">B1789/MAX(B1538:B1789)-1</f>
        <v>-0.0513390588554638</v>
      </c>
      <c r="V1789" s="17" t="n">
        <f aca="false">(B1789-AVERAGE(B1770:B1789))/STDEV(B1770:B1789)</f>
        <v>-1.83065398987239</v>
      </c>
    </row>
    <row r="1790" customFormat="false" ht="15" hidden="false" customHeight="false" outlineLevel="0" collapsed="false">
      <c r="A1790" s="17" t="s">
        <v>2354</v>
      </c>
      <c r="B1790" s="17" t="n">
        <v>15205.59</v>
      </c>
      <c r="C1790" s="19" t="n">
        <f aca="false">B1790/B1789-1</f>
        <v>0.0118125614267168</v>
      </c>
      <c r="D1790" s="17" t="n">
        <f aca="false">AVERAGE(B1741:B1790)</f>
        <v>15165.8524</v>
      </c>
      <c r="E1790" s="17" t="n">
        <f aca="false">AVERAGE(B1591:B1790)</f>
        <v>12970.8818</v>
      </c>
      <c r="F1790" s="17" t="n">
        <f aca="false">B1790*2/13+F1789*11/13</f>
        <v>15283.0965218957</v>
      </c>
      <c r="G1790" s="17" t="n">
        <f aca="false">B1790*2/27+G1789*25/27</f>
        <v>15287.031536109</v>
      </c>
      <c r="H1790" s="17" t="n">
        <f aca="false">F1790-G1790</f>
        <v>-3.93501421335532</v>
      </c>
      <c r="I1790" s="17" t="n">
        <f aca="false">H1790*2/10+I1789*8/10</f>
        <v>76.1345667413026</v>
      </c>
      <c r="J1790" s="17" t="n">
        <f aca="false">H1790-I1790</f>
        <v>-80.069580954658</v>
      </c>
      <c r="K1790" s="17" t="n">
        <f aca="false">MAX(B1790-B1789,0)</f>
        <v>177.52</v>
      </c>
      <c r="L1790" s="17" t="n">
        <f aca="false">MAX(B1789-B1790,0)</f>
        <v>0</v>
      </c>
      <c r="M1790" s="17" t="n">
        <f aca="false">(M1789*13+K1790)/14</f>
        <v>55.3375627632959</v>
      </c>
      <c r="N1790" s="17" t="n">
        <f aca="false">(N1789*13+L1790)/14</f>
        <v>61.0671987554043</v>
      </c>
      <c r="O1790" s="17" t="n">
        <f aca="false">IF(N1790=0,100,100-100/(1+M1790/N1790))</f>
        <v>47.5389168289357</v>
      </c>
      <c r="P1790" s="17" t="n">
        <f aca="false">AVERAGE(B1771:B1790)+2*STDEV(B1771:B1790)</f>
        <v>15928.2320586717</v>
      </c>
      <c r="Q1790" s="17" t="n">
        <f aca="false">AVERAGE(B1771:B1790)-2*STDEV(B1771:B1790)</f>
        <v>14962.1019413283</v>
      </c>
      <c r="R1790" s="19" t="n">
        <f aca="false">B1790/B1770-1</f>
        <v>-0.0323096132697948</v>
      </c>
      <c r="S1790" s="17" t="n">
        <f aca="false">STDEV(C1771:C1790)*SQRT(252)*100</f>
        <v>16.0722624164122</v>
      </c>
      <c r="T1790" s="19" t="n">
        <f aca="false">B1769/B1539-1</f>
        <v>0.147408901898662</v>
      </c>
      <c r="U1790" s="19" t="n">
        <f aca="false">B1790/MAX(B1539:B1790)-1</f>
        <v>-0.0401329432150669</v>
      </c>
      <c r="V1790" s="17" t="n">
        <f aca="false">(B1790-AVERAGE(B1771:B1790))/STDEV(B1771:B1790)</f>
        <v>-0.99190366059091</v>
      </c>
    </row>
    <row r="1791" customFormat="false" ht="15" hidden="false" customHeight="false" outlineLevel="0" collapsed="false">
      <c r="A1791" s="17" t="s">
        <v>2355</v>
      </c>
      <c r="B1791" s="17" t="n">
        <v>15037.65</v>
      </c>
      <c r="C1791" s="19" t="n">
        <f aca="false">B1791/B1790-1</f>
        <v>-0.0110446224053128</v>
      </c>
      <c r="D1791" s="17" t="n">
        <f aca="false">AVERAGE(B1742:B1791)</f>
        <v>15175.6726</v>
      </c>
      <c r="E1791" s="17" t="n">
        <f aca="false">AVERAGE(B1592:B1791)</f>
        <v>12989.04055</v>
      </c>
      <c r="F1791" s="17" t="n">
        <f aca="false">B1791*2/13+F1790*11/13</f>
        <v>15245.3355185271</v>
      </c>
      <c r="G1791" s="17" t="n">
        <f aca="false">B1791*2/27+G1790*25/27</f>
        <v>15268.5588297306</v>
      </c>
      <c r="H1791" s="17" t="n">
        <f aca="false">F1791-G1791</f>
        <v>-23.2233112034737</v>
      </c>
      <c r="I1791" s="17" t="n">
        <f aca="false">H1791*2/10+I1790*8/10</f>
        <v>56.2629911523474</v>
      </c>
      <c r="J1791" s="17" t="n">
        <f aca="false">H1791-I1791</f>
        <v>-79.4863023558211</v>
      </c>
      <c r="K1791" s="17" t="n">
        <f aca="false">MAX(B1791-B1790,0)</f>
        <v>0</v>
      </c>
      <c r="L1791" s="17" t="n">
        <f aca="false">MAX(B1790-B1791,0)</f>
        <v>167.940000000001</v>
      </c>
      <c r="M1791" s="17" t="n">
        <f aca="false">(M1790*13+K1791)/14</f>
        <v>51.3848797087747</v>
      </c>
      <c r="N1791" s="17" t="n">
        <f aca="false">(N1790*13+L1791)/14</f>
        <v>68.7009702728755</v>
      </c>
      <c r="O1791" s="17" t="n">
        <f aca="false">IF(N1791=0,100,100-100/(1+M1791/N1791))</f>
        <v>42.7901203319347</v>
      </c>
      <c r="P1791" s="17" t="n">
        <f aca="false">AVERAGE(B1772:B1791)+2*STDEV(B1772:B1791)</f>
        <v>15882.9676291872</v>
      </c>
      <c r="Q1791" s="17" t="n">
        <f aca="false">AVERAGE(B1772:B1791)-2*STDEV(B1772:B1791)</f>
        <v>14926.9963708128</v>
      </c>
      <c r="R1791" s="19" t="n">
        <f aca="false">B1791/B1771-1</f>
        <v>-0.0507343124165555</v>
      </c>
      <c r="S1791" s="17" t="n">
        <f aca="false">STDEV(C1772:C1791)*SQRT(252)*100</f>
        <v>15.9730012080362</v>
      </c>
      <c r="T1791" s="19" t="n">
        <f aca="false">B1770/B1540-1</f>
        <v>0.149709010929833</v>
      </c>
      <c r="U1791" s="19" t="n">
        <f aca="false">B1791/MAX(B1540:B1791)-1</f>
        <v>-0.0507343124165555</v>
      </c>
      <c r="V1791" s="17" t="n">
        <f aca="false">(B1791-AVERAGE(B1772:B1791))/STDEV(B1772:B1791)</f>
        <v>-1.53700018397894</v>
      </c>
    </row>
    <row r="1792" customFormat="false" ht="15" hidden="false" customHeight="false" outlineLevel="0" collapsed="false">
      <c r="A1792" s="17" t="s">
        <v>2356</v>
      </c>
      <c r="B1792" s="17" t="n">
        <v>14876.47</v>
      </c>
      <c r="C1792" s="19" t="n">
        <f aca="false">B1792/B1791-1</f>
        <v>-0.010718430073848</v>
      </c>
      <c r="D1792" s="17" t="n">
        <f aca="false">AVERAGE(B1743:B1792)</f>
        <v>15182.072</v>
      </c>
      <c r="E1792" s="17" t="n">
        <f aca="false">AVERAGE(B1593:B1792)</f>
        <v>13007.46475</v>
      </c>
      <c r="F1792" s="17" t="n">
        <f aca="false">B1792*2/13+F1791*11/13</f>
        <v>15188.5869772152</v>
      </c>
      <c r="G1792" s="17" t="n">
        <f aca="false">B1792*2/27+G1791*25/27</f>
        <v>15239.5152127135</v>
      </c>
      <c r="H1792" s="17" t="n">
        <f aca="false">F1792-G1792</f>
        <v>-50.9282354982533</v>
      </c>
      <c r="I1792" s="17" t="n">
        <f aca="false">H1792*2/10+I1791*8/10</f>
        <v>34.8247458222272</v>
      </c>
      <c r="J1792" s="17" t="n">
        <f aca="false">H1792-I1792</f>
        <v>-85.7529813204806</v>
      </c>
      <c r="K1792" s="17" t="n">
        <f aca="false">MAX(B1792-B1791,0)</f>
        <v>0</v>
      </c>
      <c r="L1792" s="17" t="n">
        <f aca="false">MAX(B1791-B1792,0)</f>
        <v>161.18</v>
      </c>
      <c r="M1792" s="17" t="n">
        <f aca="false">(M1791*13+K1792)/14</f>
        <v>47.714531158148</v>
      </c>
      <c r="N1792" s="17" t="n">
        <f aca="false">(N1791*13+L1792)/14</f>
        <v>75.3066152533844</v>
      </c>
      <c r="O1792" s="17" t="n">
        <f aca="false">IF(N1792=0,100,100-100/(1+M1792/N1792))</f>
        <v>38.7856336491391</v>
      </c>
      <c r="P1792" s="17" t="n">
        <f aca="false">AVERAGE(B1773:B1792)+2*STDEV(B1773:B1792)</f>
        <v>15847.7927570258</v>
      </c>
      <c r="Q1792" s="17" t="n">
        <f aca="false">AVERAGE(B1773:B1792)-2*STDEV(B1773:B1792)</f>
        <v>14867.1832429742</v>
      </c>
      <c r="R1792" s="19" t="n">
        <f aca="false">B1792/B1772-1</f>
        <v>-0.0600188925431322</v>
      </c>
      <c r="S1792" s="17" t="n">
        <f aca="false">STDEV(C1773:C1792)*SQRT(252)*100</f>
        <v>16.217520172614</v>
      </c>
      <c r="T1792" s="19" t="n">
        <f aca="false">B1771/B1541-1</f>
        <v>0.161797288050569</v>
      </c>
      <c r="U1792" s="19" t="n">
        <f aca="false">B1792/MAX(B1541:B1792)-1</f>
        <v>-0.0609089503104219</v>
      </c>
      <c r="V1792" s="17" t="n">
        <f aca="false">(B1792-AVERAGE(B1773:B1792))/STDEV(B1773:B1792)</f>
        <v>-1.96211842984307</v>
      </c>
    </row>
    <row r="1793" customFormat="false" ht="15" hidden="false" customHeight="false" outlineLevel="0" collapsed="false">
      <c r="A1793" s="17" t="s">
        <v>2357</v>
      </c>
      <c r="B1793" s="17" t="n">
        <v>14715.81</v>
      </c>
      <c r="C1793" s="19" t="n">
        <f aca="false">B1793/B1792-1</f>
        <v>-0.0107996050138238</v>
      </c>
      <c r="D1793" s="17" t="n">
        <f aca="false">AVERAGE(B1744:B1793)</f>
        <v>15185.2264</v>
      </c>
      <c r="E1793" s="17" t="n">
        <f aca="false">AVERAGE(B1594:B1793)</f>
        <v>13023.31275</v>
      </c>
      <c r="F1793" s="17" t="n">
        <f aca="false">B1793*2/13+F1792*11/13</f>
        <v>15115.8520576437</v>
      </c>
      <c r="G1793" s="17" t="n">
        <f aca="false">B1793*2/27+G1792*25/27</f>
        <v>15200.722233994</v>
      </c>
      <c r="H1793" s="17" t="n">
        <f aca="false">F1793-G1793</f>
        <v>-84.8701763503104</v>
      </c>
      <c r="I1793" s="17" t="n">
        <f aca="false">H1793*2/10+I1792*8/10</f>
        <v>10.8857613877197</v>
      </c>
      <c r="J1793" s="17" t="n">
        <f aca="false">H1793-I1793</f>
        <v>-95.7559377380301</v>
      </c>
      <c r="K1793" s="17" t="n">
        <f aca="false">MAX(B1793-B1792,0)</f>
        <v>0</v>
      </c>
      <c r="L1793" s="17" t="n">
        <f aca="false">MAX(B1792-B1793,0)</f>
        <v>160.66</v>
      </c>
      <c r="M1793" s="17" t="n">
        <f aca="false">(M1792*13+K1793)/14</f>
        <v>44.3063503611374</v>
      </c>
      <c r="N1793" s="17" t="n">
        <f aca="false">(N1792*13+L1793)/14</f>
        <v>81.4032855924284</v>
      </c>
      <c r="O1793" s="17" t="n">
        <f aca="false">IF(N1793=0,100,100-100/(1+M1793/N1793))</f>
        <v>35.2449913843543</v>
      </c>
      <c r="P1793" s="17" t="n">
        <f aca="false">AVERAGE(B1774:B1793)+2*STDEV(B1774:B1793)</f>
        <v>15884.4867088178</v>
      </c>
      <c r="Q1793" s="17" t="n">
        <f aca="false">AVERAGE(B1774:B1793)-2*STDEV(B1774:B1793)</f>
        <v>14755.4612911822</v>
      </c>
      <c r="R1793" s="19" t="n">
        <f aca="false">B1793/B1773-1</f>
        <v>-0.0485112914770314</v>
      </c>
      <c r="S1793" s="17" t="n">
        <f aca="false">STDEV(C1774:C1793)*SQRT(252)*100</f>
        <v>14.7800780024746</v>
      </c>
      <c r="T1793" s="19" t="n">
        <f aca="false">B1772/B1542-1</f>
        <v>0.174858175350349</v>
      </c>
      <c r="U1793" s="19" t="n">
        <f aca="false">B1793/MAX(B1542:B1793)-1</f>
        <v>-0.0710507627190865</v>
      </c>
      <c r="V1793" s="17" t="n">
        <f aca="false">(B1793-AVERAGE(B1774:B1793))/STDEV(B1774:B1793)</f>
        <v>-2.14047971130785</v>
      </c>
    </row>
    <row r="1794" customFormat="false" ht="15" hidden="false" customHeight="false" outlineLevel="0" collapsed="false">
      <c r="A1794" s="17" t="s">
        <v>2358</v>
      </c>
      <c r="B1794" s="17" t="n">
        <v>14694.84</v>
      </c>
      <c r="C1794" s="19" t="n">
        <f aca="false">B1794/B1793-1</f>
        <v>-0.00142499801234175</v>
      </c>
      <c r="D1794" s="17" t="n">
        <f aca="false">AVERAGE(B1745:B1794)</f>
        <v>15193.0574</v>
      </c>
      <c r="E1794" s="17" t="n">
        <f aca="false">AVERAGE(B1595:B1794)</f>
        <v>13039.7591</v>
      </c>
      <c r="F1794" s="17" t="n">
        <f aca="false">B1794*2/13+F1793*11/13</f>
        <v>15051.0809718523</v>
      </c>
      <c r="G1794" s="17" t="n">
        <f aca="false">B1794*2/27+G1793*25/27</f>
        <v>15163.2494759203</v>
      </c>
      <c r="H1794" s="17" t="n">
        <f aca="false">F1794-G1794</f>
        <v>-112.168504068013</v>
      </c>
      <c r="I1794" s="17" t="n">
        <f aca="false">H1794*2/10+I1793*8/10</f>
        <v>-13.7250917034269</v>
      </c>
      <c r="J1794" s="17" t="n">
        <f aca="false">H1794-I1794</f>
        <v>-98.4434123645863</v>
      </c>
      <c r="K1794" s="17" t="n">
        <f aca="false">MAX(B1794-B1793,0)</f>
        <v>0</v>
      </c>
      <c r="L1794" s="17" t="n">
        <f aca="false">MAX(B1793-B1794,0)</f>
        <v>20.9699999999993</v>
      </c>
      <c r="M1794" s="17" t="n">
        <f aca="false">(M1793*13+K1794)/14</f>
        <v>41.1416110496276</v>
      </c>
      <c r="N1794" s="17" t="n">
        <f aca="false">(N1793*13+L1794)/14</f>
        <v>77.0866223358263</v>
      </c>
      <c r="O1794" s="17" t="n">
        <f aca="false">IF(N1794=0,100,100-100/(1+M1794/N1794))</f>
        <v>34.7984655369886</v>
      </c>
      <c r="P1794" s="17" t="n">
        <f aca="false">AVERAGE(B1775:B1794)+2*STDEV(B1775:B1794)</f>
        <v>15910.3077233058</v>
      </c>
      <c r="Q1794" s="17" t="n">
        <f aca="false">AVERAGE(B1775:B1794)-2*STDEV(B1775:B1794)</f>
        <v>14656.5572766942</v>
      </c>
      <c r="R1794" s="19" t="n">
        <f aca="false">B1794/B1774-1</f>
        <v>-0.0473775207170905</v>
      </c>
      <c r="S1794" s="17" t="n">
        <f aca="false">STDEV(C1775:C1794)*SQRT(252)*100</f>
        <v>14.7842701089768</v>
      </c>
      <c r="T1794" s="19" t="n">
        <f aca="false">B1773/B1543-1</f>
        <v>0.14512819867333</v>
      </c>
      <c r="U1794" s="19" t="n">
        <f aca="false">B1794/MAX(B1543:B1794)-1</f>
        <v>-0.0723745135357782</v>
      </c>
      <c r="V1794" s="17" t="n">
        <f aca="false">(B1794-AVERAGE(B1775:B1794))/STDEV(B1775:B1794)</f>
        <v>-1.87786174382855</v>
      </c>
    </row>
    <row r="1795" customFormat="false" ht="15" hidden="false" customHeight="false" outlineLevel="0" collapsed="false">
      <c r="A1795" s="17" t="s">
        <v>2359</v>
      </c>
      <c r="B1795" s="17" t="n">
        <v>14936.69</v>
      </c>
      <c r="C1795" s="19" t="n">
        <f aca="false">B1795/B1794-1</f>
        <v>0.0164581581017556</v>
      </c>
      <c r="D1795" s="17" t="n">
        <f aca="false">AVERAGE(B1746:B1795)</f>
        <v>15202.1004</v>
      </c>
      <c r="E1795" s="17" t="n">
        <f aca="false">AVERAGE(B1596:B1795)</f>
        <v>13057.9978</v>
      </c>
      <c r="F1795" s="17" t="n">
        <f aca="false">B1795*2/13+F1794*11/13</f>
        <v>15033.4823607981</v>
      </c>
      <c r="G1795" s="17" t="n">
        <f aca="false">B1795*2/27+G1794*25/27</f>
        <v>15146.4672925188</v>
      </c>
      <c r="H1795" s="17" t="n">
        <f aca="false">F1795-G1795</f>
        <v>-112.984931720712</v>
      </c>
      <c r="I1795" s="17" t="n">
        <f aca="false">H1795*2/10+I1794*8/10</f>
        <v>-33.5770597068838</v>
      </c>
      <c r="J1795" s="17" t="n">
        <f aca="false">H1795-I1795</f>
        <v>-79.4078720138279</v>
      </c>
      <c r="K1795" s="17" t="n">
        <f aca="false">MAX(B1795-B1794,0)</f>
        <v>241.85</v>
      </c>
      <c r="L1795" s="17" t="n">
        <f aca="false">MAX(B1794-B1795,0)</f>
        <v>0</v>
      </c>
      <c r="M1795" s="17" t="n">
        <f aca="false">(M1794*13+K1795)/14</f>
        <v>55.4779245460828</v>
      </c>
      <c r="N1795" s="17" t="n">
        <f aca="false">(N1794*13+L1795)/14</f>
        <v>71.5804350261244</v>
      </c>
      <c r="O1795" s="17" t="n">
        <f aca="false">IF(N1795=0,100,100-100/(1+M1795/N1795))</f>
        <v>43.6633407930587</v>
      </c>
      <c r="P1795" s="17" t="n">
        <f aca="false">AVERAGE(B1776:B1795)+2*STDEV(B1776:B1795)</f>
        <v>15898.0449205954</v>
      </c>
      <c r="Q1795" s="17" t="n">
        <f aca="false">AVERAGE(B1776:B1795)-2*STDEV(B1776:B1795)</f>
        <v>14617.6870794046</v>
      </c>
      <c r="R1795" s="19" t="n">
        <f aca="false">B1795/B1775-1</f>
        <v>-0.0331000348264696</v>
      </c>
      <c r="S1795" s="17" t="n">
        <f aca="false">STDEV(C1776:C1795)*SQRT(252)*100</f>
        <v>16.1930418837063</v>
      </c>
      <c r="T1795" s="19" t="n">
        <f aca="false">B1774/B1544-1</f>
        <v>0.164825680175792</v>
      </c>
      <c r="U1795" s="19" t="n">
        <f aca="false">B1795/MAX(B1544:B1795)-1</f>
        <v>-0.0571075066203323</v>
      </c>
      <c r="V1795" s="17" t="n">
        <f aca="false">(B1795-AVERAGE(B1776:B1795))/STDEV(B1776:B1795)</f>
        <v>-1.00339448759503</v>
      </c>
    </row>
    <row r="1796" customFormat="false" ht="15" hidden="false" customHeight="false" outlineLevel="0" collapsed="false">
      <c r="A1796" s="17" t="s">
        <v>2360</v>
      </c>
      <c r="B1796" s="17" t="n">
        <v>14908.96</v>
      </c>
      <c r="C1796" s="19" t="n">
        <f aca="false">B1796/B1795-1</f>
        <v>-0.00185650234422763</v>
      </c>
      <c r="D1796" s="17" t="n">
        <f aca="false">AVERAGE(B1747:B1796)</f>
        <v>15209.7124</v>
      </c>
      <c r="E1796" s="17" t="n">
        <f aca="false">AVERAGE(B1597:B1796)</f>
        <v>13078.0109</v>
      </c>
      <c r="F1796" s="17" t="n">
        <f aca="false">B1796*2/13+F1795*11/13</f>
        <v>15014.3250745215</v>
      </c>
      <c r="G1796" s="17" t="n">
        <f aca="false">B1796*2/27+G1795*25/27</f>
        <v>15128.8741597397</v>
      </c>
      <c r="H1796" s="17" t="n">
        <f aca="false">F1796-G1796</f>
        <v>-114.549085218172</v>
      </c>
      <c r="I1796" s="17" t="n">
        <f aca="false">H1796*2/10+I1795*8/10</f>
        <v>-49.7714648091415</v>
      </c>
      <c r="J1796" s="17" t="n">
        <f aca="false">H1796-I1796</f>
        <v>-64.7776204090305</v>
      </c>
      <c r="K1796" s="17" t="n">
        <f aca="false">MAX(B1796-B1795,0)</f>
        <v>0</v>
      </c>
      <c r="L1796" s="17" t="n">
        <f aca="false">MAX(B1795-B1796,0)</f>
        <v>27.7300000000014</v>
      </c>
      <c r="M1796" s="17" t="n">
        <f aca="false">(M1795*13+K1796)/14</f>
        <v>51.515215649934</v>
      </c>
      <c r="N1796" s="17" t="n">
        <f aca="false">(N1795*13+L1796)/14</f>
        <v>68.4482610956871</v>
      </c>
      <c r="O1796" s="17" t="n">
        <f aca="false">IF(N1796=0,100,100-100/(1+M1796/N1796))</f>
        <v>42.9424163482444</v>
      </c>
      <c r="P1796" s="17" t="n">
        <f aca="false">AVERAGE(B1777:B1796)+2*STDEV(B1777:B1796)</f>
        <v>15866.7860662198</v>
      </c>
      <c r="Q1796" s="17" t="n">
        <f aca="false">AVERAGE(B1777:B1796)-2*STDEV(B1777:B1796)</f>
        <v>14583.6999337802</v>
      </c>
      <c r="R1796" s="19" t="n">
        <f aca="false">B1796/B1776-1</f>
        <v>-0.0419280502679063</v>
      </c>
      <c r="S1796" s="17" t="n">
        <f aca="false">STDEV(C1777:C1796)*SQRT(252)*100</f>
        <v>15.8424014488705</v>
      </c>
      <c r="T1796" s="19" t="n">
        <f aca="false">B1775/B1545-1</f>
        <v>0.19839975672082</v>
      </c>
      <c r="U1796" s="19" t="n">
        <f aca="false">B1796/MAX(B1545:B1796)-1</f>
        <v>-0.0588579887446462</v>
      </c>
      <c r="V1796" s="17" t="n">
        <f aca="false">(B1796-AVERAGE(B1777:B1796))/STDEV(B1777:B1796)</f>
        <v>-0.986007071555268</v>
      </c>
    </row>
    <row r="1797" customFormat="false" ht="15" hidden="false" customHeight="false" outlineLevel="0" collapsed="false">
      <c r="A1797" s="17" t="s">
        <v>2361</v>
      </c>
      <c r="B1797" s="17" t="n">
        <v>15148.06</v>
      </c>
      <c r="C1797" s="19" t="n">
        <f aca="false">B1797/B1796-1</f>
        <v>0.0160373359375838</v>
      </c>
      <c r="D1797" s="17" t="n">
        <f aca="false">AVERAGE(B1748:B1797)</f>
        <v>15216.9876</v>
      </c>
      <c r="E1797" s="17" t="n">
        <f aca="false">AVERAGE(B1598:B1797)</f>
        <v>13100.2982</v>
      </c>
      <c r="F1797" s="17" t="n">
        <f aca="false">B1797*2/13+F1796*11/13</f>
        <v>15034.8996784413</v>
      </c>
      <c r="G1797" s="17" t="n">
        <f aca="false">B1797*2/27+G1796*25/27</f>
        <v>15130.2953330923</v>
      </c>
      <c r="H1797" s="17" t="n">
        <f aca="false">F1797-G1797</f>
        <v>-95.3956546510162</v>
      </c>
      <c r="I1797" s="17" t="n">
        <f aca="false">H1797*2/10+I1796*8/10</f>
        <v>-58.8963027775164</v>
      </c>
      <c r="J1797" s="17" t="n">
        <f aca="false">H1797-I1797</f>
        <v>-36.4993518734998</v>
      </c>
      <c r="K1797" s="17" t="n">
        <f aca="false">MAX(B1797-B1796,0)</f>
        <v>239.1</v>
      </c>
      <c r="L1797" s="17" t="n">
        <f aca="false">MAX(B1796-B1797,0)</f>
        <v>0</v>
      </c>
      <c r="M1797" s="17" t="n">
        <f aca="false">(M1796*13+K1797)/14</f>
        <v>64.9141288177959</v>
      </c>
      <c r="N1797" s="17" t="n">
        <f aca="false">(N1796*13+L1797)/14</f>
        <v>63.5590995888523</v>
      </c>
      <c r="O1797" s="17" t="n">
        <f aca="false">IF(N1797=0,100,100-100/(1+M1797/N1797))</f>
        <v>50.5273585967088</v>
      </c>
      <c r="P1797" s="17" t="n">
        <f aca="false">AVERAGE(B1778:B1797)+2*STDEV(B1778:B1797)</f>
        <v>15836.7504768961</v>
      </c>
      <c r="Q1797" s="17" t="n">
        <f aca="false">AVERAGE(B1778:B1797)-2*STDEV(B1778:B1797)</f>
        <v>14578.6155231039</v>
      </c>
      <c r="R1797" s="19" t="n">
        <f aca="false">B1797/B1777-1</f>
        <v>-0.0226591463076302</v>
      </c>
      <c r="S1797" s="17" t="n">
        <f aca="false">STDEV(C1778:C1797)*SQRT(252)*100</f>
        <v>17.0714145589127</v>
      </c>
      <c r="T1797" s="19" t="n">
        <f aca="false">B1776/B1546-1</f>
        <v>0.208016898272678</v>
      </c>
      <c r="U1797" s="19" t="n">
        <f aca="false">B1797/MAX(B1546:B1797)-1</f>
        <v>-0.0437645781451708</v>
      </c>
      <c r="V1797" s="17" t="n">
        <f aca="false">(B1797-AVERAGE(B1778:B1797))/STDEV(B1778:B1797)</f>
        <v>-0.189559950847205</v>
      </c>
    </row>
    <row r="1798" customFormat="false" ht="15" hidden="false" customHeight="false" outlineLevel="0" collapsed="false">
      <c r="A1798" s="17" t="s">
        <v>2362</v>
      </c>
      <c r="B1798" s="17" t="n">
        <v>14816.44</v>
      </c>
      <c r="C1798" s="19" t="n">
        <f aca="false">B1798/B1797-1</f>
        <v>-0.0218919122316652</v>
      </c>
      <c r="D1798" s="17" t="n">
        <f aca="false">AVERAGE(B1749:B1798)</f>
        <v>15215.2994</v>
      </c>
      <c r="E1798" s="17" t="n">
        <f aca="false">AVERAGE(B1599:B1798)</f>
        <v>13120.09525</v>
      </c>
      <c r="F1798" s="17" t="n">
        <f aca="false">B1798*2/13+F1797*11/13</f>
        <v>15001.2904971426</v>
      </c>
      <c r="G1798" s="17" t="n">
        <f aca="false">B1798*2/27+G1797*25/27</f>
        <v>15107.0467899003</v>
      </c>
      <c r="H1798" s="17" t="n">
        <f aca="false">F1798-G1798</f>
        <v>-105.756292757653</v>
      </c>
      <c r="I1798" s="17" t="n">
        <f aca="false">H1798*2/10+I1797*8/10</f>
        <v>-68.2683007735437</v>
      </c>
      <c r="J1798" s="17" t="n">
        <f aca="false">H1798-I1798</f>
        <v>-37.4879919841091</v>
      </c>
      <c r="K1798" s="17" t="n">
        <f aca="false">MAX(B1798-B1797,0)</f>
        <v>0</v>
      </c>
      <c r="L1798" s="17" t="n">
        <f aca="false">MAX(B1797-B1798,0)</f>
        <v>331.619999999999</v>
      </c>
      <c r="M1798" s="17" t="n">
        <f aca="false">(M1797*13+K1798)/14</f>
        <v>60.2774053308105</v>
      </c>
      <c r="N1798" s="17" t="n">
        <f aca="false">(N1797*13+L1798)/14</f>
        <v>82.706306761077</v>
      </c>
      <c r="O1798" s="17" t="n">
        <f aca="false">IF(N1798=0,100,100-100/(1+M1798/N1798))</f>
        <v>42.1568334245467</v>
      </c>
      <c r="P1798" s="17" t="n">
        <f aca="false">AVERAGE(B1779:B1798)+2*STDEV(B1779:B1798)</f>
        <v>15815.2529213334</v>
      </c>
      <c r="Q1798" s="17" t="n">
        <f aca="false">AVERAGE(B1779:B1798)-2*STDEV(B1779:B1798)</f>
        <v>14535.2640786666</v>
      </c>
      <c r="R1798" s="19" t="n">
        <f aca="false">B1798/B1778-1</f>
        <v>-0.0419329411772313</v>
      </c>
      <c r="S1798" s="17" t="n">
        <f aca="false">STDEV(C1779:C1798)*SQRT(252)*100</f>
        <v>18.6034300331737</v>
      </c>
      <c r="T1798" s="19" t="n">
        <f aca="false">B1777/B1547-1</f>
        <v>0.199831860695193</v>
      </c>
      <c r="U1798" s="19" t="n">
        <f aca="false">B1798/MAX(B1547:B1798)-1</f>
        <v>-0.064698400073226</v>
      </c>
      <c r="V1798" s="17" t="n">
        <f aca="false">(B1798-AVERAGE(B1779:B1798))/STDEV(B1779:B1798)</f>
        <v>-1.12131758665148</v>
      </c>
    </row>
    <row r="1799" customFormat="false" ht="15" hidden="false" customHeight="false" outlineLevel="0" collapsed="false">
      <c r="A1799" s="17" t="s">
        <v>2363</v>
      </c>
      <c r="B1799" s="17" t="n">
        <v>14941.83</v>
      </c>
      <c r="C1799" s="19" t="n">
        <f aca="false">B1799/B1798-1</f>
        <v>0.00846289662024069</v>
      </c>
      <c r="D1799" s="17" t="n">
        <f aca="false">AVERAGE(B1750:B1799)</f>
        <v>15214.0222</v>
      </c>
      <c r="E1799" s="17" t="n">
        <f aca="false">AVERAGE(B1600:B1799)</f>
        <v>13139.9194</v>
      </c>
      <c r="F1799" s="17" t="n">
        <f aca="false">B1799*2/13+F1798*11/13</f>
        <v>14992.1427283514</v>
      </c>
      <c r="G1799" s="17" t="n">
        <f aca="false">B1799*2/27+G1798*25/27</f>
        <v>15094.8085091669</v>
      </c>
      <c r="H1799" s="17" t="n">
        <f aca="false">F1799-G1799</f>
        <v>-102.665780815469</v>
      </c>
      <c r="I1799" s="17" t="n">
        <f aca="false">H1799*2/10+I1798*8/10</f>
        <v>-75.1477967819287</v>
      </c>
      <c r="J1799" s="17" t="n">
        <f aca="false">H1799-I1799</f>
        <v>-27.51798403354</v>
      </c>
      <c r="K1799" s="17" t="n">
        <f aca="false">MAX(B1799-B1798,0)</f>
        <v>125.389999999999</v>
      </c>
      <c r="L1799" s="17" t="n">
        <f aca="false">MAX(B1798-B1799,0)</f>
        <v>0</v>
      </c>
      <c r="M1799" s="17" t="n">
        <f aca="false">(M1798*13+K1799)/14</f>
        <v>64.9283049500382</v>
      </c>
      <c r="N1799" s="17" t="n">
        <f aca="false">(N1798*13+L1799)/14</f>
        <v>76.7987134210001</v>
      </c>
      <c r="O1799" s="17" t="n">
        <f aca="false">IF(N1799=0,100,100-100/(1+M1799/N1799))</f>
        <v>45.8122281102798</v>
      </c>
      <c r="P1799" s="17" t="n">
        <f aca="false">AVERAGE(B1780:B1799)+2*STDEV(B1780:B1799)</f>
        <v>15721.6640375538</v>
      </c>
      <c r="Q1799" s="17" t="n">
        <f aca="false">AVERAGE(B1780:B1799)-2*STDEV(B1780:B1799)</f>
        <v>14547.9429624462</v>
      </c>
      <c r="R1799" s="19" t="n">
        <f aca="false">B1799/B1779-1</f>
        <v>-0.0513683953899865</v>
      </c>
      <c r="S1799" s="17" t="n">
        <f aca="false">STDEV(C1780:C1799)*SQRT(252)*100</f>
        <v>17.4367232281391</v>
      </c>
      <c r="T1799" s="19" t="n">
        <f aca="false">B1778/B1548-1</f>
        <v>0.17661474271089</v>
      </c>
      <c r="U1799" s="19" t="n">
        <f aca="false">B1799/MAX(B1548:B1799)-1</f>
        <v>-0.0567830393243001</v>
      </c>
      <c r="V1799" s="17" t="n">
        <f aca="false">(B1799-AVERAGE(B1780:B1799))/STDEV(B1780:B1799)</f>
        <v>-0.657646877414451</v>
      </c>
    </row>
    <row r="1800" customFormat="false" ht="15" hidden="false" customHeight="false" outlineLevel="0" collapsed="false">
      <c r="A1800" s="17" t="s">
        <v>2364</v>
      </c>
      <c r="B1800" s="17" t="n">
        <v>15052.46</v>
      </c>
      <c r="C1800" s="19" t="n">
        <f aca="false">B1800/B1799-1</f>
        <v>0.00740404622459234</v>
      </c>
      <c r="D1800" s="17" t="n">
        <f aca="false">AVERAGE(B1751:B1800)</f>
        <v>15211.3618</v>
      </c>
      <c r="E1800" s="17" t="n">
        <f aca="false">AVERAGE(B1601:B1800)</f>
        <v>13159.8842</v>
      </c>
      <c r="F1800" s="17" t="n">
        <f aca="false">B1800*2/13+F1799*11/13</f>
        <v>15001.4223086051</v>
      </c>
      <c r="G1800" s="17" t="n">
        <f aca="false">B1800*2/27+G1799*25/27</f>
        <v>15091.671582562</v>
      </c>
      <c r="H1800" s="17" t="n">
        <f aca="false">F1800-G1800</f>
        <v>-90.2492739568879</v>
      </c>
      <c r="I1800" s="17" t="n">
        <f aca="false">H1800*2/10+I1799*8/10</f>
        <v>-78.1680922169205</v>
      </c>
      <c r="J1800" s="17" t="n">
        <f aca="false">H1800-I1800</f>
        <v>-12.0811817399674</v>
      </c>
      <c r="K1800" s="17" t="n">
        <f aca="false">MAX(B1800-B1799,0)</f>
        <v>110.629999999999</v>
      </c>
      <c r="L1800" s="17" t="n">
        <f aca="false">MAX(B1799-B1800,0)</f>
        <v>0</v>
      </c>
      <c r="M1800" s="17" t="n">
        <f aca="false">(M1799*13+K1800)/14</f>
        <v>68.1927117393212</v>
      </c>
      <c r="N1800" s="17" t="n">
        <f aca="false">(N1799*13+L1800)/14</f>
        <v>71.3130910337858</v>
      </c>
      <c r="O1800" s="17" t="n">
        <f aca="false">IF(N1800=0,100,100-100/(1+M1800/N1800))</f>
        <v>48.8816310029986</v>
      </c>
      <c r="P1800" s="17" t="n">
        <f aca="false">AVERAGE(B1781:B1800)+2*STDEV(B1781:B1800)</f>
        <v>15608.6020431198</v>
      </c>
      <c r="Q1800" s="17" t="n">
        <f aca="false">AVERAGE(B1781:B1800)-2*STDEV(B1781:B1800)</f>
        <v>14590.5509568802</v>
      </c>
      <c r="R1800" s="19" t="n">
        <f aca="false">B1800/B1780-1</f>
        <v>-0.0447128260455671</v>
      </c>
      <c r="S1800" s="17" t="n">
        <f aca="false">STDEV(C1781:C1800)*SQRT(252)*100</f>
        <v>17.7696218128851</v>
      </c>
      <c r="T1800" s="19" t="n">
        <f aca="false">B1779/B1549-1</f>
        <v>0.249561092789705</v>
      </c>
      <c r="U1800" s="19" t="n">
        <f aca="false">B1800/MAX(B1549:B1800)-1</f>
        <v>-0.0497994173476377</v>
      </c>
      <c r="V1800" s="17" t="n">
        <f aca="false">(B1800-AVERAGE(B1781:B1800))/STDEV(B1781:B1800)</f>
        <v>-0.185124305201752</v>
      </c>
    </row>
    <row r="1801" customFormat="false" ht="15" hidden="false" customHeight="false" outlineLevel="0" collapsed="false">
      <c r="A1801" s="17" t="s">
        <v>2365</v>
      </c>
      <c r="B1801" s="17" t="n">
        <v>15376.55</v>
      </c>
      <c r="C1801" s="19" t="n">
        <f aca="false">B1801/B1800-1</f>
        <v>0.0215306999653213</v>
      </c>
      <c r="D1801" s="17" t="n">
        <f aca="false">AVERAGE(B1752:B1801)</f>
        <v>15217.2144</v>
      </c>
      <c r="E1801" s="17" t="n">
        <f aca="false">AVERAGE(B1602:B1801)</f>
        <v>13182.7792</v>
      </c>
      <c r="F1801" s="17" t="n">
        <f aca="false">B1801*2/13+F1800*11/13</f>
        <v>15059.1342611274</v>
      </c>
      <c r="G1801" s="17" t="n">
        <f aca="false">B1801*2/27+G1800*25/27</f>
        <v>15112.7736875574</v>
      </c>
      <c r="H1801" s="17" t="n">
        <f aca="false">F1801-G1801</f>
        <v>-53.6394264299997</v>
      </c>
      <c r="I1801" s="17" t="n">
        <f aca="false">H1801*2/10+I1800*8/10</f>
        <v>-73.2623590595364</v>
      </c>
      <c r="J1801" s="17" t="n">
        <f aca="false">H1801-I1801</f>
        <v>19.6229326295367</v>
      </c>
      <c r="K1801" s="17" t="n">
        <f aca="false">MAX(B1801-B1800,0)</f>
        <v>324.09</v>
      </c>
      <c r="L1801" s="17" t="n">
        <f aca="false">MAX(B1800-B1801,0)</f>
        <v>0</v>
      </c>
      <c r="M1801" s="17" t="n">
        <f aca="false">(M1800*13+K1801)/14</f>
        <v>86.4710894722268</v>
      </c>
      <c r="N1801" s="17" t="n">
        <f aca="false">(N1800*13+L1801)/14</f>
        <v>66.2192988170868</v>
      </c>
      <c r="O1801" s="17" t="n">
        <f aca="false">IF(N1801=0,100,100-100/(1+M1801/N1801))</f>
        <v>56.6316520908858</v>
      </c>
      <c r="P1801" s="17" t="n">
        <f aca="false">AVERAGE(B1782:B1801)+2*STDEV(B1782:B1801)</f>
        <v>15522.4036910853</v>
      </c>
      <c r="Q1801" s="17" t="n">
        <f aca="false">AVERAGE(B1782:B1801)-2*STDEV(B1782:B1801)</f>
        <v>14642.6033089147</v>
      </c>
      <c r="R1801" s="19" t="n">
        <f aca="false">B1801/B1781-1</f>
        <v>-0.0217241241098588</v>
      </c>
      <c r="S1801" s="17" t="n">
        <f aca="false">STDEV(C1782:C1801)*SQRT(252)*100</f>
        <v>19.6666608308741</v>
      </c>
      <c r="T1801" s="19" t="n">
        <f aca="false">B1780/B1550-1</f>
        <v>0.262143232470812</v>
      </c>
      <c r="U1801" s="19" t="n">
        <f aca="false">B1801/MAX(B1550:B1801)-1</f>
        <v>-0.0293409336956763</v>
      </c>
      <c r="V1801" s="17" t="n">
        <f aca="false">(B1801-AVERAGE(B1782:B1801))/STDEV(B1782:B1801)</f>
        <v>1.3368782553814</v>
      </c>
    </row>
    <row r="1802" customFormat="false" ht="15" hidden="false" customHeight="false" outlineLevel="0" collapsed="false">
      <c r="A1802" s="17" t="s">
        <v>2366</v>
      </c>
      <c r="B1802" s="17" t="n">
        <v>15462.43</v>
      </c>
      <c r="C1802" s="19" t="n">
        <f aca="false">B1802/B1801-1</f>
        <v>0.00558512800335587</v>
      </c>
      <c r="D1802" s="17" t="n">
        <f aca="false">AVERAGE(B1753:B1802)</f>
        <v>15225.06</v>
      </c>
      <c r="E1802" s="17" t="n">
        <f aca="false">AVERAGE(B1603:B1802)</f>
        <v>13202.06155</v>
      </c>
      <c r="F1802" s="17" t="n">
        <f aca="false">B1802*2/13+F1801*11/13</f>
        <v>15121.1797594155</v>
      </c>
      <c r="G1802" s="17" t="n">
        <f aca="false">B1802*2/27+G1801*25/27</f>
        <v>15138.6741551457</v>
      </c>
      <c r="H1802" s="17" t="n">
        <f aca="false">F1802-G1802</f>
        <v>-17.4943957302476</v>
      </c>
      <c r="I1802" s="17" t="n">
        <f aca="false">H1802*2/10+I1801*8/10</f>
        <v>-62.1087663936786</v>
      </c>
      <c r="J1802" s="17" t="n">
        <f aca="false">H1802-I1802</f>
        <v>44.6143706634311</v>
      </c>
      <c r="K1802" s="17" t="n">
        <f aca="false">MAX(B1802-B1801,0)</f>
        <v>85.880000000001</v>
      </c>
      <c r="L1802" s="17" t="n">
        <f aca="false">MAX(B1801-B1802,0)</f>
        <v>0</v>
      </c>
      <c r="M1802" s="17" t="n">
        <f aca="false">(M1801*13+K1802)/14</f>
        <v>86.4288687956392</v>
      </c>
      <c r="N1802" s="17" t="n">
        <f aca="false">(N1801*13+L1802)/14</f>
        <v>61.4893489015806</v>
      </c>
      <c r="O1802" s="17" t="n">
        <f aca="false">IF(N1802=0,100,100-100/(1+M1802/N1802))</f>
        <v>58.4301718484428</v>
      </c>
      <c r="P1802" s="17" t="n">
        <f aca="false">AVERAGE(B1783:B1802)+2*STDEV(B1783:B1802)</f>
        <v>15541.3140876237</v>
      </c>
      <c r="Q1802" s="17" t="n">
        <f aca="false">AVERAGE(B1783:B1802)-2*STDEV(B1783:B1802)</f>
        <v>14632.8619123763</v>
      </c>
      <c r="R1802" s="19" t="n">
        <f aca="false">B1802/B1782-1</f>
        <v>0.00596523004097405</v>
      </c>
      <c r="S1802" s="17" t="n">
        <f aca="false">STDEV(C1783:C1802)*SQRT(252)*100</f>
        <v>18.1277493624683</v>
      </c>
      <c r="T1802" s="19" t="n">
        <f aca="false">B1781/B1551-1</f>
        <v>0.273466097369295</v>
      </c>
      <c r="U1802" s="19" t="n">
        <f aca="false">B1802/MAX(B1551:B1802)-1</f>
        <v>-0.0239196785627488</v>
      </c>
      <c r="V1802" s="17" t="n">
        <f aca="false">(B1802-AVERAGE(B1783:B1802))/STDEV(B1783:B1802)</f>
        <v>1.65266597505947</v>
      </c>
    </row>
    <row r="1803" customFormat="false" ht="15" hidden="false" customHeight="false" outlineLevel="0" collapsed="false">
      <c r="A1803" s="17" t="s">
        <v>2367</v>
      </c>
      <c r="B1803" s="17" t="n">
        <v>15501.07</v>
      </c>
      <c r="C1803" s="19" t="n">
        <f aca="false">B1803/B1802-1</f>
        <v>0.0024989603833292</v>
      </c>
      <c r="D1803" s="17" t="n">
        <f aca="false">AVERAGE(B1754:B1803)</f>
        <v>15237.7324</v>
      </c>
      <c r="E1803" s="17" t="n">
        <f aca="false">AVERAGE(B1604:B1803)</f>
        <v>13220.48185</v>
      </c>
      <c r="F1803" s="17" t="n">
        <f aca="false">B1803*2/13+F1802*11/13</f>
        <v>15179.6244118131</v>
      </c>
      <c r="G1803" s="17" t="n">
        <f aca="false">B1803*2/27+G1802*25/27</f>
        <v>15165.5182918016</v>
      </c>
      <c r="H1803" s="17" t="n">
        <f aca="false">F1803-G1803</f>
        <v>14.1061200115</v>
      </c>
      <c r="I1803" s="17" t="n">
        <f aca="false">H1803*2/10+I1802*8/10</f>
        <v>-46.8657891126429</v>
      </c>
      <c r="J1803" s="17" t="n">
        <f aca="false">H1803-I1803</f>
        <v>60.9719091241429</v>
      </c>
      <c r="K1803" s="17" t="n">
        <f aca="false">MAX(B1803-B1802,0)</f>
        <v>38.6399999999994</v>
      </c>
      <c r="L1803" s="17" t="n">
        <f aca="false">MAX(B1802-B1803,0)</f>
        <v>0</v>
      </c>
      <c r="M1803" s="17" t="n">
        <f aca="false">(M1802*13+K1803)/14</f>
        <v>83.0153781673792</v>
      </c>
      <c r="N1803" s="17" t="n">
        <f aca="false">(N1802*13+L1803)/14</f>
        <v>57.0972525514677</v>
      </c>
      <c r="O1803" s="17" t="n">
        <f aca="false">IF(N1803=0,100,100-100/(1+M1803/N1803))</f>
        <v>59.2490325400853</v>
      </c>
      <c r="P1803" s="17" t="n">
        <f aca="false">AVERAGE(B1784:B1803)+2*STDEV(B1784:B1803)</f>
        <v>15571.1465703009</v>
      </c>
      <c r="Q1803" s="17" t="n">
        <f aca="false">AVERAGE(B1784:B1803)-2*STDEV(B1784:B1803)</f>
        <v>14617.7824296991</v>
      </c>
      <c r="R1803" s="19" t="n">
        <f aca="false">B1803/B1783-1</f>
        <v>0.00960885893416097</v>
      </c>
      <c r="S1803" s="17" t="n">
        <f aca="false">STDEV(C1784:C1803)*SQRT(252)*100</f>
        <v>18.1341071635006</v>
      </c>
      <c r="T1803" s="19" t="n">
        <f aca="false">B1782/B1552-1</f>
        <v>0.252501827326041</v>
      </c>
      <c r="U1803" s="19" t="n">
        <f aca="false">B1803/MAX(B1552:B1803)-1</f>
        <v>-0.0214804925085299</v>
      </c>
      <c r="V1803" s="17" t="n">
        <f aca="false">(B1803-AVERAGE(B1784:B1803))/STDEV(B1784:B1803)</f>
        <v>1.70598193359095</v>
      </c>
    </row>
    <row r="1804" customFormat="false" ht="15" hidden="false" customHeight="false" outlineLevel="0" collapsed="false">
      <c r="A1804" s="17" t="s">
        <v>2368</v>
      </c>
      <c r="B1804" s="17" t="n">
        <v>15490.86</v>
      </c>
      <c r="C1804" s="19" t="n">
        <f aca="false">B1804/B1803-1</f>
        <v>-0.000658664208341708</v>
      </c>
      <c r="D1804" s="17" t="n">
        <f aca="false">AVERAGE(B1755:B1804)</f>
        <v>15246.7032</v>
      </c>
      <c r="E1804" s="17" t="n">
        <f aca="false">AVERAGE(B1605:B1804)</f>
        <v>13239.43145</v>
      </c>
      <c r="F1804" s="17" t="n">
        <f aca="false">B1804*2/13+F1803*11/13</f>
        <v>15227.5068099957</v>
      </c>
      <c r="G1804" s="17" t="n">
        <f aca="false">B1804*2/27+G1803*25/27</f>
        <v>15189.6176775941</v>
      </c>
      <c r="H1804" s="17" t="n">
        <f aca="false">F1804-G1804</f>
        <v>37.8891324016277</v>
      </c>
      <c r="I1804" s="17" t="n">
        <f aca="false">H1804*2/10+I1803*8/10</f>
        <v>-29.9148048097888</v>
      </c>
      <c r="J1804" s="17" t="n">
        <f aca="false">H1804-I1804</f>
        <v>67.8039372114164</v>
      </c>
      <c r="K1804" s="17" t="n">
        <f aca="false">MAX(B1804-B1803,0)</f>
        <v>0</v>
      </c>
      <c r="L1804" s="17" t="n">
        <f aca="false">MAX(B1803-B1804,0)</f>
        <v>10.2099999999991</v>
      </c>
      <c r="M1804" s="17" t="n">
        <f aca="false">(M1803*13+K1804)/14</f>
        <v>77.0857082982807</v>
      </c>
      <c r="N1804" s="17" t="n">
        <f aca="false">(N1803*13+L1804)/14</f>
        <v>53.7481630835057</v>
      </c>
      <c r="O1804" s="17" t="n">
        <f aca="false">IF(N1804=0,100,100-100/(1+M1804/N1804))</f>
        <v>58.9187704102532</v>
      </c>
      <c r="P1804" s="17" t="n">
        <f aca="false">AVERAGE(B1785:B1804)+2*STDEV(B1785:B1804)</f>
        <v>15608.2120013743</v>
      </c>
      <c r="Q1804" s="17" t="n">
        <f aca="false">AVERAGE(B1785:B1804)-2*STDEV(B1785:B1804)</f>
        <v>14602.3109986257</v>
      </c>
      <c r="R1804" s="19" t="n">
        <f aca="false">B1804/B1784-1</f>
        <v>0.0141368989166555</v>
      </c>
      <c r="S1804" s="17" t="n">
        <f aca="false">STDEV(C1785:C1804)*SQRT(252)*100</f>
        <v>18.0181641922268</v>
      </c>
      <c r="T1804" s="19" t="n">
        <f aca="false">B1783/B1553-1</f>
        <v>0.250836278434689</v>
      </c>
      <c r="U1804" s="19" t="n">
        <f aca="false">B1804/MAX(B1553:B1804)-1</f>
        <v>-0.0221250082852787</v>
      </c>
      <c r="V1804" s="17" t="n">
        <f aca="false">(B1804-AVERAGE(B1785:B1804))/STDEV(B1785:B1804)</f>
        <v>1.53334572267603</v>
      </c>
    </row>
    <row r="1805" customFormat="false" ht="15" hidden="false" customHeight="false" outlineLevel="0" collapsed="false">
      <c r="A1805" s="17" t="s">
        <v>2369</v>
      </c>
      <c r="B1805" s="17" t="n">
        <v>15508.24</v>
      </c>
      <c r="C1805" s="19" t="n">
        <f aca="false">B1805/B1804-1</f>
        <v>0.00112195191228892</v>
      </c>
      <c r="D1805" s="17" t="n">
        <f aca="false">AVERAGE(B1756:B1805)</f>
        <v>15259.0384</v>
      </c>
      <c r="E1805" s="17" t="n">
        <f aca="false">AVERAGE(B1606:B1805)</f>
        <v>13257.6169</v>
      </c>
      <c r="F1805" s="17" t="n">
        <f aca="false">B1805*2/13+F1804*11/13</f>
        <v>15270.6965315348</v>
      </c>
      <c r="G1805" s="17" t="n">
        <f aca="false">B1805*2/27+G1804*25/27</f>
        <v>15213.2193311056</v>
      </c>
      <c r="H1805" s="17" t="n">
        <f aca="false">F1805-G1805</f>
        <v>57.4772004292008</v>
      </c>
      <c r="I1805" s="17" t="n">
        <f aca="false">H1805*2/10+I1804*8/10</f>
        <v>-12.4364037619909</v>
      </c>
      <c r="J1805" s="17" t="n">
        <f aca="false">H1805-I1805</f>
        <v>69.9136041911917</v>
      </c>
      <c r="K1805" s="17" t="n">
        <f aca="false">MAX(B1805-B1804,0)</f>
        <v>17.3799999999992</v>
      </c>
      <c r="L1805" s="17" t="n">
        <f aca="false">MAX(B1804-B1805,0)</f>
        <v>0</v>
      </c>
      <c r="M1805" s="17" t="n">
        <f aca="false">(M1804*13+K1805)/14</f>
        <v>72.8210148484035</v>
      </c>
      <c r="N1805" s="17" t="n">
        <f aca="false">(N1804*13+L1805)/14</f>
        <v>49.909008577541</v>
      </c>
      <c r="O1805" s="17" t="n">
        <f aca="false">IF(N1805=0,100,100-100/(1+M1805/N1805))</f>
        <v>59.3343118624465</v>
      </c>
      <c r="P1805" s="17" t="n">
        <f aca="false">AVERAGE(B1786:B1805)+2*STDEV(B1786:B1805)</f>
        <v>15627.7412341152</v>
      </c>
      <c r="Q1805" s="17" t="n">
        <f aca="false">AVERAGE(B1786:B1805)-2*STDEV(B1786:B1805)</f>
        <v>14592.8207658848</v>
      </c>
      <c r="R1805" s="19" t="n">
        <f aca="false">B1805/B1785-1</f>
        <v>0.00651550995109629</v>
      </c>
      <c r="S1805" s="17" t="n">
        <f aca="false">STDEV(C1786:C1805)*SQRT(252)*100</f>
        <v>17.7744291611664</v>
      </c>
      <c r="T1805" s="19" t="n">
        <f aca="false">B1784/B1554-1</f>
        <v>0.262552858054427</v>
      </c>
      <c r="U1805" s="19" t="n">
        <f aca="false">B1805/MAX(B1554:B1805)-1</f>
        <v>-0.021027879568345</v>
      </c>
      <c r="V1805" s="17" t="n">
        <f aca="false">(B1805-AVERAGE(B1786:B1805))/STDEV(B1786:B1805)</f>
        <v>1.53812399007043</v>
      </c>
    </row>
    <row r="1806" customFormat="false" ht="15" hidden="false" customHeight="false" outlineLevel="0" collapsed="false">
      <c r="A1806" s="17" t="s">
        <v>2370</v>
      </c>
      <c r="B1806" s="17" t="n">
        <v>15371.44</v>
      </c>
      <c r="C1806" s="19" t="n">
        <f aca="false">B1806/B1805-1</f>
        <v>-0.00882111703197774</v>
      </c>
      <c r="D1806" s="17" t="n">
        <f aca="false">AVERAGE(B1757:B1806)</f>
        <v>15272.6868</v>
      </c>
      <c r="E1806" s="17" t="n">
        <f aca="false">AVERAGE(B1607:B1806)</f>
        <v>13275.97865</v>
      </c>
      <c r="F1806" s="17" t="n">
        <f aca="false">B1806*2/13+F1805*11/13</f>
        <v>15286.1955266833</v>
      </c>
      <c r="G1806" s="17" t="n">
        <f aca="false">B1806*2/27+G1805*25/27</f>
        <v>15224.9393806533</v>
      </c>
      <c r="H1806" s="17" t="n">
        <f aca="false">F1806-G1806</f>
        <v>61.2561460299585</v>
      </c>
      <c r="I1806" s="17" t="n">
        <f aca="false">H1806*2/10+I1805*8/10</f>
        <v>2.30210619639901</v>
      </c>
      <c r="J1806" s="17" t="n">
        <f aca="false">H1806-I1806</f>
        <v>58.9540398335595</v>
      </c>
      <c r="K1806" s="17" t="n">
        <f aca="false">MAX(B1806-B1805,0)</f>
        <v>0</v>
      </c>
      <c r="L1806" s="17" t="n">
        <f aca="false">MAX(B1805-B1806,0)</f>
        <v>136.799999999999</v>
      </c>
      <c r="M1806" s="17" t="n">
        <f aca="false">(M1805*13+K1806)/14</f>
        <v>67.6195137878032</v>
      </c>
      <c r="N1806" s="17" t="n">
        <f aca="false">(N1805*13+L1806)/14</f>
        <v>56.1155079648594</v>
      </c>
      <c r="O1806" s="17" t="n">
        <f aca="false">IF(N1806=0,100,100-100/(1+M1806/N1806))</f>
        <v>54.6486458158707</v>
      </c>
      <c r="P1806" s="17" t="n">
        <f aca="false">AVERAGE(B1787:B1806)+2*STDEV(B1787:B1806)</f>
        <v>15640.9802101839</v>
      </c>
      <c r="Q1806" s="17" t="n">
        <f aca="false">AVERAGE(B1787:B1806)-2*STDEV(B1787:B1806)</f>
        <v>14589.4207898161</v>
      </c>
      <c r="R1806" s="19" t="n">
        <f aca="false">B1806/B1786-1</f>
        <v>0.00644206625395727</v>
      </c>
      <c r="S1806" s="17" t="n">
        <f aca="false">STDEV(C1787:C1806)*SQRT(252)*100</f>
        <v>17.7793763172833</v>
      </c>
      <c r="T1806" s="19" t="n">
        <f aca="false">B1785/B1555-1</f>
        <v>0.282778481281392</v>
      </c>
      <c r="U1806" s="19" t="n">
        <f aca="false">B1806/MAX(B1555:B1806)-1</f>
        <v>-0.029663507213716</v>
      </c>
      <c r="V1806" s="17" t="n">
        <f aca="false">(B1806-AVERAGE(B1787:B1806))/STDEV(B1787:B1806)</f>
        <v>0.974702884256914</v>
      </c>
    </row>
    <row r="1807" customFormat="false" ht="15" hidden="false" customHeight="false" outlineLevel="0" collapsed="false">
      <c r="A1807" s="17" t="s">
        <v>2371</v>
      </c>
      <c r="B1807" s="17" t="n">
        <v>15258.52</v>
      </c>
      <c r="C1807" s="19" t="n">
        <f aca="false">B1807/B1806-1</f>
        <v>-0.0073460911924973</v>
      </c>
      <c r="D1807" s="17" t="n">
        <f aca="false">AVERAGE(B1758:B1807)</f>
        <v>15278.939</v>
      </c>
      <c r="E1807" s="17" t="n">
        <f aca="false">AVERAGE(B1608:B1807)</f>
        <v>13293.88695</v>
      </c>
      <c r="F1807" s="17" t="n">
        <f aca="false">B1807*2/13+F1806*11/13</f>
        <v>15281.9377533474</v>
      </c>
      <c r="G1807" s="17" t="n">
        <f aca="false">B1807*2/27+G1806*25/27</f>
        <v>15227.4268339383</v>
      </c>
      <c r="H1807" s="17" t="n">
        <f aca="false">F1807-G1807</f>
        <v>54.5109194091274</v>
      </c>
      <c r="I1807" s="17" t="n">
        <f aca="false">H1807*2/10+I1806*8/10</f>
        <v>12.7438688389447</v>
      </c>
      <c r="J1807" s="17" t="n">
        <f aca="false">H1807-I1807</f>
        <v>41.7670505701827</v>
      </c>
      <c r="K1807" s="17" t="n">
        <f aca="false">MAX(B1807-B1806,0)</f>
        <v>0</v>
      </c>
      <c r="L1807" s="17" t="n">
        <f aca="false">MAX(B1806-B1807,0)</f>
        <v>112.92</v>
      </c>
      <c r="M1807" s="17" t="n">
        <f aca="false">(M1806*13+K1807)/14</f>
        <v>62.7895485172459</v>
      </c>
      <c r="N1807" s="17" t="n">
        <f aca="false">(N1806*13+L1807)/14</f>
        <v>60.1729716816552</v>
      </c>
      <c r="O1807" s="17" t="n">
        <f aca="false">IF(N1807=0,100,100-100/(1+M1807/N1807))</f>
        <v>51.0639733275465</v>
      </c>
      <c r="P1807" s="17" t="n">
        <f aca="false">AVERAGE(B1788:B1807)+2*STDEV(B1788:B1807)</f>
        <v>15652.6365674365</v>
      </c>
      <c r="Q1807" s="17" t="n">
        <f aca="false">AVERAGE(B1788:B1807)-2*STDEV(B1788:B1807)</f>
        <v>14593.4454325635</v>
      </c>
      <c r="R1807" s="19" t="n">
        <f aca="false">B1807/B1787-1</f>
        <v>0.0103835923216644</v>
      </c>
      <c r="S1807" s="17" t="n">
        <f aca="false">STDEV(C1788:C1807)*SQRT(252)*100</f>
        <v>17.4951727037363</v>
      </c>
      <c r="T1807" s="19" t="n">
        <f aca="false">B1786/B1556-1</f>
        <v>0.245824629121025</v>
      </c>
      <c r="U1807" s="19" t="n">
        <f aca="false">B1807/MAX(B1556:B1807)-1</f>
        <v>-0.036791687577132</v>
      </c>
      <c r="V1807" s="17" t="n">
        <f aca="false">(B1807-AVERAGE(B1788:B1807))/STDEV(B1788:B1807)</f>
        <v>0.511631925681613</v>
      </c>
    </row>
    <row r="1808" customFormat="false" ht="15" hidden="false" customHeight="false" outlineLevel="0" collapsed="false">
      <c r="A1808" s="17" t="s">
        <v>2372</v>
      </c>
      <c r="B1808" s="17" t="n">
        <v>15280.23</v>
      </c>
      <c r="C1808" s="19" t="n">
        <f aca="false">B1808/B1807-1</f>
        <v>0.00142281164883618</v>
      </c>
      <c r="D1808" s="17" t="n">
        <f aca="false">AVERAGE(B1759:B1808)</f>
        <v>15285.2522</v>
      </c>
      <c r="E1808" s="17" t="n">
        <f aca="false">AVERAGE(B1609:B1808)</f>
        <v>13311.903</v>
      </c>
      <c r="F1808" s="17" t="n">
        <f aca="false">B1808*2/13+F1807*11/13</f>
        <v>15281.6750220632</v>
      </c>
      <c r="G1808" s="17" t="n">
        <f aca="false">B1808*2/27+G1807*25/27</f>
        <v>15231.3381795725</v>
      </c>
      <c r="H1808" s="17" t="n">
        <f aca="false">F1808-G1808</f>
        <v>50.3368424907094</v>
      </c>
      <c r="I1808" s="17" t="n">
        <f aca="false">H1808*2/10+I1807*8/10</f>
        <v>20.2624635692976</v>
      </c>
      <c r="J1808" s="17" t="n">
        <f aca="false">H1808-I1808</f>
        <v>30.0743789214118</v>
      </c>
      <c r="K1808" s="17" t="n">
        <f aca="false">MAX(B1808-B1807,0)</f>
        <v>21.7099999999991</v>
      </c>
      <c r="L1808" s="17" t="n">
        <f aca="false">MAX(B1807-B1808,0)</f>
        <v>0</v>
      </c>
      <c r="M1808" s="17" t="n">
        <f aca="false">(M1807*13+K1808)/14</f>
        <v>59.8552950517282</v>
      </c>
      <c r="N1808" s="17" t="n">
        <f aca="false">(N1807*13+L1808)/14</f>
        <v>55.8749022758227</v>
      </c>
      <c r="O1808" s="17" t="n">
        <f aca="false">IF(N1808=0,100,100-100/(1+M1808/N1808))</f>
        <v>51.7196863341725</v>
      </c>
      <c r="P1808" s="17" t="n">
        <f aca="false">AVERAGE(B1789:B1808)+2*STDEV(B1789:B1808)</f>
        <v>15664.8622178644</v>
      </c>
      <c r="Q1808" s="17" t="n">
        <f aca="false">AVERAGE(B1789:B1808)-2*STDEV(B1789:B1808)</f>
        <v>14596.3587821356</v>
      </c>
      <c r="R1808" s="19" t="n">
        <f aca="false">B1808/B1788-1</f>
        <v>0.0100067156503736</v>
      </c>
      <c r="S1808" s="17" t="n">
        <f aca="false">STDEV(C1789:C1808)*SQRT(252)*100</f>
        <v>17.4922129469682</v>
      </c>
      <c r="T1808" s="19" t="n">
        <f aca="false">B1787/B1557-1</f>
        <v>0.225669760794209</v>
      </c>
      <c r="U1808" s="19" t="n">
        <f aca="false">B1808/MAX(B1557:B1808)-1</f>
        <v>-0.0354212235699609</v>
      </c>
      <c r="V1808" s="17" t="n">
        <f aca="false">(B1808-AVERAGE(B1789:B1808))/STDEV(B1789:B1808)</f>
        <v>0.560108634177483</v>
      </c>
    </row>
    <row r="1809" customFormat="false" ht="15" hidden="false" customHeight="false" outlineLevel="0" collapsed="false">
      <c r="A1809" s="17" t="s">
        <v>2373</v>
      </c>
      <c r="B1809" s="17" t="n">
        <v>15461.87</v>
      </c>
      <c r="C1809" s="19" t="n">
        <f aca="false">B1809/B1808-1</f>
        <v>0.0118872556237701</v>
      </c>
      <c r="D1809" s="17" t="n">
        <f aca="false">AVERAGE(B1760:B1809)</f>
        <v>15295.6906</v>
      </c>
      <c r="E1809" s="17" t="n">
        <f aca="false">AVERAGE(B1610:B1809)</f>
        <v>13331.4451</v>
      </c>
      <c r="F1809" s="17" t="n">
        <f aca="false">B1809*2/13+F1808*11/13</f>
        <v>15309.3973263612</v>
      </c>
      <c r="G1809" s="17" t="n">
        <f aca="false">B1809*2/27+G1808*25/27</f>
        <v>15248.4146107153</v>
      </c>
      <c r="H1809" s="17" t="n">
        <f aca="false">F1809-G1809</f>
        <v>60.9827156458996</v>
      </c>
      <c r="I1809" s="17" t="n">
        <f aca="false">H1809*2/10+I1808*8/10</f>
        <v>28.406513984618</v>
      </c>
      <c r="J1809" s="17" t="n">
        <f aca="false">H1809-I1809</f>
        <v>32.5762016612816</v>
      </c>
      <c r="K1809" s="17" t="n">
        <f aca="false">MAX(B1809-B1808,0)</f>
        <v>181.640000000001</v>
      </c>
      <c r="L1809" s="17" t="n">
        <f aca="false">MAX(B1808-B1809,0)</f>
        <v>0</v>
      </c>
      <c r="M1809" s="17" t="n">
        <f aca="false">(M1808*13+K1809)/14</f>
        <v>68.5542025480334</v>
      </c>
      <c r="N1809" s="17" t="n">
        <f aca="false">(N1808*13+L1809)/14</f>
        <v>51.8838378275496</v>
      </c>
      <c r="O1809" s="17" t="n">
        <f aca="false">IF(N1809=0,100,100-100/(1+M1809/N1809))</f>
        <v>56.9207223351101</v>
      </c>
      <c r="P1809" s="17" t="n">
        <f aca="false">AVERAGE(B1790:B1809)+2*STDEV(B1790:B1809)</f>
        <v>15703.963525653</v>
      </c>
      <c r="Q1809" s="17" t="n">
        <f aca="false">AVERAGE(B1790:B1809)-2*STDEV(B1790:B1809)</f>
        <v>14600.637474347</v>
      </c>
      <c r="R1809" s="19" t="n">
        <f aca="false">B1809/B1789-1</f>
        <v>0.0288659821254493</v>
      </c>
      <c r="S1809" s="17" t="n">
        <f aca="false">STDEV(C1790:C1809)*SQRT(252)*100</f>
        <v>17.7149622106127</v>
      </c>
      <c r="T1809" s="19" t="n">
        <f aca="false">B1788/B1558-1</f>
        <v>0.201818515461592</v>
      </c>
      <c r="U1809" s="19" t="n">
        <f aca="false">B1809/MAX(B1558:B1809)-1</f>
        <v>-0.0239550290852737</v>
      </c>
      <c r="V1809" s="17" t="n">
        <f aca="false">(B1809-AVERAGE(B1790:B1809))/STDEV(B1790:B1809)</f>
        <v>1.12231375170942</v>
      </c>
    </row>
    <row r="1810" customFormat="false" ht="15" hidden="false" customHeight="false" outlineLevel="0" collapsed="false">
      <c r="A1810" s="17" t="s">
        <v>2374</v>
      </c>
      <c r="B1810" s="17" t="n">
        <v>15289.74</v>
      </c>
      <c r="C1810" s="19" t="n">
        <f aca="false">B1810/B1809-1</f>
        <v>-0.0111325473568205</v>
      </c>
      <c r="D1810" s="17" t="n">
        <f aca="false">AVERAGE(B1761:B1810)</f>
        <v>15297.9012</v>
      </c>
      <c r="E1810" s="17" t="n">
        <f aca="false">AVERAGE(B1611:B1810)</f>
        <v>13349.2696</v>
      </c>
      <c r="F1810" s="17" t="n">
        <f aca="false">B1810*2/13+F1809*11/13</f>
        <v>15306.3731223056</v>
      </c>
      <c r="G1810" s="17" t="n">
        <f aca="false">B1810*2/27+G1809*25/27</f>
        <v>15251.4757506623</v>
      </c>
      <c r="H1810" s="17" t="n">
        <f aca="false">F1810-G1810</f>
        <v>54.8973716433175</v>
      </c>
      <c r="I1810" s="17" t="n">
        <f aca="false">H1810*2/10+I1809*8/10</f>
        <v>33.7046855163579</v>
      </c>
      <c r="J1810" s="17" t="n">
        <f aca="false">H1810-I1810</f>
        <v>21.1926861269596</v>
      </c>
      <c r="K1810" s="17" t="n">
        <f aca="false">MAX(B1810-B1809,0)</f>
        <v>0</v>
      </c>
      <c r="L1810" s="17" t="n">
        <f aca="false">MAX(B1809-B1810,0)</f>
        <v>172.130000000001</v>
      </c>
      <c r="M1810" s="17" t="n">
        <f aca="false">(M1809*13+K1810)/14</f>
        <v>63.6574737946025</v>
      </c>
      <c r="N1810" s="17" t="n">
        <f aca="false">(N1809*13+L1810)/14</f>
        <v>60.4728494112962</v>
      </c>
      <c r="O1810" s="17" t="n">
        <f aca="false">IF(N1810=0,100,100-100/(1+M1810/N1810))</f>
        <v>51.2827745473698</v>
      </c>
      <c r="P1810" s="17" t="n">
        <f aca="false">AVERAGE(B1791:B1810)+2*STDEV(B1791:B1810)</f>
        <v>15711.1578620742</v>
      </c>
      <c r="Q1810" s="17" t="n">
        <f aca="false">AVERAGE(B1791:B1810)-2*STDEV(B1791:B1810)</f>
        <v>14601.8581379258</v>
      </c>
      <c r="R1810" s="19" t="n">
        <f aca="false">B1810/B1790-1</f>
        <v>0.0055341489544305</v>
      </c>
      <c r="S1810" s="17" t="n">
        <f aca="false">STDEV(C1791:C1810)*SQRT(252)*100</f>
        <v>17.8125035172541</v>
      </c>
      <c r="T1810" s="19" t="n">
        <f aca="false">B1789/B1559-1</f>
        <v>0.179623257026057</v>
      </c>
      <c r="U1810" s="19" t="n">
        <f aca="false">B1810/MAX(B1559:B1810)-1</f>
        <v>-0.0348208959463683</v>
      </c>
      <c r="V1810" s="17" t="n">
        <f aca="false">(B1810-AVERAGE(B1791:B1810))/STDEV(B1791:B1810)</f>
        <v>0.480418401265821</v>
      </c>
    </row>
    <row r="1811" customFormat="false" ht="15" hidden="false" customHeight="false" outlineLevel="0" collapsed="false">
      <c r="A1811" s="17" t="s">
        <v>2375</v>
      </c>
      <c r="B1811" s="17" t="n">
        <v>15348.53</v>
      </c>
      <c r="C1811" s="19" t="n">
        <f aca="false">B1811/B1810-1</f>
        <v>0.00384506211354818</v>
      </c>
      <c r="D1811" s="17" t="n">
        <f aca="false">AVERAGE(B1762:B1811)</f>
        <v>15300.698</v>
      </c>
      <c r="E1811" s="17" t="n">
        <f aca="false">AVERAGE(B1612:B1811)</f>
        <v>13366.81865</v>
      </c>
      <c r="F1811" s="17" t="n">
        <f aca="false">B1811*2/13+F1810*11/13</f>
        <v>15312.858795797</v>
      </c>
      <c r="G1811" s="17" t="n">
        <f aca="false">B1811*2/27+G1810*25/27</f>
        <v>15258.6649543169</v>
      </c>
      <c r="H1811" s="17" t="n">
        <f aca="false">F1811-G1811</f>
        <v>54.193841480117</v>
      </c>
      <c r="I1811" s="17" t="n">
        <f aca="false">H1811*2/10+I1810*8/10</f>
        <v>37.8025167091097</v>
      </c>
      <c r="J1811" s="17" t="n">
        <f aca="false">H1811-I1811</f>
        <v>16.3913247710073</v>
      </c>
      <c r="K1811" s="17" t="n">
        <f aca="false">MAX(B1811-B1810,0)</f>
        <v>58.7900000000009</v>
      </c>
      <c r="L1811" s="17" t="n">
        <f aca="false">MAX(B1810-B1811,0)</f>
        <v>0</v>
      </c>
      <c r="M1811" s="17" t="n">
        <f aca="false">(M1810*13+K1811)/14</f>
        <v>63.3097970949881</v>
      </c>
      <c r="N1811" s="17" t="n">
        <f aca="false">(N1810*13+L1811)/14</f>
        <v>56.1533601676322</v>
      </c>
      <c r="O1811" s="17" t="n">
        <f aca="false">IF(N1811=0,100,100-100/(1+M1811/N1811))</f>
        <v>52.9952485315718</v>
      </c>
      <c r="P1811" s="17" t="n">
        <f aca="false">AVERAGE(B1792:B1811)+2*STDEV(B1792:B1811)</f>
        <v>15730.0910734707</v>
      </c>
      <c r="Q1811" s="17" t="n">
        <f aca="false">AVERAGE(B1792:B1811)-2*STDEV(B1792:B1811)</f>
        <v>14614.0129265293</v>
      </c>
      <c r="R1811" s="19" t="n">
        <f aca="false">B1811/B1791-1</f>
        <v>0.0206734429914248</v>
      </c>
      <c r="S1811" s="17" t="n">
        <f aca="false">STDEV(C1792:C1811)*SQRT(252)*100</f>
        <v>17.3283290507111</v>
      </c>
      <c r="T1811" s="19" t="n">
        <f aca="false">B1790/B1560-1</f>
        <v>0.263592335473448</v>
      </c>
      <c r="U1811" s="19" t="n">
        <f aca="false">B1811/MAX(B1560:B1811)-1</f>
        <v>-0.0311097223405833</v>
      </c>
      <c r="V1811" s="17" t="n">
        <f aca="false">(B1811-AVERAGE(B1792:B1811))/STDEV(B1792:B1811)</f>
        <v>0.632493344605474</v>
      </c>
    </row>
    <row r="1812" customFormat="false" ht="15" hidden="false" customHeight="false" outlineLevel="0" collapsed="false">
      <c r="A1812" s="17" t="s">
        <v>2376</v>
      </c>
      <c r="B1812" s="17" t="n">
        <v>15473.89</v>
      </c>
      <c r="C1812" s="19" t="n">
        <f aca="false">B1812/B1811-1</f>
        <v>0.00816755741429298</v>
      </c>
      <c r="D1812" s="17" t="n">
        <f aca="false">AVERAGE(B1763:B1812)</f>
        <v>15306.1002</v>
      </c>
      <c r="E1812" s="17" t="n">
        <f aca="false">AVERAGE(B1613:B1812)</f>
        <v>13385.40795</v>
      </c>
      <c r="F1812" s="17" t="n">
        <f aca="false">B1812*2/13+F1811*11/13</f>
        <v>15337.6328272129</v>
      </c>
      <c r="G1812" s="17" t="n">
        <f aca="false">B1812*2/27+G1811*25/27</f>
        <v>15274.6075502934</v>
      </c>
      <c r="H1812" s="17" t="n">
        <f aca="false">F1812-G1812</f>
        <v>63.025276919434</v>
      </c>
      <c r="I1812" s="17" t="n">
        <f aca="false">H1812*2/10+I1811*8/10</f>
        <v>42.8470687511746</v>
      </c>
      <c r="J1812" s="17" t="n">
        <f aca="false">H1812-I1812</f>
        <v>20.1782081682594</v>
      </c>
      <c r="K1812" s="17" t="n">
        <f aca="false">MAX(B1812-B1811,0)</f>
        <v>125.359999999999</v>
      </c>
      <c r="L1812" s="17" t="n">
        <f aca="false">MAX(B1811-B1812,0)</f>
        <v>0</v>
      </c>
      <c r="M1812" s="17" t="n">
        <f aca="false">(M1811*13+K1812)/14</f>
        <v>67.741954445346</v>
      </c>
      <c r="N1812" s="17" t="n">
        <f aca="false">(N1811*13+L1812)/14</f>
        <v>52.1424058699441</v>
      </c>
      <c r="O1812" s="17" t="n">
        <f aca="false">IF(N1812=0,100,100-100/(1+M1812/N1812))</f>
        <v>56.5060815832757</v>
      </c>
      <c r="P1812" s="17" t="n">
        <f aca="false">AVERAGE(B1793:B1812)+2*STDEV(B1793:B1812)</f>
        <v>15757.2944854269</v>
      </c>
      <c r="Q1812" s="17" t="n">
        <f aca="false">AVERAGE(B1793:B1812)-2*STDEV(B1793:B1812)</f>
        <v>14646.5515145731</v>
      </c>
      <c r="R1812" s="19" t="n">
        <f aca="false">B1812/B1792-1</f>
        <v>0.0401587204491387</v>
      </c>
      <c r="S1812" s="17" t="n">
        <f aca="false">STDEV(C1793:C1812)*SQRT(252)*100</f>
        <v>16.9146196474253</v>
      </c>
      <c r="T1812" s="19" t="n">
        <f aca="false">B1791/B1561-1</f>
        <v>0.2392578125</v>
      </c>
      <c r="U1812" s="19" t="n">
        <f aca="false">B1812/MAX(B1561:B1812)-1</f>
        <v>-0.0231962553696498</v>
      </c>
      <c r="V1812" s="17" t="n">
        <f aca="false">(B1812-AVERAGE(B1793:B1812))/STDEV(B1793:B1812)</f>
        <v>0.979405702800721</v>
      </c>
    </row>
    <row r="1813" customFormat="false" ht="15" hidden="false" customHeight="false" outlineLevel="0" collapsed="false">
      <c r="A1813" s="17" t="s">
        <v>2377</v>
      </c>
      <c r="B1813" s="17" t="n">
        <v>15202.4</v>
      </c>
      <c r="C1813" s="19" t="n">
        <f aca="false">B1813/B1812-1</f>
        <v>-0.0175450387717633</v>
      </c>
      <c r="D1813" s="17" t="n">
        <f aca="false">AVERAGE(B1764:B1813)</f>
        <v>15308.3592</v>
      </c>
      <c r="E1813" s="17" t="n">
        <f aca="false">AVERAGE(B1614:B1813)</f>
        <v>13403.4812</v>
      </c>
      <c r="F1813" s="17" t="n">
        <f aca="false">B1813*2/13+F1812*11/13</f>
        <v>15316.8277768724</v>
      </c>
      <c r="G1813" s="17" t="n">
        <f aca="false">B1813*2/27+G1812*25/27</f>
        <v>15269.2588428643</v>
      </c>
      <c r="H1813" s="17" t="n">
        <f aca="false">F1813-G1813</f>
        <v>47.5689340081335</v>
      </c>
      <c r="I1813" s="17" t="n">
        <f aca="false">H1813*2/10+I1812*8/10</f>
        <v>43.7914418025664</v>
      </c>
      <c r="J1813" s="17" t="n">
        <f aca="false">H1813-I1813</f>
        <v>3.77749220556715</v>
      </c>
      <c r="K1813" s="17" t="n">
        <f aca="false">MAX(B1813-B1812,0)</f>
        <v>0</v>
      </c>
      <c r="L1813" s="17" t="n">
        <f aca="false">MAX(B1812-B1813,0)</f>
        <v>271.49</v>
      </c>
      <c r="M1813" s="17" t="n">
        <f aca="false">(M1812*13+K1813)/14</f>
        <v>62.9032434135356</v>
      </c>
      <c r="N1813" s="17" t="n">
        <f aca="false">(N1812*13+L1813)/14</f>
        <v>67.8100911649481</v>
      </c>
      <c r="O1813" s="17" t="n">
        <f aca="false">IF(N1813=0,100,100-100/(1+M1813/N1813))</f>
        <v>48.1230500441153</v>
      </c>
      <c r="P1813" s="17" t="n">
        <f aca="false">AVERAGE(B1794:B1813)+2*STDEV(B1794:B1813)</f>
        <v>15732.411191524</v>
      </c>
      <c r="Q1813" s="17" t="n">
        <f aca="false">AVERAGE(B1794:B1813)-2*STDEV(B1794:B1813)</f>
        <v>14720.093808476</v>
      </c>
      <c r="R1813" s="19" t="n">
        <f aca="false">B1813/B1793-1</f>
        <v>0.033065797941126</v>
      </c>
      <c r="S1813" s="17" t="n">
        <f aca="false">STDEV(C1794:C1813)*SQRT(252)*100</f>
        <v>17.7421495501819</v>
      </c>
      <c r="T1813" s="19" t="n">
        <f aca="false">B1792/B1562-1</f>
        <v>0.247242294900268</v>
      </c>
      <c r="U1813" s="19" t="n">
        <f aca="false">B1813/MAX(B1562:B1813)-1</f>
        <v>-0.0403343149415928</v>
      </c>
      <c r="V1813" s="17" t="n">
        <f aca="false">(B1813-AVERAGE(B1794:B1813))/STDEV(B1794:B1813)</f>
        <v>-0.0942490977609508</v>
      </c>
    </row>
    <row r="1814" customFormat="false" ht="15" hidden="false" customHeight="false" outlineLevel="0" collapsed="false">
      <c r="A1814" s="17" t="s">
        <v>2378</v>
      </c>
      <c r="B1814" s="17" t="n">
        <v>15225.37</v>
      </c>
      <c r="C1814" s="19" t="n">
        <f aca="false">B1814/B1813-1</f>
        <v>0.00151094564016208</v>
      </c>
      <c r="D1814" s="17" t="n">
        <f aca="false">AVERAGE(B1765:B1814)</f>
        <v>15312.1296</v>
      </c>
      <c r="E1814" s="17" t="n">
        <f aca="false">AVERAGE(B1615:B1814)</f>
        <v>13422.0908</v>
      </c>
      <c r="F1814" s="17" t="n">
        <f aca="false">B1814*2/13+F1813*11/13</f>
        <v>15302.7573496613</v>
      </c>
      <c r="G1814" s="17" t="n">
        <f aca="false">B1814*2/27+G1813*25/27</f>
        <v>15266.0078174669</v>
      </c>
      <c r="H1814" s="17" t="n">
        <f aca="false">F1814-G1814</f>
        <v>36.7495321943461</v>
      </c>
      <c r="I1814" s="17" t="n">
        <f aca="false">H1814*2/10+I1813*8/10</f>
        <v>42.3830598809223</v>
      </c>
      <c r="J1814" s="17" t="n">
        <f aca="false">H1814-I1814</f>
        <v>-5.63352768657621</v>
      </c>
      <c r="K1814" s="17" t="n">
        <f aca="false">MAX(B1814-B1813,0)</f>
        <v>22.9700000000012</v>
      </c>
      <c r="L1814" s="17" t="n">
        <f aca="false">MAX(B1813-B1814,0)</f>
        <v>0</v>
      </c>
      <c r="M1814" s="17" t="n">
        <f aca="false">(M1813*13+K1814)/14</f>
        <v>60.0508688839974</v>
      </c>
      <c r="N1814" s="17" t="n">
        <f aca="false">(N1813*13+L1814)/14</f>
        <v>62.9665132245947</v>
      </c>
      <c r="O1814" s="17" t="n">
        <f aca="false">IF(N1814=0,100,100-100/(1+M1814/N1814))</f>
        <v>48.8149461927163</v>
      </c>
      <c r="P1814" s="17" t="n">
        <f aca="false">AVERAGE(B1795:B1814)+2*STDEV(B1795:B1814)</f>
        <v>15692.9852625108</v>
      </c>
      <c r="Q1814" s="17" t="n">
        <f aca="false">AVERAGE(B1795:B1814)-2*STDEV(B1795:B1814)</f>
        <v>14812.5727374892</v>
      </c>
      <c r="R1814" s="19" t="n">
        <f aca="false">B1814/B1794-1</f>
        <v>0.0361031491326207</v>
      </c>
      <c r="S1814" s="17" t="n">
        <f aca="false">STDEV(C1795:C1814)*SQRT(252)*100</f>
        <v>17.704410461853</v>
      </c>
      <c r="T1814" s="19" t="n">
        <f aca="false">B1793/B1563-1</f>
        <v>0.240649064442755</v>
      </c>
      <c r="U1814" s="19" t="n">
        <f aca="false">B1814/MAX(B1563:B1814)-1</f>
        <v>-0.0388843122587406</v>
      </c>
      <c r="V1814" s="17" t="n">
        <f aca="false">(B1814-AVERAGE(B1795:B1814))/STDEV(B1795:B1814)</f>
        <v>-0.124527987601404</v>
      </c>
    </row>
    <row r="1815" customFormat="false" ht="15" hidden="false" customHeight="false" outlineLevel="0" collapsed="false">
      <c r="A1815" s="17" t="s">
        <v>2379</v>
      </c>
      <c r="B1815" s="17" t="n">
        <v>15191.23</v>
      </c>
      <c r="C1815" s="19" t="n">
        <f aca="false">B1815/B1814-1</f>
        <v>-0.00224231003909925</v>
      </c>
      <c r="D1815" s="17" t="n">
        <f aca="false">AVERAGE(B1766:B1815)</f>
        <v>15315.0414</v>
      </c>
      <c r="E1815" s="17" t="n">
        <f aca="false">AVERAGE(B1616:B1815)</f>
        <v>13437.89665</v>
      </c>
      <c r="F1815" s="17" t="n">
        <f aca="false">B1815*2/13+F1814*11/13</f>
        <v>15285.5992958672</v>
      </c>
      <c r="G1815" s="17" t="n">
        <f aca="false">B1815*2/27+G1814*25/27</f>
        <v>15260.4687198768</v>
      </c>
      <c r="H1815" s="17" t="n">
        <f aca="false">F1815-G1815</f>
        <v>25.1305759904426</v>
      </c>
      <c r="I1815" s="17" t="n">
        <f aca="false">H1815*2/10+I1814*8/10</f>
        <v>38.9325631028264</v>
      </c>
      <c r="J1815" s="17" t="n">
        <f aca="false">H1815-I1815</f>
        <v>-13.8019871123838</v>
      </c>
      <c r="K1815" s="17" t="n">
        <f aca="false">MAX(B1815-B1814,0)</f>
        <v>0</v>
      </c>
      <c r="L1815" s="17" t="n">
        <f aca="false">MAX(B1814-B1815,0)</f>
        <v>34.1400000000012</v>
      </c>
      <c r="M1815" s="17" t="n">
        <f aca="false">(M1814*13+K1815)/14</f>
        <v>55.761521106569</v>
      </c>
      <c r="N1815" s="17" t="n">
        <f aca="false">(N1814*13+L1815)/14</f>
        <v>60.9074765656952</v>
      </c>
      <c r="O1815" s="17" t="n">
        <f aca="false">IF(N1815=0,100,100-100/(1+M1815/N1815))</f>
        <v>47.7946345808243</v>
      </c>
      <c r="P1815" s="17" t="n">
        <f aca="false">AVERAGE(B1796:B1815)+2*STDEV(B1796:B1815)</f>
        <v>15681.2738685036</v>
      </c>
      <c r="Q1815" s="17" t="n">
        <f aca="false">AVERAGE(B1796:B1815)-2*STDEV(B1796:B1815)</f>
        <v>14849.7381314964</v>
      </c>
      <c r="R1815" s="19" t="n">
        <f aca="false">B1815/B1795-1</f>
        <v>0.0170412588063351</v>
      </c>
      <c r="S1815" s="17" t="n">
        <f aca="false">STDEV(C1796:C1815)*SQRT(252)*100</f>
        <v>16.8809280077067</v>
      </c>
      <c r="T1815" s="19" t="n">
        <f aca="false">B1794/B1564-1</f>
        <v>0.229357322305946</v>
      </c>
      <c r="U1815" s="19" t="n">
        <f aca="false">B1815/MAX(B1564:B1815)-1</f>
        <v>-0.0410394316140986</v>
      </c>
      <c r="V1815" s="17" t="n">
        <f aca="false">(B1815-AVERAGE(B1796:B1815))/STDEV(B1796:B1815)</f>
        <v>-0.357295527753667</v>
      </c>
    </row>
    <row r="1816" customFormat="false" ht="15" hidden="false" customHeight="false" outlineLevel="0" collapsed="false">
      <c r="A1816" s="17" t="s">
        <v>2380</v>
      </c>
      <c r="B1816" s="17" t="n">
        <v>14969.92</v>
      </c>
      <c r="C1816" s="19" t="n">
        <f aca="false">B1816/B1815-1</f>
        <v>-0.0145682739317355</v>
      </c>
      <c r="D1816" s="17" t="n">
        <f aca="false">AVERAGE(B1767:B1816)</f>
        <v>15312.0586</v>
      </c>
      <c r="E1816" s="17" t="n">
        <f aca="false">AVERAGE(B1617:B1816)</f>
        <v>13452.5368</v>
      </c>
      <c r="F1816" s="17" t="n">
        <f aca="false">B1816*2/13+F1815*11/13</f>
        <v>15237.0332503492</v>
      </c>
      <c r="G1816" s="17" t="n">
        <f aca="false">B1816*2/27+G1815*25/27</f>
        <v>15238.9465924785</v>
      </c>
      <c r="H1816" s="17" t="n">
        <f aca="false">F1816-G1816</f>
        <v>-1.91334212931361</v>
      </c>
      <c r="I1816" s="17" t="n">
        <f aca="false">H1816*2/10+I1815*8/10</f>
        <v>30.7633820563984</v>
      </c>
      <c r="J1816" s="17" t="n">
        <f aca="false">H1816-I1816</f>
        <v>-32.676724185712</v>
      </c>
      <c r="K1816" s="17" t="n">
        <f aca="false">MAX(B1816-B1815,0)</f>
        <v>0</v>
      </c>
      <c r="L1816" s="17" t="n">
        <f aca="false">MAX(B1815-B1816,0)</f>
        <v>221.31</v>
      </c>
      <c r="M1816" s="17" t="n">
        <f aca="false">(M1815*13+K1816)/14</f>
        <v>51.7785553132426</v>
      </c>
      <c r="N1816" s="17" t="n">
        <f aca="false">(N1815*13+L1816)/14</f>
        <v>72.3647996681455</v>
      </c>
      <c r="O1816" s="17" t="n">
        <f aca="false">IF(N1816=0,100,100-100/(1+M1816/N1816))</f>
        <v>41.7086805177816</v>
      </c>
      <c r="P1816" s="17" t="n">
        <f aca="false">AVERAGE(B1797:B1816)+2*STDEV(B1797:B1816)</f>
        <v>15674.0839585221</v>
      </c>
      <c r="Q1816" s="17" t="n">
        <f aca="false">AVERAGE(B1797:B1816)-2*STDEV(B1797:B1816)</f>
        <v>14863.0240414779</v>
      </c>
      <c r="R1816" s="19" t="n">
        <f aca="false">B1816/B1796-1</f>
        <v>0.00408881638960734</v>
      </c>
      <c r="S1816" s="17" t="n">
        <f aca="false">STDEV(C1797:C1816)*SQRT(252)*100</f>
        <v>17.7374602795729</v>
      </c>
      <c r="T1816" s="19" t="n">
        <f aca="false">B1795/B1565-1</f>
        <v>0.26031638082477</v>
      </c>
      <c r="U1816" s="19" t="n">
        <f aca="false">B1816/MAX(B1565:B1816)-1</f>
        <v>-0.0550098318640773</v>
      </c>
      <c r="V1816" s="17" t="n">
        <f aca="false">(B1816-AVERAGE(B1797:B1816))/STDEV(B1797:B1816)</f>
        <v>-1.47280857418437</v>
      </c>
    </row>
    <row r="1817" customFormat="false" ht="15" hidden="false" customHeight="false" outlineLevel="0" collapsed="false">
      <c r="A1817" s="17" t="s">
        <v>2381</v>
      </c>
      <c r="B1817" s="17" t="n">
        <v>14694.24</v>
      </c>
      <c r="C1817" s="19" t="n">
        <f aca="false">B1817/B1816-1</f>
        <v>-0.0184155960753297</v>
      </c>
      <c r="D1817" s="17" t="n">
        <f aca="false">AVERAGE(B1768:B1817)</f>
        <v>15299.7988</v>
      </c>
      <c r="E1817" s="17" t="n">
        <f aca="false">AVERAGE(B1618:B1817)</f>
        <v>13466.0367</v>
      </c>
      <c r="F1817" s="17" t="n">
        <f aca="false">B1817*2/13+F1816*11/13</f>
        <v>15153.5265964493</v>
      </c>
      <c r="G1817" s="17" t="n">
        <f aca="false">B1817*2/27+G1816*25/27</f>
        <v>15198.5979559986</v>
      </c>
      <c r="H1817" s="17" t="n">
        <f aca="false">F1817-G1817</f>
        <v>-45.0713595493035</v>
      </c>
      <c r="I1817" s="17" t="n">
        <f aca="false">H1817*2/10+I1816*8/10</f>
        <v>15.596433735258</v>
      </c>
      <c r="J1817" s="17" t="n">
        <f aca="false">H1817-I1817</f>
        <v>-60.6677932845615</v>
      </c>
      <c r="K1817" s="17" t="n">
        <f aca="false">MAX(B1817-B1816,0)</f>
        <v>0</v>
      </c>
      <c r="L1817" s="17" t="n">
        <f aca="false">MAX(B1816-B1817,0)</f>
        <v>275.68</v>
      </c>
      <c r="M1817" s="17" t="n">
        <f aca="false">(M1816*13+K1817)/14</f>
        <v>48.0800870765825</v>
      </c>
      <c r="N1817" s="17" t="n">
        <f aca="false">(N1816*13+L1817)/14</f>
        <v>86.8873139775637</v>
      </c>
      <c r="O1817" s="17" t="n">
        <f aca="false">IF(N1817=0,100,100-100/(1+M1817/N1817))</f>
        <v>35.6234814488972</v>
      </c>
      <c r="P1817" s="17" t="n">
        <f aca="false">AVERAGE(B1798:B1817)+2*STDEV(B1798:B1817)</f>
        <v>15724.0568026894</v>
      </c>
      <c r="Q1817" s="17" t="n">
        <f aca="false">AVERAGE(B1798:B1817)-2*STDEV(B1798:B1817)</f>
        <v>14767.6691973106</v>
      </c>
      <c r="R1817" s="19" t="n">
        <f aca="false">B1817/B1797-1</f>
        <v>-0.0299589518393775</v>
      </c>
      <c r="S1817" s="17" t="n">
        <f aca="false">STDEV(C1798:C1817)*SQRT(252)*100</f>
        <v>17.8891282488097</v>
      </c>
      <c r="T1817" s="19" t="n">
        <f aca="false">B1796/B1566-1</f>
        <v>0.281081717405109</v>
      </c>
      <c r="U1817" s="19" t="n">
        <f aca="false">B1817/MAX(B1566:B1817)-1</f>
        <v>-0.0724123890956263</v>
      </c>
      <c r="V1817" s="17" t="n">
        <f aca="false">(B1817-AVERAGE(B1798:B1817))/STDEV(B1798:B1817)</f>
        <v>-2.30711061873933</v>
      </c>
    </row>
    <row r="1818" customFormat="false" ht="15" hidden="false" customHeight="false" outlineLevel="0" collapsed="false">
      <c r="A1818" s="17" t="s">
        <v>2382</v>
      </c>
      <c r="B1818" s="17" t="n">
        <v>14701.1</v>
      </c>
      <c r="C1818" s="19" t="n">
        <f aca="false">B1818/B1817-1</f>
        <v>0.000466849595487817</v>
      </c>
      <c r="D1818" s="17" t="n">
        <f aca="false">AVERAGE(B1769:B1818)</f>
        <v>15282.3812</v>
      </c>
      <c r="E1818" s="17" t="n">
        <f aca="false">AVERAGE(B1619:B1818)</f>
        <v>13480.6082</v>
      </c>
      <c r="F1818" s="17" t="n">
        <f aca="false">B1818*2/13+F1817*11/13</f>
        <v>15083.9225046879</v>
      </c>
      <c r="G1818" s="17" t="n">
        <f aca="false">B1818*2/27+G1817*25/27</f>
        <v>15161.7462555543</v>
      </c>
      <c r="H1818" s="17" t="n">
        <f aca="false">F1818-G1818</f>
        <v>-77.8237508663951</v>
      </c>
      <c r="I1818" s="17" t="n">
        <f aca="false">H1818*2/10+I1817*8/10</f>
        <v>-3.08760318507262</v>
      </c>
      <c r="J1818" s="17" t="n">
        <f aca="false">H1818-I1818</f>
        <v>-74.7361476813225</v>
      </c>
      <c r="K1818" s="17" t="n">
        <f aca="false">MAX(B1818-B1817,0)</f>
        <v>6.86000000000058</v>
      </c>
      <c r="L1818" s="17" t="n">
        <f aca="false">MAX(B1817-B1818,0)</f>
        <v>0</v>
      </c>
      <c r="M1818" s="17" t="n">
        <f aca="false">(M1817*13+K1818)/14</f>
        <v>45.1357951425409</v>
      </c>
      <c r="N1818" s="17" t="n">
        <f aca="false">(N1817*13+L1818)/14</f>
        <v>80.6810772648805</v>
      </c>
      <c r="O1818" s="17" t="n">
        <f aca="false">IF(N1818=0,100,100-100/(1+M1818/N1818))</f>
        <v>35.8741989678314</v>
      </c>
      <c r="P1818" s="17" t="n">
        <f aca="false">AVERAGE(B1799:B1818)+2*STDEV(B1799:B1818)</f>
        <v>15742.2758134407</v>
      </c>
      <c r="Q1818" s="17" t="n">
        <f aca="false">AVERAGE(B1799:B1818)-2*STDEV(B1799:B1818)</f>
        <v>14737.9161865593</v>
      </c>
      <c r="R1818" s="19" t="n">
        <f aca="false">B1818/B1798-1</f>
        <v>-0.00778459602981552</v>
      </c>
      <c r="S1818" s="17" t="n">
        <f aca="false">STDEV(C1799:C1818)*SQRT(252)*100</f>
        <v>16.180996873753</v>
      </c>
      <c r="T1818" s="19" t="n">
        <f aca="false">B1797/B1567-1</f>
        <v>0.317033642999048</v>
      </c>
      <c r="U1818" s="19" t="n">
        <f aca="false">B1818/MAX(B1567:B1818)-1</f>
        <v>-0.0719793451946962</v>
      </c>
      <c r="V1818" s="17" t="n">
        <f aca="false">(B1818-AVERAGE(B1799:B1818))/STDEV(B1799:B1818)</f>
        <v>-2.14662551370601</v>
      </c>
    </row>
    <row r="1819" customFormat="false" ht="15" hidden="false" customHeight="false" outlineLevel="0" collapsed="false">
      <c r="A1819" s="17" t="s">
        <v>2383</v>
      </c>
      <c r="B1819" s="17" t="n">
        <v>14768.9</v>
      </c>
      <c r="C1819" s="19" t="n">
        <f aca="false">B1819/B1818-1</f>
        <v>0.00461189978981169</v>
      </c>
      <c r="D1819" s="17" t="n">
        <f aca="false">AVERAGE(B1770:B1819)</f>
        <v>15266.4472</v>
      </c>
      <c r="E1819" s="17" t="n">
        <f aca="false">AVERAGE(B1620:B1819)</f>
        <v>13496.70425</v>
      </c>
      <c r="F1819" s="17" t="n">
        <f aca="false">B1819*2/13+F1818*11/13</f>
        <v>15035.4575039667</v>
      </c>
      <c r="G1819" s="17" t="n">
        <f aca="false">B1819*2/27+G1818*25/27</f>
        <v>15132.6465329206</v>
      </c>
      <c r="H1819" s="17" t="n">
        <f aca="false">F1819-G1819</f>
        <v>-97.1890289539588</v>
      </c>
      <c r="I1819" s="17" t="n">
        <f aca="false">H1819*2/10+I1818*8/10</f>
        <v>-21.9078883388499</v>
      </c>
      <c r="J1819" s="17" t="n">
        <f aca="false">H1819-I1819</f>
        <v>-75.2811406151089</v>
      </c>
      <c r="K1819" s="17" t="n">
        <f aca="false">MAX(B1819-B1818,0)</f>
        <v>67.7999999999993</v>
      </c>
      <c r="L1819" s="17" t="n">
        <f aca="false">MAX(B1818-B1819,0)</f>
        <v>0</v>
      </c>
      <c r="M1819" s="17" t="n">
        <f aca="false">(M1818*13+K1819)/14</f>
        <v>46.7546669180736</v>
      </c>
      <c r="N1819" s="17" t="n">
        <f aca="false">(N1818*13+L1819)/14</f>
        <v>74.9181431745319</v>
      </c>
      <c r="O1819" s="17" t="n">
        <f aca="false">IF(N1819=0,100,100-100/(1+M1819/N1819))</f>
        <v>38.4265530503393</v>
      </c>
      <c r="P1819" s="17" t="n">
        <f aca="false">AVERAGE(B1800:B1819)+2*STDEV(B1800:B1819)</f>
        <v>15760.4892474462</v>
      </c>
      <c r="Q1819" s="17" t="n">
        <f aca="false">AVERAGE(B1800:B1819)-2*STDEV(B1800:B1819)</f>
        <v>14702.4097525538</v>
      </c>
      <c r="R1819" s="19" t="n">
        <f aca="false">B1819/B1799-1</f>
        <v>-0.0115735488892592</v>
      </c>
      <c r="S1819" s="17" t="n">
        <f aca="false">STDEV(C1800:C1819)*SQRT(252)*100</f>
        <v>15.9593094870148</v>
      </c>
      <c r="T1819" s="19" t="n">
        <f aca="false">B1798/B1568-1</f>
        <v>0.309886449231031</v>
      </c>
      <c r="U1819" s="19" t="n">
        <f aca="false">B1819/MAX(B1568:B1819)-1</f>
        <v>-0.0676994069318587</v>
      </c>
      <c r="V1819" s="17" t="n">
        <f aca="false">(B1819-AVERAGE(B1800:B1819))/STDEV(B1800:B1819)</f>
        <v>-1.74863798885763</v>
      </c>
    </row>
    <row r="1820" customFormat="false" ht="15" hidden="false" customHeight="false" outlineLevel="0" collapsed="false">
      <c r="A1820" s="17" t="s">
        <v>2384</v>
      </c>
      <c r="B1820" s="17" t="n">
        <v>14545.83</v>
      </c>
      <c r="C1820" s="19" t="n">
        <f aca="false">B1820/B1819-1</f>
        <v>-0.0151040361841437</v>
      </c>
      <c r="D1820" s="17" t="n">
        <f aca="false">AVERAGE(B1771:B1820)</f>
        <v>15243.0982</v>
      </c>
      <c r="E1820" s="17" t="n">
        <f aca="false">AVERAGE(B1621:B1820)</f>
        <v>13511.94645</v>
      </c>
      <c r="F1820" s="17" t="n">
        <f aca="false">B1820*2/13+F1819*11/13</f>
        <v>14960.1301956641</v>
      </c>
      <c r="G1820" s="17" t="n">
        <f aca="false">B1820*2/27+G1819*25/27</f>
        <v>15089.1786415932</v>
      </c>
      <c r="H1820" s="17" t="n">
        <f aca="false">F1820-G1820</f>
        <v>-129.048445929071</v>
      </c>
      <c r="I1820" s="17" t="n">
        <f aca="false">H1820*2/10+I1819*8/10</f>
        <v>-43.3359998568941</v>
      </c>
      <c r="J1820" s="17" t="n">
        <f aca="false">H1820-I1820</f>
        <v>-85.7124460721769</v>
      </c>
      <c r="K1820" s="17" t="n">
        <f aca="false">MAX(B1820-B1819,0)</f>
        <v>0</v>
      </c>
      <c r="L1820" s="17" t="n">
        <f aca="false">MAX(B1819-B1820,0)</f>
        <v>223.07</v>
      </c>
      <c r="M1820" s="17" t="n">
        <f aca="false">(M1819*13+K1820)/14</f>
        <v>43.4150478524969</v>
      </c>
      <c r="N1820" s="17" t="n">
        <f aca="false">(N1819*13+L1820)/14</f>
        <v>85.5004186620654</v>
      </c>
      <c r="O1820" s="17" t="n">
        <f aca="false">IF(N1820=0,100,100-100/(1+M1820/N1820))</f>
        <v>33.6771444313804</v>
      </c>
      <c r="P1820" s="17" t="n">
        <f aca="false">AVERAGE(B1801:B1820)+2*STDEV(B1801:B1820)</f>
        <v>15813.9004520977</v>
      </c>
      <c r="Q1820" s="17" t="n">
        <f aca="false">AVERAGE(B1801:B1820)-2*STDEV(B1801:B1820)</f>
        <v>14598.3355479023</v>
      </c>
      <c r="R1820" s="19" t="n">
        <f aca="false">B1820/B1800-1</f>
        <v>-0.0336576214120482</v>
      </c>
      <c r="S1820" s="17" t="n">
        <f aca="false">STDEV(C1801:C1820)*SQRT(252)*100</f>
        <v>16.4663088580646</v>
      </c>
      <c r="T1820" s="19" t="n">
        <f aca="false">B1799/B1569-1</f>
        <v>0.327677621775511</v>
      </c>
      <c r="U1820" s="19" t="n">
        <f aca="false">B1820/MAX(B1569:B1820)-1</f>
        <v>-0.0817809088240585</v>
      </c>
      <c r="V1820" s="17" t="n">
        <f aca="false">(B1820-AVERAGE(B1801:B1820))/STDEV(B1801:B1820)</f>
        <v>-2.1727774394311</v>
      </c>
    </row>
    <row r="1821" customFormat="false" ht="15" hidden="false" customHeight="false" outlineLevel="0" collapsed="false">
      <c r="A1821" s="17" t="s">
        <v>2385</v>
      </c>
      <c r="B1821" s="17" t="n">
        <v>14580.16</v>
      </c>
      <c r="C1821" s="19" t="n">
        <f aca="false">B1821/B1820-1</f>
        <v>0.00236012657923257</v>
      </c>
      <c r="D1821" s="17" t="n">
        <f aca="false">AVERAGE(B1772:B1821)</f>
        <v>15217.8744</v>
      </c>
      <c r="E1821" s="17" t="n">
        <f aca="false">AVERAGE(B1622:B1821)</f>
        <v>13526.65975</v>
      </c>
      <c r="F1821" s="17" t="n">
        <f aca="false">B1821*2/13+F1820*11/13</f>
        <v>14901.673242485</v>
      </c>
      <c r="G1821" s="17" t="n">
        <f aca="false">B1821*2/27+G1820*25/27</f>
        <v>15051.4735570307</v>
      </c>
      <c r="H1821" s="17" t="n">
        <f aca="false">F1821-G1821</f>
        <v>-149.800314545708</v>
      </c>
      <c r="I1821" s="17" t="n">
        <f aca="false">H1821*2/10+I1820*8/10</f>
        <v>-64.6288627946568</v>
      </c>
      <c r="J1821" s="17" t="n">
        <f aca="false">H1821-I1821</f>
        <v>-85.171451751051</v>
      </c>
      <c r="K1821" s="17" t="n">
        <f aca="false">MAX(B1821-B1820,0)</f>
        <v>34.3299999999999</v>
      </c>
      <c r="L1821" s="17" t="n">
        <f aca="false">MAX(B1820-B1821,0)</f>
        <v>0</v>
      </c>
      <c r="M1821" s="17" t="n">
        <f aca="false">(M1820*13+K1821)/14</f>
        <v>42.7661158630329</v>
      </c>
      <c r="N1821" s="17" t="n">
        <f aca="false">(N1820*13+L1821)/14</f>
        <v>79.3932459004893</v>
      </c>
      <c r="O1821" s="17" t="n">
        <f aca="false">IF(N1821=0,100,100-100/(1+M1821/N1821))</f>
        <v>35.0084637359355</v>
      </c>
      <c r="P1821" s="17" t="n">
        <f aca="false">AVERAGE(B1802:B1821)+2*STDEV(B1802:B1821)</f>
        <v>15828.942671825</v>
      </c>
      <c r="Q1821" s="17" t="n">
        <f aca="false">AVERAGE(B1802:B1821)-2*STDEV(B1802:B1821)</f>
        <v>14503.654328175</v>
      </c>
      <c r="R1821" s="19" t="n">
        <f aca="false">B1821/B1801-1</f>
        <v>-0.0517925022192884</v>
      </c>
      <c r="S1821" s="17" t="n">
        <f aca="false">STDEV(C1802:C1821)*SQRT(252)*100</f>
        <v>14.1251262950877</v>
      </c>
      <c r="T1821" s="19" t="n">
        <f aca="false">B1800/B1570-1</f>
        <v>0.335414642801694</v>
      </c>
      <c r="U1821" s="19" t="n">
        <f aca="false">B1821/MAX(B1570:B1821)-1</f>
        <v>-0.0796137955414153</v>
      </c>
      <c r="V1821" s="17" t="n">
        <f aca="false">(B1821-AVERAGE(B1802:B1821))/STDEV(B1802:B1821)</f>
        <v>-1.76908973147889</v>
      </c>
    </row>
    <row r="1822" customFormat="false" ht="15" hidden="false" customHeight="false" outlineLevel="0" collapsed="false">
      <c r="A1822" s="17" t="s">
        <v>2386</v>
      </c>
      <c r="B1822" s="17" t="n">
        <v>14702.77</v>
      </c>
      <c r="C1822" s="19" t="n">
        <f aca="false">B1822/B1821-1</f>
        <v>0.00840937273665032</v>
      </c>
      <c r="D1822" s="17" t="n">
        <f aca="false">AVERAGE(B1773:B1822)</f>
        <v>15195.4028</v>
      </c>
      <c r="E1822" s="17" t="n">
        <f aca="false">AVERAGE(B1623:B1822)</f>
        <v>13542.35695</v>
      </c>
      <c r="F1822" s="17" t="n">
        <f aca="false">B1822*2/13+F1821*11/13</f>
        <v>14871.0727436412</v>
      </c>
      <c r="G1822" s="17" t="n">
        <f aca="false">B1822*2/27+G1821*25/27</f>
        <v>15025.6436639173</v>
      </c>
      <c r="H1822" s="17" t="n">
        <f aca="false">F1822-G1822</f>
        <v>-154.570920276172</v>
      </c>
      <c r="I1822" s="17" t="n">
        <f aca="false">H1822*2/10+I1821*8/10</f>
        <v>-82.6172742909598</v>
      </c>
      <c r="J1822" s="17" t="n">
        <f aca="false">H1822-I1822</f>
        <v>-71.953645985212</v>
      </c>
      <c r="K1822" s="17" t="n">
        <f aca="false">MAX(B1822-B1821,0)</f>
        <v>122.610000000001</v>
      </c>
      <c r="L1822" s="17" t="n">
        <f aca="false">MAX(B1821-B1822,0)</f>
        <v>0</v>
      </c>
      <c r="M1822" s="17" t="n">
        <f aca="false">(M1821*13+K1822)/14</f>
        <v>48.4692504442448</v>
      </c>
      <c r="N1822" s="17" t="n">
        <f aca="false">(N1821*13+L1822)/14</f>
        <v>73.72229976474</v>
      </c>
      <c r="O1822" s="17" t="n">
        <f aca="false">IF(N1822=0,100,100-100/(1+M1822/N1822))</f>
        <v>39.666613903619</v>
      </c>
      <c r="P1822" s="17" t="n">
        <f aca="false">AVERAGE(B1803:B1822)+2*STDEV(B1803:B1822)</f>
        <v>15806.3968189698</v>
      </c>
      <c r="Q1822" s="17" t="n">
        <f aca="false">AVERAGE(B1803:B1822)-2*STDEV(B1803:B1822)</f>
        <v>14450.2341810302</v>
      </c>
      <c r="R1822" s="19" t="n">
        <f aca="false">B1822/B1802-1</f>
        <v>-0.0491294059213202</v>
      </c>
      <c r="S1822" s="17" t="n">
        <f aca="false">STDEV(C1803:C1822)*SQRT(252)*100</f>
        <v>14.3760061581531</v>
      </c>
      <c r="T1822" s="19" t="n">
        <f aca="false">B1801/B1571-1</f>
        <v>0.337809067995612</v>
      </c>
      <c r="U1822" s="19" t="n">
        <f aca="false">B1822/MAX(B1571:B1822)-1</f>
        <v>-0.0718739248864522</v>
      </c>
      <c r="V1822" s="17" t="n">
        <f aca="false">(B1822-AVERAGE(B1803:B1822))/STDEV(B1803:B1822)</f>
        <v>-1.25514591862387</v>
      </c>
    </row>
    <row r="1823" customFormat="false" ht="15" hidden="false" customHeight="false" outlineLevel="0" collapsed="false">
      <c r="A1823" s="17" t="s">
        <v>2387</v>
      </c>
      <c r="B1823" s="17" t="n">
        <v>14715.24</v>
      </c>
      <c r="C1823" s="19" t="n">
        <f aca="false">B1823/B1822-1</f>
        <v>0.000848139500243761</v>
      </c>
      <c r="D1823" s="17" t="n">
        <f aca="false">AVERAGE(B1774:B1823)</f>
        <v>15180.3858</v>
      </c>
      <c r="E1823" s="17" t="n">
        <f aca="false">AVERAGE(B1624:B1823)</f>
        <v>13557.40095</v>
      </c>
      <c r="F1823" s="17" t="n">
        <f aca="false">B1823*2/13+F1822*11/13</f>
        <v>14847.0984753887</v>
      </c>
      <c r="G1823" s="17" t="n">
        <f aca="false">B1823*2/27+G1822*25/27</f>
        <v>15002.6507999235</v>
      </c>
      <c r="H1823" s="17" t="n">
        <f aca="false">F1823-G1823</f>
        <v>-155.552324534779</v>
      </c>
      <c r="I1823" s="17" t="n">
        <f aca="false">H1823*2/10+I1822*8/10</f>
        <v>-97.2042843397238</v>
      </c>
      <c r="J1823" s="17" t="n">
        <f aca="false">H1823-I1823</f>
        <v>-58.3480401950557</v>
      </c>
      <c r="K1823" s="17" t="n">
        <f aca="false">MAX(B1823-B1822,0)</f>
        <v>12.4699999999993</v>
      </c>
      <c r="L1823" s="17" t="n">
        <f aca="false">MAX(B1822-B1823,0)</f>
        <v>0</v>
      </c>
      <c r="M1823" s="17" t="n">
        <f aca="false">(M1822*13+K1823)/14</f>
        <v>45.897875412513</v>
      </c>
      <c r="N1823" s="17" t="n">
        <f aca="false">(N1822*13+L1823)/14</f>
        <v>68.4564212101157</v>
      </c>
      <c r="O1823" s="17" t="n">
        <f aca="false">IF(N1823=0,100,100-100/(1+M1823/N1823))</f>
        <v>40.1365552218618</v>
      </c>
      <c r="P1823" s="17" t="n">
        <f aca="false">AVERAGE(B1804:B1823)+2*STDEV(B1804:B1823)</f>
        <v>15767.2308957541</v>
      </c>
      <c r="Q1823" s="17" t="n">
        <f aca="false">AVERAGE(B1804:B1823)-2*STDEV(B1804:B1823)</f>
        <v>14410.8171042459</v>
      </c>
      <c r="R1823" s="19" t="n">
        <f aca="false">B1823/B1803-1</f>
        <v>-0.050695210072595</v>
      </c>
      <c r="S1823" s="17" t="n">
        <f aca="false">STDEV(C1804:C1823)*SQRT(252)*100</f>
        <v>14.3120280293686</v>
      </c>
      <c r="T1823" s="19" t="n">
        <f aca="false">B1802/B1572-1</f>
        <v>0.38492921490616</v>
      </c>
      <c r="U1823" s="19" t="n">
        <f aca="false">B1823/MAX(B1572:B1823)-1</f>
        <v>-0.0710867445009422</v>
      </c>
      <c r="V1823" s="17" t="n">
        <f aca="false">(B1823-AVERAGE(B1804:B1823))/STDEV(B1804:B1823)</f>
        <v>-1.10227130493678</v>
      </c>
    </row>
    <row r="1824" customFormat="false" ht="15" hidden="false" customHeight="false" outlineLevel="0" collapsed="false">
      <c r="A1824" s="17" t="s">
        <v>2388</v>
      </c>
      <c r="B1824" s="17" t="n">
        <v>14837.57</v>
      </c>
      <c r="C1824" s="19" t="n">
        <f aca="false">B1824/B1823-1</f>
        <v>0.00831315017627987</v>
      </c>
      <c r="D1824" s="17" t="n">
        <f aca="false">AVERAGE(B1775:B1824)</f>
        <v>15168.6238</v>
      </c>
      <c r="E1824" s="17" t="n">
        <f aca="false">AVERAGE(B1625:B1824)</f>
        <v>13572.41775</v>
      </c>
      <c r="F1824" s="17" t="n">
        <f aca="false">B1824*2/13+F1823*11/13</f>
        <v>14845.6325560981</v>
      </c>
      <c r="G1824" s="17" t="n">
        <f aca="false">B1824*2/27+G1823*25/27</f>
        <v>14990.4225925217</v>
      </c>
      <c r="H1824" s="17" t="n">
        <f aca="false">F1824-G1824</f>
        <v>-144.790036423607</v>
      </c>
      <c r="I1824" s="17" t="n">
        <f aca="false">H1824*2/10+I1823*8/10</f>
        <v>-106.7214347565</v>
      </c>
      <c r="J1824" s="17" t="n">
        <f aca="false">H1824-I1824</f>
        <v>-38.0686016671063</v>
      </c>
      <c r="K1824" s="17" t="n">
        <f aca="false">MAX(B1824-B1823,0)</f>
        <v>122.33</v>
      </c>
      <c r="L1824" s="17" t="n">
        <f aca="false">MAX(B1823-B1824,0)</f>
        <v>0</v>
      </c>
      <c r="M1824" s="17" t="n">
        <f aca="false">(M1823*13+K1824)/14</f>
        <v>51.3573128830478</v>
      </c>
      <c r="N1824" s="17" t="n">
        <f aca="false">(N1823*13+L1824)/14</f>
        <v>63.5666768379646</v>
      </c>
      <c r="O1824" s="17" t="n">
        <f aca="false">IF(N1824=0,100,100-100/(1+M1824/N1824))</f>
        <v>44.6880699214515</v>
      </c>
      <c r="P1824" s="17" t="n">
        <f aca="false">AVERAGE(B1805:B1824)+2*STDEV(B1805:B1824)</f>
        <v>15715.7450785813</v>
      </c>
      <c r="Q1824" s="17" t="n">
        <f aca="false">AVERAGE(B1805:B1824)-2*STDEV(B1805:B1824)</f>
        <v>14396.9739214187</v>
      </c>
      <c r="R1824" s="19" t="n">
        <f aca="false">B1824/B1804-1</f>
        <v>-0.0421726101714173</v>
      </c>
      <c r="S1824" s="17" t="n">
        <f aca="false">STDEV(C1805:C1824)*SQRT(252)*100</f>
        <v>14.8155026101212</v>
      </c>
      <c r="T1824" s="19" t="n">
        <f aca="false">B1803/B1573-1</f>
        <v>0.412884802237126</v>
      </c>
      <c r="U1824" s="19" t="n">
        <f aca="false">B1824/MAX(B1573:B1824)-1</f>
        <v>-0.0633645491072415</v>
      </c>
      <c r="V1824" s="17" t="n">
        <f aca="false">(B1824-AVERAGE(B1805:B1824))/STDEV(B1805:B1824)</f>
        <v>-0.663616272805731</v>
      </c>
    </row>
    <row r="1825" customFormat="false" ht="15" hidden="false" customHeight="false" outlineLevel="0" collapsed="false">
      <c r="A1825" s="17" t="s">
        <v>2389</v>
      </c>
      <c r="B1825" s="17" t="n">
        <v>14565.62</v>
      </c>
      <c r="C1825" s="19" t="n">
        <f aca="false">B1825/B1824-1</f>
        <v>-0.0183284729238008</v>
      </c>
      <c r="D1825" s="17" t="n">
        <f aca="false">AVERAGE(B1776:B1825)</f>
        <v>15150.9758</v>
      </c>
      <c r="E1825" s="17" t="n">
        <f aca="false">AVERAGE(B1626:B1825)</f>
        <v>13586.54125</v>
      </c>
      <c r="F1825" s="17" t="n">
        <f aca="false">B1825*2/13+F1824*11/13</f>
        <v>14802.5537013138</v>
      </c>
      <c r="G1825" s="17" t="n">
        <f aca="false">B1825*2/27+G1824*25/27</f>
        <v>14958.9557338164</v>
      </c>
      <c r="H1825" s="17" t="n">
        <f aca="false">F1825-G1825</f>
        <v>-156.402032502619</v>
      </c>
      <c r="I1825" s="17" t="n">
        <f aca="false">H1825*2/10+I1824*8/10</f>
        <v>-116.657554305724</v>
      </c>
      <c r="J1825" s="17" t="n">
        <f aca="false">H1825-I1825</f>
        <v>-39.7444781968953</v>
      </c>
      <c r="K1825" s="17" t="n">
        <f aca="false">MAX(B1825-B1824,0)</f>
        <v>0</v>
      </c>
      <c r="L1825" s="17" t="n">
        <f aca="false">MAX(B1824-B1825,0)</f>
        <v>271.949999999999</v>
      </c>
      <c r="M1825" s="17" t="n">
        <f aca="false">(M1824*13+K1825)/14</f>
        <v>47.6889333914015</v>
      </c>
      <c r="N1825" s="17" t="n">
        <f aca="false">(N1824*13+L1825)/14</f>
        <v>78.4511999209671</v>
      </c>
      <c r="O1825" s="17" t="n">
        <f aca="false">IF(N1825=0,100,100-100/(1+M1825/N1825))</f>
        <v>37.8063128198117</v>
      </c>
      <c r="P1825" s="17" t="n">
        <f aca="false">AVERAGE(B1806:B1825)+2*STDEV(B1806:B1825)</f>
        <v>15667.3681457568</v>
      </c>
      <c r="Q1825" s="17" t="n">
        <f aca="false">AVERAGE(B1806:B1825)-2*STDEV(B1806:B1825)</f>
        <v>14351.0888542432</v>
      </c>
      <c r="R1825" s="19" t="n">
        <f aca="false">B1825/B1805-1</f>
        <v>-0.0607818811161034</v>
      </c>
      <c r="S1825" s="17" t="n">
        <f aca="false">STDEV(C1806:C1825)*SQRT(252)*100</f>
        <v>15.8268622677151</v>
      </c>
      <c r="T1825" s="19" t="n">
        <f aca="false">B1804/B1574-1</f>
        <v>0.379450797125131</v>
      </c>
      <c r="U1825" s="19" t="n">
        <f aca="false">B1825/MAX(B1574:B1825)-1</f>
        <v>-0.0805316466084014</v>
      </c>
      <c r="V1825" s="17" t="n">
        <f aca="false">(B1825-AVERAGE(B1806:B1825))/STDEV(B1806:B1825)</f>
        <v>-1.34806800611415</v>
      </c>
    </row>
    <row r="1826" customFormat="false" ht="15" hidden="false" customHeight="false" outlineLevel="0" collapsed="false">
      <c r="A1826" s="17" t="s">
        <v>2390</v>
      </c>
      <c r="B1826" s="17" t="n">
        <v>14776.25</v>
      </c>
      <c r="C1826" s="19" t="n">
        <f aca="false">B1826/B1825-1</f>
        <v>0.0144607644576749</v>
      </c>
      <c r="D1826" s="17" t="n">
        <f aca="false">AVERAGE(B1777:B1826)</f>
        <v>15135.2724</v>
      </c>
      <c r="E1826" s="17" t="n">
        <f aca="false">AVERAGE(B1627:B1826)</f>
        <v>13603.6964</v>
      </c>
      <c r="F1826" s="17" t="n">
        <f aca="false">B1826*2/13+F1825*11/13</f>
        <v>14798.5069780347</v>
      </c>
      <c r="G1826" s="17" t="n">
        <f aca="false">B1826*2/27+G1825*25/27</f>
        <v>14945.4219757559</v>
      </c>
      <c r="H1826" s="17" t="n">
        <f aca="false">F1826-G1826</f>
        <v>-146.914997721187</v>
      </c>
      <c r="I1826" s="17" t="n">
        <f aca="false">H1826*2/10+I1825*8/10</f>
        <v>-122.709042988817</v>
      </c>
      <c r="J1826" s="17" t="n">
        <f aca="false">H1826-I1826</f>
        <v>-24.2059547323705</v>
      </c>
      <c r="K1826" s="17" t="n">
        <f aca="false">MAX(B1826-B1825,0)</f>
        <v>210.629999999999</v>
      </c>
      <c r="L1826" s="17" t="n">
        <f aca="false">MAX(B1825-B1826,0)</f>
        <v>0</v>
      </c>
      <c r="M1826" s="17" t="n">
        <f aca="false">(M1825*13+K1826)/14</f>
        <v>59.3275810063014</v>
      </c>
      <c r="N1826" s="17" t="n">
        <f aca="false">(N1825*13+L1826)/14</f>
        <v>72.8475427837551</v>
      </c>
      <c r="O1826" s="17" t="n">
        <f aca="false">IF(N1826=0,100,100-100/(1+M1826/N1826))</f>
        <v>44.8855876242913</v>
      </c>
      <c r="P1826" s="17" t="n">
        <f aca="false">AVERAGE(B1807:B1826)+2*STDEV(B1807:B1826)</f>
        <v>15622.2952058949</v>
      </c>
      <c r="Q1826" s="17" t="n">
        <f aca="false">AVERAGE(B1807:B1826)-2*STDEV(B1807:B1826)</f>
        <v>14336.6427941051</v>
      </c>
      <c r="R1826" s="19" t="n">
        <f aca="false">B1826/B1806-1</f>
        <v>-0.0387205102449738</v>
      </c>
      <c r="S1826" s="17" t="n">
        <f aca="false">STDEV(C1807:C1826)*SQRT(252)*100</f>
        <v>16.8329989475422</v>
      </c>
      <c r="T1826" s="19" t="n">
        <f aca="false">B1805/B1575-1</f>
        <v>0.338932565741193</v>
      </c>
      <c r="U1826" s="19" t="n">
        <f aca="false">B1826/MAX(B1575:B1826)-1</f>
        <v>-0.0672354313237192</v>
      </c>
      <c r="V1826" s="17" t="n">
        <f aca="false">(B1826-AVERAGE(B1807:B1826))/STDEV(B1807:B1826)</f>
        <v>-0.632267316224563</v>
      </c>
    </row>
    <row r="1827" customFormat="false" ht="15" hidden="false" customHeight="false" outlineLevel="0" collapsed="false">
      <c r="A1827" s="17" t="s">
        <v>2391</v>
      </c>
      <c r="B1827" s="17" t="n">
        <v>14723.22</v>
      </c>
      <c r="C1827" s="19" t="n">
        <f aca="false">B1827/B1826-1</f>
        <v>-0.00358886727011254</v>
      </c>
      <c r="D1827" s="17" t="n">
        <f aca="false">AVERAGE(B1778:B1827)</f>
        <v>15119.7516</v>
      </c>
      <c r="E1827" s="17" t="n">
        <f aca="false">AVERAGE(B1628:B1827)</f>
        <v>13621.0939</v>
      </c>
      <c r="F1827" s="17" t="n">
        <f aca="false">B1827*2/13+F1826*11/13</f>
        <v>14786.9243660294</v>
      </c>
      <c r="G1827" s="17" t="n">
        <f aca="false">B1827*2/27+G1826*25/27</f>
        <v>14928.9625701444</v>
      </c>
      <c r="H1827" s="17" t="n">
        <f aca="false">F1827-G1827</f>
        <v>-142.038204114982</v>
      </c>
      <c r="I1827" s="17" t="n">
        <f aca="false">H1827*2/10+I1826*8/10</f>
        <v>-126.57487521405</v>
      </c>
      <c r="J1827" s="17" t="n">
        <f aca="false">H1827-I1827</f>
        <v>-15.4633289009325</v>
      </c>
      <c r="K1827" s="17" t="n">
        <f aca="false">MAX(B1827-B1826,0)</f>
        <v>0</v>
      </c>
      <c r="L1827" s="17" t="n">
        <f aca="false">MAX(B1826-B1827,0)</f>
        <v>53.0300000000007</v>
      </c>
      <c r="M1827" s="17" t="n">
        <f aca="false">(M1826*13+K1827)/14</f>
        <v>55.0898966487084</v>
      </c>
      <c r="N1827" s="17" t="n">
        <f aca="false">(N1826*13+L1827)/14</f>
        <v>71.432004013487</v>
      </c>
      <c r="O1827" s="17" t="n">
        <f aca="false">IF(N1827=0,100,100-100/(1+M1827/N1827))</f>
        <v>43.5417871217368</v>
      </c>
      <c r="P1827" s="17" t="n">
        <f aca="false">AVERAGE(B1808:B1827)+2*STDEV(B1808:B1827)</f>
        <v>15591.1705934598</v>
      </c>
      <c r="Q1827" s="17" t="n">
        <f aca="false">AVERAGE(B1808:B1827)-2*STDEV(B1808:B1827)</f>
        <v>14314.2374065402</v>
      </c>
      <c r="R1827" s="19" t="n">
        <f aca="false">B1827/B1807-1</f>
        <v>-0.035082039411424</v>
      </c>
      <c r="S1827" s="17" t="n">
        <f aca="false">STDEV(C1808:C1827)*SQRT(252)*100</f>
        <v>16.7248185761769</v>
      </c>
      <c r="T1827" s="19" t="n">
        <f aca="false">B1806/B1576-1</f>
        <v>0.328195016408628</v>
      </c>
      <c r="U1827" s="19" t="n">
        <f aca="false">B1827/MAX(B1576:B1827)-1</f>
        <v>-0.0705829995549623</v>
      </c>
      <c r="V1827" s="17" t="n">
        <f aca="false">(B1827-AVERAGE(B1808:B1827))/STDEV(B1808:B1827)</f>
        <v>-0.718859850619381</v>
      </c>
    </row>
    <row r="1828" customFormat="false" ht="15" hidden="false" customHeight="false" outlineLevel="0" collapsed="false">
      <c r="A1828" s="17" t="s">
        <v>2392</v>
      </c>
      <c r="B1828" s="17" t="n">
        <v>14973.24</v>
      </c>
      <c r="C1828" s="19" t="n">
        <f aca="false">B1828/B1827-1</f>
        <v>0.0169813396797711</v>
      </c>
      <c r="D1828" s="17" t="n">
        <f aca="false">AVERAGE(B1779:B1828)</f>
        <v>15109.9178</v>
      </c>
      <c r="E1828" s="17" t="n">
        <f aca="false">AVERAGE(B1629:B1828)</f>
        <v>13640.53715</v>
      </c>
      <c r="F1828" s="17" t="n">
        <f aca="false">B1828*2/13+F1827*11/13</f>
        <v>14815.5883097172</v>
      </c>
      <c r="G1828" s="17" t="n">
        <f aca="false">B1828*2/27+G1827*25/27</f>
        <v>14932.2423797633</v>
      </c>
      <c r="H1828" s="17" t="n">
        <f aca="false">F1828-G1828</f>
        <v>-116.65407004613</v>
      </c>
      <c r="I1828" s="17" t="n">
        <f aca="false">H1828*2/10+I1827*8/10</f>
        <v>-124.590714180466</v>
      </c>
      <c r="J1828" s="17" t="n">
        <f aca="false">H1828-I1828</f>
        <v>7.93664413433586</v>
      </c>
      <c r="K1828" s="17" t="n">
        <f aca="false">MAX(B1828-B1827,0)</f>
        <v>250.02</v>
      </c>
      <c r="L1828" s="17" t="n">
        <f aca="false">MAX(B1827-B1828,0)</f>
        <v>0</v>
      </c>
      <c r="M1828" s="17" t="n">
        <f aca="false">(M1827*13+K1828)/14</f>
        <v>69.013475459515</v>
      </c>
      <c r="N1828" s="17" t="n">
        <f aca="false">(N1827*13+L1828)/14</f>
        <v>66.3297180125236</v>
      </c>
      <c r="O1828" s="17" t="n">
        <f aca="false">IF(N1828=0,100,100-100/(1+M1828/N1828))</f>
        <v>50.9914637663496</v>
      </c>
      <c r="P1828" s="17" t="n">
        <f aca="false">AVERAGE(B1809:B1828)+2*STDEV(B1809:B1828)</f>
        <v>15557.1548686579</v>
      </c>
      <c r="Q1828" s="17" t="n">
        <f aca="false">AVERAGE(B1809:B1828)-2*STDEV(B1809:B1828)</f>
        <v>14317.5541313421</v>
      </c>
      <c r="R1828" s="19" t="n">
        <f aca="false">B1828/B1808-1</f>
        <v>-0.0200906661745275</v>
      </c>
      <c r="S1828" s="17" t="n">
        <f aca="false">STDEV(C1809:C1828)*SQRT(252)*100</f>
        <v>17.978777966994</v>
      </c>
      <c r="T1828" s="19" t="n">
        <f aca="false">B1807/B1577-1</f>
        <v>0.328502894954508</v>
      </c>
      <c r="U1828" s="19" t="n">
        <f aca="false">B1828/MAX(B1577:B1828)-1</f>
        <v>-0.054800253766251</v>
      </c>
      <c r="V1828" s="17" t="n">
        <f aca="false">(B1828-AVERAGE(B1809:B1828))/STDEV(B1809:B1828)</f>
        <v>0.115796962424228</v>
      </c>
    </row>
    <row r="1829" customFormat="false" ht="15" hidden="false" customHeight="false" outlineLevel="0" collapsed="false">
      <c r="A1829" s="17" t="s">
        <v>2393</v>
      </c>
      <c r="B1829" s="17" t="n">
        <v>15047.15</v>
      </c>
      <c r="C1829" s="19" t="n">
        <f aca="false">B1829/B1828-1</f>
        <v>0.00493613940603366</v>
      </c>
      <c r="D1829" s="17" t="n">
        <f aca="false">AVERAGE(B1780:B1829)</f>
        <v>15095.8422</v>
      </c>
      <c r="E1829" s="17" t="n">
        <f aca="false">AVERAGE(B1630:B1829)</f>
        <v>13660.4108</v>
      </c>
      <c r="F1829" s="17" t="n">
        <f aca="false">B1829*2/13+F1828*11/13</f>
        <v>14851.2131851453</v>
      </c>
      <c r="G1829" s="17" t="n">
        <f aca="false">B1829*2/27+G1828*25/27</f>
        <v>14940.7540553364</v>
      </c>
      <c r="H1829" s="17" t="n">
        <f aca="false">F1829-G1829</f>
        <v>-89.5408701910928</v>
      </c>
      <c r="I1829" s="17" t="n">
        <f aca="false">H1829*2/10+I1828*8/10</f>
        <v>-117.580745382591</v>
      </c>
      <c r="J1829" s="17" t="n">
        <f aca="false">H1829-I1829</f>
        <v>28.0398751914985</v>
      </c>
      <c r="K1829" s="17" t="n">
        <f aca="false">MAX(B1829-B1828,0)</f>
        <v>73.9099999999999</v>
      </c>
      <c r="L1829" s="17" t="n">
        <f aca="false">MAX(B1828-B1829,0)</f>
        <v>0</v>
      </c>
      <c r="M1829" s="17" t="n">
        <f aca="false">(M1828*13+K1829)/14</f>
        <v>69.3632272124068</v>
      </c>
      <c r="N1829" s="17" t="n">
        <f aca="false">(N1828*13+L1829)/14</f>
        <v>61.5918810116291</v>
      </c>
      <c r="O1829" s="17" t="n">
        <f aca="false">IF(N1829=0,100,100-100/(1+M1829/N1829))</f>
        <v>52.9671794808808</v>
      </c>
      <c r="P1829" s="17" t="n">
        <f aca="false">AVERAGE(B1810:B1829)+2*STDEV(B1810:B1829)</f>
        <v>15488.423264041</v>
      </c>
      <c r="Q1829" s="17" t="n">
        <f aca="false">AVERAGE(B1810:B1829)-2*STDEV(B1810:B1829)</f>
        <v>14344.813735959</v>
      </c>
      <c r="R1829" s="19" t="n">
        <f aca="false">B1829/B1809-1</f>
        <v>-0.026822111426367</v>
      </c>
      <c r="S1829" s="17" t="n">
        <f aca="false">STDEV(C1810:C1829)*SQRT(252)*100</f>
        <v>17.4828045073112</v>
      </c>
      <c r="T1829" s="19" t="n">
        <f aca="false">B1808/B1578-1</f>
        <v>0.384145253350025</v>
      </c>
      <c r="U1829" s="19" t="n">
        <f aca="false">B1829/MAX(B1578:B1829)-1</f>
        <v>-0.0501346160522935</v>
      </c>
      <c r="V1829" s="17" t="n">
        <f aca="false">(B1829-AVERAGE(B1810:B1829))/STDEV(B1810:B1829)</f>
        <v>0.456559679837282</v>
      </c>
    </row>
    <row r="1830" customFormat="false" ht="15" hidden="false" customHeight="false" outlineLevel="0" collapsed="false">
      <c r="A1830" s="17" t="s">
        <v>2394</v>
      </c>
      <c r="B1830" s="17" t="n">
        <v>15131.52</v>
      </c>
      <c r="C1830" s="19" t="n">
        <f aca="false">B1830/B1829-1</f>
        <v>0.00560704186507088</v>
      </c>
      <c r="D1830" s="17" t="n">
        <f aca="false">AVERAGE(B1781:B1830)</f>
        <v>15083.3326</v>
      </c>
      <c r="E1830" s="17" t="n">
        <f aca="false">AVERAGE(B1631:B1830)</f>
        <v>13679.889</v>
      </c>
      <c r="F1830" s="17" t="n">
        <f aca="false">B1830*2/13+F1829*11/13</f>
        <v>14894.3373105076</v>
      </c>
      <c r="G1830" s="17" t="n">
        <f aca="false">B1830*2/27+G1829*25/27</f>
        <v>14954.8848660522</v>
      </c>
      <c r="H1830" s="17" t="n">
        <f aca="false">F1830-G1830</f>
        <v>-60.5475555446537</v>
      </c>
      <c r="I1830" s="17" t="n">
        <f aca="false">H1830*2/10+I1829*8/10</f>
        <v>-106.174107415004</v>
      </c>
      <c r="J1830" s="17" t="n">
        <f aca="false">H1830-I1830</f>
        <v>45.6265518703501</v>
      </c>
      <c r="K1830" s="17" t="n">
        <f aca="false">MAX(B1830-B1829,0)</f>
        <v>84.3700000000008</v>
      </c>
      <c r="L1830" s="17" t="n">
        <f aca="false">MAX(B1829-B1830,0)</f>
        <v>0</v>
      </c>
      <c r="M1830" s="17" t="n">
        <f aca="false">(M1829*13+K1830)/14</f>
        <v>70.4351395543778</v>
      </c>
      <c r="N1830" s="17" t="n">
        <f aca="false">(N1829*13+L1830)/14</f>
        <v>57.1924609393698</v>
      </c>
      <c r="O1830" s="17" t="n">
        <f aca="false">IF(N1830=0,100,100-100/(1+M1830/N1830))</f>
        <v>55.1880151956851</v>
      </c>
      <c r="P1830" s="17" t="n">
        <f aca="false">AVERAGE(B1811:B1830)+2*STDEV(B1811:B1830)</f>
        <v>15462.8829598405</v>
      </c>
      <c r="Q1830" s="17" t="n">
        <f aca="false">AVERAGE(B1811:B1830)-2*STDEV(B1811:B1830)</f>
        <v>14354.5320401595</v>
      </c>
      <c r="R1830" s="19" t="n">
        <f aca="false">B1830/B1810-1</f>
        <v>-0.0103481157952979</v>
      </c>
      <c r="S1830" s="17" t="n">
        <f aca="false">STDEV(C1811:C1830)*SQRT(252)*100</f>
        <v>17.2423331999349</v>
      </c>
      <c r="T1830" s="19" t="n">
        <f aca="false">B1809/B1579-1</f>
        <v>0.415018985134946</v>
      </c>
      <c r="U1830" s="19" t="n">
        <f aca="false">B1830/MAX(B1579:B1830)-1</f>
        <v>-0.0448086810783172</v>
      </c>
      <c r="V1830" s="17" t="n">
        <f aca="false">(B1830-AVERAGE(B1811:B1830))/STDEV(B1811:B1830)</f>
        <v>0.804122579026191</v>
      </c>
    </row>
    <row r="1831" customFormat="false" ht="15" hidden="false" customHeight="false" outlineLevel="0" collapsed="false">
      <c r="A1831" s="17" t="s">
        <v>2395</v>
      </c>
      <c r="B1831" s="17" t="n">
        <v>15241.12</v>
      </c>
      <c r="C1831" s="19" t="n">
        <f aca="false">B1831/B1830-1</f>
        <v>0.00724315865160929</v>
      </c>
      <c r="D1831" s="17" t="n">
        <f aca="false">AVERAGE(B1782:B1831)</f>
        <v>15073.7948</v>
      </c>
      <c r="E1831" s="17" t="n">
        <f aca="false">AVERAGE(B1632:B1831)</f>
        <v>13701.3139</v>
      </c>
      <c r="F1831" s="17" t="n">
        <f aca="false">B1831*2/13+F1830*11/13</f>
        <v>14947.6884935064</v>
      </c>
      <c r="G1831" s="17" t="n">
        <f aca="false">B1831*2/27+G1830*25/27</f>
        <v>14976.0874685669</v>
      </c>
      <c r="H1831" s="17" t="n">
        <f aca="false">F1831-G1831</f>
        <v>-28.3989750604687</v>
      </c>
      <c r="I1831" s="17" t="n">
        <f aca="false">H1831*2/10+I1830*8/10</f>
        <v>-90.6190809440968</v>
      </c>
      <c r="J1831" s="17" t="n">
        <f aca="false">H1831-I1831</f>
        <v>62.2201058836281</v>
      </c>
      <c r="K1831" s="17" t="n">
        <f aca="false">MAX(B1831-B1830,0)</f>
        <v>109.6</v>
      </c>
      <c r="L1831" s="17" t="n">
        <f aca="false">MAX(B1830-B1831,0)</f>
        <v>0</v>
      </c>
      <c r="M1831" s="17" t="n">
        <f aca="false">(M1830*13+K1831)/14</f>
        <v>73.232629586208</v>
      </c>
      <c r="N1831" s="17" t="n">
        <f aca="false">(N1830*13+L1831)/14</f>
        <v>53.1072851579863</v>
      </c>
      <c r="O1831" s="17" t="n">
        <f aca="false">IF(N1831=0,100,100-100/(1+M1831/N1831))</f>
        <v>57.9647609660693</v>
      </c>
      <c r="P1831" s="17" t="n">
        <f aca="false">AVERAGE(B1812:B1831)+2*STDEV(B1812:B1831)</f>
        <v>15441.413884473</v>
      </c>
      <c r="Q1831" s="17" t="n">
        <f aca="false">AVERAGE(B1812:B1831)-2*STDEV(B1812:B1831)</f>
        <v>14365.260115527</v>
      </c>
      <c r="R1831" s="19" t="n">
        <f aca="false">B1831/B1811-1</f>
        <v>-0.0069980643097417</v>
      </c>
      <c r="S1831" s="17" t="n">
        <f aca="false">STDEV(C1812:C1831)*SQRT(252)*100</f>
        <v>17.3964613454197</v>
      </c>
      <c r="T1831" s="19" t="n">
        <f aca="false">B1810/B1580-1</f>
        <v>0.416851459733953</v>
      </c>
      <c r="U1831" s="19" t="n">
        <f aca="false">B1831/MAX(B1580:B1831)-1</f>
        <v>-0.0378900788127274</v>
      </c>
      <c r="V1831" s="17" t="n">
        <f aca="false">(B1831-AVERAGE(B1812:B1831))/STDEV(B1812:B1831)</f>
        <v>1.25551946105549</v>
      </c>
    </row>
    <row r="1832" customFormat="false" ht="15" hidden="false" customHeight="false" outlineLevel="0" collapsed="false">
      <c r="A1832" s="17" t="s">
        <v>2396</v>
      </c>
      <c r="B1832" s="17" t="n">
        <v>15184.1</v>
      </c>
      <c r="C1832" s="19" t="n">
        <f aca="false">B1832/B1831-1</f>
        <v>-0.00374119487281777</v>
      </c>
      <c r="D1832" s="17" t="n">
        <f aca="false">AVERAGE(B1783:B1832)</f>
        <v>15070.062</v>
      </c>
      <c r="E1832" s="17" t="n">
        <f aca="false">AVERAGE(B1633:B1832)</f>
        <v>13722.30715</v>
      </c>
      <c r="F1832" s="17" t="n">
        <f aca="false">B1832*2/13+F1831*11/13</f>
        <v>14984.0594945054</v>
      </c>
      <c r="G1832" s="17" t="n">
        <f aca="false">B1832*2/27+G1831*25/27</f>
        <v>14991.4958042286</v>
      </c>
      <c r="H1832" s="17" t="n">
        <f aca="false">F1832-G1832</f>
        <v>-7.43630972316714</v>
      </c>
      <c r="I1832" s="17" t="n">
        <f aca="false">H1832*2/10+I1831*8/10</f>
        <v>-73.9825266999109</v>
      </c>
      <c r="J1832" s="17" t="n">
        <f aca="false">H1832-I1832</f>
        <v>66.5462169767437</v>
      </c>
      <c r="K1832" s="17" t="n">
        <f aca="false">MAX(B1832-B1831,0)</f>
        <v>0</v>
      </c>
      <c r="L1832" s="17" t="n">
        <f aca="false">MAX(B1831-B1832,0)</f>
        <v>57.0200000000004</v>
      </c>
      <c r="M1832" s="17" t="n">
        <f aca="false">(M1831*13+K1832)/14</f>
        <v>68.0017274729074</v>
      </c>
      <c r="N1832" s="17" t="n">
        <f aca="false">(N1831*13+L1832)/14</f>
        <v>53.3867647895587</v>
      </c>
      <c r="O1832" s="17" t="n">
        <f aca="false">IF(N1832=0,100,100-100/(1+M1832/N1832))</f>
        <v>56.0199127655973</v>
      </c>
      <c r="P1832" s="17" t="n">
        <f aca="false">AVERAGE(B1813:B1832)+2*STDEV(B1813:B1832)</f>
        <v>15375.3711963505</v>
      </c>
      <c r="Q1832" s="17" t="n">
        <f aca="false">AVERAGE(B1813:B1832)-2*STDEV(B1813:B1832)</f>
        <v>14402.3238036495</v>
      </c>
      <c r="R1832" s="19" t="n">
        <f aca="false">B1832/B1812-1</f>
        <v>-0.0187276761047157</v>
      </c>
      <c r="S1832" s="17" t="n">
        <f aca="false">STDEV(C1813:C1832)*SQRT(252)*100</f>
        <v>17.1399222174942</v>
      </c>
      <c r="T1832" s="19" t="n">
        <f aca="false">B1811/B1581-1</f>
        <v>0.423054956506905</v>
      </c>
      <c r="U1832" s="19" t="n">
        <f aca="false">B1832/MAX(B1581:B1832)-1</f>
        <v>-0.0414895195169603</v>
      </c>
      <c r="V1832" s="17" t="n">
        <f aca="false">(B1832-AVERAGE(B1813:B1832))/STDEV(B1813:B1832)</f>
        <v>1.21372299937191</v>
      </c>
    </row>
    <row r="1833" customFormat="false" ht="15" hidden="false" customHeight="false" outlineLevel="0" collapsed="false">
      <c r="A1833" s="17" t="s">
        <v>2397</v>
      </c>
      <c r="B1833" s="17" t="n">
        <v>14995.12</v>
      </c>
      <c r="C1833" s="19" t="n">
        <f aca="false">B1833/B1832-1</f>
        <v>-0.0124459138177435</v>
      </c>
      <c r="D1833" s="17" t="n">
        <f aca="false">AVERAGE(B1784:B1833)</f>
        <v>15062.8936</v>
      </c>
      <c r="E1833" s="17" t="n">
        <f aca="false">AVERAGE(B1634:B1833)</f>
        <v>13743.1702</v>
      </c>
      <c r="F1833" s="17" t="n">
        <f aca="false">B1833*2/13+F1832*11/13</f>
        <v>14985.7611107354</v>
      </c>
      <c r="G1833" s="17" t="n">
        <f aca="false">B1833*2/27+G1832*25/27</f>
        <v>14991.7642631746</v>
      </c>
      <c r="H1833" s="17" t="n">
        <f aca="false">F1833-G1833</f>
        <v>-6.00315243926343</v>
      </c>
      <c r="I1833" s="17" t="n">
        <f aca="false">H1833*2/10+I1832*8/10</f>
        <v>-60.3866518477814</v>
      </c>
      <c r="J1833" s="17" t="n">
        <f aca="false">H1833-I1833</f>
        <v>54.3834994085179</v>
      </c>
      <c r="K1833" s="17" t="n">
        <f aca="false">MAX(B1833-B1832,0)</f>
        <v>0</v>
      </c>
      <c r="L1833" s="17" t="n">
        <f aca="false">MAX(B1832-B1833,0)</f>
        <v>188.98</v>
      </c>
      <c r="M1833" s="17" t="n">
        <f aca="false">(M1832*13+K1833)/14</f>
        <v>63.1444612248426</v>
      </c>
      <c r="N1833" s="17" t="n">
        <f aca="false">(N1832*13+L1833)/14</f>
        <v>63.0719958760188</v>
      </c>
      <c r="O1833" s="17" t="n">
        <f aca="false">IF(N1833=0,100,100-100/(1+M1833/N1833))</f>
        <v>50.0287067750467</v>
      </c>
      <c r="P1833" s="17" t="n">
        <f aca="false">AVERAGE(B1814:B1833)+2*STDEV(B1814:B1833)</f>
        <v>15345.3161946686</v>
      </c>
      <c r="Q1833" s="17" t="n">
        <f aca="false">AVERAGE(B1814:B1833)-2*STDEV(B1814:B1833)</f>
        <v>14411.6508053314</v>
      </c>
      <c r="R1833" s="19" t="n">
        <f aca="false">B1833/B1813-1</f>
        <v>-0.0136346892595905</v>
      </c>
      <c r="S1833" s="17" t="n">
        <f aca="false">STDEV(C1814:C1833)*SQRT(252)*100</f>
        <v>16.5687740502452</v>
      </c>
      <c r="T1833" s="19" t="n">
        <f aca="false">B1812/B1582-1</f>
        <v>0.402436018046726</v>
      </c>
      <c r="U1833" s="19" t="n">
        <f aca="false">B1833/MAX(B1582:B1833)-1</f>
        <v>-0.0534190583504562</v>
      </c>
      <c r="V1833" s="17" t="n">
        <f aca="false">(B1833-AVERAGE(B1814:B1833))/STDEV(B1814:B1833)</f>
        <v>0.499692936386097</v>
      </c>
    </row>
    <row r="1834" customFormat="false" ht="15" hidden="false" customHeight="false" outlineLevel="0" collapsed="false">
      <c r="A1834" s="17" t="s">
        <v>2398</v>
      </c>
      <c r="B1834" s="17" t="n">
        <v>15172.73</v>
      </c>
      <c r="C1834" s="19" t="n">
        <f aca="false">B1834/B1833-1</f>
        <v>0.0118445200838673</v>
      </c>
      <c r="D1834" s="17" t="n">
        <f aca="false">AVERAGE(B1785:B1834)</f>
        <v>15060.8498</v>
      </c>
      <c r="E1834" s="17" t="n">
        <f aca="false">AVERAGE(B1635:B1834)</f>
        <v>13765.63715</v>
      </c>
      <c r="F1834" s="17" t="n">
        <f aca="false">B1834*2/13+F1833*11/13</f>
        <v>15014.5255552376</v>
      </c>
      <c r="G1834" s="17" t="n">
        <f aca="false">B1834*2/27+G1833*25/27</f>
        <v>15005.1691325691</v>
      </c>
      <c r="H1834" s="17" t="n">
        <f aca="false">F1834-G1834</f>
        <v>9.35642266851573</v>
      </c>
      <c r="I1834" s="17" t="n">
        <f aca="false">H1834*2/10+I1833*8/10</f>
        <v>-46.438036944522</v>
      </c>
      <c r="J1834" s="17" t="n">
        <f aca="false">H1834-I1834</f>
        <v>55.7944596130377</v>
      </c>
      <c r="K1834" s="17" t="n">
        <f aca="false">MAX(B1834-B1833,0)</f>
        <v>177.609999999999</v>
      </c>
      <c r="L1834" s="17" t="n">
        <f aca="false">MAX(B1833-B1834,0)</f>
        <v>0</v>
      </c>
      <c r="M1834" s="17" t="n">
        <f aca="false">(M1833*13+K1834)/14</f>
        <v>71.3205711373537</v>
      </c>
      <c r="N1834" s="17" t="n">
        <f aca="false">(N1833*13+L1834)/14</f>
        <v>58.566853313446</v>
      </c>
      <c r="O1834" s="17" t="n">
        <f aca="false">IF(N1834=0,100,100-100/(1+M1834/N1834))</f>
        <v>54.9095275689059</v>
      </c>
      <c r="P1834" s="17" t="n">
        <f aca="false">AVERAGE(B1815:B1834)+2*STDEV(B1815:B1834)</f>
        <v>15334.9794705233</v>
      </c>
      <c r="Q1834" s="17" t="n">
        <f aca="false">AVERAGE(B1815:B1834)-2*STDEV(B1815:B1834)</f>
        <v>14416.7235294767</v>
      </c>
      <c r="R1834" s="19" t="n">
        <f aca="false">B1834/B1814-1</f>
        <v>-0.00345738724247757</v>
      </c>
      <c r="S1834" s="17" t="n">
        <f aca="false">STDEV(C1815:C1834)*SQRT(252)*100</f>
        <v>17.1423228810593</v>
      </c>
      <c r="T1834" s="19" t="n">
        <f aca="false">B1813/B1583-1</f>
        <v>0.421840131836148</v>
      </c>
      <c r="U1834" s="19" t="n">
        <f aca="false">B1834/MAX(B1583:B1834)-1</f>
        <v>-0.0422072613760822</v>
      </c>
      <c r="V1834" s="17" t="n">
        <f aca="false">(B1834-AVERAGE(B1815:B1834))/STDEV(B1815:B1834)</f>
        <v>1.29322767968864</v>
      </c>
    </row>
    <row r="1835" customFormat="false" ht="15" hidden="false" customHeight="false" outlineLevel="0" collapsed="false">
      <c r="A1835" s="17" t="s">
        <v>2399</v>
      </c>
      <c r="B1835" s="17" t="n">
        <v>15122.01</v>
      </c>
      <c r="C1835" s="19" t="n">
        <f aca="false">B1835/B1834-1</f>
        <v>-0.00334283942309654</v>
      </c>
      <c r="D1835" s="17" t="n">
        <f aca="false">AVERAGE(B1786:B1835)</f>
        <v>15055.133</v>
      </c>
      <c r="E1835" s="17" t="n">
        <f aca="false">AVERAGE(B1636:B1835)</f>
        <v>13786.49195</v>
      </c>
      <c r="F1835" s="17" t="n">
        <f aca="false">B1835*2/13+F1834*11/13</f>
        <v>15031.0616236626</v>
      </c>
      <c r="G1835" s="17" t="n">
        <f aca="false">B1835*2/27+G1834*25/27</f>
        <v>15013.8240116381</v>
      </c>
      <c r="H1835" s="17" t="n">
        <f aca="false">F1835-G1835</f>
        <v>17.2376120245408</v>
      </c>
      <c r="I1835" s="17" t="n">
        <f aca="false">H1835*2/10+I1834*8/10</f>
        <v>-33.7029071507094</v>
      </c>
      <c r="J1835" s="17" t="n">
        <f aca="false">H1835-I1835</f>
        <v>50.9405191752502</v>
      </c>
      <c r="K1835" s="17" t="n">
        <f aca="false">MAX(B1835-B1834,0)</f>
        <v>0</v>
      </c>
      <c r="L1835" s="17" t="n">
        <f aca="false">MAX(B1834-B1835,0)</f>
        <v>50.7199999999993</v>
      </c>
      <c r="M1835" s="17" t="n">
        <f aca="false">(M1834*13+K1835)/14</f>
        <v>66.2262446275427</v>
      </c>
      <c r="N1835" s="17" t="n">
        <f aca="false">(N1834*13+L1835)/14</f>
        <v>58.006363791057</v>
      </c>
      <c r="O1835" s="17" t="n">
        <f aca="false">IF(N1835=0,100,100-100/(1+M1835/N1835))</f>
        <v>53.3082621950547</v>
      </c>
      <c r="P1835" s="17" t="n">
        <f aca="false">AVERAGE(B1816:B1835)+2*STDEV(B1816:B1835)</f>
        <v>15322.4627004523</v>
      </c>
      <c r="Q1835" s="17" t="n">
        <f aca="false">AVERAGE(B1816:B1835)-2*STDEV(B1816:B1835)</f>
        <v>14422.3182995477</v>
      </c>
      <c r="R1835" s="19" t="n">
        <f aca="false">B1835/B1815-1</f>
        <v>-0.00455657639308993</v>
      </c>
      <c r="S1835" s="17" t="n">
        <f aca="false">STDEV(C1816:C1835)*SQRT(252)*100</f>
        <v>17.1648508456811</v>
      </c>
      <c r="T1835" s="19" t="n">
        <f aca="false">B1814/B1584-1</f>
        <v>0.376300900426937</v>
      </c>
      <c r="U1835" s="19" t="n">
        <f aca="false">B1835/MAX(B1584:B1835)-1</f>
        <v>-0.0454090087019099</v>
      </c>
      <c r="V1835" s="17" t="n">
        <f aca="false">(B1835-AVERAGE(B1816:B1835))/STDEV(B1816:B1835)</f>
        <v>1.10924202716422</v>
      </c>
    </row>
    <row r="1836" customFormat="false" ht="15" hidden="false" customHeight="false" outlineLevel="0" collapsed="false">
      <c r="A1836" s="17" t="s">
        <v>2400</v>
      </c>
      <c r="B1836" s="17" t="n">
        <v>14909.26</v>
      </c>
      <c r="C1836" s="19" t="n">
        <f aca="false">B1836/B1835-1</f>
        <v>-0.0140688969257393</v>
      </c>
      <c r="D1836" s="17" t="n">
        <f aca="false">AVERAGE(B1787:B1836)</f>
        <v>15047.8572</v>
      </c>
      <c r="E1836" s="17" t="n">
        <f aca="false">AVERAGE(B1637:B1836)</f>
        <v>13806.33945</v>
      </c>
      <c r="F1836" s="17" t="n">
        <f aca="false">B1836*2/13+F1835*11/13</f>
        <v>15012.3229123299</v>
      </c>
      <c r="G1836" s="17" t="n">
        <f aca="false">B1836*2/27+G1835*25/27</f>
        <v>15006.0785292945</v>
      </c>
      <c r="H1836" s="17" t="n">
        <f aca="false">F1836-G1836</f>
        <v>6.24438303539318</v>
      </c>
      <c r="I1836" s="17" t="n">
        <f aca="false">H1836*2/10+I1835*8/10</f>
        <v>-25.7134491134889</v>
      </c>
      <c r="J1836" s="17" t="n">
        <f aca="false">H1836-I1836</f>
        <v>31.9578321488821</v>
      </c>
      <c r="K1836" s="17" t="n">
        <f aca="false">MAX(B1836-B1835,0)</f>
        <v>0</v>
      </c>
      <c r="L1836" s="17" t="n">
        <f aca="false">MAX(B1835-B1836,0)</f>
        <v>212.75</v>
      </c>
      <c r="M1836" s="17" t="n">
        <f aca="false">(M1835*13+K1836)/14</f>
        <v>61.4957985827183</v>
      </c>
      <c r="N1836" s="17" t="n">
        <f aca="false">(N1835*13+L1836)/14</f>
        <v>69.0594806631243</v>
      </c>
      <c r="O1836" s="17" t="n">
        <f aca="false">IF(N1836=0,100,100-100/(1+M1836/N1836))</f>
        <v>47.1032645619166</v>
      </c>
      <c r="P1836" s="17" t="n">
        <f aca="false">AVERAGE(B1817:B1836)+2*STDEV(B1817:B1836)</f>
        <v>15317.4756837946</v>
      </c>
      <c r="Q1836" s="17" t="n">
        <f aca="false">AVERAGE(B1817:B1836)-2*STDEV(B1817:B1836)</f>
        <v>14421.2393162054</v>
      </c>
      <c r="R1836" s="19" t="n">
        <f aca="false">B1836/B1816-1</f>
        <v>-0.00405212586306403</v>
      </c>
      <c r="S1836" s="17" t="n">
        <f aca="false">STDEV(C1817:C1836)*SQRT(252)*100</f>
        <v>17.1101311718165</v>
      </c>
      <c r="T1836" s="19" t="n">
        <f aca="false">B1815/B1585-1</f>
        <v>0.362718362645702</v>
      </c>
      <c r="U1836" s="19" t="n">
        <f aca="false">B1836/MAX(B1585:B1836)-1</f>
        <v>-0.0588390509647221</v>
      </c>
      <c r="V1836" s="17" t="n">
        <f aca="false">(B1836-AVERAGE(B1817:B1836))/STDEV(B1817:B1836)</f>
        <v>0.178089180234151</v>
      </c>
    </row>
    <row r="1837" customFormat="false" ht="15" hidden="false" customHeight="false" outlineLevel="0" collapsed="false">
      <c r="A1837" s="17" t="s">
        <v>2401</v>
      </c>
      <c r="B1837" s="17" t="n">
        <v>14783.13</v>
      </c>
      <c r="C1837" s="19" t="n">
        <f aca="false">B1837/B1836-1</f>
        <v>-0.00845984307738956</v>
      </c>
      <c r="D1837" s="17" t="n">
        <f aca="false">AVERAGE(B1788:B1837)</f>
        <v>15041.4856</v>
      </c>
      <c r="E1837" s="17" t="n">
        <f aca="false">AVERAGE(B1638:B1837)</f>
        <v>13825.9419</v>
      </c>
      <c r="F1837" s="17" t="n">
        <f aca="false">B1837*2/13+F1836*11/13</f>
        <v>14977.0624642791</v>
      </c>
      <c r="G1837" s="17" t="n">
        <f aca="false">B1837*2/27+G1836*25/27</f>
        <v>14989.5638234208</v>
      </c>
      <c r="H1837" s="17" t="n">
        <f aca="false">F1837-G1837</f>
        <v>-12.5013591416919</v>
      </c>
      <c r="I1837" s="17" t="n">
        <f aca="false">H1837*2/10+I1836*8/10</f>
        <v>-23.0710311191295</v>
      </c>
      <c r="J1837" s="17" t="n">
        <f aca="false">H1837-I1837</f>
        <v>10.5696719774376</v>
      </c>
      <c r="K1837" s="17" t="n">
        <f aca="false">MAX(B1837-B1836,0)</f>
        <v>0</v>
      </c>
      <c r="L1837" s="17" t="n">
        <f aca="false">MAX(B1836-B1837,0)</f>
        <v>126.130000000001</v>
      </c>
      <c r="M1837" s="17" t="n">
        <f aca="false">(M1836*13+K1837)/14</f>
        <v>57.1032415410955</v>
      </c>
      <c r="N1837" s="17" t="n">
        <f aca="false">(N1836*13+L1837)/14</f>
        <v>73.1359463300441</v>
      </c>
      <c r="O1837" s="17" t="n">
        <f aca="false">IF(N1837=0,100,100-100/(1+M1837/N1837))</f>
        <v>43.8448998911098</v>
      </c>
      <c r="P1837" s="17" t="n">
        <f aca="false">AVERAGE(B1818:B1837)+2*STDEV(B1818:B1837)</f>
        <v>15316.3356211836</v>
      </c>
      <c r="Q1837" s="17" t="n">
        <f aca="false">AVERAGE(B1818:B1837)-2*STDEV(B1818:B1837)</f>
        <v>14431.2683788164</v>
      </c>
      <c r="R1837" s="19" t="n">
        <f aca="false">B1837/B1817-1</f>
        <v>0.00604930911704171</v>
      </c>
      <c r="S1837" s="17" t="n">
        <f aca="false">STDEV(C1818:C1837)*SQRT(252)*100</f>
        <v>16.0312712098259</v>
      </c>
      <c r="T1837" s="19" t="n">
        <f aca="false">B1816/B1586-1</f>
        <v>0.348230899059566</v>
      </c>
      <c r="U1837" s="19" t="n">
        <f aca="false">B1837/MAX(B1586:B1837)-1</f>
        <v>-0.0668011249041276</v>
      </c>
      <c r="V1837" s="17" t="n">
        <f aca="false">(B1837-AVERAGE(B1818:B1837))/STDEV(B1818:B1837)</f>
        <v>-0.409785813595286</v>
      </c>
    </row>
    <row r="1838" customFormat="false" ht="15" hidden="false" customHeight="false" outlineLevel="0" collapsed="false">
      <c r="A1838" s="17" t="s">
        <v>2402</v>
      </c>
      <c r="B1838" s="17" t="n">
        <v>14560.88</v>
      </c>
      <c r="C1838" s="19" t="n">
        <f aca="false">B1838/B1837-1</f>
        <v>-0.0150340286529307</v>
      </c>
      <c r="D1838" s="17" t="n">
        <f aca="false">AVERAGE(B1789:B1838)</f>
        <v>15030.1264</v>
      </c>
      <c r="E1838" s="17" t="n">
        <f aca="false">AVERAGE(B1639:B1838)</f>
        <v>13844.1723</v>
      </c>
      <c r="F1838" s="17" t="n">
        <f aca="false">B1838*2/13+F1837*11/13</f>
        <v>14913.0343928516</v>
      </c>
      <c r="G1838" s="17" t="n">
        <f aca="false">B1838*2/27+G1837*25/27</f>
        <v>14957.8094661304</v>
      </c>
      <c r="H1838" s="17" t="n">
        <f aca="false">F1838-G1838</f>
        <v>-44.7750732788209</v>
      </c>
      <c r="I1838" s="17" t="n">
        <f aca="false">H1838*2/10+I1837*8/10</f>
        <v>-27.4118395510678</v>
      </c>
      <c r="J1838" s="17" t="n">
        <f aca="false">H1838-I1838</f>
        <v>-17.3632337277531</v>
      </c>
      <c r="K1838" s="17" t="n">
        <f aca="false">MAX(B1838-B1837,0)</f>
        <v>0</v>
      </c>
      <c r="L1838" s="17" t="n">
        <f aca="false">MAX(B1837-B1838,0)</f>
        <v>222.25</v>
      </c>
      <c r="M1838" s="17" t="n">
        <f aca="false">(M1837*13+K1838)/14</f>
        <v>53.0244385738744</v>
      </c>
      <c r="N1838" s="17" t="n">
        <f aca="false">(N1837*13+L1838)/14</f>
        <v>83.7869501636124</v>
      </c>
      <c r="O1838" s="17" t="n">
        <f aca="false">IF(N1838=0,100,100-100/(1+M1838/N1838))</f>
        <v>38.7573279265643</v>
      </c>
      <c r="P1838" s="17" t="n">
        <f aca="false">AVERAGE(B1819:B1838)+2*STDEV(B1819:B1838)</f>
        <v>15325.0100105592</v>
      </c>
      <c r="Q1838" s="17" t="n">
        <f aca="false">AVERAGE(B1819:B1838)-2*STDEV(B1819:B1838)</f>
        <v>14408.5719894408</v>
      </c>
      <c r="R1838" s="19" t="n">
        <f aca="false">B1838/B1818-1</f>
        <v>-0.00953806177769023</v>
      </c>
      <c r="S1838" s="17" t="n">
        <f aca="false">STDEV(C1819:C1838)*SQRT(252)*100</f>
        <v>16.9350708535569</v>
      </c>
      <c r="T1838" s="19" t="n">
        <f aca="false">B1817/B1587-1</f>
        <v>0.330191523086965</v>
      </c>
      <c r="U1838" s="19" t="n">
        <f aca="false">B1838/MAX(B1587:B1838)-1</f>
        <v>-0.0808308635312016</v>
      </c>
      <c r="V1838" s="17" t="n">
        <f aca="false">(B1838-AVERAGE(B1819:B1838))/STDEV(B1819:B1838)</f>
        <v>-1.33521740892698</v>
      </c>
    </row>
    <row r="1839" customFormat="false" ht="15" hidden="false" customHeight="false" outlineLevel="0" collapsed="false">
      <c r="A1839" s="17" t="s">
        <v>2403</v>
      </c>
      <c r="B1839" s="17" t="n">
        <v>14604.85</v>
      </c>
      <c r="C1839" s="19" t="n">
        <f aca="false">B1839/B1838-1</f>
        <v>0.00301973507095732</v>
      </c>
      <c r="D1839" s="17" t="n">
        <f aca="false">AVERAGE(B1790:B1839)</f>
        <v>15021.662</v>
      </c>
      <c r="E1839" s="17" t="n">
        <f aca="false">AVERAGE(B1640:B1839)</f>
        <v>13863.49045</v>
      </c>
      <c r="F1839" s="17" t="n">
        <f aca="false">B1839*2/13+F1838*11/13</f>
        <v>14865.6214093359</v>
      </c>
      <c r="G1839" s="17" t="n">
        <f aca="false">B1839*2/27+G1838*25/27</f>
        <v>14931.6643204911</v>
      </c>
      <c r="H1839" s="17" t="n">
        <f aca="false">F1839-G1839</f>
        <v>-66.0429111551603</v>
      </c>
      <c r="I1839" s="17" t="n">
        <f aca="false">H1839*2/10+I1838*8/10</f>
        <v>-35.1380538718863</v>
      </c>
      <c r="J1839" s="17" t="n">
        <f aca="false">H1839-I1839</f>
        <v>-30.904857283274</v>
      </c>
      <c r="K1839" s="17" t="n">
        <f aca="false">MAX(B1839-B1838,0)</f>
        <v>43.9700000000012</v>
      </c>
      <c r="L1839" s="17" t="n">
        <f aca="false">MAX(B1838-B1839,0)</f>
        <v>0</v>
      </c>
      <c r="M1839" s="17" t="n">
        <f aca="false">(M1838*13+K1839)/14</f>
        <v>52.3776929614549</v>
      </c>
      <c r="N1839" s="17" t="n">
        <f aca="false">(N1838*13+L1839)/14</f>
        <v>77.8021680090686</v>
      </c>
      <c r="O1839" s="17" t="n">
        <f aca="false">IF(N1839=0,100,100-100/(1+M1839/N1839))</f>
        <v>40.2348662619287</v>
      </c>
      <c r="P1839" s="17" t="n">
        <f aca="false">AVERAGE(B1820:B1839)+2*STDEV(B1820:B1839)</f>
        <v>15329.8727392431</v>
      </c>
      <c r="Q1839" s="17" t="n">
        <f aca="false">AVERAGE(B1820:B1839)-2*STDEV(B1820:B1839)</f>
        <v>14387.3042607569</v>
      </c>
      <c r="R1839" s="19" t="n">
        <f aca="false">B1839/B1819-1</f>
        <v>-0.0111078008517899</v>
      </c>
      <c r="S1839" s="17" t="n">
        <f aca="false">STDEV(C1820:C1839)*SQRT(252)*100</f>
        <v>16.8816103717115</v>
      </c>
      <c r="T1839" s="19" t="n">
        <f aca="false">B1818/B1588-1</f>
        <v>0.29979408204712</v>
      </c>
      <c r="U1839" s="19" t="n">
        <f aca="false">B1839/MAX(B1588:B1839)-1</f>
        <v>-0.0780552162536653</v>
      </c>
      <c r="V1839" s="17" t="n">
        <f aca="false">(B1839-AVERAGE(B1820:B1839))/STDEV(B1820:B1839)</f>
        <v>-1.07679603462876</v>
      </c>
    </row>
    <row r="1840" customFormat="false" ht="15" hidden="false" customHeight="false" outlineLevel="0" collapsed="false">
      <c r="A1840" s="17" t="s">
        <v>2404</v>
      </c>
      <c r="B1840" s="17" t="n">
        <v>14745.86</v>
      </c>
      <c r="C1840" s="19" t="n">
        <f aca="false">B1840/B1839-1</f>
        <v>0.00965501186249784</v>
      </c>
      <c r="D1840" s="17" t="n">
        <f aca="false">AVERAGE(B1791:B1840)</f>
        <v>15012.4674</v>
      </c>
      <c r="E1840" s="17" t="n">
        <f aca="false">AVERAGE(B1641:B1840)</f>
        <v>13882.018</v>
      </c>
      <c r="F1840" s="17" t="n">
        <f aca="false">B1840*2/13+F1839*11/13</f>
        <v>14847.1965771304</v>
      </c>
      <c r="G1840" s="17" t="n">
        <f aca="false">B1840*2/27+G1839*25/27</f>
        <v>14917.9010374918</v>
      </c>
      <c r="H1840" s="17" t="n">
        <f aca="false">F1840-G1840</f>
        <v>-70.7044603613467</v>
      </c>
      <c r="I1840" s="17" t="n">
        <f aca="false">H1840*2/10+I1839*8/10</f>
        <v>-42.2513351697784</v>
      </c>
      <c r="J1840" s="17" t="n">
        <f aca="false">H1840-I1840</f>
        <v>-28.4531251915684</v>
      </c>
      <c r="K1840" s="17" t="n">
        <f aca="false">MAX(B1840-B1839,0)</f>
        <v>141.01</v>
      </c>
      <c r="L1840" s="17" t="n">
        <f aca="false">MAX(B1839-B1840,0)</f>
        <v>0</v>
      </c>
      <c r="M1840" s="17" t="n">
        <f aca="false">(M1839*13+K1840)/14</f>
        <v>58.7085720356367</v>
      </c>
      <c r="N1840" s="17" t="n">
        <f aca="false">(N1839*13+L1840)/14</f>
        <v>72.2448702941352</v>
      </c>
      <c r="O1840" s="17" t="n">
        <f aca="false">IF(N1840=0,100,100-100/(1+M1840/N1840))</f>
        <v>44.8316371003021</v>
      </c>
      <c r="P1840" s="17" t="n">
        <f aca="false">AVERAGE(B1821:B1840)+2*STDEV(B1821:B1840)</f>
        <v>15319.9986018349</v>
      </c>
      <c r="Q1840" s="17" t="n">
        <f aca="false">AVERAGE(B1821:B1840)-2*STDEV(B1821:B1840)</f>
        <v>14417.1813981651</v>
      </c>
      <c r="R1840" s="19" t="n">
        <f aca="false">B1840/B1820-1</f>
        <v>0.0137517075340494</v>
      </c>
      <c r="S1840" s="17" t="n">
        <f aca="false">STDEV(C1821:C1840)*SQRT(252)*100</f>
        <v>16.3200321017385</v>
      </c>
      <c r="T1840" s="19" t="n">
        <f aca="false">B1819/B1589-1</f>
        <v>0.292087844021046</v>
      </c>
      <c r="U1840" s="19" t="n">
        <f aca="false">B1840/MAX(B1589:B1840)-1</f>
        <v>-0.0691538284300265</v>
      </c>
      <c r="V1840" s="17" t="n">
        <f aca="false">(B1840-AVERAGE(B1821:B1840))/STDEV(B1821:B1840)</f>
        <v>-0.543764560538398</v>
      </c>
    </row>
    <row r="1841" customFormat="false" ht="15" hidden="false" customHeight="false" outlineLevel="0" collapsed="false">
      <c r="A1841" s="17" t="s">
        <v>2405</v>
      </c>
      <c r="B1841" s="17" t="n">
        <v>14381.64</v>
      </c>
      <c r="C1841" s="19" t="n">
        <f aca="false">B1841/B1840-1</f>
        <v>-0.0246998140495028</v>
      </c>
      <c r="D1841" s="17" t="n">
        <f aca="false">AVERAGE(B1792:B1841)</f>
        <v>14999.3472</v>
      </c>
      <c r="E1841" s="17" t="n">
        <f aca="false">AVERAGE(B1642:B1841)</f>
        <v>13898.38395</v>
      </c>
      <c r="F1841" s="17" t="n">
        <f aca="false">B1841*2/13+F1840*11/13</f>
        <v>14775.5724883411</v>
      </c>
      <c r="G1841" s="17" t="n">
        <f aca="false">B1841*2/27+G1840*25/27</f>
        <v>14878.1779976776</v>
      </c>
      <c r="H1841" s="17" t="n">
        <f aca="false">F1841-G1841</f>
        <v>-102.605509336436</v>
      </c>
      <c r="I1841" s="17" t="n">
        <f aca="false">H1841*2/10+I1840*8/10</f>
        <v>-54.3221700031098</v>
      </c>
      <c r="J1841" s="17" t="n">
        <f aca="false">H1841-I1841</f>
        <v>-48.2833393333259</v>
      </c>
      <c r="K1841" s="17" t="n">
        <f aca="false">MAX(B1841-B1840,0)</f>
        <v>0</v>
      </c>
      <c r="L1841" s="17" t="n">
        <f aca="false">MAX(B1840-B1841,0)</f>
        <v>364.220000000001</v>
      </c>
      <c r="M1841" s="17" t="n">
        <f aca="false">(M1840*13+K1841)/14</f>
        <v>54.5151026045198</v>
      </c>
      <c r="N1841" s="17" t="n">
        <f aca="false">(N1840*13+L1841)/14</f>
        <v>93.100236701697</v>
      </c>
      <c r="O1841" s="17" t="n">
        <f aca="false">IF(N1841=0,100,100-100/(1+M1841/N1841))</f>
        <v>36.9305133604255</v>
      </c>
      <c r="P1841" s="17" t="n">
        <f aca="false">AVERAGE(B1822:B1841)+2*STDEV(B1822:B1841)</f>
        <v>15344.2161275458</v>
      </c>
      <c r="Q1841" s="17" t="n">
        <f aca="false">AVERAGE(B1822:B1841)-2*STDEV(B1822:B1841)</f>
        <v>14373.1118724542</v>
      </c>
      <c r="R1841" s="19" t="n">
        <f aca="false">B1841/B1821-1</f>
        <v>-0.0136157627899831</v>
      </c>
      <c r="S1841" s="17" t="n">
        <f aca="false">STDEV(C1822:C1841)*SQRT(252)*100</f>
        <v>18.6260367110161</v>
      </c>
      <c r="T1841" s="19" t="n">
        <f aca="false">B1820/B1590-1</f>
        <v>0.246430373976327</v>
      </c>
      <c r="U1841" s="19" t="n">
        <f aca="false">B1841/MAX(B1590:B1841)-1</f>
        <v>-0.0921455557764964</v>
      </c>
      <c r="V1841" s="17" t="n">
        <f aca="false">(B1841-AVERAGE(B1822:B1841))/STDEV(B1822:B1841)</f>
        <v>-1.96487245318495</v>
      </c>
    </row>
    <row r="1842" customFormat="false" ht="15" hidden="false" customHeight="false" outlineLevel="0" collapsed="false">
      <c r="A1842" s="17" t="s">
        <v>2406</v>
      </c>
      <c r="B1842" s="17" t="n">
        <v>14109.57</v>
      </c>
      <c r="C1842" s="19" t="n">
        <f aca="false">B1842/B1841-1</f>
        <v>-0.0189178702846129</v>
      </c>
      <c r="D1842" s="17" t="n">
        <f aca="false">AVERAGE(B1793:B1842)</f>
        <v>14984.0092</v>
      </c>
      <c r="E1842" s="17" t="n">
        <f aca="false">AVERAGE(B1643:B1842)</f>
        <v>13912.9029</v>
      </c>
      <c r="F1842" s="17" t="n">
        <f aca="false">B1842*2/13+F1841*11/13</f>
        <v>14673.1105670579</v>
      </c>
      <c r="G1842" s="17" t="n">
        <f aca="false">B1842*2/27+G1841*25/27</f>
        <v>14821.2440719237</v>
      </c>
      <c r="H1842" s="17" t="n">
        <f aca="false">F1842-G1842</f>
        <v>-148.133504865793</v>
      </c>
      <c r="I1842" s="17" t="n">
        <f aca="false">H1842*2/10+I1841*8/10</f>
        <v>-73.0844369756464</v>
      </c>
      <c r="J1842" s="17" t="n">
        <f aca="false">H1842-I1842</f>
        <v>-75.0490678901465</v>
      </c>
      <c r="K1842" s="17" t="n">
        <f aca="false">MAX(B1842-B1841,0)</f>
        <v>0</v>
      </c>
      <c r="L1842" s="17" t="n">
        <f aca="false">MAX(B1841-B1842,0)</f>
        <v>272.07</v>
      </c>
      <c r="M1842" s="17" t="n">
        <f aca="false">(M1841*13+K1842)/14</f>
        <v>50.621166704197</v>
      </c>
      <c r="N1842" s="17" t="n">
        <f aca="false">(N1841*13+L1842)/14</f>
        <v>105.883791223004</v>
      </c>
      <c r="O1842" s="17" t="n">
        <f aca="false">IF(N1842=0,100,100-100/(1+M1842/N1842))</f>
        <v>32.3447687374502</v>
      </c>
      <c r="P1842" s="17" t="n">
        <f aca="false">AVERAGE(B1823:B1842)+2*STDEV(B1823:B1842)</f>
        <v>15416.4352851694</v>
      </c>
      <c r="Q1842" s="17" t="n">
        <f aca="false">AVERAGE(B1823:B1842)-2*STDEV(B1823:B1842)</f>
        <v>14241.5727148306</v>
      </c>
      <c r="R1842" s="19" t="n">
        <f aca="false">B1842/B1822-1</f>
        <v>-0.0403461388568277</v>
      </c>
      <c r="S1842" s="17" t="n">
        <f aca="false">STDEV(C1823:C1842)*SQRT(252)*100</f>
        <v>19.3797126521128</v>
      </c>
      <c r="T1842" s="19" t="n">
        <f aca="false">B1821/B1591-1</f>
        <v>0.278299827282371</v>
      </c>
      <c r="U1842" s="19" t="n">
        <f aca="false">B1842/MAX(B1591:B1842)-1</f>
        <v>-0.109320228389626</v>
      </c>
      <c r="V1842" s="17" t="n">
        <f aca="false">(B1842-AVERAGE(B1823:B1842))/STDEV(B1823:B1842)</f>
        <v>-2.44942350931315</v>
      </c>
    </row>
    <row r="1843" customFormat="false" ht="15" hidden="false" customHeight="false" outlineLevel="0" collapsed="false">
      <c r="A1843" s="17" t="s">
        <v>2407</v>
      </c>
      <c r="B1843" s="17" t="n">
        <v>14180.42</v>
      </c>
      <c r="C1843" s="19" t="n">
        <f aca="false">B1843/B1842-1</f>
        <v>0.00502141454346239</v>
      </c>
      <c r="D1843" s="17" t="n">
        <f aca="false">AVERAGE(B1794:B1843)</f>
        <v>14973.3014</v>
      </c>
      <c r="E1843" s="17" t="n">
        <f aca="false">AVERAGE(B1644:B1843)</f>
        <v>13926.7924</v>
      </c>
      <c r="F1843" s="17" t="n">
        <f aca="false">B1843*2/13+F1842*11/13</f>
        <v>14597.3120182797</v>
      </c>
      <c r="G1843" s="17" t="n">
        <f aca="false">B1843*2/27+G1842*25/27</f>
        <v>14773.7756221515</v>
      </c>
      <c r="H1843" s="17" t="n">
        <f aca="false">F1843-G1843</f>
        <v>-176.463603871805</v>
      </c>
      <c r="I1843" s="17" t="n">
        <f aca="false">H1843*2/10+I1842*8/10</f>
        <v>-93.7602703548782</v>
      </c>
      <c r="J1843" s="17" t="n">
        <f aca="false">H1843-I1843</f>
        <v>-82.7033335169272</v>
      </c>
      <c r="K1843" s="17" t="n">
        <f aca="false">MAX(B1843-B1842,0)</f>
        <v>70.8500000000004</v>
      </c>
      <c r="L1843" s="17" t="n">
        <f aca="false">MAX(B1842-B1843,0)</f>
        <v>0</v>
      </c>
      <c r="M1843" s="17" t="n">
        <f aca="false">(M1842*13+K1843)/14</f>
        <v>52.0660833681829</v>
      </c>
      <c r="N1843" s="17" t="n">
        <f aca="false">(N1842*13+L1843)/14</f>
        <v>98.320663278504</v>
      </c>
      <c r="O1843" s="17" t="n">
        <f aca="false">IF(N1843=0,100,100-100/(1+M1843/N1843))</f>
        <v>34.6214573618678</v>
      </c>
      <c r="P1843" s="17" t="n">
        <f aca="false">AVERAGE(B1824:B1843)+2*STDEV(B1824:B1843)</f>
        <v>15456.4038235669</v>
      </c>
      <c r="Q1843" s="17" t="n">
        <f aca="false">AVERAGE(B1824:B1843)-2*STDEV(B1824:B1843)</f>
        <v>14148.1221764331</v>
      </c>
      <c r="R1843" s="19" t="n">
        <f aca="false">B1843/B1823-1</f>
        <v>-0.036344633183013</v>
      </c>
      <c r="S1843" s="17" t="n">
        <f aca="false">STDEV(C1824:C1843)*SQRT(252)*100</f>
        <v>19.5167895712447</v>
      </c>
      <c r="T1843" s="19" t="n">
        <f aca="false">B1822/B1592-1</f>
        <v>0.313729099335843</v>
      </c>
      <c r="U1843" s="19" t="n">
        <f aca="false">B1843/MAX(B1592:B1843)-1</f>
        <v>-0.104847756030894</v>
      </c>
      <c r="V1843" s="17" t="n">
        <f aca="false">(B1843-AVERAGE(B1824:B1843))/STDEV(B1824:B1843)</f>
        <v>-1.90125116059619</v>
      </c>
    </row>
    <row r="1844" customFormat="false" ht="15" hidden="false" customHeight="false" outlineLevel="0" collapsed="false">
      <c r="A1844" s="17" t="s">
        <v>2408</v>
      </c>
      <c r="B1844" s="17" t="n">
        <v>14335.51</v>
      </c>
      <c r="C1844" s="19" t="n">
        <f aca="false">B1844/B1843-1</f>
        <v>0.0109369116006437</v>
      </c>
      <c r="D1844" s="17" t="n">
        <f aca="false">AVERAGE(B1795:B1844)</f>
        <v>14966.1148</v>
      </c>
      <c r="E1844" s="17" t="n">
        <f aca="false">AVERAGE(B1645:B1844)</f>
        <v>13941.1719</v>
      </c>
      <c r="F1844" s="17" t="n">
        <f aca="false">B1844*2/13+F1843*11/13</f>
        <v>14557.0347846982</v>
      </c>
      <c r="G1844" s="17" t="n">
        <f aca="false">B1844*2/27+G1843*25/27</f>
        <v>14741.3115019922</v>
      </c>
      <c r="H1844" s="17" t="n">
        <f aca="false">F1844-G1844</f>
        <v>-184.276717293929</v>
      </c>
      <c r="I1844" s="17" t="n">
        <f aca="false">H1844*2/10+I1843*8/10</f>
        <v>-111.863559742688</v>
      </c>
      <c r="J1844" s="17" t="n">
        <f aca="false">H1844-I1844</f>
        <v>-72.4131575512409</v>
      </c>
      <c r="K1844" s="17" t="n">
        <f aca="false">MAX(B1844-B1843,0)</f>
        <v>155.09</v>
      </c>
      <c r="L1844" s="17" t="n">
        <f aca="false">MAX(B1843-B1844,0)</f>
        <v>0</v>
      </c>
      <c r="M1844" s="17" t="n">
        <f aca="false">(M1843*13+K1844)/14</f>
        <v>59.4249345561699</v>
      </c>
      <c r="N1844" s="17" t="n">
        <f aca="false">(N1843*13+L1844)/14</f>
        <v>91.2977587586109</v>
      </c>
      <c r="O1844" s="17" t="n">
        <f aca="false">IF(N1844=0,100,100-100/(1+M1844/N1844))</f>
        <v>39.4266671124714</v>
      </c>
      <c r="P1844" s="17" t="n">
        <f aca="false">AVERAGE(B1825:B1844)+2*STDEV(B1825:B1844)</f>
        <v>15463.344660983</v>
      </c>
      <c r="Q1844" s="17" t="n">
        <f aca="false">AVERAGE(B1825:B1844)-2*STDEV(B1825:B1844)</f>
        <v>14090.975339017</v>
      </c>
      <c r="R1844" s="19" t="n">
        <f aca="false">B1844/B1824-1</f>
        <v>-0.0338370770955082</v>
      </c>
      <c r="S1844" s="17" t="n">
        <f aca="false">STDEV(C1825:C1844)*SQRT(252)*100</f>
        <v>19.7178924018781</v>
      </c>
      <c r="T1844" s="19" t="n">
        <f aca="false">B1823/B1593-1</f>
        <v>0.274464954301022</v>
      </c>
      <c r="U1844" s="19" t="n">
        <f aca="false">B1844/MAX(B1593:B1844)-1</f>
        <v>-0.0950575550694859</v>
      </c>
      <c r="V1844" s="17" t="n">
        <f aca="false">(B1844-AVERAGE(B1825:B1844))/STDEV(B1825:B1844)</f>
        <v>-1.28726281746747</v>
      </c>
    </row>
    <row r="1845" customFormat="false" ht="15" hidden="false" customHeight="false" outlineLevel="0" collapsed="false">
      <c r="A1845" s="17" t="s">
        <v>2409</v>
      </c>
      <c r="B1845" s="17" t="n">
        <v>14409.78</v>
      </c>
      <c r="C1845" s="19" t="n">
        <f aca="false">B1845/B1844-1</f>
        <v>0.00518084114203132</v>
      </c>
      <c r="D1845" s="17" t="n">
        <f aca="false">AVERAGE(B1796:B1845)</f>
        <v>14955.5766</v>
      </c>
      <c r="E1845" s="17" t="n">
        <f aca="false">AVERAGE(B1646:B1845)</f>
        <v>13955.5134</v>
      </c>
      <c r="F1845" s="17" t="n">
        <f aca="false">B1845*2/13+F1844*11/13</f>
        <v>14534.380202437</v>
      </c>
      <c r="G1845" s="17" t="n">
        <f aca="false">B1845*2/27+G1844*25/27</f>
        <v>14716.7536129557</v>
      </c>
      <c r="H1845" s="17" t="n">
        <f aca="false">F1845-G1845</f>
        <v>-182.37341051874</v>
      </c>
      <c r="I1845" s="17" t="n">
        <f aca="false">H1845*2/10+I1844*8/10</f>
        <v>-125.965529897899</v>
      </c>
      <c r="J1845" s="17" t="n">
        <f aca="false">H1845-I1845</f>
        <v>-56.4078806208409</v>
      </c>
      <c r="K1845" s="17" t="n">
        <f aca="false">MAX(B1845-B1844,0)</f>
        <v>74.2700000000004</v>
      </c>
      <c r="L1845" s="17" t="n">
        <f aca="false">MAX(B1844-B1845,0)</f>
        <v>0</v>
      </c>
      <c r="M1845" s="17" t="n">
        <f aca="false">(M1844*13+K1845)/14</f>
        <v>60.4852963735863</v>
      </c>
      <c r="N1845" s="17" t="n">
        <f aca="false">(N1844*13+L1845)/14</f>
        <v>84.776490275853</v>
      </c>
      <c r="O1845" s="17" t="n">
        <f aca="false">IF(N1845=0,100,100-100/(1+M1845/N1845))</f>
        <v>41.638821722299</v>
      </c>
      <c r="P1845" s="17" t="n">
        <f aca="false">AVERAGE(B1826:B1845)+2*STDEV(B1826:B1845)</f>
        <v>15469.0730784919</v>
      </c>
      <c r="Q1845" s="17" t="n">
        <f aca="false">AVERAGE(B1826:B1845)-2*STDEV(B1826:B1845)</f>
        <v>14069.6629215081</v>
      </c>
      <c r="R1845" s="19" t="n">
        <f aca="false">B1845/B1825-1</f>
        <v>-0.0106991669424302</v>
      </c>
      <c r="S1845" s="17" t="n">
        <f aca="false">STDEV(C1826:C1845)*SQRT(252)*100</f>
        <v>18.8255144912352</v>
      </c>
      <c r="T1845" s="19" t="n">
        <f aca="false">B1824/B1594-1</f>
        <v>0.300905610153635</v>
      </c>
      <c r="U1845" s="19" t="n">
        <f aca="false">B1845/MAX(B1594:B1845)-1</f>
        <v>-0.0903691920196196</v>
      </c>
      <c r="V1845" s="17" t="n">
        <f aca="false">(B1845-AVERAGE(B1826:B1845))/STDEV(B1826:B1845)</f>
        <v>-1.02782732626445</v>
      </c>
    </row>
    <row r="1846" customFormat="false" ht="15" hidden="false" customHeight="false" outlineLevel="0" collapsed="false">
      <c r="A1846" s="17" t="s">
        <v>2410</v>
      </c>
      <c r="B1846" s="17" t="n">
        <v>14664.91</v>
      </c>
      <c r="C1846" s="19" t="n">
        <f aca="false">B1846/B1845-1</f>
        <v>0.0177053362369168</v>
      </c>
      <c r="D1846" s="17" t="n">
        <f aca="false">AVERAGE(B1797:B1846)</f>
        <v>14950.6956</v>
      </c>
      <c r="E1846" s="17" t="n">
        <f aca="false">AVERAGE(B1647:B1846)</f>
        <v>13971.052</v>
      </c>
      <c r="F1846" s="17" t="n">
        <f aca="false">B1846*2/13+F1845*11/13</f>
        <v>14554.4617097544</v>
      </c>
      <c r="G1846" s="17" t="n">
        <f aca="false">B1846*2/27+G1845*25/27</f>
        <v>14712.9133453294</v>
      </c>
      <c r="H1846" s="17" t="n">
        <f aca="false">F1846-G1846</f>
        <v>-158.451635575</v>
      </c>
      <c r="I1846" s="17" t="n">
        <f aca="false">H1846*2/10+I1845*8/10</f>
        <v>-132.462751033319</v>
      </c>
      <c r="J1846" s="17" t="n">
        <f aca="false">H1846-I1846</f>
        <v>-25.9888845416812</v>
      </c>
      <c r="K1846" s="17" t="n">
        <f aca="false">MAX(B1846-B1845,0)</f>
        <v>255.129999999999</v>
      </c>
      <c r="L1846" s="17" t="n">
        <f aca="false">MAX(B1845-B1846,0)</f>
        <v>0</v>
      </c>
      <c r="M1846" s="17" t="n">
        <f aca="false">(M1845*13+K1846)/14</f>
        <v>74.3884894897587</v>
      </c>
      <c r="N1846" s="17" t="n">
        <f aca="false">(N1845*13+L1846)/14</f>
        <v>78.7210266847206</v>
      </c>
      <c r="O1846" s="17" t="n">
        <f aca="false">IF(N1846=0,100,100-100/(1+M1846/N1846))</f>
        <v>48.5851509092274</v>
      </c>
      <c r="P1846" s="17" t="n">
        <f aca="false">AVERAGE(B1827:B1846)+2*STDEV(B1827:B1846)</f>
        <v>15465.0455278413</v>
      </c>
      <c r="Q1846" s="17" t="n">
        <f aca="false">AVERAGE(B1827:B1846)-2*STDEV(B1827:B1846)</f>
        <v>14062.5564721587</v>
      </c>
      <c r="R1846" s="19" t="n">
        <f aca="false">B1846/B1826-1</f>
        <v>-0.00753506471533716</v>
      </c>
      <c r="S1846" s="17" t="n">
        <f aca="false">STDEV(C1827:C1846)*SQRT(252)*100</f>
        <v>19.1983685179802</v>
      </c>
      <c r="T1846" s="19" t="n">
        <f aca="false">B1825/B1595-1</f>
        <v>0.290254629527104</v>
      </c>
      <c r="U1846" s="19" t="n">
        <f aca="false">B1846/MAX(B1595:B1846)-1</f>
        <v>-0.0742638727128686</v>
      </c>
      <c r="V1846" s="17" t="n">
        <f aca="false">(B1846-AVERAGE(B1827:B1846))/STDEV(B1827:B1846)</f>
        <v>-0.282044268650269</v>
      </c>
    </row>
    <row r="1847" customFormat="false" ht="15" hidden="false" customHeight="false" outlineLevel="0" collapsed="false">
      <c r="A1847" s="17" t="s">
        <v>2411</v>
      </c>
      <c r="B1847" s="17" t="n">
        <v>14919.55</v>
      </c>
      <c r="C1847" s="19" t="n">
        <f aca="false">B1847/B1846-1</f>
        <v>0.017363897903226</v>
      </c>
      <c r="D1847" s="17" t="n">
        <f aca="false">AVERAGE(B1798:B1847)</f>
        <v>14946.1254</v>
      </c>
      <c r="E1847" s="17" t="n">
        <f aca="false">AVERAGE(B1648:B1847)</f>
        <v>13988.5983</v>
      </c>
      <c r="F1847" s="17" t="n">
        <f aca="false">B1847*2/13+F1846*11/13</f>
        <v>14610.6291390229</v>
      </c>
      <c r="G1847" s="17" t="n">
        <f aca="false">B1847*2/27+G1846*25/27</f>
        <v>14728.2197641939</v>
      </c>
      <c r="H1847" s="17" t="n">
        <f aca="false">F1847-G1847</f>
        <v>-117.590625170933</v>
      </c>
      <c r="I1847" s="17" t="n">
        <f aca="false">H1847*2/10+I1846*8/10</f>
        <v>-129.488325860842</v>
      </c>
      <c r="J1847" s="17" t="n">
        <f aca="false">H1847-I1847</f>
        <v>11.8977006899088</v>
      </c>
      <c r="K1847" s="17" t="n">
        <f aca="false">MAX(B1847-B1846,0)</f>
        <v>254.639999999999</v>
      </c>
      <c r="L1847" s="17" t="n">
        <f aca="false">MAX(B1846-B1847,0)</f>
        <v>0</v>
      </c>
      <c r="M1847" s="17" t="n">
        <f aca="false">(M1846*13+K1847)/14</f>
        <v>87.2635973833473</v>
      </c>
      <c r="N1847" s="17" t="n">
        <f aca="false">(N1846*13+L1847)/14</f>
        <v>73.0980962072406</v>
      </c>
      <c r="O1847" s="17" t="n">
        <f aca="false">IF(N1847=0,100,100-100/(1+M1847/N1847))</f>
        <v>54.4167347135507</v>
      </c>
      <c r="P1847" s="17" t="n">
        <f aca="false">AVERAGE(B1828:B1847)+2*STDEV(B1828:B1847)</f>
        <v>15477.9599895341</v>
      </c>
      <c r="Q1847" s="17" t="n">
        <f aca="false">AVERAGE(B1828:B1847)-2*STDEV(B1828:B1847)</f>
        <v>14069.2750104659</v>
      </c>
      <c r="R1847" s="19" t="n">
        <f aca="false">B1847/B1827-1</f>
        <v>0.0133347188998059</v>
      </c>
      <c r="S1847" s="17" t="n">
        <f aca="false">STDEV(C1828:C1847)*SQRT(252)*100</f>
        <v>20.1410226041058</v>
      </c>
      <c r="T1847" s="19" t="n">
        <f aca="false">B1826/B1596-1</f>
        <v>0.354831226607643</v>
      </c>
      <c r="U1847" s="19" t="n">
        <f aca="false">B1847/MAX(B1596:B1847)-1</f>
        <v>-0.0581894851133269</v>
      </c>
      <c r="V1847" s="17" t="n">
        <f aca="false">(B1847-AVERAGE(B1828:B1847))/STDEV(B1828:B1847)</f>
        <v>0.414379374149417</v>
      </c>
    </row>
    <row r="1848" customFormat="false" ht="15" hidden="false" customHeight="false" outlineLevel="0" collapsed="false">
      <c r="A1848" s="17" t="s">
        <v>2412</v>
      </c>
      <c r="B1848" s="17" t="n">
        <v>15099.49</v>
      </c>
      <c r="C1848" s="19" t="n">
        <f aca="false">B1848/B1847-1</f>
        <v>0.0120606854764387</v>
      </c>
      <c r="D1848" s="17" t="n">
        <f aca="false">AVERAGE(B1799:B1848)</f>
        <v>14951.7864</v>
      </c>
      <c r="E1848" s="17" t="n">
        <f aca="false">AVERAGE(B1649:B1848)</f>
        <v>14007.6174</v>
      </c>
      <c r="F1848" s="17" t="n">
        <f aca="false">B1848*2/13+F1847*11/13</f>
        <v>14685.8385022502</v>
      </c>
      <c r="G1848" s="17" t="n">
        <f aca="false">B1848*2/27+G1847*25/27</f>
        <v>14755.7212631425</v>
      </c>
      <c r="H1848" s="17" t="n">
        <f aca="false">F1848-G1848</f>
        <v>-69.8827608922911</v>
      </c>
      <c r="I1848" s="17" t="n">
        <f aca="false">H1848*2/10+I1847*8/10</f>
        <v>-117.567212867132</v>
      </c>
      <c r="J1848" s="17" t="n">
        <f aca="false">H1848-I1848</f>
        <v>47.6844519748405</v>
      </c>
      <c r="K1848" s="17" t="n">
        <f aca="false">MAX(B1848-B1847,0)</f>
        <v>179.940000000001</v>
      </c>
      <c r="L1848" s="17" t="n">
        <f aca="false">MAX(B1847-B1848,0)</f>
        <v>0</v>
      </c>
      <c r="M1848" s="17" t="n">
        <f aca="false">(M1847*13+K1848)/14</f>
        <v>93.883340427394</v>
      </c>
      <c r="N1848" s="17" t="n">
        <f aca="false">(N1847*13+L1848)/14</f>
        <v>67.8768036210091</v>
      </c>
      <c r="O1848" s="17" t="n">
        <f aca="false">IF(N1848=0,100,100-100/(1+M1848/N1848))</f>
        <v>58.0386107960571</v>
      </c>
      <c r="P1848" s="17" t="n">
        <f aca="false">AVERAGE(B1829:B1848)+2*STDEV(B1829:B1848)</f>
        <v>15494.0011917626</v>
      </c>
      <c r="Q1848" s="17" t="n">
        <f aca="false">AVERAGE(B1829:B1848)-2*STDEV(B1829:B1848)</f>
        <v>14065.8588082374</v>
      </c>
      <c r="R1848" s="19" t="n">
        <f aca="false">B1848/B1828-1</f>
        <v>0.00843170883522881</v>
      </c>
      <c r="S1848" s="17" t="n">
        <f aca="false">STDEV(C1829:C1848)*SQRT(252)*100</f>
        <v>19.6853072440695</v>
      </c>
      <c r="T1848" s="19" t="n">
        <f aca="false">B1827/B1597-1</f>
        <v>0.377211756122201</v>
      </c>
      <c r="U1848" s="19" t="n">
        <f aca="false">B1848/MAX(B1597:B1848)-1</f>
        <v>-0.046830604714876</v>
      </c>
      <c r="V1848" s="17" t="n">
        <f aca="false">(B1848-AVERAGE(B1829:B1848))/STDEV(B1829:B1848)</f>
        <v>0.895036807775999</v>
      </c>
    </row>
    <row r="1849" customFormat="false" ht="15" hidden="false" customHeight="false" outlineLevel="0" collapsed="false">
      <c r="A1849" s="17" t="s">
        <v>2413</v>
      </c>
      <c r="B1849" s="17" t="n">
        <v>15154.93</v>
      </c>
      <c r="C1849" s="19" t="n">
        <f aca="false">B1849/B1848-1</f>
        <v>0.00367164718808377</v>
      </c>
      <c r="D1849" s="17" t="n">
        <f aca="false">AVERAGE(B1800:B1849)</f>
        <v>14956.0484</v>
      </c>
      <c r="E1849" s="17" t="n">
        <f aca="false">AVERAGE(B1650:B1849)</f>
        <v>14025.2969</v>
      </c>
      <c r="F1849" s="17" t="n">
        <f aca="false">B1849*2/13+F1848*11/13</f>
        <v>14758.0064249809</v>
      </c>
      <c r="G1849" s="17" t="n">
        <f aca="false">B1849*2/27+G1848*25/27</f>
        <v>14785.2922806875</v>
      </c>
      <c r="H1849" s="17" t="n">
        <f aca="false">F1849-G1849</f>
        <v>-27.2858557065501</v>
      </c>
      <c r="I1849" s="17" t="n">
        <f aca="false">H1849*2/10+I1848*8/10</f>
        <v>-99.5109414350153</v>
      </c>
      <c r="J1849" s="17" t="n">
        <f aca="false">H1849-I1849</f>
        <v>72.2250857284652</v>
      </c>
      <c r="K1849" s="17" t="n">
        <f aca="false">MAX(B1849-B1848,0)</f>
        <v>55.4400000000005</v>
      </c>
      <c r="L1849" s="17" t="n">
        <f aca="false">MAX(B1848-B1849,0)</f>
        <v>0</v>
      </c>
      <c r="M1849" s="17" t="n">
        <f aca="false">(M1848*13+K1849)/14</f>
        <v>91.137387539723</v>
      </c>
      <c r="N1849" s="17" t="n">
        <f aca="false">(N1848*13+L1849)/14</f>
        <v>63.0284605052227</v>
      </c>
      <c r="O1849" s="17" t="n">
        <f aca="false">IF(N1849=0,100,100-100/(1+M1849/N1849))</f>
        <v>59.1164571761397</v>
      </c>
      <c r="P1849" s="17" t="n">
        <f aca="false">AVERAGE(B1830:B1849)+2*STDEV(B1830:B1849)</f>
        <v>15509.437565892</v>
      </c>
      <c r="Q1849" s="17" t="n">
        <f aca="false">AVERAGE(B1830:B1849)-2*STDEV(B1830:B1849)</f>
        <v>14061.200434108</v>
      </c>
      <c r="R1849" s="19" t="n">
        <f aca="false">B1849/B1829-1</f>
        <v>0.00716281820809916</v>
      </c>
      <c r="S1849" s="17" t="n">
        <f aca="false">STDEV(C1830:C1849)*SQRT(252)*100</f>
        <v>19.6525450709767</v>
      </c>
      <c r="T1849" s="19" t="n">
        <f aca="false">B1828/B1598-1</f>
        <v>0.379128546204625</v>
      </c>
      <c r="U1849" s="19" t="n">
        <f aca="false">B1849/MAX(B1598:B1849)-1</f>
        <v>-0.0433309029849097</v>
      </c>
      <c r="V1849" s="17" t="n">
        <f aca="false">(B1849-AVERAGE(B1830:B1849))/STDEV(B1830:B1849)</f>
        <v>1.02085768107521</v>
      </c>
    </row>
    <row r="1850" customFormat="false" ht="15" hidden="false" customHeight="false" outlineLevel="0" collapsed="false">
      <c r="A1850" s="17" t="s">
        <v>2414</v>
      </c>
      <c r="B1850" s="17" t="n">
        <v>15296.02</v>
      </c>
      <c r="C1850" s="19" t="n">
        <f aca="false">B1850/B1849-1</f>
        <v>0.00930984174786698</v>
      </c>
      <c r="D1850" s="17" t="n">
        <f aca="false">AVERAGE(B1801:B1850)</f>
        <v>14960.9196</v>
      </c>
      <c r="E1850" s="17" t="n">
        <f aca="false">AVERAGE(B1651:B1850)</f>
        <v>14042.4143</v>
      </c>
      <c r="F1850" s="17" t="n">
        <f aca="false">B1850*2/13+F1849*11/13</f>
        <v>14840.7777442146</v>
      </c>
      <c r="G1850" s="17" t="n">
        <f aca="false">B1850*2/27+G1849*25/27</f>
        <v>14823.1239635995</v>
      </c>
      <c r="H1850" s="17" t="n">
        <f aca="false">F1850-G1850</f>
        <v>17.6537806151173</v>
      </c>
      <c r="I1850" s="17" t="n">
        <f aca="false">H1850*2/10+I1849*8/10</f>
        <v>-76.0779970249888</v>
      </c>
      <c r="J1850" s="17" t="n">
        <f aca="false">H1850-I1850</f>
        <v>93.7317776401061</v>
      </c>
      <c r="K1850" s="17" t="n">
        <f aca="false">MAX(B1850-B1849,0)</f>
        <v>141.09</v>
      </c>
      <c r="L1850" s="17" t="n">
        <f aca="false">MAX(B1849-B1850,0)</f>
        <v>0</v>
      </c>
      <c r="M1850" s="17" t="n">
        <f aca="false">(M1849*13+K1850)/14</f>
        <v>94.7054312868856</v>
      </c>
      <c r="N1850" s="17" t="n">
        <f aca="false">(N1849*13+L1850)/14</f>
        <v>58.5264276119925</v>
      </c>
      <c r="O1850" s="17" t="n">
        <f aca="false">IF(N1850=0,100,100-100/(1+M1850/N1850))</f>
        <v>61.8053138344972</v>
      </c>
      <c r="P1850" s="17" t="n">
        <f aca="false">AVERAGE(B1831:B1850)+2*STDEV(B1831:B1850)</f>
        <v>15537.680225429</v>
      </c>
      <c r="Q1850" s="17" t="n">
        <f aca="false">AVERAGE(B1831:B1850)-2*STDEV(B1831:B1850)</f>
        <v>14049.407774571</v>
      </c>
      <c r="R1850" s="19" t="n">
        <f aca="false">B1850/B1830-1</f>
        <v>0.0108713466988115</v>
      </c>
      <c r="S1850" s="17" t="n">
        <f aca="false">STDEV(C1831:C1850)*SQRT(252)*100</f>
        <v>19.8251119677348</v>
      </c>
      <c r="T1850" s="19" t="n">
        <f aca="false">B1829/B1599-1</f>
        <v>0.370788922292065</v>
      </c>
      <c r="U1850" s="19" t="n">
        <f aca="false">B1850/MAX(B1599:B1850)-1</f>
        <v>-0.0344244650866246</v>
      </c>
      <c r="V1850" s="17" t="n">
        <f aca="false">(B1850-AVERAGE(B1831:B1850))/STDEV(B1831:B1850)</f>
        <v>1.35049466167378</v>
      </c>
    </row>
    <row r="1851" customFormat="false" ht="15" hidden="false" customHeight="false" outlineLevel="0" collapsed="false">
      <c r="A1851" s="17" t="s">
        <v>2415</v>
      </c>
      <c r="B1851" s="17" t="n">
        <v>15313.24</v>
      </c>
      <c r="C1851" s="19" t="n">
        <f aca="false">B1851/B1850-1</f>
        <v>0.00112578304683164</v>
      </c>
      <c r="D1851" s="17" t="n">
        <f aca="false">AVERAGE(B1802:B1851)</f>
        <v>14959.6534</v>
      </c>
      <c r="E1851" s="17" t="n">
        <f aca="false">AVERAGE(B1652:B1851)</f>
        <v>14059.7473</v>
      </c>
      <c r="F1851" s="17" t="n">
        <f aca="false">B1851*2/13+F1850*11/13</f>
        <v>14913.4642451047</v>
      </c>
      <c r="G1851" s="17" t="n">
        <f aca="false">B1851*2/27+G1850*25/27</f>
        <v>14859.4288551847</v>
      </c>
      <c r="H1851" s="17" t="n">
        <f aca="false">F1851-G1851</f>
        <v>54.0353899199545</v>
      </c>
      <c r="I1851" s="17" t="n">
        <f aca="false">H1851*2/10+I1850*8/10</f>
        <v>-50.0553196360002</v>
      </c>
      <c r="J1851" s="17" t="n">
        <f aca="false">H1851-I1851</f>
        <v>104.090709555955</v>
      </c>
      <c r="K1851" s="17" t="n">
        <f aca="false">MAX(B1851-B1850,0)</f>
        <v>17.2199999999993</v>
      </c>
      <c r="L1851" s="17" t="n">
        <f aca="false">MAX(B1850-B1851,0)</f>
        <v>0</v>
      </c>
      <c r="M1851" s="17" t="n">
        <f aca="false">(M1850*13+K1851)/14</f>
        <v>89.1707576235366</v>
      </c>
      <c r="N1851" s="17" t="n">
        <f aca="false">(N1850*13+L1851)/14</f>
        <v>54.3459684968502</v>
      </c>
      <c r="O1851" s="17" t="n">
        <f aca="false">IF(N1851=0,100,100-100/(1+M1851/N1851))</f>
        <v>62.1326587040016</v>
      </c>
      <c r="P1851" s="17" t="n">
        <f aca="false">AVERAGE(B1832:B1851)+2*STDEV(B1832:B1851)</f>
        <v>15551.0533194194</v>
      </c>
      <c r="Q1851" s="17" t="n">
        <f aca="false">AVERAGE(B1832:B1851)-2*STDEV(B1832:B1851)</f>
        <v>14043.2466805806</v>
      </c>
      <c r="R1851" s="19" t="n">
        <f aca="false">B1851/B1831-1</f>
        <v>0.00473193571076136</v>
      </c>
      <c r="S1851" s="17" t="n">
        <f aca="false">STDEV(C1832:C1851)*SQRT(252)*100</f>
        <v>19.6721853143586</v>
      </c>
      <c r="T1851" s="19" t="n">
        <f aca="false">B1830/B1600-1</f>
        <v>0.368192052081921</v>
      </c>
      <c r="U1851" s="19" t="n">
        <f aca="false">B1851/MAX(B1600:B1851)-1</f>
        <v>-0.0333374365189836</v>
      </c>
      <c r="V1851" s="17" t="n">
        <f aca="false">(B1851-AVERAGE(B1832:B1851))/STDEV(B1832:B1851)</f>
        <v>1.36911454481314</v>
      </c>
    </row>
    <row r="1852" customFormat="false" ht="15" hidden="false" customHeight="false" outlineLevel="0" collapsed="false">
      <c r="A1852" s="17" t="s">
        <v>2416</v>
      </c>
      <c r="B1852" s="17" t="n">
        <v>15187.9</v>
      </c>
      <c r="C1852" s="19" t="n">
        <f aca="false">B1852/B1851-1</f>
        <v>-0.008185073831534</v>
      </c>
      <c r="D1852" s="17" t="n">
        <f aca="false">AVERAGE(B1803:B1852)</f>
        <v>14954.1628</v>
      </c>
      <c r="E1852" s="17" t="n">
        <f aca="false">AVERAGE(B1653:B1852)</f>
        <v>14076.61335</v>
      </c>
      <c r="F1852" s="17" t="n">
        <f aca="false">B1852*2/13+F1851*11/13</f>
        <v>14955.6851304732</v>
      </c>
      <c r="G1852" s="17" t="n">
        <f aca="false">B1852*2/27+G1851*25/27</f>
        <v>14883.760051097</v>
      </c>
      <c r="H1852" s="17" t="n">
        <f aca="false">F1852-G1852</f>
        <v>71.925079376224</v>
      </c>
      <c r="I1852" s="17" t="n">
        <f aca="false">H1852*2/10+I1851*8/10</f>
        <v>-25.6592398335553</v>
      </c>
      <c r="J1852" s="17" t="n">
        <f aca="false">H1852-I1852</f>
        <v>97.5843192097793</v>
      </c>
      <c r="K1852" s="17" t="n">
        <f aca="false">MAX(B1852-B1851,0)</f>
        <v>0</v>
      </c>
      <c r="L1852" s="17" t="n">
        <f aca="false">MAX(B1851-B1852,0)</f>
        <v>125.34</v>
      </c>
      <c r="M1852" s="17" t="n">
        <f aca="false">(M1851*13+K1852)/14</f>
        <v>82.801417793284</v>
      </c>
      <c r="N1852" s="17" t="n">
        <f aca="false">(N1851*13+L1852)/14</f>
        <v>59.4169707470752</v>
      </c>
      <c r="O1852" s="17" t="n">
        <f aca="false">IF(N1852=0,100,100-100/(1+M1852/N1852))</f>
        <v>58.2213162749952</v>
      </c>
      <c r="P1852" s="17" t="n">
        <f aca="false">AVERAGE(B1833:B1852)+2*STDEV(B1833:B1852)</f>
        <v>15551.6557316612</v>
      </c>
      <c r="Q1852" s="17" t="n">
        <f aca="false">AVERAGE(B1833:B1852)-2*STDEV(B1833:B1852)</f>
        <v>14043.0242683388</v>
      </c>
      <c r="R1852" s="19" t="n">
        <f aca="false">B1852/B1832-1</f>
        <v>0.000250261787000827</v>
      </c>
      <c r="S1852" s="17" t="n">
        <f aca="false">STDEV(C1833:C1852)*SQRT(252)*100</f>
        <v>19.8559260077192</v>
      </c>
      <c r="T1852" s="19" t="n">
        <f aca="false">B1831/B1601-1</f>
        <v>0.411535024148997</v>
      </c>
      <c r="U1852" s="19" t="n">
        <f aca="false">B1852/MAX(B1601:B1852)-1</f>
        <v>-0.0412496409712556</v>
      </c>
      <c r="V1852" s="17" t="n">
        <f aca="false">(B1852-AVERAGE(B1833:B1852))/STDEV(B1833:B1852)</f>
        <v>1.03553454768836</v>
      </c>
    </row>
    <row r="1853" customFormat="false" ht="15" hidden="false" customHeight="false" outlineLevel="0" collapsed="false">
      <c r="A1853" s="17" t="s">
        <v>2417</v>
      </c>
      <c r="B1853" s="17" t="n">
        <v>15529.12</v>
      </c>
      <c r="C1853" s="19" t="n">
        <f aca="false">B1853/B1852-1</f>
        <v>0.0224665687817276</v>
      </c>
      <c r="D1853" s="17" t="n">
        <f aca="false">AVERAGE(B1804:B1853)</f>
        <v>14954.7238</v>
      </c>
      <c r="E1853" s="17" t="n">
        <f aca="false">AVERAGE(B1654:B1853)</f>
        <v>14094.00155</v>
      </c>
      <c r="F1853" s="17" t="n">
        <f aca="false">B1853*2/13+F1852*11/13</f>
        <v>15043.9058796312</v>
      </c>
      <c r="G1853" s="17" t="n">
        <f aca="false">B1853*2/27+G1852*25/27</f>
        <v>14931.5644917564</v>
      </c>
      <c r="H1853" s="17" t="n">
        <f aca="false">F1853-G1853</f>
        <v>112.341387874712</v>
      </c>
      <c r="I1853" s="17" t="n">
        <f aca="false">H1853*2/10+I1852*8/10</f>
        <v>1.94088570809821</v>
      </c>
      <c r="J1853" s="17" t="n">
        <f aca="false">H1853-I1853</f>
        <v>110.400502166614</v>
      </c>
      <c r="K1853" s="17" t="n">
        <f aca="false">MAX(B1853-B1852,0)</f>
        <v>341.220000000001</v>
      </c>
      <c r="L1853" s="17" t="n">
        <f aca="false">MAX(B1852-B1853,0)</f>
        <v>0</v>
      </c>
      <c r="M1853" s="17" t="n">
        <f aca="false">(M1852*13+K1853)/14</f>
        <v>101.259887950907</v>
      </c>
      <c r="N1853" s="17" t="n">
        <f aca="false">(N1852*13+L1853)/14</f>
        <v>55.1729014079984</v>
      </c>
      <c r="O1853" s="17" t="n">
        <f aca="false">IF(N1853=0,100,100-100/(1+M1853/N1853))</f>
        <v>64.7306030697856</v>
      </c>
      <c r="P1853" s="17" t="n">
        <f aca="false">AVERAGE(B1834:B1853)+2*STDEV(B1834:B1853)</f>
        <v>15642.8761830125</v>
      </c>
      <c r="Q1853" s="17" t="n">
        <f aca="false">AVERAGE(B1834:B1853)-2*STDEV(B1834:B1853)</f>
        <v>14005.2038169875</v>
      </c>
      <c r="R1853" s="19" t="n">
        <f aca="false">B1853/B1833-1</f>
        <v>0.0356115856358601</v>
      </c>
      <c r="S1853" s="17" t="n">
        <f aca="false">STDEV(C1834:C1853)*SQRT(252)*100</f>
        <v>20.7790514464408</v>
      </c>
      <c r="T1853" s="19" t="n">
        <f aca="false">B1832/B1602-1</f>
        <v>0.308301941416307</v>
      </c>
      <c r="U1853" s="19" t="n">
        <f aca="false">B1853/MAX(B1602:B1853)-1</f>
        <v>-0.0197098100856303</v>
      </c>
      <c r="V1853" s="17" t="n">
        <f aca="false">(B1853-AVERAGE(B1834:B1853))/STDEV(B1834:B1853)</f>
        <v>1.72215154783705</v>
      </c>
    </row>
    <row r="1854" customFormat="false" ht="15" hidden="false" customHeight="false" outlineLevel="0" collapsed="false">
      <c r="A1854" s="17" t="s">
        <v>2418</v>
      </c>
      <c r="B1854" s="17" t="n">
        <v>15482.79</v>
      </c>
      <c r="C1854" s="19" t="n">
        <f aca="false">B1854/B1853-1</f>
        <v>-0.00298342726439105</v>
      </c>
      <c r="D1854" s="17" t="n">
        <f aca="false">AVERAGE(B1805:B1854)</f>
        <v>14954.5624</v>
      </c>
      <c r="E1854" s="17" t="n">
        <f aca="false">AVERAGE(B1655:B1854)</f>
        <v>14110.5825</v>
      </c>
      <c r="F1854" s="17" t="n">
        <f aca="false">B1854*2/13+F1853*11/13</f>
        <v>15111.4265135341</v>
      </c>
      <c r="G1854" s="17" t="n">
        <f aca="false">B1854*2/27+G1853*25/27</f>
        <v>14972.3960108856</v>
      </c>
      <c r="H1854" s="17" t="n">
        <f aca="false">F1854-G1854</f>
        <v>139.030502648458</v>
      </c>
      <c r="I1854" s="17" t="n">
        <f aca="false">H1854*2/10+I1853*8/10</f>
        <v>29.3588090961703</v>
      </c>
      <c r="J1854" s="17" t="n">
        <f aca="false">H1854-I1854</f>
        <v>109.671693552288</v>
      </c>
      <c r="K1854" s="17" t="n">
        <f aca="false">MAX(B1854-B1853,0)</f>
        <v>0</v>
      </c>
      <c r="L1854" s="17" t="n">
        <f aca="false">MAX(B1853-B1854,0)</f>
        <v>46.3299999999999</v>
      </c>
      <c r="M1854" s="17" t="n">
        <f aca="false">(M1853*13+K1854)/14</f>
        <v>94.0270388115562</v>
      </c>
      <c r="N1854" s="17" t="n">
        <f aca="false">(N1853*13+L1854)/14</f>
        <v>54.5412655931414</v>
      </c>
      <c r="O1854" s="17" t="n">
        <f aca="false">IF(N1854=0,100,100-100/(1+M1854/N1854))</f>
        <v>63.2887608082462</v>
      </c>
      <c r="P1854" s="17" t="n">
        <f aca="false">AVERAGE(B1835:B1854)+2*STDEV(B1835:B1854)</f>
        <v>15697.0056320684</v>
      </c>
      <c r="Q1854" s="17" t="n">
        <f aca="false">AVERAGE(B1835:B1854)-2*STDEV(B1835:B1854)</f>
        <v>13982.0803679316</v>
      </c>
      <c r="R1854" s="19" t="n">
        <f aca="false">B1854/B1834-1</f>
        <v>0.0204353468360672</v>
      </c>
      <c r="S1854" s="17" t="n">
        <f aca="false">STDEV(C1835:C1854)*SQRT(252)*100</f>
        <v>20.4961640971606</v>
      </c>
      <c r="T1854" s="19" t="n">
        <f aca="false">B1833/B1603-1</f>
        <v>0.268943666798962</v>
      </c>
      <c r="U1854" s="19" t="n">
        <f aca="false">B1854/MAX(B1603:B1854)-1</f>
        <v>-0.0226344345652358</v>
      </c>
      <c r="V1854" s="17" t="n">
        <f aca="false">(B1854-AVERAGE(B1835:B1854))/STDEV(B1835:B1854)</f>
        <v>1.50034992999831</v>
      </c>
    </row>
    <row r="1855" customFormat="false" ht="15" hidden="false" customHeight="false" outlineLevel="0" collapsed="false">
      <c r="A1855" s="17" t="s">
        <v>2419</v>
      </c>
      <c r="B1855" s="17" t="n">
        <v>15812.47</v>
      </c>
      <c r="C1855" s="19" t="n">
        <f aca="false">B1855/B1854-1</f>
        <v>0.0212933198732268</v>
      </c>
      <c r="D1855" s="17" t="n">
        <f aca="false">AVERAGE(B1806:B1855)</f>
        <v>14960.647</v>
      </c>
      <c r="E1855" s="17" t="n">
        <f aca="false">AVERAGE(B1656:B1855)</f>
        <v>14130.0829</v>
      </c>
      <c r="F1855" s="17" t="n">
        <f aca="false">B1855*2/13+F1854*11/13</f>
        <v>15219.2793576057</v>
      </c>
      <c r="G1855" s="17" t="n">
        <f aca="false">B1855*2/27+G1854*25/27</f>
        <v>15034.623713783</v>
      </c>
      <c r="H1855" s="17" t="n">
        <f aca="false">F1855-G1855</f>
        <v>184.655643822778</v>
      </c>
      <c r="I1855" s="17" t="n">
        <f aca="false">H1855*2/10+I1854*8/10</f>
        <v>60.4181760414918</v>
      </c>
      <c r="J1855" s="17" t="n">
        <f aca="false">H1855-I1855</f>
        <v>124.237467781286</v>
      </c>
      <c r="K1855" s="17" t="n">
        <f aca="false">MAX(B1855-B1854,0)</f>
        <v>329.679999999999</v>
      </c>
      <c r="L1855" s="17" t="n">
        <f aca="false">MAX(B1854-B1855,0)</f>
        <v>0</v>
      </c>
      <c r="M1855" s="17" t="n">
        <f aca="false">(M1854*13+K1855)/14</f>
        <v>110.859393182159</v>
      </c>
      <c r="N1855" s="17" t="n">
        <f aca="false">(N1854*13+L1855)/14</f>
        <v>50.645460907917</v>
      </c>
      <c r="O1855" s="17" t="n">
        <f aca="false">IF(N1855=0,100,100-100/(1+M1855/N1855))</f>
        <v>68.6415240004672</v>
      </c>
      <c r="P1855" s="17" t="n">
        <f aca="false">AVERAGE(B1836:B1855)+2*STDEV(B1836:B1855)</f>
        <v>15829.4235110678</v>
      </c>
      <c r="Q1855" s="17" t="n">
        <f aca="false">AVERAGE(B1836:B1855)-2*STDEV(B1836:B1855)</f>
        <v>13918.7084889322</v>
      </c>
      <c r="R1855" s="19" t="n">
        <f aca="false">B1855/B1835-1</f>
        <v>0.0456592741308859</v>
      </c>
      <c r="S1855" s="17" t="n">
        <f aca="false">STDEV(C1836:C1855)*SQRT(252)*100</f>
        <v>21.6238265305605</v>
      </c>
      <c r="T1855" s="19" t="n">
        <f aca="false">B1834/B1604-1</f>
        <v>0.296710349766771</v>
      </c>
      <c r="U1855" s="19" t="n">
        <f aca="false">B1855/MAX(B1604:B1855)-1</f>
        <v>-0.00182307694735617</v>
      </c>
      <c r="V1855" s="17" t="n">
        <f aca="false">(B1855-AVERAGE(B1836:B1855))/STDEV(B1836:B1855)</f>
        <v>1.96450855125666</v>
      </c>
    </row>
    <row r="1856" customFormat="false" ht="15" hidden="false" customHeight="false" outlineLevel="0" collapsed="false">
      <c r="A1856" s="17" t="s">
        <v>2420</v>
      </c>
      <c r="B1856" s="17" t="n">
        <v>15817.18</v>
      </c>
      <c r="C1856" s="19" t="n">
        <f aca="false">B1856/B1855-1</f>
        <v>0.000297866177769945</v>
      </c>
      <c r="D1856" s="17" t="n">
        <f aca="false">AVERAGE(B1807:B1856)</f>
        <v>14969.5618</v>
      </c>
      <c r="E1856" s="17" t="n">
        <f aca="false">AVERAGE(B1657:B1856)</f>
        <v>14148.65915</v>
      </c>
      <c r="F1856" s="17" t="n">
        <f aca="false">B1856*2/13+F1855*11/13</f>
        <v>15311.2640718202</v>
      </c>
      <c r="G1856" s="17" t="n">
        <f aca="false">B1856*2/27+G1855*25/27</f>
        <v>15092.5908460953</v>
      </c>
      <c r="H1856" s="17" t="n">
        <f aca="false">F1856-G1856</f>
        <v>218.673225724906</v>
      </c>
      <c r="I1856" s="17" t="n">
        <f aca="false">H1856*2/10+I1855*8/10</f>
        <v>92.0691859781746</v>
      </c>
      <c r="J1856" s="17" t="n">
        <f aca="false">H1856-I1856</f>
        <v>126.604039746731</v>
      </c>
      <c r="K1856" s="17" t="n">
        <f aca="false">MAX(B1856-B1855,0)</f>
        <v>4.71000000000095</v>
      </c>
      <c r="L1856" s="17" t="n">
        <f aca="false">MAX(B1855-B1856,0)</f>
        <v>0</v>
      </c>
      <c r="M1856" s="17" t="n">
        <f aca="false">(M1855*13+K1856)/14</f>
        <v>103.277293669148</v>
      </c>
      <c r="N1856" s="17" t="n">
        <f aca="false">(N1855*13+L1856)/14</f>
        <v>47.0279279859229</v>
      </c>
      <c r="O1856" s="17" t="n">
        <f aca="false">IF(N1856=0,100,100-100/(1+M1856/N1856))</f>
        <v>68.7117137594559</v>
      </c>
      <c r="P1856" s="17" t="n">
        <f aca="false">AVERAGE(B1837:B1856)+2*STDEV(B1837:B1856)</f>
        <v>15963.9837832321</v>
      </c>
      <c r="Q1856" s="17" t="n">
        <f aca="false">AVERAGE(B1837:B1856)-2*STDEV(B1837:B1856)</f>
        <v>13874.9402167679</v>
      </c>
      <c r="R1856" s="19" t="n">
        <f aca="false">B1856/B1836-1</f>
        <v>0.0608963825166373</v>
      </c>
      <c r="S1856" s="17" t="n">
        <f aca="false">STDEV(C1837:C1856)*SQRT(252)*100</f>
        <v>20.7636051396607</v>
      </c>
      <c r="T1856" s="19" t="n">
        <f aca="false">B1835/B1605-1</f>
        <v>0.273845415145121</v>
      </c>
      <c r="U1856" s="19" t="n">
        <f aca="false">B1856/MAX(B1605:B1856)-1</f>
        <v>-0.00152575380254838</v>
      </c>
      <c r="V1856" s="17" t="n">
        <f aca="false">(B1856-AVERAGE(B1837:B1856))/STDEV(B1837:B1856)</f>
        <v>1.71890718683182</v>
      </c>
    </row>
    <row r="1857" customFormat="false" ht="15" hidden="false" customHeight="false" outlineLevel="0" collapsed="false">
      <c r="A1857" s="17" t="s">
        <v>2421</v>
      </c>
      <c r="B1857" s="17" t="n">
        <v>15833.17</v>
      </c>
      <c r="C1857" s="19" t="n">
        <f aca="false">B1857/B1856-1</f>
        <v>0.00101092609428477</v>
      </c>
      <c r="D1857" s="17" t="n">
        <f aca="false">AVERAGE(B1808:B1857)</f>
        <v>14981.0548</v>
      </c>
      <c r="E1857" s="17" t="n">
        <f aca="false">AVERAGE(B1658:B1857)</f>
        <v>14166.0095</v>
      </c>
      <c r="F1857" s="17" t="n">
        <f aca="false">B1857*2/13+F1856*11/13</f>
        <v>15391.5572915402</v>
      </c>
      <c r="G1857" s="17" t="n">
        <f aca="false">B1857*2/27+G1856*25/27</f>
        <v>15147.4485611994</v>
      </c>
      <c r="H1857" s="17" t="n">
        <f aca="false">F1857-G1857</f>
        <v>244.108730340819</v>
      </c>
      <c r="I1857" s="17" t="n">
        <f aca="false">H1857*2/10+I1856*8/10</f>
        <v>122.477094850703</v>
      </c>
      <c r="J1857" s="17" t="n">
        <f aca="false">H1857-I1857</f>
        <v>121.631635490115</v>
      </c>
      <c r="K1857" s="17" t="n">
        <f aca="false">MAX(B1857-B1856,0)</f>
        <v>15.9899999999998</v>
      </c>
      <c r="L1857" s="17" t="n">
        <f aca="false">MAX(B1856-B1857,0)</f>
        <v>0</v>
      </c>
      <c r="M1857" s="17" t="n">
        <f aca="false">(M1856*13+K1857)/14</f>
        <v>97.0424869784945</v>
      </c>
      <c r="N1857" s="17" t="n">
        <f aca="false">(N1856*13+L1857)/14</f>
        <v>43.6687902726427</v>
      </c>
      <c r="O1857" s="17" t="n">
        <f aca="false">IF(N1857=0,100,100-100/(1+M1857/N1857))</f>
        <v>68.9656784262544</v>
      </c>
      <c r="P1857" s="17" t="n">
        <f aca="false">AVERAGE(B1838:B1857)+2*STDEV(B1838:B1857)</f>
        <v>16090.5645386695</v>
      </c>
      <c r="Q1857" s="17" t="n">
        <f aca="false">AVERAGE(B1838:B1857)-2*STDEV(B1838:B1857)</f>
        <v>13853.3634613306</v>
      </c>
      <c r="R1857" s="19" t="n">
        <f aca="false">B1857/B1837-1</f>
        <v>0.0710296128086543</v>
      </c>
      <c r="S1857" s="17" t="n">
        <f aca="false">STDEV(C1838:C1857)*SQRT(252)*100</f>
        <v>20.3355568652203</v>
      </c>
      <c r="T1857" s="19" t="n">
        <f aca="false">B1836/B1606-1</f>
        <v>0.274394846094867</v>
      </c>
      <c r="U1857" s="19" t="n">
        <f aca="false">B1857/MAX(B1606:B1857)-1</f>
        <v>-0.000516370132596089</v>
      </c>
      <c r="V1857" s="17" t="n">
        <f aca="false">(B1857-AVERAGE(B1838:B1857))/STDEV(B1838:B1857)</f>
        <v>1.53979185639296</v>
      </c>
    </row>
    <row r="1858" customFormat="false" ht="15" hidden="false" customHeight="false" outlineLevel="0" collapsed="false">
      <c r="A1858" s="17" t="s">
        <v>2422</v>
      </c>
      <c r="B1858" s="17" t="n">
        <v>15837.99</v>
      </c>
      <c r="C1858" s="19" t="n">
        <f aca="false">B1858/B1857-1</f>
        <v>0.000304424193007469</v>
      </c>
      <c r="D1858" s="17" t="n">
        <f aca="false">AVERAGE(B1809:B1858)</f>
        <v>14992.21</v>
      </c>
      <c r="E1858" s="17" t="n">
        <f aca="false">AVERAGE(B1659:B1858)</f>
        <v>14181.18375</v>
      </c>
      <c r="F1858" s="17" t="n">
        <f aca="false">B1858*2/13+F1857*11/13</f>
        <v>15460.2392466879</v>
      </c>
      <c r="G1858" s="17" t="n">
        <f aca="false">B1858*2/27+G1857*25/27</f>
        <v>15198.5997788883</v>
      </c>
      <c r="H1858" s="17" t="n">
        <f aca="false">F1858-G1858</f>
        <v>261.639467799543</v>
      </c>
      <c r="I1858" s="17" t="n">
        <f aca="false">H1858*2/10+I1857*8/10</f>
        <v>150.309569440471</v>
      </c>
      <c r="J1858" s="17" t="n">
        <f aca="false">H1858-I1858</f>
        <v>111.329898359072</v>
      </c>
      <c r="K1858" s="17" t="n">
        <f aca="false">MAX(B1858-B1857,0)</f>
        <v>4.81999999999971</v>
      </c>
      <c r="L1858" s="17" t="n">
        <f aca="false">MAX(B1857-B1858,0)</f>
        <v>0</v>
      </c>
      <c r="M1858" s="17" t="n">
        <f aca="false">(M1857*13+K1858)/14</f>
        <v>90.4551664800306</v>
      </c>
      <c r="N1858" s="17" t="n">
        <f aca="false">(N1857*13+L1858)/14</f>
        <v>40.5495909674539</v>
      </c>
      <c r="O1858" s="17" t="n">
        <f aca="false">IF(N1858=0,100,100-100/(1+M1858/N1858))</f>
        <v>69.0472378579771</v>
      </c>
      <c r="P1858" s="17" t="n">
        <f aca="false">AVERAGE(B1839:B1858)+2*STDEV(B1839:B1858)</f>
        <v>16200.4725555713</v>
      </c>
      <c r="Q1858" s="17" t="n">
        <f aca="false">AVERAGE(B1839:B1858)-2*STDEV(B1839:B1858)</f>
        <v>13871.1664444287</v>
      </c>
      <c r="R1858" s="19" t="n">
        <f aca="false">B1858/B1838-1</f>
        <v>0.08770829785013</v>
      </c>
      <c r="S1858" s="17" t="n">
        <f aca="false">STDEV(C1839:C1858)*SQRT(252)*100</f>
        <v>19.1757091590677</v>
      </c>
      <c r="T1858" s="19" t="n">
        <f aca="false">B1837/B1607-1</f>
        <v>0.266019289432262</v>
      </c>
      <c r="U1858" s="19" t="n">
        <f aca="false">B1858/MAX(B1607:B1858)-1</f>
        <v>-0.000212103135149522</v>
      </c>
      <c r="V1858" s="17" t="n">
        <f aca="false">(B1858-AVERAGE(B1839:B1858))/STDEV(B1839:B1858)</f>
        <v>1.37752697451432</v>
      </c>
    </row>
    <row r="1859" customFormat="false" ht="15" hidden="false" customHeight="false" outlineLevel="0" collapsed="false">
      <c r="A1859" s="17" t="s">
        <v>2423</v>
      </c>
      <c r="B1859" s="17" t="n">
        <v>16027.06</v>
      </c>
      <c r="C1859" s="19" t="n">
        <f aca="false">B1859/B1858-1</f>
        <v>0.0119377522021418</v>
      </c>
      <c r="D1859" s="17" t="n">
        <f aca="false">AVERAGE(B1810:B1859)</f>
        <v>15003.5138</v>
      </c>
      <c r="E1859" s="17" t="n">
        <f aca="false">AVERAGE(B1660:B1859)</f>
        <v>14198.45225</v>
      </c>
      <c r="F1859" s="17" t="n">
        <f aca="false">B1859*2/13+F1858*11/13</f>
        <v>15547.4424395051</v>
      </c>
      <c r="G1859" s="17" t="n">
        <f aca="false">B1859*2/27+G1858*25/27</f>
        <v>15259.9672026744</v>
      </c>
      <c r="H1859" s="17" t="n">
        <f aca="false">F1859-G1859</f>
        <v>287.475236830747</v>
      </c>
      <c r="I1859" s="17" t="n">
        <f aca="false">H1859*2/10+I1858*8/10</f>
        <v>177.742702918527</v>
      </c>
      <c r="J1859" s="17" t="n">
        <f aca="false">H1859-I1859</f>
        <v>109.732533912221</v>
      </c>
      <c r="K1859" s="17" t="n">
        <f aca="false">MAX(B1859-B1858,0)</f>
        <v>189.07</v>
      </c>
      <c r="L1859" s="17" t="n">
        <f aca="false">MAX(B1858-B1859,0)</f>
        <v>0</v>
      </c>
      <c r="M1859" s="17" t="n">
        <f aca="false">(M1858*13+K1859)/14</f>
        <v>97.4990831600284</v>
      </c>
      <c r="N1859" s="17" t="n">
        <f aca="false">(N1858*13+L1859)/14</f>
        <v>37.6531916126358</v>
      </c>
      <c r="O1859" s="17" t="n">
        <f aca="false">IF(N1859=0,100,100-100/(1+M1859/N1859))</f>
        <v>72.140171761096</v>
      </c>
      <c r="P1859" s="17" t="n">
        <f aca="false">AVERAGE(B1840:B1859)+2*STDEV(B1840:B1859)</f>
        <v>16332.8490725415</v>
      </c>
      <c r="Q1859" s="17" t="n">
        <f aca="false">AVERAGE(B1840:B1859)-2*STDEV(B1840:B1859)</f>
        <v>13881.0109274585</v>
      </c>
      <c r="R1859" s="19" t="n">
        <f aca="false">B1859/B1839-1</f>
        <v>0.0973792952341175</v>
      </c>
      <c r="S1859" s="17" t="n">
        <f aca="false">STDEV(C1840:C1859)*SQRT(252)*100</f>
        <v>19.3582779221246</v>
      </c>
      <c r="T1859" s="19" t="n">
        <f aca="false">B1838/B1608-1</f>
        <v>0.246968832801519</v>
      </c>
      <c r="U1859" s="19" t="n">
        <f aca="false">B1859/MAX(B1608:B1859)-1</f>
        <v>0</v>
      </c>
      <c r="V1859" s="17" t="n">
        <f aca="false">(B1859-AVERAGE(B1840:B1859))/STDEV(B1840:B1859)</f>
        <v>1.50112682086336</v>
      </c>
    </row>
    <row r="1860" customFormat="false" ht="15" hidden="false" customHeight="false" outlineLevel="0" collapsed="false">
      <c r="A1860" s="17" t="s">
        <v>2424</v>
      </c>
      <c r="B1860" s="17" t="n">
        <v>15933.62</v>
      </c>
      <c r="C1860" s="19" t="n">
        <f aca="false">B1860/B1859-1</f>
        <v>-0.00583013977610358</v>
      </c>
      <c r="D1860" s="17" t="n">
        <f aca="false">AVERAGE(B1811:B1860)</f>
        <v>15016.3914</v>
      </c>
      <c r="E1860" s="17" t="n">
        <f aca="false">AVERAGE(B1661:B1860)</f>
        <v>14215.7978</v>
      </c>
      <c r="F1860" s="17" t="n">
        <f aca="false">B1860*2/13+F1859*11/13</f>
        <v>15606.8543718889</v>
      </c>
      <c r="G1860" s="17" t="n">
        <f aca="false">B1860*2/27+G1859*25/27</f>
        <v>15309.8674098837</v>
      </c>
      <c r="H1860" s="17" t="n">
        <f aca="false">F1860-G1860</f>
        <v>296.986962005269</v>
      </c>
      <c r="I1860" s="17" t="n">
        <f aca="false">H1860*2/10+I1859*8/10</f>
        <v>201.591554735875</v>
      </c>
      <c r="J1860" s="17" t="n">
        <f aca="false">H1860-I1860</f>
        <v>95.3954072693937</v>
      </c>
      <c r="K1860" s="17" t="n">
        <f aca="false">MAX(B1860-B1859,0)</f>
        <v>0</v>
      </c>
      <c r="L1860" s="17" t="n">
        <f aca="false">MAX(B1859-B1860,0)</f>
        <v>93.4399999999987</v>
      </c>
      <c r="M1860" s="17" t="n">
        <f aca="false">(M1859*13+K1860)/14</f>
        <v>90.5348629343121</v>
      </c>
      <c r="N1860" s="17" t="n">
        <f aca="false">(N1859*13+L1860)/14</f>
        <v>41.6379636403046</v>
      </c>
      <c r="O1860" s="17" t="n">
        <f aca="false">IF(N1860=0,100,100-100/(1+M1860/N1860))</f>
        <v>68.4973343467098</v>
      </c>
      <c r="P1860" s="17" t="n">
        <f aca="false">AVERAGE(B1841:B1860)+2*STDEV(B1841:B1860)</f>
        <v>16432.9899418531</v>
      </c>
      <c r="Q1860" s="17" t="n">
        <f aca="false">AVERAGE(B1841:B1860)-2*STDEV(B1841:B1860)</f>
        <v>13899.6460581469</v>
      </c>
      <c r="R1860" s="19" t="n">
        <f aca="false">B1860/B1840-1</f>
        <v>0.0805487099429942</v>
      </c>
      <c r="S1860" s="17" t="n">
        <f aca="false">STDEV(C1841:C1860)*SQRT(252)*100</f>
        <v>19.6142103921769</v>
      </c>
      <c r="T1860" s="19" t="n">
        <f aca="false">B1839/B1609-1</f>
        <v>0.26411158571682</v>
      </c>
      <c r="U1860" s="19" t="n">
        <f aca="false">B1860/MAX(B1609:B1860)-1</f>
        <v>-0.00583013977610358</v>
      </c>
      <c r="V1860" s="17" t="n">
        <f aca="false">(B1860-AVERAGE(B1841:B1860))/STDEV(B1841:B1860)</f>
        <v>1.2115244281443</v>
      </c>
    </row>
    <row r="1861" customFormat="false" ht="15" hidden="false" customHeight="false" outlineLevel="0" collapsed="false">
      <c r="A1861" s="17" t="s">
        <v>2425</v>
      </c>
      <c r="B1861" s="17" t="n">
        <v>16001.39</v>
      </c>
      <c r="C1861" s="19" t="n">
        <f aca="false">B1861/B1860-1</f>
        <v>0.00425327075705329</v>
      </c>
      <c r="D1861" s="17" t="n">
        <f aca="false">AVERAGE(B1812:B1861)</f>
        <v>15029.4486</v>
      </c>
      <c r="E1861" s="17" t="n">
        <f aca="false">AVERAGE(B1662:B1861)</f>
        <v>14232.1634</v>
      </c>
      <c r="F1861" s="17" t="n">
        <f aca="false">B1861*2/13+F1860*11/13</f>
        <v>15667.5521608291</v>
      </c>
      <c r="G1861" s="17" t="n">
        <f aca="false">B1861*2/27+G1860*25/27</f>
        <v>15361.0913054478</v>
      </c>
      <c r="H1861" s="17" t="n">
        <f aca="false">F1861-G1861</f>
        <v>306.46085538126</v>
      </c>
      <c r="I1861" s="17" t="n">
        <f aca="false">H1861*2/10+I1860*8/10</f>
        <v>222.565414864952</v>
      </c>
      <c r="J1861" s="17" t="n">
        <f aca="false">H1861-I1861</f>
        <v>83.8954405163076</v>
      </c>
      <c r="K1861" s="17" t="n">
        <f aca="false">MAX(B1861-B1860,0)</f>
        <v>67.7699999999986</v>
      </c>
      <c r="L1861" s="17" t="n">
        <f aca="false">MAX(B1860-B1861,0)</f>
        <v>0</v>
      </c>
      <c r="M1861" s="17" t="n">
        <f aca="false">(M1860*13+K1861)/14</f>
        <v>88.9088012961468</v>
      </c>
      <c r="N1861" s="17" t="n">
        <f aca="false">(N1860*13+L1861)/14</f>
        <v>38.6638233802828</v>
      </c>
      <c r="O1861" s="17" t="n">
        <f aca="false">IF(N1861=0,100,100-100/(1+M1861/N1861))</f>
        <v>69.6926958441529</v>
      </c>
      <c r="P1861" s="17" t="n">
        <f aca="false">AVERAGE(B1842:B1861)+2*STDEV(B1842:B1861)</f>
        <v>16509.8526970496</v>
      </c>
      <c r="Q1861" s="17" t="n">
        <f aca="false">AVERAGE(B1842:B1861)-2*STDEV(B1842:B1861)</f>
        <v>13984.7583029504</v>
      </c>
      <c r="R1861" s="19" t="n">
        <f aca="false">B1861/B1841-1</f>
        <v>0.112626237341499</v>
      </c>
      <c r="S1861" s="17" t="n">
        <f aca="false">STDEV(C1842:C1861)*SQRT(252)*100</f>
        <v>16.4401194214021</v>
      </c>
      <c r="T1861" s="19" t="n">
        <f aca="false">B1840/B1610-1</f>
        <v>0.257659806018675</v>
      </c>
      <c r="U1861" s="19" t="n">
        <f aca="false">B1861/MAX(B1610:B1861)-1</f>
        <v>-0.00160166618206958</v>
      </c>
      <c r="V1861" s="17" t="n">
        <f aca="false">(B1861-AVERAGE(B1842:B1861))/STDEV(B1842:B1861)</f>
        <v>1.19454465031037</v>
      </c>
    </row>
    <row r="1862" customFormat="false" ht="15" hidden="false" customHeight="false" outlineLevel="0" collapsed="false">
      <c r="A1862" s="17" t="s">
        <v>2426</v>
      </c>
      <c r="B1862" s="17" t="n">
        <v>15982.01</v>
      </c>
      <c r="C1862" s="19" t="n">
        <f aca="false">B1862/B1861-1</f>
        <v>-0.00121114478179707</v>
      </c>
      <c r="D1862" s="17" t="n">
        <f aca="false">AVERAGE(B1813:B1862)</f>
        <v>15039.611</v>
      </c>
      <c r="E1862" s="17" t="n">
        <f aca="false">AVERAGE(B1663:B1862)</f>
        <v>14249.59655</v>
      </c>
      <c r="F1862" s="17" t="n">
        <f aca="false">B1862*2/13+F1861*11/13</f>
        <v>15715.9302899323</v>
      </c>
      <c r="G1862" s="17" t="n">
        <f aca="false">B1862*2/27+G1861*25/27</f>
        <v>15407.0852828221</v>
      </c>
      <c r="H1862" s="17" t="n">
        <f aca="false">F1862-G1862</f>
        <v>308.845007110242</v>
      </c>
      <c r="I1862" s="17" t="n">
        <f aca="false">H1862*2/10+I1861*8/10</f>
        <v>239.82133331401</v>
      </c>
      <c r="J1862" s="17" t="n">
        <f aca="false">H1862-I1862</f>
        <v>69.0236737962318</v>
      </c>
      <c r="K1862" s="17" t="n">
        <f aca="false">MAX(B1862-B1861,0)</f>
        <v>0</v>
      </c>
      <c r="L1862" s="17" t="n">
        <f aca="false">MAX(B1861-B1862,0)</f>
        <v>19.3799999999992</v>
      </c>
      <c r="M1862" s="17" t="n">
        <f aca="false">(M1861*13+K1862)/14</f>
        <v>82.5581726321363</v>
      </c>
      <c r="N1862" s="17" t="n">
        <f aca="false">(N1861*13+L1862)/14</f>
        <v>37.2864074245483</v>
      </c>
      <c r="O1862" s="17" t="n">
        <f aca="false">IF(N1862=0,100,100-100/(1+M1862/N1862))</f>
        <v>68.8876982113731</v>
      </c>
      <c r="P1862" s="17" t="n">
        <f aca="false">AVERAGE(B1843:B1862)+2*STDEV(B1843:B1862)</f>
        <v>16523.4019638947</v>
      </c>
      <c r="Q1862" s="17" t="n">
        <f aca="false">AVERAGE(B1843:B1862)-2*STDEV(B1843:B1862)</f>
        <v>14158.4530361053</v>
      </c>
      <c r="R1862" s="19" t="n">
        <f aca="false">B1862/B1842-1</f>
        <v>0.132707091711512</v>
      </c>
      <c r="S1862" s="17" t="n">
        <f aca="false">STDEV(C1843:C1862)*SQRT(252)*100</f>
        <v>13.984163030329</v>
      </c>
      <c r="T1862" s="19" t="n">
        <f aca="false">B1841/B1611-1</f>
        <v>0.214796869931885</v>
      </c>
      <c r="U1862" s="19" t="n">
        <f aca="false">B1862/MAX(B1611:B1862)-1</f>
        <v>-0.00281087111422806</v>
      </c>
      <c r="V1862" s="17" t="n">
        <f aca="false">(B1862-AVERAGE(B1843:B1862))/STDEV(B1843:B1862)</f>
        <v>1.08430671371702</v>
      </c>
    </row>
    <row r="1863" customFormat="false" ht="15" hidden="false" customHeight="false" outlineLevel="0" collapsed="false">
      <c r="A1863" s="17" t="s">
        <v>2427</v>
      </c>
      <c r="B1863" s="17" t="n">
        <v>15961.98</v>
      </c>
      <c r="C1863" s="19" t="n">
        <f aca="false">B1863/B1862-1</f>
        <v>-0.00125328416137904</v>
      </c>
      <c r="D1863" s="17" t="n">
        <f aca="false">AVERAGE(B1814:B1863)</f>
        <v>15054.8026</v>
      </c>
      <c r="E1863" s="17" t="n">
        <f aca="false">AVERAGE(B1664:B1863)</f>
        <v>14267.5006</v>
      </c>
      <c r="F1863" s="17" t="n">
        <f aca="false">B1863*2/13+F1862*11/13</f>
        <v>15753.7840914812</v>
      </c>
      <c r="G1863" s="17" t="n">
        <f aca="false">B1863*2/27+G1862*25/27</f>
        <v>15448.1885952056</v>
      </c>
      <c r="H1863" s="17" t="n">
        <f aca="false">F1863-G1863</f>
        <v>305.595496275566</v>
      </c>
      <c r="I1863" s="17" t="n">
        <f aca="false">H1863*2/10+I1862*8/10</f>
        <v>252.976165906321</v>
      </c>
      <c r="J1863" s="17" t="n">
        <f aca="false">H1863-I1863</f>
        <v>52.6193303692449</v>
      </c>
      <c r="K1863" s="17" t="n">
        <f aca="false">MAX(B1863-B1862,0)</f>
        <v>0</v>
      </c>
      <c r="L1863" s="17" t="n">
        <f aca="false">MAX(B1862-B1863,0)</f>
        <v>20.0300000000007</v>
      </c>
      <c r="M1863" s="17" t="n">
        <f aca="false">(M1862*13+K1863)/14</f>
        <v>76.6611603012694</v>
      </c>
      <c r="N1863" s="17" t="n">
        <f aca="false">(N1862*13+L1863)/14</f>
        <v>36.0538068942235</v>
      </c>
      <c r="O1863" s="17" t="n">
        <f aca="false">IF(N1863=0,100,100-100/(1+M1863/N1863))</f>
        <v>68.0132924745551</v>
      </c>
      <c r="P1863" s="17" t="n">
        <f aca="false">AVERAGE(B1844:B1863)+2*STDEV(B1844:B1863)</f>
        <v>16508.2007340438</v>
      </c>
      <c r="Q1863" s="17" t="n">
        <f aca="false">AVERAGE(B1844:B1863)-2*STDEV(B1844:B1863)</f>
        <v>14351.8102659562</v>
      </c>
      <c r="R1863" s="19" t="n">
        <f aca="false">B1863/B1843-1</f>
        <v>0.12563520685565</v>
      </c>
      <c r="S1863" s="17" t="n">
        <f aca="false">STDEV(C1844:C1863)*SQRT(252)*100</f>
        <v>14.2345844081334</v>
      </c>
      <c r="T1863" s="19" t="n">
        <f aca="false">B1842/B1612-1</f>
        <v>0.200198536410676</v>
      </c>
      <c r="U1863" s="19" t="n">
        <f aca="false">B1863/MAX(B1612:B1863)-1</f>
        <v>-0.00406063245535981</v>
      </c>
      <c r="V1863" s="17" t="n">
        <f aca="false">(B1863-AVERAGE(B1844:B1863))/STDEV(B1844:B1863)</f>
        <v>0.986786962514798</v>
      </c>
    </row>
    <row r="1864" customFormat="false" ht="15" hidden="false" customHeight="false" outlineLevel="0" collapsed="false">
      <c r="A1864" s="17" t="s">
        <v>2428</v>
      </c>
      <c r="B1864" s="17" t="n">
        <v>16010.43</v>
      </c>
      <c r="C1864" s="19" t="n">
        <f aca="false">B1864/B1863-1</f>
        <v>0.00303533772126019</v>
      </c>
      <c r="D1864" s="17" t="n">
        <f aca="false">AVERAGE(B1815:B1864)</f>
        <v>15070.5038</v>
      </c>
      <c r="E1864" s="17" t="n">
        <f aca="false">AVERAGE(B1665:B1864)</f>
        <v>14286.02815</v>
      </c>
      <c r="F1864" s="17" t="n">
        <f aca="false">B1864*2/13+F1863*11/13</f>
        <v>15793.2680774072</v>
      </c>
      <c r="G1864" s="17" t="n">
        <f aca="false">B1864*2/27+G1863*25/27</f>
        <v>15489.8361066719</v>
      </c>
      <c r="H1864" s="17" t="n">
        <f aca="false">F1864-G1864</f>
        <v>303.431970735288</v>
      </c>
      <c r="I1864" s="17" t="n">
        <f aca="false">H1864*2/10+I1863*8/10</f>
        <v>263.067326872114</v>
      </c>
      <c r="J1864" s="17" t="n">
        <f aca="false">H1864-I1864</f>
        <v>40.3646438631735</v>
      </c>
      <c r="K1864" s="17" t="n">
        <f aca="false">MAX(B1864-B1863,0)</f>
        <v>48.4500000000007</v>
      </c>
      <c r="L1864" s="17" t="n">
        <f aca="false">MAX(B1863-B1864,0)</f>
        <v>0</v>
      </c>
      <c r="M1864" s="17" t="n">
        <f aca="false">(M1863*13+K1864)/14</f>
        <v>74.6460774226074</v>
      </c>
      <c r="N1864" s="17" t="n">
        <f aca="false">(N1863*13+L1864)/14</f>
        <v>33.4785349732075</v>
      </c>
      <c r="O1864" s="17" t="n">
        <f aca="false">IF(N1864=0,100,100-100/(1+M1864/N1864))</f>
        <v>69.0370820931578</v>
      </c>
      <c r="P1864" s="17" t="n">
        <f aca="false">AVERAGE(B1845:B1864)+2*STDEV(B1845:B1864)</f>
        <v>16489.3056392358</v>
      </c>
      <c r="Q1864" s="17" t="n">
        <f aca="false">AVERAGE(B1845:B1864)-2*STDEV(B1845:B1864)</f>
        <v>14538.1973607643</v>
      </c>
      <c r="R1864" s="19" t="n">
        <f aca="false">B1864/B1844-1</f>
        <v>0.116837140778389</v>
      </c>
      <c r="S1864" s="17" t="n">
        <f aca="false">STDEV(C1845:C1864)*SQRT(252)*100</f>
        <v>14.145155598152</v>
      </c>
      <c r="T1864" s="19" t="n">
        <f aca="false">B1843/B1613-1</f>
        <v>0.223742314081681</v>
      </c>
      <c r="U1864" s="19" t="n">
        <f aca="false">B1864/MAX(B1613:B1864)-1</f>
        <v>-0.00103762012496356</v>
      </c>
      <c r="V1864" s="17" t="n">
        <f aca="false">(B1864-AVERAGE(B1845:B1864))/STDEV(B1845:B1864)</f>
        <v>1.01824897260771</v>
      </c>
    </row>
    <row r="1865" customFormat="false" ht="15" hidden="false" customHeight="false" outlineLevel="0" collapsed="false">
      <c r="A1865" s="17" t="s">
        <v>2429</v>
      </c>
      <c r="B1865" s="17" t="n">
        <v>15987.6</v>
      </c>
      <c r="C1865" s="19" t="n">
        <f aca="false">B1865/B1864-1</f>
        <v>-0.00142594546180208</v>
      </c>
      <c r="D1865" s="17" t="n">
        <f aca="false">AVERAGE(B1816:B1865)</f>
        <v>15086.4312</v>
      </c>
      <c r="E1865" s="17" t="n">
        <f aca="false">AVERAGE(B1666:B1865)</f>
        <v>14303.4546</v>
      </c>
      <c r="F1865" s="17" t="n">
        <f aca="false">B1865*2/13+F1864*11/13</f>
        <v>15823.1652962676</v>
      </c>
      <c r="G1865" s="17" t="n">
        <f aca="false">B1865*2/27+G1864*25/27</f>
        <v>15526.7075061777</v>
      </c>
      <c r="H1865" s="17" t="n">
        <f aca="false">F1865-G1865</f>
        <v>296.457790089937</v>
      </c>
      <c r="I1865" s="17" t="n">
        <f aca="false">H1865*2/10+I1864*8/10</f>
        <v>269.745419515679</v>
      </c>
      <c r="J1865" s="17" t="n">
        <f aca="false">H1865-I1865</f>
        <v>26.7123705742578</v>
      </c>
      <c r="K1865" s="17" t="n">
        <f aca="false">MAX(B1865-B1864,0)</f>
        <v>0</v>
      </c>
      <c r="L1865" s="17" t="n">
        <f aca="false">MAX(B1864-B1865,0)</f>
        <v>22.8299999999999</v>
      </c>
      <c r="M1865" s="17" t="n">
        <f aca="false">(M1864*13+K1865)/14</f>
        <v>69.314214749564</v>
      </c>
      <c r="N1865" s="17" t="n">
        <f aca="false">(N1864*13+L1865)/14</f>
        <v>32.7179253322641</v>
      </c>
      <c r="O1865" s="17" t="n">
        <f aca="false">IF(N1865=0,100,100-100/(1+M1865/N1865))</f>
        <v>67.9337066673061</v>
      </c>
      <c r="P1865" s="17" t="n">
        <f aca="false">AVERAGE(B1846:B1865)+2*STDEV(B1846:B1865)</f>
        <v>16438.9230872603</v>
      </c>
      <c r="Q1865" s="17" t="n">
        <f aca="false">AVERAGE(B1846:B1865)-2*STDEV(B1846:B1865)</f>
        <v>14746.3619127397</v>
      </c>
      <c r="R1865" s="19" t="n">
        <f aca="false">B1865/B1845-1</f>
        <v>0.109496466982841</v>
      </c>
      <c r="S1865" s="17" t="n">
        <f aca="false">STDEV(C1846:C1865)*SQRT(252)*100</f>
        <v>14.3624798558624</v>
      </c>
      <c r="T1865" s="19" t="n">
        <f aca="false">B1844/B1614-1</f>
        <v>0.246192229287735</v>
      </c>
      <c r="U1865" s="19" t="n">
        <f aca="false">B1865/MAX(B1614:B1865)-1</f>
        <v>-0.00246208599705744</v>
      </c>
      <c r="V1865" s="17" t="n">
        <f aca="false">(B1865-AVERAGE(B1846:B1865))/STDEV(B1846:B1865)</f>
        <v>0.933396100408263</v>
      </c>
    </row>
    <row r="1866" customFormat="false" ht="15" hidden="false" customHeight="false" outlineLevel="0" collapsed="false">
      <c r="A1866" s="17" t="s">
        <v>2430</v>
      </c>
      <c r="B1866" s="17" t="n">
        <v>15947.87</v>
      </c>
      <c r="C1866" s="19" t="n">
        <f aca="false">B1866/B1865-1</f>
        <v>-0.00248505091445872</v>
      </c>
      <c r="D1866" s="17" t="n">
        <f aca="false">AVERAGE(B1817:B1866)</f>
        <v>15105.9902</v>
      </c>
      <c r="E1866" s="17" t="n">
        <f aca="false">AVERAGE(B1667:B1866)</f>
        <v>14320.2395</v>
      </c>
      <c r="F1866" s="17" t="n">
        <f aca="false">B1866*2/13+F1865*11/13</f>
        <v>15842.3506353034</v>
      </c>
      <c r="G1866" s="17" t="n">
        <f aca="false">B1866*2/27+G1865*25/27</f>
        <v>15557.9047279423</v>
      </c>
      <c r="H1866" s="17" t="n">
        <f aca="false">F1866-G1866</f>
        <v>284.445907361074</v>
      </c>
      <c r="I1866" s="17" t="n">
        <f aca="false">H1866*2/10+I1865*8/10</f>
        <v>272.685517084758</v>
      </c>
      <c r="J1866" s="17" t="n">
        <f aca="false">H1866-I1866</f>
        <v>11.7603902763163</v>
      </c>
      <c r="K1866" s="17" t="n">
        <f aca="false">MAX(B1866-B1865,0)</f>
        <v>0</v>
      </c>
      <c r="L1866" s="17" t="n">
        <f aca="false">MAX(B1865-B1866,0)</f>
        <v>39.7299999999996</v>
      </c>
      <c r="M1866" s="17" t="n">
        <f aca="false">(M1865*13+K1866)/14</f>
        <v>64.3631994103094</v>
      </c>
      <c r="N1866" s="17" t="n">
        <f aca="false">(N1865*13+L1866)/14</f>
        <v>33.2187878085309</v>
      </c>
      <c r="O1866" s="17" t="n">
        <f aca="false">IF(N1866=0,100,100-100/(1+M1866/N1866))</f>
        <v>65.9580740715667</v>
      </c>
      <c r="P1866" s="17" t="n">
        <f aca="false">AVERAGE(B1847:B1866)+2*STDEV(B1847:B1866)</f>
        <v>16394.5119023985</v>
      </c>
      <c r="Q1866" s="17" t="n">
        <f aca="false">AVERAGE(B1847:B1866)-2*STDEV(B1847:B1866)</f>
        <v>14919.0690976015</v>
      </c>
      <c r="R1866" s="19" t="n">
        <f aca="false">B1866/B1846-1</f>
        <v>0.0874850237744385</v>
      </c>
      <c r="S1866" s="17" t="n">
        <f aca="false">STDEV(C1847:C1866)*SQRT(252)*100</f>
        <v>13.8174911128349</v>
      </c>
      <c r="T1866" s="19" t="n">
        <f aca="false">B1845/B1615-1</f>
        <v>0.197814474740774</v>
      </c>
      <c r="U1866" s="19" t="n">
        <f aca="false">B1866/MAX(B1615:B1866)-1</f>
        <v>-0.00494101850245765</v>
      </c>
      <c r="V1866" s="17" t="n">
        <f aca="false">(B1866-AVERAGE(B1847:B1866))/STDEV(B1847:B1866)</f>
        <v>0.789131233155571</v>
      </c>
    </row>
    <row r="1867" customFormat="false" ht="15" hidden="false" customHeight="false" outlineLevel="0" collapsed="false">
      <c r="A1867" s="17" t="s">
        <v>2431</v>
      </c>
      <c r="B1867" s="17" t="n">
        <v>15997.58</v>
      </c>
      <c r="C1867" s="19" t="n">
        <f aca="false">B1867/B1866-1</f>
        <v>0.00311703067556968</v>
      </c>
      <c r="D1867" s="17" t="n">
        <f aca="false">AVERAGE(B1818:B1867)</f>
        <v>15132.057</v>
      </c>
      <c r="E1867" s="17" t="n">
        <f aca="false">AVERAGE(B1668:B1867)</f>
        <v>14336.78795</v>
      </c>
      <c r="F1867" s="17" t="n">
        <f aca="false">B1867*2/13+F1866*11/13</f>
        <v>15866.2320760259</v>
      </c>
      <c r="G1867" s="17" t="n">
        <f aca="false">B1867*2/27+G1866*25/27</f>
        <v>15590.4732666132</v>
      </c>
      <c r="H1867" s="17" t="n">
        <f aca="false">F1867-G1867</f>
        <v>275.758809412693</v>
      </c>
      <c r="I1867" s="17" t="n">
        <f aca="false">H1867*2/10+I1866*8/10</f>
        <v>273.300175550345</v>
      </c>
      <c r="J1867" s="17" t="n">
        <f aca="false">H1867-I1867</f>
        <v>2.45863386234822</v>
      </c>
      <c r="K1867" s="17" t="n">
        <f aca="false">MAX(B1867-B1866,0)</f>
        <v>49.7099999999991</v>
      </c>
      <c r="L1867" s="17" t="n">
        <f aca="false">MAX(B1866-B1867,0)</f>
        <v>0</v>
      </c>
      <c r="M1867" s="17" t="n">
        <f aca="false">(M1866*13+K1867)/14</f>
        <v>63.316542309573</v>
      </c>
      <c r="N1867" s="17" t="n">
        <f aca="false">(N1866*13+L1867)/14</f>
        <v>30.8460172507787</v>
      </c>
      <c r="O1867" s="17" t="n">
        <f aca="false">IF(N1867=0,100,100-100/(1+M1867/N1867))</f>
        <v>67.2417387602887</v>
      </c>
      <c r="P1867" s="17" t="n">
        <f aca="false">AVERAGE(B1848:B1867)+2*STDEV(B1848:B1867)</f>
        <v>16375.5406357724</v>
      </c>
      <c r="Q1867" s="17" t="n">
        <f aca="false">AVERAGE(B1848:B1867)-2*STDEV(B1848:B1867)</f>
        <v>15045.8433642276</v>
      </c>
      <c r="R1867" s="19" t="n">
        <f aca="false">B1867/B1847-1</f>
        <v>0.0722562007567253</v>
      </c>
      <c r="S1867" s="17" t="n">
        <f aca="false">STDEV(C1848:C1867)*SQRT(252)*100</f>
        <v>12.918675708998</v>
      </c>
      <c r="T1867" s="19" t="n">
        <f aca="false">B1846/B1616-1</f>
        <v>0.217824610588537</v>
      </c>
      <c r="U1867" s="19" t="n">
        <f aca="false">B1867/MAX(B1616:B1867)-1</f>
        <v>-0.00183938913312853</v>
      </c>
      <c r="V1867" s="17" t="n">
        <f aca="false">(B1867-AVERAGE(B1848:B1867))/STDEV(B1848:B1867)</f>
        <v>0.86301748868508</v>
      </c>
    </row>
    <row r="1868" customFormat="false" ht="15" hidden="false" customHeight="false" outlineLevel="0" collapsed="false">
      <c r="A1868" s="17" t="s">
        <v>2432</v>
      </c>
      <c r="B1868" s="17" t="n">
        <v>15839.67</v>
      </c>
      <c r="C1868" s="19" t="n">
        <f aca="false">B1868/B1867-1</f>
        <v>-0.00987086796878023</v>
      </c>
      <c r="D1868" s="17" t="n">
        <f aca="false">AVERAGE(B1819:B1868)</f>
        <v>15154.8284</v>
      </c>
      <c r="E1868" s="17" t="n">
        <f aca="false">AVERAGE(B1669:B1868)</f>
        <v>14353.7739</v>
      </c>
      <c r="F1868" s="17" t="n">
        <f aca="false">B1868*2/13+F1867*11/13</f>
        <v>15862.1456027912</v>
      </c>
      <c r="G1868" s="17" t="n">
        <f aca="false">B1868*2/27+G1867*25/27</f>
        <v>15608.9322839011</v>
      </c>
      <c r="H1868" s="17" t="n">
        <f aca="false">F1868-G1868</f>
        <v>253.213318890028</v>
      </c>
      <c r="I1868" s="17" t="n">
        <f aca="false">H1868*2/10+I1867*8/10</f>
        <v>269.282804218282</v>
      </c>
      <c r="J1868" s="17" t="n">
        <f aca="false">H1868-I1868</f>
        <v>-16.0694853282536</v>
      </c>
      <c r="K1868" s="17" t="n">
        <f aca="false">MAX(B1868-B1867,0)</f>
        <v>0</v>
      </c>
      <c r="L1868" s="17" t="n">
        <f aca="false">MAX(B1867-B1868,0)</f>
        <v>157.91</v>
      </c>
      <c r="M1868" s="17" t="n">
        <f aca="false">(M1867*13+K1868)/14</f>
        <v>58.7939321446035</v>
      </c>
      <c r="N1868" s="17" t="n">
        <f aca="false">(N1867*13+L1868)/14</f>
        <v>39.9220160185802</v>
      </c>
      <c r="O1868" s="17" t="n">
        <f aca="false">IF(N1868=0,100,100-100/(1+M1868/N1868))</f>
        <v>59.5586966833499</v>
      </c>
      <c r="P1868" s="17" t="n">
        <f aca="false">AVERAGE(B1849:B1868)+2*STDEV(B1849:B1868)</f>
        <v>16348.6277813145</v>
      </c>
      <c r="Q1868" s="17" t="n">
        <f aca="false">AVERAGE(B1849:B1868)-2*STDEV(B1849:B1868)</f>
        <v>15146.7742186855</v>
      </c>
      <c r="R1868" s="19" t="n">
        <f aca="false">B1868/B1848-1</f>
        <v>0.0490201986954526</v>
      </c>
      <c r="S1868" s="17" t="n">
        <f aca="false">STDEV(C1849:C1868)*SQRT(252)*100</f>
        <v>13.3357729327036</v>
      </c>
      <c r="T1868" s="19" t="n">
        <f aca="false">B1847/B1617-1</f>
        <v>0.243890827779288</v>
      </c>
      <c r="U1868" s="19" t="n">
        <f aca="false">B1868/MAX(B1617:B1868)-1</f>
        <v>-0.0116921007346326</v>
      </c>
      <c r="V1868" s="17" t="n">
        <f aca="false">(B1868-AVERAGE(B1849:B1868))/STDEV(B1849:B1868)</f>
        <v>0.306090535019308</v>
      </c>
    </row>
    <row r="1869" customFormat="false" ht="15" hidden="false" customHeight="false" outlineLevel="0" collapsed="false">
      <c r="A1869" s="17" t="s">
        <v>2433</v>
      </c>
      <c r="B1869" s="17" t="n">
        <v>15877.71</v>
      </c>
      <c r="C1869" s="19" t="n">
        <f aca="false">B1869/B1868-1</f>
        <v>0.00240156518412316</v>
      </c>
      <c r="D1869" s="17" t="n">
        <f aca="false">AVERAGE(B1820:B1869)</f>
        <v>15177.0046</v>
      </c>
      <c r="E1869" s="17" t="n">
        <f aca="false">AVERAGE(B1670:B1869)</f>
        <v>14371.37155</v>
      </c>
      <c r="F1869" s="17" t="n">
        <f aca="false">B1869*2/13+F1868*11/13</f>
        <v>15864.5401254387</v>
      </c>
      <c r="G1869" s="17" t="n">
        <f aca="false">B1869*2/27+G1868*25/27</f>
        <v>15628.8417443529</v>
      </c>
      <c r="H1869" s="17" t="n">
        <f aca="false">F1869-G1869</f>
        <v>235.698381085773</v>
      </c>
      <c r="I1869" s="17" t="n">
        <f aca="false">H1869*2/10+I1868*8/10</f>
        <v>262.56591959178</v>
      </c>
      <c r="J1869" s="17" t="n">
        <f aca="false">H1869-I1869</f>
        <v>-26.867538506007</v>
      </c>
      <c r="K1869" s="17" t="n">
        <f aca="false">MAX(B1869-B1868,0)</f>
        <v>38.0399999999991</v>
      </c>
      <c r="L1869" s="17" t="n">
        <f aca="false">MAX(B1868-B1869,0)</f>
        <v>0</v>
      </c>
      <c r="M1869" s="17" t="n">
        <f aca="false">(M1868*13+K1869)/14</f>
        <v>57.3115084199889</v>
      </c>
      <c r="N1869" s="17" t="n">
        <f aca="false">(N1868*13+L1869)/14</f>
        <v>37.0704434458245</v>
      </c>
      <c r="O1869" s="17" t="n">
        <f aca="false">IF(N1869=0,100,100-100/(1+M1869/N1869))</f>
        <v>60.7229531568397</v>
      </c>
      <c r="P1869" s="17" t="n">
        <f aca="false">AVERAGE(B1850:B1869)+2*STDEV(B1850:B1869)</f>
        <v>16317.8794364701</v>
      </c>
      <c r="Q1869" s="17" t="n">
        <f aca="false">AVERAGE(B1850:B1869)-2*STDEV(B1850:B1869)</f>
        <v>15249.8005635299</v>
      </c>
      <c r="R1869" s="19" t="n">
        <f aca="false">B1869/B1849-1</f>
        <v>0.0476927310122843</v>
      </c>
      <c r="S1869" s="17" t="n">
        <f aca="false">STDEV(C1850:C1869)*SQRT(252)*100</f>
        <v>13.3276935916787</v>
      </c>
      <c r="T1869" s="19" t="n">
        <f aca="false">B1848/B1618-1</f>
        <v>0.281050836528999</v>
      </c>
      <c r="U1869" s="19" t="n">
        <f aca="false">B1869/MAX(B1618:B1869)-1</f>
        <v>-0.00931861489256303</v>
      </c>
      <c r="V1869" s="17" t="n">
        <f aca="false">(B1869-AVERAGE(B1850:B1869))/STDEV(B1850:B1869)</f>
        <v>0.351547071581336</v>
      </c>
    </row>
    <row r="1870" customFormat="false" ht="15" hidden="false" customHeight="false" outlineLevel="0" collapsed="false">
      <c r="A1870" s="17" t="s">
        <v>2434</v>
      </c>
      <c r="B1870" s="17" t="n">
        <v>15788.05</v>
      </c>
      <c r="C1870" s="19" t="n">
        <f aca="false">B1870/B1869-1</f>
        <v>-0.00564691003929407</v>
      </c>
      <c r="D1870" s="17" t="n">
        <f aca="false">AVERAGE(B1821:B1870)</f>
        <v>15201.849</v>
      </c>
      <c r="E1870" s="17" t="n">
        <f aca="false">AVERAGE(B1671:B1870)</f>
        <v>14390.0103</v>
      </c>
      <c r="F1870" s="17" t="n">
        <f aca="false">B1870*2/13+F1869*11/13</f>
        <v>15852.7724138327</v>
      </c>
      <c r="G1870" s="17" t="n">
        <f aca="false">B1870*2/27+G1869*25/27</f>
        <v>15640.6349484749</v>
      </c>
      <c r="H1870" s="17" t="n">
        <f aca="false">F1870-G1870</f>
        <v>212.137465357815</v>
      </c>
      <c r="I1870" s="17" t="n">
        <f aca="false">H1870*2/10+I1869*8/10</f>
        <v>252.480228744987</v>
      </c>
      <c r="J1870" s="17" t="n">
        <f aca="false">H1870-I1870</f>
        <v>-40.3427633871718</v>
      </c>
      <c r="K1870" s="17" t="n">
        <f aca="false">MAX(B1870-B1869,0)</f>
        <v>0</v>
      </c>
      <c r="L1870" s="17" t="n">
        <f aca="false">MAX(B1869-B1870,0)</f>
        <v>89.6599999999999</v>
      </c>
      <c r="M1870" s="17" t="n">
        <f aca="false">(M1869*13+K1870)/14</f>
        <v>53.2178292471325</v>
      </c>
      <c r="N1870" s="17" t="n">
        <f aca="false">(N1869*13+L1870)/14</f>
        <v>40.8268403425513</v>
      </c>
      <c r="O1870" s="17" t="n">
        <f aca="false">IF(N1870=0,100,100-100/(1+M1870/N1870))</f>
        <v>56.5878209571276</v>
      </c>
      <c r="P1870" s="17" t="n">
        <f aca="false">AVERAGE(B1851:B1870)+2*STDEV(B1851:B1870)</f>
        <v>16290.680960992</v>
      </c>
      <c r="Q1870" s="17" t="n">
        <f aca="false">AVERAGE(B1851:B1870)-2*STDEV(B1851:B1870)</f>
        <v>15326.202039008</v>
      </c>
      <c r="R1870" s="19" t="n">
        <f aca="false">B1870/B1850-1</f>
        <v>0.0321671912039863</v>
      </c>
      <c r="S1870" s="17" t="n">
        <f aca="false">STDEV(C1851:C1870)*SQRT(252)*100</f>
        <v>13.3514951465287</v>
      </c>
      <c r="T1870" s="19" t="n">
        <f aca="false">B1849/B1619-1</f>
        <v>0.312150369403854</v>
      </c>
      <c r="U1870" s="19" t="n">
        <f aca="false">B1870/MAX(B1619:B1870)-1</f>
        <v>-0.0149129035518679</v>
      </c>
      <c r="V1870" s="17" t="n">
        <f aca="false">(B1870-AVERAGE(B1851:B1870))/STDEV(B1851:B1870)</f>
        <v>-0.0845700182148224</v>
      </c>
    </row>
    <row r="1871" customFormat="false" ht="15" hidden="false" customHeight="false" outlineLevel="0" collapsed="false">
      <c r="A1871" s="17" t="s">
        <v>2435</v>
      </c>
      <c r="B1871" s="17" t="n">
        <v>16022.49</v>
      </c>
      <c r="C1871" s="19" t="n">
        <f aca="false">B1871/B1870-1</f>
        <v>0.0148492055700356</v>
      </c>
      <c r="D1871" s="17" t="n">
        <f aca="false">AVERAGE(B1822:B1871)</f>
        <v>15230.6956</v>
      </c>
      <c r="E1871" s="17" t="n">
        <f aca="false">AVERAGE(B1672:B1871)</f>
        <v>14409.7914</v>
      </c>
      <c r="F1871" s="17" t="n">
        <f aca="false">B1871*2/13+F1870*11/13</f>
        <v>15878.8828117046</v>
      </c>
      <c r="G1871" s="17" t="n">
        <f aca="false">B1871*2/27+G1870*25/27</f>
        <v>15668.9205078471</v>
      </c>
      <c r="H1871" s="17" t="n">
        <f aca="false">F1871-G1871</f>
        <v>209.962303857476</v>
      </c>
      <c r="I1871" s="17" t="n">
        <f aca="false">H1871*2/10+I1870*8/10</f>
        <v>243.976643767485</v>
      </c>
      <c r="J1871" s="17" t="n">
        <f aca="false">H1871-I1871</f>
        <v>-34.0143399100091</v>
      </c>
      <c r="K1871" s="17" t="n">
        <f aca="false">MAX(B1871-B1870,0)</f>
        <v>234.440000000001</v>
      </c>
      <c r="L1871" s="17" t="n">
        <f aca="false">MAX(B1870-B1871,0)</f>
        <v>0</v>
      </c>
      <c r="M1871" s="17" t="n">
        <f aca="false">(M1870*13+K1871)/14</f>
        <v>66.1622700151945</v>
      </c>
      <c r="N1871" s="17" t="n">
        <f aca="false">(N1870*13+L1871)/14</f>
        <v>37.9106374609405</v>
      </c>
      <c r="O1871" s="17" t="n">
        <f aca="false">IF(N1871=0,100,100-100/(1+M1871/N1871))</f>
        <v>63.5730005240472</v>
      </c>
      <c r="P1871" s="17" t="n">
        <f aca="false">AVERAGE(B1852:B1871)+2*STDEV(B1852:B1871)</f>
        <v>16274.3447095011</v>
      </c>
      <c r="Q1871" s="17" t="n">
        <f aca="false">AVERAGE(B1852:B1871)-2*STDEV(B1852:B1871)</f>
        <v>15413.4632904989</v>
      </c>
      <c r="R1871" s="19" t="n">
        <f aca="false">B1871/B1851-1</f>
        <v>0.0463161290491105</v>
      </c>
      <c r="S1871" s="17" t="n">
        <f aca="false">STDEV(C1852:C1871)*SQRT(252)*100</f>
        <v>14.1492729600521</v>
      </c>
      <c r="T1871" s="19" t="n">
        <f aca="false">B1850/B1620-1</f>
        <v>0.330390636483585</v>
      </c>
      <c r="U1871" s="19" t="n">
        <f aca="false">B1871/MAX(B1620:B1871)-1</f>
        <v>-0.000285142752320167</v>
      </c>
      <c r="V1871" s="17" t="n">
        <f aca="false">(B1871-AVERAGE(B1852:B1871))/STDEV(B1852:B1871)</f>
        <v>0.829782109628983</v>
      </c>
    </row>
    <row r="1872" customFormat="false" ht="15" hidden="false" customHeight="false" outlineLevel="0" collapsed="false">
      <c r="A1872" s="17" t="s">
        <v>2436</v>
      </c>
      <c r="B1872" s="17" t="n">
        <v>16084.69</v>
      </c>
      <c r="C1872" s="19" t="n">
        <f aca="false">B1872/B1871-1</f>
        <v>0.00388204330288233</v>
      </c>
      <c r="D1872" s="17" t="n">
        <f aca="false">AVERAGE(B1823:B1872)</f>
        <v>15258.334</v>
      </c>
      <c r="E1872" s="17" t="n">
        <f aca="false">AVERAGE(B1673:B1872)</f>
        <v>14429.31415</v>
      </c>
      <c r="F1872" s="17" t="n">
        <f aca="false">B1872*2/13+F1871*11/13</f>
        <v>15910.5454560578</v>
      </c>
      <c r="G1872" s="17" t="n">
        <f aca="false">B1872*2/27+G1871*25/27</f>
        <v>15699.7182480066</v>
      </c>
      <c r="H1872" s="17" t="n">
        <f aca="false">F1872-G1872</f>
        <v>210.82720805114</v>
      </c>
      <c r="I1872" s="17" t="n">
        <f aca="false">H1872*2/10+I1871*8/10</f>
        <v>237.346756624216</v>
      </c>
      <c r="J1872" s="17" t="n">
        <f aca="false">H1872-I1872</f>
        <v>-26.5195485730759</v>
      </c>
      <c r="K1872" s="17" t="n">
        <f aca="false">MAX(B1872-B1871,0)</f>
        <v>62.2000000000007</v>
      </c>
      <c r="L1872" s="17" t="n">
        <f aca="false">MAX(B1871-B1872,0)</f>
        <v>0</v>
      </c>
      <c r="M1872" s="17" t="n">
        <f aca="false">(M1871*13+K1872)/14</f>
        <v>65.879250728395</v>
      </c>
      <c r="N1872" s="17" t="n">
        <f aca="false">(N1871*13+L1872)/14</f>
        <v>35.202734785159</v>
      </c>
      <c r="O1872" s="17" t="n">
        <f aca="false">IF(N1872=0,100,100-100/(1+M1872/N1872))</f>
        <v>65.1740766603375</v>
      </c>
      <c r="P1872" s="17" t="n">
        <f aca="false">AVERAGE(B1853:B1872)+2*STDEV(B1853:B1872)</f>
        <v>16202.4652189451</v>
      </c>
      <c r="Q1872" s="17" t="n">
        <f aca="false">AVERAGE(B1853:B1872)-2*STDEV(B1853:B1872)</f>
        <v>15575.0217810549</v>
      </c>
      <c r="R1872" s="19" t="n">
        <f aca="false">B1872/B1852-1</f>
        <v>0.0590463461044648</v>
      </c>
      <c r="S1872" s="17" t="n">
        <f aca="false">STDEV(C1853:C1872)*SQRT(252)*100</f>
        <v>13.6005538530715</v>
      </c>
      <c r="T1872" s="19" t="n">
        <f aca="false">B1851/B1621-1</f>
        <v>0.31585306122449</v>
      </c>
      <c r="U1872" s="19" t="n">
        <f aca="false">B1872/MAX(B1621:B1872)-1</f>
        <v>0</v>
      </c>
      <c r="V1872" s="17" t="n">
        <f aca="false">(B1872-AVERAGE(B1853:B1872))/STDEV(B1853:B1872)</f>
        <v>1.24917395364816</v>
      </c>
    </row>
    <row r="1873" customFormat="false" ht="15" hidden="false" customHeight="false" outlineLevel="0" collapsed="false">
      <c r="A1873" s="17" t="s">
        <v>2437</v>
      </c>
      <c r="B1873" s="17" t="n">
        <v>16221.73</v>
      </c>
      <c r="C1873" s="19" t="n">
        <f aca="false">B1873/B1872-1</f>
        <v>0.00851990308796746</v>
      </c>
      <c r="D1873" s="17" t="n">
        <f aca="false">AVERAGE(B1824:B1873)</f>
        <v>15288.4638</v>
      </c>
      <c r="E1873" s="17" t="n">
        <f aca="false">AVERAGE(B1674:B1873)</f>
        <v>14450.57455</v>
      </c>
      <c r="F1873" s="17" t="n">
        <f aca="false">B1873*2/13+F1872*11/13</f>
        <v>15958.4200012796</v>
      </c>
      <c r="G1873" s="17" t="n">
        <f aca="false">B1873*2/27+G1872*25/27</f>
        <v>15738.3857851913</v>
      </c>
      <c r="H1873" s="17" t="n">
        <f aca="false">F1873-G1873</f>
        <v>220.03421608833</v>
      </c>
      <c r="I1873" s="17" t="n">
        <f aca="false">H1873*2/10+I1872*8/10</f>
        <v>233.884248517039</v>
      </c>
      <c r="J1873" s="17" t="n">
        <f aca="false">H1873-I1873</f>
        <v>-13.8500324287083</v>
      </c>
      <c r="K1873" s="17" t="n">
        <f aca="false">MAX(B1873-B1872,0)</f>
        <v>137.039999999999</v>
      </c>
      <c r="L1873" s="17" t="n">
        <f aca="false">MAX(B1872-B1873,0)</f>
        <v>0</v>
      </c>
      <c r="M1873" s="17" t="n">
        <f aca="false">(M1872*13+K1873)/14</f>
        <v>70.9621613906524</v>
      </c>
      <c r="N1873" s="17" t="n">
        <f aca="false">(N1872*13+L1873)/14</f>
        <v>32.6882537290762</v>
      </c>
      <c r="O1873" s="17" t="n">
        <f aca="false">IF(N1873=0,100,100-100/(1+M1873/N1873))</f>
        <v>68.4629784730554</v>
      </c>
      <c r="P1873" s="17" t="n">
        <f aca="false">AVERAGE(B1854:B1873)+2*STDEV(B1854:B1873)</f>
        <v>16222.5190175628</v>
      </c>
      <c r="Q1873" s="17" t="n">
        <f aca="false">AVERAGE(B1854:B1873)-2*STDEV(B1854:B1873)</f>
        <v>15624.2289824372</v>
      </c>
      <c r="R1873" s="19" t="n">
        <f aca="false">B1873/B1853-1</f>
        <v>0.0446007243166386</v>
      </c>
      <c r="S1873" s="17" t="n">
        <f aca="false">STDEV(C1854:C1873)*SQRT(252)*100</f>
        <v>11.7099269718819</v>
      </c>
      <c r="T1873" s="19" t="n">
        <f aca="false">B1852/B1622-1</f>
        <v>0.313453823422837</v>
      </c>
      <c r="U1873" s="19" t="n">
        <f aca="false">B1873/MAX(B1622:B1873)-1</f>
        <v>0</v>
      </c>
      <c r="V1873" s="17" t="n">
        <f aca="false">(B1873-AVERAGE(B1854:B1873))/STDEV(B1854:B1873)</f>
        <v>1.99472484904344</v>
      </c>
    </row>
    <row r="1874" customFormat="false" ht="15" hidden="false" customHeight="false" outlineLevel="0" collapsed="false">
      <c r="A1874" s="17" t="s">
        <v>2438</v>
      </c>
      <c r="B1874" s="17" t="n">
        <v>16354.25</v>
      </c>
      <c r="C1874" s="19" t="n">
        <f aca="false">B1874/B1873-1</f>
        <v>0.00816928897226132</v>
      </c>
      <c r="D1874" s="17" t="n">
        <f aca="false">AVERAGE(B1825:B1874)</f>
        <v>15318.7974</v>
      </c>
      <c r="E1874" s="17" t="n">
        <f aca="false">AVERAGE(B1675:B1874)</f>
        <v>14472.05685</v>
      </c>
      <c r="F1874" s="17" t="n">
        <f aca="false">B1874*2/13+F1873*11/13</f>
        <v>16019.3169241597</v>
      </c>
      <c r="G1874" s="17" t="n">
        <f aca="false">B1874*2/27+G1873*25/27</f>
        <v>15784.0053566586</v>
      </c>
      <c r="H1874" s="17" t="n">
        <f aca="false">F1874-G1874</f>
        <v>235.311567501076</v>
      </c>
      <c r="I1874" s="17" t="n">
        <f aca="false">H1874*2/10+I1873*8/10</f>
        <v>234.169712313846</v>
      </c>
      <c r="J1874" s="17" t="n">
        <f aca="false">H1874-I1874</f>
        <v>1.14185518722988</v>
      </c>
      <c r="K1874" s="17" t="n">
        <f aca="false">MAX(B1874-B1873,0)</f>
        <v>132.52</v>
      </c>
      <c r="L1874" s="17" t="n">
        <f aca="false">MAX(B1873-B1874,0)</f>
        <v>0</v>
      </c>
      <c r="M1874" s="17" t="n">
        <f aca="false">(M1873*13+K1874)/14</f>
        <v>75.3591498627487</v>
      </c>
      <c r="N1874" s="17" t="n">
        <f aca="false">(N1873*13+L1874)/14</f>
        <v>30.3533784627137</v>
      </c>
      <c r="O1874" s="17" t="n">
        <f aca="false">IF(N1874=0,100,100-100/(1+M1874/N1874))</f>
        <v>71.2868673717998</v>
      </c>
      <c r="P1874" s="17" t="n">
        <f aca="false">AVERAGE(B1855:B1874)+2*STDEV(B1855:B1874)</f>
        <v>16249.2810731232</v>
      </c>
      <c r="Q1874" s="17" t="n">
        <f aca="false">AVERAGE(B1855:B1874)-2*STDEV(B1855:B1874)</f>
        <v>15684.6129268768</v>
      </c>
      <c r="R1874" s="19" t="n">
        <f aca="false">B1874/B1854-1</f>
        <v>0.0562857211135719</v>
      </c>
      <c r="S1874" s="17" t="n">
        <f aca="false">STDEV(C1855:C1874)*SQRT(252)*100</f>
        <v>11.723097209085</v>
      </c>
      <c r="T1874" s="19" t="n">
        <f aca="false">B1853/B1623-1</f>
        <v>0.326545046999771</v>
      </c>
      <c r="U1874" s="19" t="n">
        <f aca="false">B1874/MAX(B1623:B1874)-1</f>
        <v>0</v>
      </c>
      <c r="V1874" s="17" t="n">
        <f aca="false">(B1874-AVERAGE(B1855:B1874))/STDEV(B1855:B1874)</f>
        <v>2.74357958793762</v>
      </c>
    </row>
    <row r="1875" customFormat="false" ht="15" hidden="false" customHeight="false" outlineLevel="0" collapsed="false">
      <c r="A1875" s="17" t="s">
        <v>2439</v>
      </c>
      <c r="B1875" s="17" t="n">
        <v>16562.37</v>
      </c>
      <c r="C1875" s="19" t="n">
        <f aca="false">B1875/B1874-1</f>
        <v>0.0127257440726416</v>
      </c>
      <c r="D1875" s="17" t="n">
        <f aca="false">AVERAGE(B1826:B1875)</f>
        <v>15358.7324</v>
      </c>
      <c r="E1875" s="17" t="n">
        <f aca="false">AVERAGE(B1676:B1875)</f>
        <v>14494.6581</v>
      </c>
      <c r="F1875" s="17" t="n">
        <f aca="false">B1875*2/13+F1874*11/13</f>
        <v>16102.863551212</v>
      </c>
      <c r="G1875" s="17" t="n">
        <f aca="false">B1875*2/27+G1874*25/27</f>
        <v>15841.6619969061</v>
      </c>
      <c r="H1875" s="17" t="n">
        <f aca="false">F1875-G1875</f>
        <v>261.201554305922</v>
      </c>
      <c r="I1875" s="17" t="n">
        <f aca="false">H1875*2/10+I1874*8/10</f>
        <v>239.576080712261</v>
      </c>
      <c r="J1875" s="17" t="n">
        <f aca="false">H1875-I1875</f>
        <v>21.6254735936611</v>
      </c>
      <c r="K1875" s="17" t="n">
        <f aca="false">MAX(B1875-B1874,0)</f>
        <v>208.119999999999</v>
      </c>
      <c r="L1875" s="17" t="n">
        <f aca="false">MAX(B1874-B1875,0)</f>
        <v>0</v>
      </c>
      <c r="M1875" s="17" t="n">
        <f aca="false">(M1874*13+K1875)/14</f>
        <v>84.8420677296952</v>
      </c>
      <c r="N1875" s="17" t="n">
        <f aca="false">(N1874*13+L1875)/14</f>
        <v>28.1852800010913</v>
      </c>
      <c r="O1875" s="17" t="n">
        <f aca="false">IF(N1875=0,100,100-100/(1+M1875/N1875))</f>
        <v>75.0633093963912</v>
      </c>
      <c r="P1875" s="17" t="n">
        <f aca="false">AVERAGE(B1856:B1875)+2*STDEV(B1856:B1875)</f>
        <v>16383.13293548</v>
      </c>
      <c r="Q1875" s="17" t="n">
        <f aca="false">AVERAGE(B1856:B1875)-2*STDEV(B1856:B1875)</f>
        <v>15625.75106452</v>
      </c>
      <c r="R1875" s="19" t="n">
        <f aca="false">B1875/B1855-1</f>
        <v>0.0474245959043718</v>
      </c>
      <c r="S1875" s="17" t="n">
        <f aca="false">STDEV(C1856:C1875)*SQRT(252)*100</f>
        <v>10.2262769371305</v>
      </c>
      <c r="T1875" s="19" t="n">
        <f aca="false">B1854/B1624-1</f>
        <v>0.308307863389276</v>
      </c>
      <c r="U1875" s="19" t="n">
        <f aca="false">B1875/MAX(B1624:B1875)-1</f>
        <v>0</v>
      </c>
      <c r="V1875" s="17" t="n">
        <f aca="false">(B1875-AVERAGE(B1856:B1875))/STDEV(B1856:B1875)</f>
        <v>2.94661396789323</v>
      </c>
    </row>
    <row r="1876" customFormat="false" ht="15" hidden="false" customHeight="false" outlineLevel="0" collapsed="false">
      <c r="A1876" s="17" t="s">
        <v>2440</v>
      </c>
      <c r="B1876" s="17" t="n">
        <v>16537.83</v>
      </c>
      <c r="C1876" s="19" t="n">
        <f aca="false">B1876/B1875-1</f>
        <v>-0.00148167200708582</v>
      </c>
      <c r="D1876" s="17" t="n">
        <f aca="false">AVERAGE(B1827:B1876)</f>
        <v>15393.964</v>
      </c>
      <c r="E1876" s="17" t="n">
        <f aca="false">AVERAGE(B1677:B1876)</f>
        <v>14517.6544</v>
      </c>
      <c r="F1876" s="17" t="n">
        <f aca="false">B1876*2/13+F1875*11/13</f>
        <v>16169.7814664102</v>
      </c>
      <c r="G1876" s="17" t="n">
        <f aca="false">B1876*2/27+G1875*25/27</f>
        <v>15893.2299971353</v>
      </c>
      <c r="H1876" s="17" t="n">
        <f aca="false">F1876-G1876</f>
        <v>276.551469274895</v>
      </c>
      <c r="I1876" s="17" t="n">
        <f aca="false">H1876*2/10+I1875*8/10</f>
        <v>246.971158424788</v>
      </c>
      <c r="J1876" s="17" t="n">
        <f aca="false">H1876-I1876</f>
        <v>29.5803108501068</v>
      </c>
      <c r="K1876" s="17" t="n">
        <f aca="false">MAX(B1876-B1875,0)</f>
        <v>0</v>
      </c>
      <c r="L1876" s="17" t="n">
        <f aca="false">MAX(B1875-B1876,0)</f>
        <v>24.5399999999972</v>
      </c>
      <c r="M1876" s="17" t="n">
        <f aca="false">(M1875*13+K1876)/14</f>
        <v>78.7819200347169</v>
      </c>
      <c r="N1876" s="17" t="n">
        <f aca="false">(N1875*13+L1876)/14</f>
        <v>27.924902858156</v>
      </c>
      <c r="O1876" s="17" t="n">
        <f aca="false">IF(N1876=0,100,100-100/(1+M1876/N1876))</f>
        <v>73.8302555533953</v>
      </c>
      <c r="P1876" s="17" t="n">
        <f aca="false">AVERAGE(B1857:B1876)+2*STDEV(B1857:B1876)</f>
        <v>16476.8836025379</v>
      </c>
      <c r="Q1876" s="17" t="n">
        <f aca="false">AVERAGE(B1857:B1876)-2*STDEV(B1857:B1876)</f>
        <v>15604.0653974621</v>
      </c>
      <c r="R1876" s="19" t="n">
        <f aca="false">B1876/B1856-1</f>
        <v>0.0455612188771957</v>
      </c>
      <c r="S1876" s="17" t="n">
        <f aca="false">STDEV(C1857:C1876)*SQRT(252)*100</f>
        <v>10.2926810945456</v>
      </c>
      <c r="T1876" s="19" t="n">
        <f aca="false">B1855/B1625-1</f>
        <v>0.346782875617924</v>
      </c>
      <c r="U1876" s="19" t="n">
        <f aca="false">B1876/MAX(B1625:B1876)-1</f>
        <v>-0.00148167200708582</v>
      </c>
      <c r="V1876" s="17" t="n">
        <f aca="false">(B1876-AVERAGE(B1857:B1876))/STDEV(B1857:B1876)</f>
        <v>2.27930855295055</v>
      </c>
    </row>
    <row r="1877" customFormat="false" ht="15" hidden="false" customHeight="false" outlineLevel="0" collapsed="false">
      <c r="A1877" s="17" t="s">
        <v>2441</v>
      </c>
      <c r="B1877" s="17" t="n">
        <v>16623.45</v>
      </c>
      <c r="C1877" s="19" t="n">
        <f aca="false">B1877/B1876-1</f>
        <v>0.005177220953414</v>
      </c>
      <c r="D1877" s="17" t="n">
        <f aca="false">AVERAGE(B1828:B1877)</f>
        <v>15431.9686</v>
      </c>
      <c r="E1877" s="17" t="n">
        <f aca="false">AVERAGE(B1678:B1877)</f>
        <v>14540.5473</v>
      </c>
      <c r="F1877" s="17" t="n">
        <f aca="false">B1877*2/13+F1876*11/13</f>
        <v>16239.576625424</v>
      </c>
      <c r="G1877" s="17" t="n">
        <f aca="false">B1877*2/27+G1876*25/27</f>
        <v>15947.3203677179</v>
      </c>
      <c r="H1877" s="17" t="n">
        <f aca="false">F1877-G1877</f>
        <v>292.256257706144</v>
      </c>
      <c r="I1877" s="17" t="n">
        <f aca="false">H1877*2/10+I1876*8/10</f>
        <v>256.028178281059</v>
      </c>
      <c r="J1877" s="17" t="n">
        <f aca="false">H1877-I1877</f>
        <v>36.2280794250844</v>
      </c>
      <c r="K1877" s="17" t="n">
        <f aca="false">MAX(B1877-B1876,0)</f>
        <v>85.619999999999</v>
      </c>
      <c r="L1877" s="17" t="n">
        <f aca="false">MAX(B1876-B1877,0)</f>
        <v>0</v>
      </c>
      <c r="M1877" s="17" t="n">
        <f aca="false">(M1876*13+K1877)/14</f>
        <v>79.2703543179514</v>
      </c>
      <c r="N1877" s="17" t="n">
        <f aca="false">(N1876*13+L1877)/14</f>
        <v>25.9302669397163</v>
      </c>
      <c r="O1877" s="17" t="n">
        <f aca="false">IF(N1877=0,100,100-100/(1+M1877/N1877))</f>
        <v>75.3516028425295</v>
      </c>
      <c r="P1877" s="17" t="n">
        <f aca="false">AVERAGE(B1858:B1877)+2*STDEV(B1858:B1877)</f>
        <v>16576.3562439062</v>
      </c>
      <c r="Q1877" s="17" t="n">
        <f aca="false">AVERAGE(B1858:B1877)-2*STDEV(B1858:B1877)</f>
        <v>15583.6207560938</v>
      </c>
      <c r="R1877" s="19" t="n">
        <f aca="false">B1877/B1857-1</f>
        <v>0.0499129359439707</v>
      </c>
      <c r="S1877" s="17" t="n">
        <f aca="false">STDEV(C1858:C1877)*SQRT(252)*100</f>
        <v>10.3323245981</v>
      </c>
      <c r="T1877" s="19" t="n">
        <f aca="false">B1856/B1626-1</f>
        <v>0.394171289759035</v>
      </c>
      <c r="U1877" s="19" t="n">
        <f aca="false">B1877/MAX(B1626:B1877)-1</f>
        <v>0</v>
      </c>
      <c r="V1877" s="17" t="n">
        <f aca="false">(B1877-AVERAGE(B1858:B1877))/STDEV(B1858:B1877)</f>
        <v>2.18975349092266</v>
      </c>
    </row>
    <row r="1878" customFormat="false" ht="15" hidden="false" customHeight="false" outlineLevel="0" collapsed="false">
      <c r="A1878" s="17" t="s">
        <v>2442</v>
      </c>
      <c r="B1878" s="17" t="n">
        <v>16729.8</v>
      </c>
      <c r="C1878" s="19" t="n">
        <f aca="false">B1878/B1877-1</f>
        <v>0.00639758894814246</v>
      </c>
      <c r="D1878" s="17" t="n">
        <f aca="false">AVERAGE(B1829:B1878)</f>
        <v>15467.0998</v>
      </c>
      <c r="E1878" s="17" t="n">
        <f aca="false">AVERAGE(B1679:B1878)</f>
        <v>14562.74225</v>
      </c>
      <c r="F1878" s="17" t="n">
        <f aca="false">B1878*2/13+F1877*11/13</f>
        <v>16314.995606128</v>
      </c>
      <c r="G1878" s="17" t="n">
        <f aca="false">B1878*2/27+G1877*25/27</f>
        <v>16005.281821961</v>
      </c>
      <c r="H1878" s="17" t="n">
        <f aca="false">F1878-G1878</f>
        <v>309.713784167021</v>
      </c>
      <c r="I1878" s="17" t="n">
        <f aca="false">H1878*2/10+I1877*8/10</f>
        <v>266.765299458251</v>
      </c>
      <c r="J1878" s="17" t="n">
        <f aca="false">H1878-I1878</f>
        <v>42.9484847087696</v>
      </c>
      <c r="K1878" s="17" t="n">
        <f aca="false">MAX(B1878-B1877,0)</f>
        <v>106.349999999999</v>
      </c>
      <c r="L1878" s="17" t="n">
        <f aca="false">MAX(B1877-B1878,0)</f>
        <v>0</v>
      </c>
      <c r="M1878" s="17" t="n">
        <f aca="false">(M1877*13+K1878)/14</f>
        <v>81.2046147238119</v>
      </c>
      <c r="N1878" s="17" t="n">
        <f aca="false">(N1877*13+L1878)/14</f>
        <v>24.0781050154508</v>
      </c>
      <c r="O1878" s="17" t="n">
        <f aca="false">IF(N1878=0,100,100-100/(1+M1878/N1878))</f>
        <v>77.1300503301194</v>
      </c>
      <c r="P1878" s="17" t="n">
        <f aca="false">AVERAGE(B1859:B1878)+2*STDEV(B1859:B1878)</f>
        <v>16685.4495469142</v>
      </c>
      <c r="Q1878" s="17" t="n">
        <f aca="false">AVERAGE(B1859:B1878)-2*STDEV(B1859:B1878)</f>
        <v>15563.7084530858</v>
      </c>
      <c r="R1878" s="19" t="n">
        <f aca="false">B1878/B1858-1</f>
        <v>0.0563082815433018</v>
      </c>
      <c r="S1878" s="17" t="n">
        <f aca="false">STDEV(C1859:C1878)*SQRT(252)*100</f>
        <v>10.3900651910938</v>
      </c>
      <c r="T1878" s="19" t="n">
        <f aca="false">B1857/B1627-1</f>
        <v>0.408178965680398</v>
      </c>
      <c r="U1878" s="19" t="n">
        <f aca="false">B1878/MAX(B1627:B1878)-1</f>
        <v>0</v>
      </c>
      <c r="V1878" s="17" t="n">
        <f aca="false">(B1878-AVERAGE(B1859:B1878))/STDEV(B1859:B1878)</f>
        <v>2.15814862566718</v>
      </c>
    </row>
    <row r="1879" customFormat="false" ht="15" hidden="false" customHeight="false" outlineLevel="0" collapsed="false">
      <c r="A1879" s="17" t="s">
        <v>2443</v>
      </c>
      <c r="B1879" s="17" t="n">
        <v>16811.85</v>
      </c>
      <c r="C1879" s="19" t="n">
        <f aca="false">B1879/B1878-1</f>
        <v>0.00490442204927732</v>
      </c>
      <c r="D1879" s="17" t="n">
        <f aca="false">AVERAGE(B1830:B1879)</f>
        <v>15502.3938</v>
      </c>
      <c r="E1879" s="17" t="n">
        <f aca="false">AVERAGE(B1680:B1879)</f>
        <v>14585.2891</v>
      </c>
      <c r="F1879" s="17" t="n">
        <f aca="false">B1879*2/13+F1878*11/13</f>
        <v>16391.4347436468</v>
      </c>
      <c r="G1879" s="17" t="n">
        <f aca="false">B1879*2/27+G1878*25/27</f>
        <v>16065.0276129268</v>
      </c>
      <c r="H1879" s="17" t="n">
        <f aca="false">F1879-G1879</f>
        <v>326.407130719934</v>
      </c>
      <c r="I1879" s="17" t="n">
        <f aca="false">H1879*2/10+I1878*8/10</f>
        <v>278.693665710588</v>
      </c>
      <c r="J1879" s="17" t="n">
        <f aca="false">H1879-I1879</f>
        <v>47.7134650093459</v>
      </c>
      <c r="K1879" s="17" t="n">
        <f aca="false">MAX(B1879-B1878,0)</f>
        <v>82.0499999999993</v>
      </c>
      <c r="L1879" s="17" t="n">
        <f aca="false">MAX(B1878-B1879,0)</f>
        <v>0</v>
      </c>
      <c r="M1879" s="17" t="n">
        <f aca="false">(M1878*13+K1879)/14</f>
        <v>81.2649993863967</v>
      </c>
      <c r="N1879" s="17" t="n">
        <f aca="false">(N1878*13+L1879)/14</f>
        <v>22.35824037149</v>
      </c>
      <c r="O1879" s="17" t="n">
        <f aca="false">IF(N1879=0,100,100-100/(1+M1879/N1879))</f>
        <v>78.423526977414</v>
      </c>
      <c r="P1879" s="17" t="n">
        <f aca="false">AVERAGE(B1860:B1879)+2*STDEV(B1860:B1879)</f>
        <v>16800.6315543252</v>
      </c>
      <c r="Q1879" s="17" t="n">
        <f aca="false">AVERAGE(B1860:B1879)-2*STDEV(B1860:B1879)</f>
        <v>15527.0054456748</v>
      </c>
      <c r="R1879" s="19" t="n">
        <f aca="false">B1879/B1859-1</f>
        <v>0.0489665603048843</v>
      </c>
      <c r="S1879" s="17" t="n">
        <f aca="false">STDEV(C1860:C1879)*SQRT(252)*100</f>
        <v>9.85237503370991</v>
      </c>
      <c r="T1879" s="19" t="n">
        <f aca="false">B1858/B1628-1</f>
        <v>0.42882957330853</v>
      </c>
      <c r="U1879" s="19" t="n">
        <f aca="false">B1879/MAX(B1628:B1879)-1</f>
        <v>0</v>
      </c>
      <c r="V1879" s="17" t="n">
        <f aca="false">(B1879-AVERAGE(B1860:B1879))/STDEV(B1860:B1879)</f>
        <v>2.03523308951862</v>
      </c>
    </row>
    <row r="1880" customFormat="false" ht="15" hidden="false" customHeight="false" outlineLevel="0" collapsed="false">
      <c r="A1880" s="17" t="s">
        <v>2444</v>
      </c>
      <c r="B1880" s="17" t="n">
        <v>16554.16</v>
      </c>
      <c r="C1880" s="19" t="n">
        <f aca="false">B1880/B1879-1</f>
        <v>-0.0153278788473605</v>
      </c>
      <c r="D1880" s="17" t="n">
        <f aca="false">AVERAGE(B1831:B1880)</f>
        <v>15530.8466</v>
      </c>
      <c r="E1880" s="17" t="n">
        <f aca="false">AVERAGE(B1681:B1880)</f>
        <v>14607.29905</v>
      </c>
      <c r="F1880" s="17" t="n">
        <f aca="false">B1880*2/13+F1879*11/13</f>
        <v>16416.4693984703</v>
      </c>
      <c r="G1880" s="17" t="n">
        <f aca="false">B1880*2/27+G1879*25/27</f>
        <v>16101.2596415989</v>
      </c>
      <c r="H1880" s="17" t="n">
        <f aca="false">F1880-G1880</f>
        <v>315.20975687142</v>
      </c>
      <c r="I1880" s="17" t="n">
        <f aca="false">H1880*2/10+I1879*8/10</f>
        <v>285.996883942754</v>
      </c>
      <c r="J1880" s="17" t="n">
        <f aca="false">H1880-I1880</f>
        <v>29.2128729286655</v>
      </c>
      <c r="K1880" s="17" t="n">
        <f aca="false">MAX(B1880-B1879,0)</f>
        <v>0</v>
      </c>
      <c r="L1880" s="17" t="n">
        <f aca="false">MAX(B1879-B1880,0)</f>
        <v>257.689999999999</v>
      </c>
      <c r="M1880" s="17" t="n">
        <f aca="false">(M1879*13+K1880)/14</f>
        <v>75.4603565730826</v>
      </c>
      <c r="N1880" s="17" t="n">
        <f aca="false">(N1879*13+L1880)/14</f>
        <v>39.1676517735264</v>
      </c>
      <c r="O1880" s="17" t="n">
        <f aca="false">IF(N1880=0,100,100-100/(1+M1880/N1880))</f>
        <v>65.8306444136303</v>
      </c>
      <c r="P1880" s="17" t="n">
        <f aca="false">AVERAGE(B1861:B1880)+2*STDEV(B1861:B1880)</f>
        <v>16844.7674802399</v>
      </c>
      <c r="Q1880" s="17" t="n">
        <f aca="false">AVERAGE(B1861:B1880)-2*STDEV(B1861:B1880)</f>
        <v>15544.9235197601</v>
      </c>
      <c r="R1880" s="19" t="n">
        <f aca="false">B1880/B1860-1</f>
        <v>0.0389453244146654</v>
      </c>
      <c r="S1880" s="17" t="n">
        <f aca="false">STDEV(C1861:C1880)*SQRT(252)*100</f>
        <v>11.3665768647467</v>
      </c>
      <c r="T1880" s="19" t="n">
        <f aca="false">B1859/B1629-1</f>
        <v>0.447475800231566</v>
      </c>
      <c r="U1880" s="19" t="n">
        <f aca="false">B1880/MAX(B1629:B1880)-1</f>
        <v>-0.0153278788473605</v>
      </c>
      <c r="V1880" s="17" t="n">
        <f aca="false">(B1880-AVERAGE(B1861:B1880))/STDEV(B1861:B1880)</f>
        <v>1.10571579643259</v>
      </c>
    </row>
    <row r="1881" customFormat="false" ht="15" hidden="false" customHeight="false" outlineLevel="0" collapsed="false">
      <c r="A1881" s="17" t="s">
        <v>2445</v>
      </c>
      <c r="B1881" s="17" t="n">
        <v>16757.41</v>
      </c>
      <c r="C1881" s="19" t="n">
        <f aca="false">B1881/B1880-1</f>
        <v>0.0122778806052375</v>
      </c>
      <c r="D1881" s="17" t="n">
        <f aca="false">AVERAGE(B1832:B1881)</f>
        <v>15561.1724</v>
      </c>
      <c r="E1881" s="17" t="n">
        <f aca="false">AVERAGE(B1682:B1881)</f>
        <v>14630.00945</v>
      </c>
      <c r="F1881" s="17" t="n">
        <f aca="false">B1881*2/13+F1880*11/13</f>
        <v>16468.9217987057</v>
      </c>
      <c r="G1881" s="17" t="n">
        <f aca="false">B1881*2/27+G1880*25/27</f>
        <v>16149.8633718509</v>
      </c>
      <c r="H1881" s="17" t="n">
        <f aca="false">F1881-G1881</f>
        <v>319.058426854817</v>
      </c>
      <c r="I1881" s="17" t="n">
        <f aca="false">H1881*2/10+I1880*8/10</f>
        <v>292.609192525167</v>
      </c>
      <c r="J1881" s="17" t="n">
        <f aca="false">H1881-I1881</f>
        <v>26.4492343296504</v>
      </c>
      <c r="K1881" s="17" t="n">
        <f aca="false">MAX(B1881-B1880,0)</f>
        <v>203.25</v>
      </c>
      <c r="L1881" s="17" t="n">
        <f aca="false">MAX(B1880-B1881,0)</f>
        <v>0</v>
      </c>
      <c r="M1881" s="17" t="n">
        <f aca="false">(M1880*13+K1881)/14</f>
        <v>84.5881882464339</v>
      </c>
      <c r="N1881" s="17" t="n">
        <f aca="false">(N1880*13+L1881)/14</f>
        <v>36.3699623611316</v>
      </c>
      <c r="O1881" s="17" t="n">
        <f aca="false">IF(N1881=0,100,100-100/(1+M1881/N1881))</f>
        <v>69.9317803897898</v>
      </c>
      <c r="P1881" s="17" t="n">
        <f aca="false">AVERAGE(B1862:B1881)+2*STDEV(B1862:B1881)</f>
        <v>16921.9434310605</v>
      </c>
      <c r="Q1881" s="17" t="n">
        <f aca="false">AVERAGE(B1862:B1881)-2*STDEV(B1862:B1881)</f>
        <v>15543.3495689395</v>
      </c>
      <c r="R1881" s="19" t="n">
        <f aca="false">B1881/B1861-1</f>
        <v>0.0472471454042431</v>
      </c>
      <c r="S1881" s="17" t="n">
        <f aca="false">STDEV(C1862:C1881)*SQRT(252)*100</f>
        <v>11.9266226999389</v>
      </c>
      <c r="T1881" s="19" t="n">
        <f aca="false">B1860/B1630-1</f>
        <v>0.418101652919042</v>
      </c>
      <c r="U1881" s="19" t="n">
        <f aca="false">B1881/MAX(B1630:B1881)-1</f>
        <v>-0.00323819210854237</v>
      </c>
      <c r="V1881" s="17" t="n">
        <f aca="false">(B1881-AVERAGE(B1862:B1881))/STDEV(B1862:B1881)</f>
        <v>1.52260506714461</v>
      </c>
    </row>
    <row r="1882" customFormat="false" ht="15" hidden="false" customHeight="false" outlineLevel="0" collapsed="false">
      <c r="A1882" s="17" t="s">
        <v>2446</v>
      </c>
      <c r="B1882" s="17" t="n">
        <v>16777.4</v>
      </c>
      <c r="C1882" s="19" t="n">
        <f aca="false">B1882/B1881-1</f>
        <v>0.0011929051088444</v>
      </c>
      <c r="D1882" s="17" t="n">
        <f aca="false">AVERAGE(B1833:B1882)</f>
        <v>15593.0384</v>
      </c>
      <c r="E1882" s="17" t="n">
        <f aca="false">AVERAGE(B1683:B1882)</f>
        <v>14653.91705</v>
      </c>
      <c r="F1882" s="17" t="n">
        <f aca="false">B1882*2/13+F1881*11/13</f>
        <v>16516.3799835202</v>
      </c>
      <c r="G1882" s="17" t="n">
        <f aca="false">B1882*2/27+G1881*25/27</f>
        <v>16196.3475665286</v>
      </c>
      <c r="H1882" s="17" t="n">
        <f aca="false">F1882-G1882</f>
        <v>320.032416991617</v>
      </c>
      <c r="I1882" s="17" t="n">
        <f aca="false">H1882*2/10+I1881*8/10</f>
        <v>298.093837418457</v>
      </c>
      <c r="J1882" s="17" t="n">
        <f aca="false">H1882-I1882</f>
        <v>21.9385795731598</v>
      </c>
      <c r="K1882" s="17" t="n">
        <f aca="false">MAX(B1882-B1881,0)</f>
        <v>19.9900000000016</v>
      </c>
      <c r="L1882" s="17" t="n">
        <f aca="false">MAX(B1881-B1882,0)</f>
        <v>0</v>
      </c>
      <c r="M1882" s="17" t="n">
        <f aca="false">(M1881*13+K1882)/14</f>
        <v>79.9740319431173</v>
      </c>
      <c r="N1882" s="17" t="n">
        <f aca="false">(N1881*13+L1882)/14</f>
        <v>33.7721079067651</v>
      </c>
      <c r="O1882" s="17" t="n">
        <f aca="false">IF(N1882=0,100,100-100/(1+M1882/N1882))</f>
        <v>70.3092272394156</v>
      </c>
      <c r="P1882" s="17" t="n">
        <f aca="false">AVERAGE(B1863:B1882)+2*STDEV(B1863:B1882)</f>
        <v>16991.9442356597</v>
      </c>
      <c r="Q1882" s="17" t="n">
        <f aca="false">AVERAGE(B1863:B1882)-2*STDEV(B1863:B1882)</f>
        <v>15552.8877643403</v>
      </c>
      <c r="R1882" s="19" t="n">
        <f aca="false">B1882/B1862-1</f>
        <v>0.0497678327069</v>
      </c>
      <c r="S1882" s="17" t="n">
        <f aca="false">STDEV(C1863:C1882)*SQRT(252)*100</f>
        <v>11.8620995664855</v>
      </c>
      <c r="T1882" s="19" t="n">
        <f aca="false">B1861/B1631-1</f>
        <v>0.46049521090457</v>
      </c>
      <c r="U1882" s="19" t="n">
        <f aca="false">B1882/MAX(B1631:B1882)-1</f>
        <v>-0.00204914985560767</v>
      </c>
      <c r="V1882" s="17" t="n">
        <f aca="false">(B1882-AVERAGE(B1863:B1882))/STDEV(B1863:B1882)</f>
        <v>1.40365304646314</v>
      </c>
    </row>
    <row r="1883" customFormat="false" ht="15" hidden="false" customHeight="false" outlineLevel="0" collapsed="false">
      <c r="A1883" s="17" t="s">
        <v>2447</v>
      </c>
      <c r="B1883" s="17" t="n">
        <v>16878.46</v>
      </c>
      <c r="C1883" s="19" t="n">
        <f aca="false">B1883/B1882-1</f>
        <v>0.00602357933887232</v>
      </c>
      <c r="D1883" s="17" t="n">
        <f aca="false">AVERAGE(B1834:B1883)</f>
        <v>15630.7052</v>
      </c>
      <c r="E1883" s="17" t="n">
        <f aca="false">AVERAGE(B1684:B1883)</f>
        <v>14679.15795</v>
      </c>
      <c r="F1883" s="17" t="n">
        <f aca="false">B1883*2/13+F1882*11/13</f>
        <v>16572.0846014402</v>
      </c>
      <c r="G1883" s="17" t="n">
        <f aca="false">B1883*2/27+G1882*25/27</f>
        <v>16246.8744134524</v>
      </c>
      <c r="H1883" s="17" t="n">
        <f aca="false">F1883-G1883</f>
        <v>325.210187987777</v>
      </c>
      <c r="I1883" s="17" t="n">
        <f aca="false">H1883*2/10+I1882*8/10</f>
        <v>303.517107532321</v>
      </c>
      <c r="J1883" s="17" t="n">
        <f aca="false">H1883-I1883</f>
        <v>21.6930804554564</v>
      </c>
      <c r="K1883" s="17" t="n">
        <f aca="false">MAX(B1883-B1882,0)</f>
        <v>101.059999999998</v>
      </c>
      <c r="L1883" s="17" t="n">
        <f aca="false">MAX(B1882-B1883,0)</f>
        <v>0</v>
      </c>
      <c r="M1883" s="17" t="n">
        <f aca="false">(M1882*13+K1883)/14</f>
        <v>81.4801725186087</v>
      </c>
      <c r="N1883" s="17" t="n">
        <f aca="false">(N1882*13+L1883)/14</f>
        <v>31.3598144848533</v>
      </c>
      <c r="O1883" s="17" t="n">
        <f aca="false">IF(N1883=0,100,100-100/(1+M1883/N1883))</f>
        <v>72.2085979291267</v>
      </c>
      <c r="P1883" s="17" t="n">
        <f aca="false">AVERAGE(B1864:B1883)+2*STDEV(B1864:B1883)</f>
        <v>17070.5132187598</v>
      </c>
      <c r="Q1883" s="17" t="n">
        <f aca="false">AVERAGE(B1864:B1883)-2*STDEV(B1864:B1883)</f>
        <v>15565.9667812402</v>
      </c>
      <c r="R1883" s="19" t="n">
        <f aca="false">B1883/B1863-1</f>
        <v>0.0574164358055831</v>
      </c>
      <c r="S1883" s="17" t="n">
        <f aca="false">STDEV(C1864:C1883)*SQRT(252)*100</f>
        <v>11.841358122471</v>
      </c>
      <c r="T1883" s="19" t="n">
        <f aca="false">B1862/B1632-1</f>
        <v>0.454834349070816</v>
      </c>
      <c r="U1883" s="19" t="n">
        <f aca="false">B1883/MAX(B1632:B1883)-1</f>
        <v>0</v>
      </c>
      <c r="V1883" s="17" t="n">
        <f aca="false">(B1883-AVERAGE(B1864:B1883))/STDEV(B1864:B1883)</f>
        <v>1.489405673443</v>
      </c>
    </row>
    <row r="1884" customFormat="false" ht="15" hidden="false" customHeight="false" outlineLevel="0" collapsed="false">
      <c r="A1884" s="17" t="s">
        <v>2448</v>
      </c>
      <c r="B1884" s="17" t="n">
        <v>16906.8</v>
      </c>
      <c r="C1884" s="19" t="n">
        <f aca="false">B1884/B1883-1</f>
        <v>0.00167906313727673</v>
      </c>
      <c r="D1884" s="17" t="n">
        <f aca="false">AVERAGE(B1835:B1884)</f>
        <v>15665.3866</v>
      </c>
      <c r="E1884" s="17" t="n">
        <f aca="false">AVERAGE(B1685:B1884)</f>
        <v>14704.0761</v>
      </c>
      <c r="F1884" s="17" t="n">
        <f aca="false">B1884*2/13+F1883*11/13</f>
        <v>16623.5792781417</v>
      </c>
      <c r="G1884" s="17" t="n">
        <f aca="false">B1884*2/27+G1883*25/27</f>
        <v>16295.7577902337</v>
      </c>
      <c r="H1884" s="17" t="n">
        <f aca="false">F1884-G1884</f>
        <v>327.821487907986</v>
      </c>
      <c r="I1884" s="17" t="n">
        <f aca="false">H1884*2/10+I1883*8/10</f>
        <v>308.377983607454</v>
      </c>
      <c r="J1884" s="17" t="n">
        <f aca="false">H1884-I1884</f>
        <v>19.4435043005321</v>
      </c>
      <c r="K1884" s="17" t="n">
        <f aca="false">MAX(B1884-B1883,0)</f>
        <v>28.3400000000001</v>
      </c>
      <c r="L1884" s="17" t="n">
        <f aca="false">MAX(B1883-B1884,0)</f>
        <v>0</v>
      </c>
      <c r="M1884" s="17" t="n">
        <f aca="false">(M1883*13+K1884)/14</f>
        <v>77.6844459101367</v>
      </c>
      <c r="N1884" s="17" t="n">
        <f aca="false">(N1883*13+L1884)/14</f>
        <v>29.1198277359352</v>
      </c>
      <c r="O1884" s="17" t="n">
        <f aca="false">IF(N1884=0,100,100-100/(1+M1884/N1884))</f>
        <v>72.7353346997776</v>
      </c>
      <c r="P1884" s="17" t="n">
        <f aca="false">AVERAGE(B1865:B1884)+2*STDEV(B1865:B1884)</f>
        <v>17144.3635011703</v>
      </c>
      <c r="Q1884" s="17" t="n">
        <f aca="false">AVERAGE(B1865:B1884)-2*STDEV(B1865:B1884)</f>
        <v>15581.7534988297</v>
      </c>
      <c r="R1884" s="19" t="n">
        <f aca="false">B1884/B1864-1</f>
        <v>0.0559866287164055</v>
      </c>
      <c r="S1884" s="17" t="n">
        <f aca="false">STDEV(C1865:C1884)*SQRT(252)*100</f>
        <v>11.8478986067001</v>
      </c>
      <c r="T1884" s="19" t="n">
        <f aca="false">B1863/B1633-1</f>
        <v>0.474887064091417</v>
      </c>
      <c r="U1884" s="19" t="n">
        <f aca="false">B1884/MAX(B1633:B1884)-1</f>
        <v>0</v>
      </c>
      <c r="V1884" s="17" t="n">
        <f aca="false">(B1884-AVERAGE(B1865:B1884))/STDEV(B1865:B1884)</f>
        <v>1.39188024954546</v>
      </c>
    </row>
    <row r="1885" customFormat="false" ht="15" hidden="false" customHeight="false" outlineLevel="0" collapsed="false">
      <c r="A1885" s="17" t="s">
        <v>2449</v>
      </c>
      <c r="B1885" s="17" t="n">
        <v>16898.47</v>
      </c>
      <c r="C1885" s="19" t="n">
        <f aca="false">B1885/B1884-1</f>
        <v>-0.000492701161662668</v>
      </c>
      <c r="D1885" s="17" t="n">
        <f aca="false">AVERAGE(B1836:B1885)</f>
        <v>15700.9158</v>
      </c>
      <c r="E1885" s="17" t="n">
        <f aca="false">AVERAGE(B1686:B1885)</f>
        <v>14727.5695</v>
      </c>
      <c r="F1885" s="17" t="n">
        <f aca="false">B1885*2/13+F1884*11/13</f>
        <v>16665.8701584276</v>
      </c>
      <c r="G1885" s="17" t="n">
        <f aca="false">B1885*2/27+G1884*25/27</f>
        <v>16340.4031391053</v>
      </c>
      <c r="H1885" s="17" t="n">
        <f aca="false">F1885-G1885</f>
        <v>325.467019322306</v>
      </c>
      <c r="I1885" s="17" t="n">
        <f aca="false">H1885*2/10+I1884*8/10</f>
        <v>311.795790750424</v>
      </c>
      <c r="J1885" s="17" t="n">
        <f aca="false">H1885-I1885</f>
        <v>13.671228571882</v>
      </c>
      <c r="K1885" s="17" t="n">
        <f aca="false">MAX(B1885-B1884,0)</f>
        <v>0</v>
      </c>
      <c r="L1885" s="17" t="n">
        <f aca="false">MAX(B1884-B1885,0)</f>
        <v>8.32999999999811</v>
      </c>
      <c r="M1885" s="17" t="n">
        <f aca="false">(M1884*13+K1885)/14</f>
        <v>72.1355569165555</v>
      </c>
      <c r="N1885" s="17" t="n">
        <f aca="false">(N1884*13+L1885)/14</f>
        <v>27.6348400405111</v>
      </c>
      <c r="O1885" s="17" t="n">
        <f aca="false">IF(N1885=0,100,100-100/(1+M1885/N1885))</f>
        <v>72.3015635064547</v>
      </c>
      <c r="P1885" s="17" t="n">
        <f aca="false">AVERAGE(B1866:B1885)+2*STDEV(B1866:B1885)</f>
        <v>17203.8232971468</v>
      </c>
      <c r="Q1885" s="17" t="n">
        <f aca="false">AVERAGE(B1866:B1885)-2*STDEV(B1866:B1885)</f>
        <v>15613.3807028532</v>
      </c>
      <c r="R1885" s="19" t="n">
        <f aca="false">B1885/B1865-1</f>
        <v>0.0569735294853513</v>
      </c>
      <c r="S1885" s="17" t="n">
        <f aca="false">STDEV(C1866:C1885)*SQRT(252)*100</f>
        <v>11.8087968744105</v>
      </c>
      <c r="T1885" s="19" t="n">
        <f aca="false">B1864/B1634-1</f>
        <v>0.499196579563906</v>
      </c>
      <c r="U1885" s="19" t="n">
        <f aca="false">B1885/MAX(B1634:B1885)-1</f>
        <v>-0.000492701161662668</v>
      </c>
      <c r="V1885" s="17" t="n">
        <f aca="false">(B1885-AVERAGE(B1866:B1885))/STDEV(B1866:B1885)</f>
        <v>1.23202937787918</v>
      </c>
    </row>
    <row r="1886" customFormat="false" ht="15" hidden="false" customHeight="false" outlineLevel="0" collapsed="false">
      <c r="A1886" s="17" t="s">
        <v>2450</v>
      </c>
      <c r="B1886" s="17" t="n">
        <v>16825.93</v>
      </c>
      <c r="C1886" s="19" t="n">
        <f aca="false">B1886/B1885-1</f>
        <v>-0.00429269632102791</v>
      </c>
      <c r="D1886" s="17" t="n">
        <f aca="false">AVERAGE(B1837:B1886)</f>
        <v>15739.2492</v>
      </c>
      <c r="E1886" s="17" t="n">
        <f aca="false">AVERAGE(B1687:B1886)</f>
        <v>14750.44255</v>
      </c>
      <c r="F1886" s="17" t="n">
        <f aca="false">B1886*2/13+F1885*11/13</f>
        <v>16690.4947494387</v>
      </c>
      <c r="G1886" s="17" t="n">
        <f aca="false">B1886*2/27+G1885*25/27</f>
        <v>16376.3680917641</v>
      </c>
      <c r="H1886" s="17" t="n">
        <f aca="false">F1886-G1886</f>
        <v>314.12665767458</v>
      </c>
      <c r="I1886" s="17" t="n">
        <f aca="false">H1886*2/10+I1885*8/10</f>
        <v>312.261964135256</v>
      </c>
      <c r="J1886" s="17" t="n">
        <f aca="false">H1886-I1886</f>
        <v>1.86469353932461</v>
      </c>
      <c r="K1886" s="17" t="n">
        <f aca="false">MAX(B1886-B1885,0)</f>
        <v>0</v>
      </c>
      <c r="L1886" s="17" t="n">
        <f aca="false">MAX(B1885-B1886,0)</f>
        <v>72.5400000000009</v>
      </c>
      <c r="M1886" s="17" t="n">
        <f aca="false">(M1885*13+K1886)/14</f>
        <v>66.9830171368015</v>
      </c>
      <c r="N1886" s="17" t="n">
        <f aca="false">(N1885*13+L1886)/14</f>
        <v>30.842351466189</v>
      </c>
      <c r="O1886" s="17" t="n">
        <f aca="false">IF(N1886=0,100,100-100/(1+M1886/N1886))</f>
        <v>68.4720314304585</v>
      </c>
      <c r="P1886" s="17" t="n">
        <f aca="false">AVERAGE(B1867:B1886)+2*STDEV(B1867:B1886)</f>
        <v>17237.51315214</v>
      </c>
      <c r="Q1886" s="17" t="n">
        <f aca="false">AVERAGE(B1867:B1886)-2*STDEV(B1867:B1886)</f>
        <v>15667.49684786</v>
      </c>
      <c r="R1886" s="19" t="n">
        <f aca="false">B1886/B1866-1</f>
        <v>0.0550581362903009</v>
      </c>
      <c r="S1886" s="17" t="n">
        <f aca="false">STDEV(C1867:C1886)*SQRT(252)*100</f>
        <v>11.9328909459106</v>
      </c>
      <c r="T1886" s="19" t="n">
        <f aca="false">B1865/B1635-1</f>
        <v>0.459914802690153</v>
      </c>
      <c r="U1886" s="19" t="n">
        <f aca="false">B1886/MAX(B1635:B1886)-1</f>
        <v>-0.0047832824662265</v>
      </c>
      <c r="V1886" s="17" t="n">
        <f aca="false">(B1886-AVERAGE(B1867:B1886))/STDEV(B1867:B1886)</f>
        <v>0.951391393788705</v>
      </c>
    </row>
    <row r="1887" customFormat="false" ht="15" hidden="false" customHeight="false" outlineLevel="0" collapsed="false">
      <c r="A1887" s="17" t="s">
        <v>2451</v>
      </c>
      <c r="B1887" s="17" t="n">
        <v>16543.94</v>
      </c>
      <c r="C1887" s="19" t="n">
        <f aca="false">B1887/B1886-1</f>
        <v>-0.0167592519403089</v>
      </c>
      <c r="D1887" s="17" t="n">
        <f aca="false">AVERAGE(B1838:B1887)</f>
        <v>15774.4654</v>
      </c>
      <c r="E1887" s="17" t="n">
        <f aca="false">AVERAGE(B1688:B1887)</f>
        <v>14770.2553</v>
      </c>
      <c r="F1887" s="17" t="n">
        <f aca="false">B1887*2/13+F1886*11/13</f>
        <v>16667.9478649097</v>
      </c>
      <c r="G1887" s="17" t="n">
        <f aca="false">B1887*2/27+G1886*25/27</f>
        <v>16388.7808257075</v>
      </c>
      <c r="H1887" s="17" t="n">
        <f aca="false">F1887-G1887</f>
        <v>279.167039202148</v>
      </c>
      <c r="I1887" s="17" t="n">
        <f aca="false">H1887*2/10+I1886*8/10</f>
        <v>305.642979148634</v>
      </c>
      <c r="J1887" s="17" t="n">
        <f aca="false">H1887-I1887</f>
        <v>-26.4759399464862</v>
      </c>
      <c r="K1887" s="17" t="n">
        <f aca="false">MAX(B1887-B1886,0)</f>
        <v>0</v>
      </c>
      <c r="L1887" s="17" t="n">
        <f aca="false">MAX(B1886-B1887,0)</f>
        <v>281.990000000002</v>
      </c>
      <c r="M1887" s="17" t="n">
        <f aca="false">(M1886*13+K1887)/14</f>
        <v>62.1985159127443</v>
      </c>
      <c r="N1887" s="17" t="n">
        <f aca="false">(N1886*13+L1887)/14</f>
        <v>48.7814692186042</v>
      </c>
      <c r="O1887" s="17" t="n">
        <f aca="false">IF(N1887=0,100,100-100/(1+M1887/N1887))</f>
        <v>56.0448046908011</v>
      </c>
      <c r="P1887" s="17" t="n">
        <f aca="false">AVERAGE(B1868:B1887)+2*STDEV(B1868:B1887)</f>
        <v>17235.6575246387</v>
      </c>
      <c r="Q1887" s="17" t="n">
        <f aca="false">AVERAGE(B1868:B1887)-2*STDEV(B1868:B1887)</f>
        <v>15723.9884753613</v>
      </c>
      <c r="R1887" s="19" t="n">
        <f aca="false">B1887/B1867-1</f>
        <v>0.0341526655906705</v>
      </c>
      <c r="S1887" s="17" t="n">
        <f aca="false">STDEV(C1868:C1887)*SQRT(252)*100</f>
        <v>13.7850453428477</v>
      </c>
      <c r="T1887" s="19" t="n">
        <f aca="false">B1866/B1636-1</f>
        <v>0.457789750415</v>
      </c>
      <c r="U1887" s="19" t="n">
        <f aca="false">B1887/MAX(B1636:B1887)-1</f>
        <v>-0.0214623701705823</v>
      </c>
      <c r="V1887" s="17" t="n">
        <f aca="false">(B1887-AVERAGE(B1868:B1887))/STDEV(B1868:B1887)</f>
        <v>0.169658828513155</v>
      </c>
    </row>
    <row r="1888" customFormat="false" ht="15" hidden="false" customHeight="false" outlineLevel="0" collapsed="false">
      <c r="A1888" s="17" t="s">
        <v>2452</v>
      </c>
      <c r="B1888" s="17" t="n">
        <v>16368.49</v>
      </c>
      <c r="C1888" s="19" t="n">
        <f aca="false">B1888/B1887-1</f>
        <v>-0.0106050916528952</v>
      </c>
      <c r="D1888" s="17" t="n">
        <f aca="false">AVERAGE(B1839:B1888)</f>
        <v>15810.6176</v>
      </c>
      <c r="E1888" s="17" t="n">
        <f aca="false">AVERAGE(B1689:B1888)</f>
        <v>14789.49835</v>
      </c>
      <c r="F1888" s="17" t="n">
        <f aca="false">B1888*2/13+F1887*11/13</f>
        <v>16621.8774241543</v>
      </c>
      <c r="G1888" s="17" t="n">
        <f aca="false">B1888*2/27+G1887*25/27</f>
        <v>16387.277801581</v>
      </c>
      <c r="H1888" s="17" t="n">
        <f aca="false">F1888-G1888</f>
        <v>234.5996225733</v>
      </c>
      <c r="I1888" s="17" t="n">
        <f aca="false">H1888*2/10+I1887*8/10</f>
        <v>291.434307833567</v>
      </c>
      <c r="J1888" s="17" t="n">
        <f aca="false">H1888-I1888</f>
        <v>-56.8346852602675</v>
      </c>
      <c r="K1888" s="17" t="n">
        <f aca="false">MAX(B1888-B1887,0)</f>
        <v>0</v>
      </c>
      <c r="L1888" s="17" t="n">
        <f aca="false">MAX(B1887-B1888,0)</f>
        <v>175.449999999999</v>
      </c>
      <c r="M1888" s="17" t="n">
        <f aca="false">(M1887*13+K1888)/14</f>
        <v>57.7557647761197</v>
      </c>
      <c r="N1888" s="17" t="n">
        <f aca="false">(N1887*13+L1888)/14</f>
        <v>57.8292214172752</v>
      </c>
      <c r="O1888" s="17" t="n">
        <f aca="false">IF(N1888=0,100,100-100/(1+M1888/N1888))</f>
        <v>49.9682239694035</v>
      </c>
      <c r="P1888" s="17" t="n">
        <f aca="false">AVERAGE(B1869:B1888)+2*STDEV(B1869:B1888)</f>
        <v>17202.4527720227</v>
      </c>
      <c r="Q1888" s="17" t="n">
        <f aca="false">AVERAGE(B1869:B1888)-2*STDEV(B1869:B1888)</f>
        <v>15810.0752279773</v>
      </c>
      <c r="R1888" s="19" t="n">
        <f aca="false">B1888/B1868-1</f>
        <v>0.033385796547529</v>
      </c>
      <c r="S1888" s="17" t="n">
        <f aca="false">STDEV(C1869:C1888)*SQRT(252)*100</f>
        <v>13.8691084481166</v>
      </c>
      <c r="T1888" s="19" t="n">
        <f aca="false">B1867/B1637-1</f>
        <v>0.472715656599133</v>
      </c>
      <c r="U1888" s="19" t="n">
        <f aca="false">B1888/MAX(B1637:B1888)-1</f>
        <v>-0.0318398514207301</v>
      </c>
      <c r="V1888" s="17" t="n">
        <f aca="false">(B1888-AVERAGE(B1869:B1888))/STDEV(B1869:B1888)</f>
        <v>-0.395794949693615</v>
      </c>
    </row>
    <row r="1889" customFormat="false" ht="15" hidden="false" customHeight="false" outlineLevel="0" collapsed="false">
      <c r="A1889" s="17" t="s">
        <v>2453</v>
      </c>
      <c r="B1889" s="17" t="n">
        <v>16282.01</v>
      </c>
      <c r="C1889" s="19" t="n">
        <f aca="false">B1889/B1888-1</f>
        <v>-0.00528332179694035</v>
      </c>
      <c r="D1889" s="17" t="n">
        <f aca="false">AVERAGE(B1840:B1889)</f>
        <v>15844.1608</v>
      </c>
      <c r="E1889" s="17" t="n">
        <f aca="false">AVERAGE(B1690:B1889)</f>
        <v>14808.09535</v>
      </c>
      <c r="F1889" s="17" t="n">
        <f aca="false">B1889*2/13+F1888*11/13</f>
        <v>16569.5901281306</v>
      </c>
      <c r="G1889" s="17" t="n">
        <f aca="false">B1889*2/27+G1888*25/27</f>
        <v>16379.4801866491</v>
      </c>
      <c r="H1889" s="17" t="n">
        <f aca="false">F1889-G1889</f>
        <v>190.109941481482</v>
      </c>
      <c r="I1889" s="17" t="n">
        <f aca="false">H1889*2/10+I1888*8/10</f>
        <v>271.16943456315</v>
      </c>
      <c r="J1889" s="17" t="n">
        <f aca="false">H1889-I1889</f>
        <v>-81.0594930816684</v>
      </c>
      <c r="K1889" s="17" t="n">
        <f aca="false">MAX(B1889-B1888,0)</f>
        <v>0</v>
      </c>
      <c r="L1889" s="17" t="n">
        <f aca="false">MAX(B1888-B1889,0)</f>
        <v>86.4799999999996</v>
      </c>
      <c r="M1889" s="17" t="n">
        <f aca="false">(M1888*13+K1889)/14</f>
        <v>53.6303530063968</v>
      </c>
      <c r="N1889" s="17" t="n">
        <f aca="false">(N1888*13+L1889)/14</f>
        <v>59.8757056017555</v>
      </c>
      <c r="O1889" s="17" t="n">
        <f aca="false">IF(N1889=0,100,100-100/(1+M1889/N1889))</f>
        <v>47.2488902037736</v>
      </c>
      <c r="P1889" s="17" t="n">
        <f aca="false">AVERAGE(B1870:B1889)+2*STDEV(B1870:B1889)</f>
        <v>17167.0808766885</v>
      </c>
      <c r="Q1889" s="17" t="n">
        <f aca="false">AVERAGE(B1870:B1889)-2*STDEV(B1870:B1889)</f>
        <v>15885.8771233115</v>
      </c>
      <c r="R1889" s="19" t="n">
        <f aca="false">B1889/B1869-1</f>
        <v>0.0254633697176734</v>
      </c>
      <c r="S1889" s="17" t="n">
        <f aca="false">STDEV(C1870:C1889)*SQRT(252)*100</f>
        <v>14.0826808218393</v>
      </c>
      <c r="T1889" s="19" t="n">
        <f aca="false">B1868/B1638-1</f>
        <v>0.451210283285081</v>
      </c>
      <c r="U1889" s="19" t="n">
        <f aca="false">B1889/MAX(B1638:B1889)-1</f>
        <v>-0.036954953036648</v>
      </c>
      <c r="V1889" s="17" t="n">
        <f aca="false">(B1889-AVERAGE(B1870:B1889))/STDEV(B1870:B1889)</f>
        <v>-0.763247842056731</v>
      </c>
    </row>
    <row r="1890" customFormat="false" ht="15" hidden="false" customHeight="false" outlineLevel="0" collapsed="false">
      <c r="A1890" s="17" t="s">
        <v>2454</v>
      </c>
      <c r="B1890" s="17" t="n">
        <v>16305.98</v>
      </c>
      <c r="C1890" s="19" t="n">
        <f aca="false">B1890/B1889-1</f>
        <v>0.00147217696095248</v>
      </c>
      <c r="D1890" s="17" t="n">
        <f aca="false">AVERAGE(B1841:B1890)</f>
        <v>15875.3632</v>
      </c>
      <c r="E1890" s="17" t="n">
        <f aca="false">AVERAGE(B1691:B1890)</f>
        <v>14825.91805</v>
      </c>
      <c r="F1890" s="17" t="n">
        <f aca="false">B1890*2/13+F1889*11/13</f>
        <v>16529.0347238028</v>
      </c>
      <c r="G1890" s="17" t="n">
        <f aca="false">B1890*2/27+G1889*25/27</f>
        <v>16374.0357283788</v>
      </c>
      <c r="H1890" s="17" t="n">
        <f aca="false">F1890-G1890</f>
        <v>154.998995424003</v>
      </c>
      <c r="I1890" s="17" t="n">
        <f aca="false">H1890*2/10+I1889*8/10</f>
        <v>247.935346735321</v>
      </c>
      <c r="J1890" s="17" t="n">
        <f aca="false">H1890-I1890</f>
        <v>-92.9363513113179</v>
      </c>
      <c r="K1890" s="17" t="n">
        <f aca="false">MAX(B1890-B1889,0)</f>
        <v>23.9699999999993</v>
      </c>
      <c r="L1890" s="17" t="n">
        <f aca="false">MAX(B1889-B1890,0)</f>
        <v>0</v>
      </c>
      <c r="M1890" s="17" t="n">
        <f aca="false">(M1889*13+K1890)/14</f>
        <v>51.5117563630827</v>
      </c>
      <c r="N1890" s="17" t="n">
        <f aca="false">(N1889*13+L1890)/14</f>
        <v>55.5988694873444</v>
      </c>
      <c r="O1890" s="17" t="n">
        <f aca="false">IF(N1890=0,100,100-100/(1+M1890/N1890))</f>
        <v>48.0921065992234</v>
      </c>
      <c r="P1890" s="17" t="n">
        <f aca="false">AVERAGE(B1871:B1890)+2*STDEV(B1871:B1890)</f>
        <v>17102.8185708544</v>
      </c>
      <c r="Q1890" s="17" t="n">
        <f aca="false">AVERAGE(B1871:B1890)-2*STDEV(B1871:B1890)</f>
        <v>16001.9324291456</v>
      </c>
      <c r="R1890" s="19" t="n">
        <f aca="false">B1890/B1870-1</f>
        <v>0.0328051912680794</v>
      </c>
      <c r="S1890" s="17" t="n">
        <f aca="false">STDEV(C1871:C1890)*SQRT(252)*100</f>
        <v>13.8418768154189</v>
      </c>
      <c r="T1890" s="19" t="n">
        <f aca="false">B1869/B1639-1</f>
        <v>0.478203593260356</v>
      </c>
      <c r="U1890" s="19" t="n">
        <f aca="false">B1890/MAX(B1639:B1890)-1</f>
        <v>-0.0355371803061489</v>
      </c>
      <c r="V1890" s="17" t="n">
        <f aca="false">(B1890-AVERAGE(B1871:B1890))/STDEV(B1871:B1890)</f>
        <v>-0.895262427838591</v>
      </c>
    </row>
    <row r="1891" customFormat="false" ht="15" hidden="false" customHeight="false" outlineLevel="0" collapsed="false">
      <c r="A1891" s="17" t="s">
        <v>2455</v>
      </c>
      <c r="B1891" s="17" t="n">
        <v>16649.87</v>
      </c>
      <c r="C1891" s="19" t="n">
        <f aca="false">B1891/B1890-1</f>
        <v>0.0210898087695435</v>
      </c>
      <c r="D1891" s="17" t="n">
        <f aca="false">AVERAGE(B1842:B1891)</f>
        <v>15920.7278</v>
      </c>
      <c r="E1891" s="17" t="n">
        <f aca="false">AVERAGE(B1692:B1891)</f>
        <v>14846.33165</v>
      </c>
      <c r="F1891" s="17" t="n">
        <f aca="false">B1891*2/13+F1890*11/13</f>
        <v>16547.6247662947</v>
      </c>
      <c r="G1891" s="17" t="n">
        <f aca="false">B1891*2/27+G1890*25/27</f>
        <v>16394.4678966471</v>
      </c>
      <c r="H1891" s="17" t="n">
        <f aca="false">F1891-G1891</f>
        <v>153.156869647642</v>
      </c>
      <c r="I1891" s="17" t="n">
        <f aca="false">H1891*2/10+I1890*8/10</f>
        <v>228.979651317785</v>
      </c>
      <c r="J1891" s="17" t="n">
        <f aca="false">H1891-I1891</f>
        <v>-75.8227816701425</v>
      </c>
      <c r="K1891" s="17" t="n">
        <f aca="false">MAX(B1891-B1890,0)</f>
        <v>343.889999999999</v>
      </c>
      <c r="L1891" s="17" t="n">
        <f aca="false">MAX(B1890-B1891,0)</f>
        <v>0</v>
      </c>
      <c r="M1891" s="17" t="n">
        <f aca="false">(M1890*13+K1891)/14</f>
        <v>72.3959166228625</v>
      </c>
      <c r="N1891" s="17" t="n">
        <f aca="false">(N1890*13+L1891)/14</f>
        <v>51.6275216668198</v>
      </c>
      <c r="O1891" s="17" t="n">
        <f aca="false">IF(N1891=0,100,100-100/(1+M1891/N1891))</f>
        <v>58.372770196684</v>
      </c>
      <c r="P1891" s="17" t="n">
        <f aca="false">AVERAGE(B1872:B1891)+2*STDEV(B1872:B1891)</f>
        <v>17075.4091758224</v>
      </c>
      <c r="Q1891" s="17" t="n">
        <f aca="false">AVERAGE(B1872:B1891)-2*STDEV(B1872:B1891)</f>
        <v>16092.0798241776</v>
      </c>
      <c r="R1891" s="19" t="n">
        <f aca="false">B1891/B1871-1</f>
        <v>0.0391562110508417</v>
      </c>
      <c r="S1891" s="17" t="n">
        <f aca="false">STDEV(C1872:C1891)*SQRT(252)*100</f>
        <v>14.7767479964036</v>
      </c>
      <c r="T1891" s="19" t="n">
        <f aca="false">B1870/B1640-1</f>
        <v>0.430031656605089</v>
      </c>
      <c r="U1891" s="19" t="n">
        <f aca="false">B1891/MAX(B1640:B1891)-1</f>
        <v>-0.0151968438734711</v>
      </c>
      <c r="V1891" s="17" t="n">
        <f aca="false">(B1891-AVERAGE(B1872:B1891))/STDEV(B1872:B1891)</f>
        <v>0.268986173917769</v>
      </c>
    </row>
    <row r="1892" customFormat="false" ht="15" hidden="false" customHeight="false" outlineLevel="0" collapsed="false">
      <c r="A1892" s="17" t="s">
        <v>2456</v>
      </c>
      <c r="B1892" s="17" t="n">
        <v>16678.7</v>
      </c>
      <c r="C1892" s="19" t="n">
        <f aca="false">B1892/B1891-1</f>
        <v>0.00173154505110262</v>
      </c>
      <c r="D1892" s="17" t="n">
        <f aca="false">AVERAGE(B1843:B1892)</f>
        <v>15972.1104</v>
      </c>
      <c r="E1892" s="17" t="n">
        <f aca="false">AVERAGE(B1693:B1892)</f>
        <v>14866.079</v>
      </c>
      <c r="F1892" s="17" t="n">
        <f aca="false">B1892*2/13+F1891*11/13</f>
        <v>16567.7901868647</v>
      </c>
      <c r="G1892" s="17" t="n">
        <f aca="false">B1892*2/27+G1891*25/27</f>
        <v>16415.522126525</v>
      </c>
      <c r="H1892" s="17" t="n">
        <f aca="false">F1892-G1892</f>
        <v>152.268060339695</v>
      </c>
      <c r="I1892" s="17" t="n">
        <f aca="false">H1892*2/10+I1891*8/10</f>
        <v>213.637333122167</v>
      </c>
      <c r="J1892" s="17" t="n">
        <f aca="false">H1892-I1892</f>
        <v>-61.3692727824721</v>
      </c>
      <c r="K1892" s="17" t="n">
        <f aca="false">MAX(B1892-B1891,0)</f>
        <v>28.8300000000017</v>
      </c>
      <c r="L1892" s="17" t="n">
        <f aca="false">MAX(B1891-B1892,0)</f>
        <v>0</v>
      </c>
      <c r="M1892" s="17" t="n">
        <f aca="false">(M1891*13+K1892)/14</f>
        <v>69.2840654355153</v>
      </c>
      <c r="N1892" s="17" t="n">
        <f aca="false">(N1891*13+L1892)/14</f>
        <v>47.9398415477613</v>
      </c>
      <c r="O1892" s="17" t="n">
        <f aca="false">IF(N1892=0,100,100-100/(1+M1892/N1892))</f>
        <v>59.1040404798993</v>
      </c>
      <c r="P1892" s="17" t="n">
        <f aca="false">AVERAGE(B1873:B1892)+2*STDEV(B1873:B1892)</f>
        <v>17046.4409250811</v>
      </c>
      <c r="Q1892" s="17" t="n">
        <f aca="false">AVERAGE(B1873:B1892)-2*STDEV(B1873:B1892)</f>
        <v>16180.4490749189</v>
      </c>
      <c r="R1892" s="19" t="n">
        <f aca="false">B1892/B1872-1</f>
        <v>0.0369301491045211</v>
      </c>
      <c r="S1892" s="17" t="n">
        <f aca="false">STDEV(C1873:C1892)*SQRT(252)*100</f>
        <v>14.7594217038832</v>
      </c>
      <c r="T1892" s="19" t="n">
        <f aca="false">B1871/B1641-1</f>
        <v>0.442369547506628</v>
      </c>
      <c r="U1892" s="19" t="n">
        <f aca="false">B1892/MAX(B1641:B1892)-1</f>
        <v>-0.0134916128421699</v>
      </c>
      <c r="V1892" s="17" t="n">
        <f aca="false">(B1892-AVERAGE(B1873:B1892))/STDEV(B1873:B1892)</f>
        <v>0.301411612535513</v>
      </c>
    </row>
    <row r="1893" customFormat="false" ht="15" hidden="false" customHeight="false" outlineLevel="0" collapsed="false">
      <c r="A1893" s="17" t="s">
        <v>2457</v>
      </c>
      <c r="B1893" s="17" t="n">
        <v>16793.05</v>
      </c>
      <c r="C1893" s="19" t="n">
        <f aca="false">B1893/B1892-1</f>
        <v>0.00685604993194899</v>
      </c>
      <c r="D1893" s="17" t="n">
        <f aca="false">AVERAGE(B1844:B1893)</f>
        <v>16024.363</v>
      </c>
      <c r="E1893" s="17" t="n">
        <f aca="false">AVERAGE(B1694:B1893)</f>
        <v>14886.209</v>
      </c>
      <c r="F1893" s="17" t="n">
        <f aca="false">B1893*2/13+F1892*11/13</f>
        <v>16602.4455427317</v>
      </c>
      <c r="G1893" s="17" t="n">
        <f aca="false">B1893*2/27+G1892*25/27</f>
        <v>16443.4871541899</v>
      </c>
      <c r="H1893" s="17" t="n">
        <f aca="false">F1893-G1893</f>
        <v>158.958388541847</v>
      </c>
      <c r="I1893" s="17" t="n">
        <f aca="false">H1893*2/10+I1892*8/10</f>
        <v>202.701544206103</v>
      </c>
      <c r="J1893" s="17" t="n">
        <f aca="false">H1893-I1893</f>
        <v>-43.743155664256</v>
      </c>
      <c r="K1893" s="17" t="n">
        <f aca="false">MAX(B1893-B1892,0)</f>
        <v>114.349999999999</v>
      </c>
      <c r="L1893" s="17" t="n">
        <f aca="false">MAX(B1892-B1893,0)</f>
        <v>0</v>
      </c>
      <c r="M1893" s="17" t="n">
        <f aca="false">(M1892*13+K1893)/14</f>
        <v>72.5030607615498</v>
      </c>
      <c r="N1893" s="17" t="n">
        <f aca="false">(N1892*13+L1893)/14</f>
        <v>44.5155671514926</v>
      </c>
      <c r="O1893" s="17" t="n">
        <f aca="false">IF(N1893=0,100,100-100/(1+M1893/N1893))</f>
        <v>61.9585633967846</v>
      </c>
      <c r="P1893" s="17" t="n">
        <f aca="false">AVERAGE(B1874:B1893)+2*STDEV(B1874:B1893)</f>
        <v>17040.1786387442</v>
      </c>
      <c r="Q1893" s="17" t="n">
        <f aca="false">AVERAGE(B1874:B1893)-2*STDEV(B1874:B1893)</f>
        <v>16243.8433612558</v>
      </c>
      <c r="R1893" s="19" t="n">
        <f aca="false">B1893/B1873-1</f>
        <v>0.0352194248085747</v>
      </c>
      <c r="S1893" s="17" t="n">
        <f aca="false">STDEV(C1874:C1893)*SQRT(252)*100</f>
        <v>14.6713374417184</v>
      </c>
      <c r="T1893" s="19" t="n">
        <f aca="false">B1872/B1642-1</f>
        <v>0.435392270774547</v>
      </c>
      <c r="U1893" s="19" t="n">
        <f aca="false">B1893/MAX(B1642:B1893)-1</f>
        <v>-0.00672806208152932</v>
      </c>
      <c r="V1893" s="17" t="n">
        <f aca="false">(B1893-AVERAGE(B1874:B1893))/STDEV(B1874:B1893)</f>
        <v>0.758670395596977</v>
      </c>
    </row>
    <row r="1894" customFormat="false" ht="15" hidden="false" customHeight="false" outlineLevel="0" collapsed="false">
      <c r="A1894" s="17" t="s">
        <v>2458</v>
      </c>
      <c r="B1894" s="17" t="n">
        <v>16820.9</v>
      </c>
      <c r="C1894" s="19" t="n">
        <f aca="false">B1894/B1893-1</f>
        <v>0.00165842416952255</v>
      </c>
      <c r="D1894" s="17" t="n">
        <f aca="false">AVERAGE(B1845:B1894)</f>
        <v>16074.0708</v>
      </c>
      <c r="E1894" s="17" t="n">
        <f aca="false">AVERAGE(B1695:B1894)</f>
        <v>14906.94815</v>
      </c>
      <c r="F1894" s="17" t="n">
        <f aca="false">B1894*2/13+F1893*11/13</f>
        <v>16636.053920773</v>
      </c>
      <c r="G1894" s="17" t="n">
        <f aca="false">B1894*2/27+G1893*25/27</f>
        <v>16471.4436612869</v>
      </c>
      <c r="H1894" s="17" t="n">
        <f aca="false">F1894-G1894</f>
        <v>164.610259486075</v>
      </c>
      <c r="I1894" s="17" t="n">
        <f aca="false">H1894*2/10+I1893*8/10</f>
        <v>195.083287262097</v>
      </c>
      <c r="J1894" s="17" t="n">
        <f aca="false">H1894-I1894</f>
        <v>-30.4730277760224</v>
      </c>
      <c r="K1894" s="17" t="n">
        <f aca="false">MAX(B1894-B1893,0)</f>
        <v>27.8500000000022</v>
      </c>
      <c r="L1894" s="17" t="n">
        <f aca="false">MAX(B1893-B1894,0)</f>
        <v>0</v>
      </c>
      <c r="M1894" s="17" t="n">
        <f aca="false">(M1893*13+K1894)/14</f>
        <v>69.3135564214393</v>
      </c>
      <c r="N1894" s="17" t="n">
        <f aca="false">(N1893*13+L1894)/14</f>
        <v>41.3358837835288</v>
      </c>
      <c r="O1894" s="17" t="n">
        <f aca="false">IF(N1894=0,100,100-100/(1+M1894/N1894))</f>
        <v>62.6424826849934</v>
      </c>
      <c r="P1894" s="17" t="n">
        <f aca="false">AVERAGE(B1875:B1894)+2*STDEV(B1875:B1894)</f>
        <v>17046.8528971816</v>
      </c>
      <c r="Q1894" s="17" t="n">
        <f aca="false">AVERAGE(B1875:B1894)-2*STDEV(B1875:B1894)</f>
        <v>16283.8341028184</v>
      </c>
      <c r="R1894" s="19" t="n">
        <f aca="false">B1894/B1874-1</f>
        <v>0.0285338673433513</v>
      </c>
      <c r="S1894" s="17" t="n">
        <f aca="false">STDEV(C1875:C1894)*SQRT(252)*100</f>
        <v>14.4755659490834</v>
      </c>
      <c r="T1894" s="19" t="n">
        <f aca="false">B1873/B1643-1</f>
        <v>0.42264429266513</v>
      </c>
      <c r="U1894" s="19" t="n">
        <f aca="false">B1894/MAX(B1643:B1894)-1</f>
        <v>-0.00508079589277677</v>
      </c>
      <c r="V1894" s="17" t="n">
        <f aca="false">(B1894-AVERAGE(B1875:B1894))/STDEV(B1875:B1894)</f>
        <v>0.815479257649543</v>
      </c>
    </row>
    <row r="1895" customFormat="false" ht="15" hidden="false" customHeight="false" outlineLevel="0" collapsed="false">
      <c r="A1895" s="17" t="s">
        <v>2459</v>
      </c>
      <c r="B1895" s="17" t="n">
        <v>16832.92</v>
      </c>
      <c r="C1895" s="19" t="n">
        <f aca="false">B1895/B1894-1</f>
        <v>0.000714587209958761</v>
      </c>
      <c r="D1895" s="17" t="n">
        <f aca="false">AVERAGE(B1846:B1895)</f>
        <v>16122.5336</v>
      </c>
      <c r="E1895" s="17" t="n">
        <f aca="false">AVERAGE(B1696:B1895)</f>
        <v>14928.0599</v>
      </c>
      <c r="F1895" s="17" t="n">
        <f aca="false">B1895*2/13+F1894*11/13</f>
        <v>16666.3410098848</v>
      </c>
      <c r="G1895" s="17" t="n">
        <f aca="false">B1895*2/27+G1894*25/27</f>
        <v>16498.2196863768</v>
      </c>
      <c r="H1895" s="17" t="n">
        <f aca="false">F1895-G1895</f>
        <v>168.121323508065</v>
      </c>
      <c r="I1895" s="17" t="n">
        <f aca="false">H1895*2/10+I1894*8/10</f>
        <v>189.690894511291</v>
      </c>
      <c r="J1895" s="17" t="n">
        <f aca="false">H1895-I1895</f>
        <v>-21.5695710032259</v>
      </c>
      <c r="K1895" s="17" t="n">
        <f aca="false">MAX(B1895-B1894,0)</f>
        <v>12.0199999999968</v>
      </c>
      <c r="L1895" s="17" t="n">
        <f aca="false">MAX(B1894-B1895,0)</f>
        <v>0</v>
      </c>
      <c r="M1895" s="17" t="n">
        <f aca="false">(M1894*13+K1895)/14</f>
        <v>65.2211595341934</v>
      </c>
      <c r="N1895" s="17" t="n">
        <f aca="false">(N1894*13+L1895)/14</f>
        <v>38.3833206561339</v>
      </c>
      <c r="O1895" s="17" t="n">
        <f aca="false">IF(N1895=0,100,100-100/(1+M1895/N1895))</f>
        <v>62.9520648280638</v>
      </c>
      <c r="P1895" s="17" t="n">
        <f aca="false">AVERAGE(B1876:B1895)+2*STDEV(B1876:B1895)</f>
        <v>17064.1742222685</v>
      </c>
      <c r="Q1895" s="17" t="n">
        <f aca="false">AVERAGE(B1876:B1895)-2*STDEV(B1876:B1895)</f>
        <v>16293.5677777315</v>
      </c>
      <c r="R1895" s="19" t="n">
        <f aca="false">B1895/B1875-1</f>
        <v>0.0163352225557092</v>
      </c>
      <c r="S1895" s="17" t="n">
        <f aca="false">STDEV(C1876:C1895)*SQRT(252)*100</f>
        <v>13.848644896695</v>
      </c>
      <c r="T1895" s="19" t="n">
        <f aca="false">B1874/B1644-1</f>
        <v>0.427120992773751</v>
      </c>
      <c r="U1895" s="19" t="n">
        <f aca="false">B1895/MAX(B1644:B1895)-1</f>
        <v>-0.00436983935457924</v>
      </c>
      <c r="V1895" s="17" t="n">
        <f aca="false">(B1895-AVERAGE(B1876:B1895))/STDEV(B1876:B1895)</f>
        <v>0.799624768736713</v>
      </c>
    </row>
    <row r="1896" customFormat="false" ht="15" hidden="false" customHeight="false" outlineLevel="0" collapsed="false">
      <c r="A1896" s="17" t="s">
        <v>2460</v>
      </c>
      <c r="B1896" s="17" t="n">
        <v>16830.71</v>
      </c>
      <c r="C1896" s="19" t="n">
        <f aca="false">B1896/B1895-1</f>
        <v>-0.000131290352475943</v>
      </c>
      <c r="D1896" s="17" t="n">
        <f aca="false">AVERAGE(B1847:B1896)</f>
        <v>16165.8496</v>
      </c>
      <c r="E1896" s="17" t="n">
        <f aca="false">AVERAGE(B1697:B1896)</f>
        <v>14947.9833</v>
      </c>
      <c r="F1896" s="17" t="n">
        <f aca="false">B1896*2/13+F1895*11/13</f>
        <v>16691.6285468256</v>
      </c>
      <c r="G1896" s="17" t="n">
        <f aca="false">B1896*2/27+G1895*25/27</f>
        <v>16522.848598497</v>
      </c>
      <c r="H1896" s="17" t="n">
        <f aca="false">F1896-G1896</f>
        <v>168.779948328622</v>
      </c>
      <c r="I1896" s="17" t="n">
        <f aca="false">H1896*2/10+I1895*8/10</f>
        <v>185.508705274757</v>
      </c>
      <c r="J1896" s="17" t="n">
        <f aca="false">H1896-I1896</f>
        <v>-16.7287569461354</v>
      </c>
      <c r="K1896" s="17" t="n">
        <f aca="false">MAX(B1896-B1895,0)</f>
        <v>0</v>
      </c>
      <c r="L1896" s="17" t="n">
        <f aca="false">MAX(B1895-B1896,0)</f>
        <v>2.20999999999913</v>
      </c>
      <c r="M1896" s="17" t="n">
        <f aca="false">(M1895*13+K1896)/14</f>
        <v>60.562505281751</v>
      </c>
      <c r="N1896" s="17" t="n">
        <f aca="false">(N1895*13+L1896)/14</f>
        <v>35.7995120378386</v>
      </c>
      <c r="O1896" s="17" t="n">
        <f aca="false">IF(N1896=0,100,100-100/(1+M1896/N1896))</f>
        <v>62.8489387897436</v>
      </c>
      <c r="P1896" s="17" t="n">
        <f aca="false">AVERAGE(B1877:B1896)+2*STDEV(B1877:B1896)</f>
        <v>17078.5103672175</v>
      </c>
      <c r="Q1896" s="17" t="n">
        <f aca="false">AVERAGE(B1877:B1896)-2*STDEV(B1877:B1896)</f>
        <v>16308.5196327825</v>
      </c>
      <c r="R1896" s="19" t="n">
        <f aca="false">B1896/B1876-1</f>
        <v>0.0177096995192234</v>
      </c>
      <c r="S1896" s="17" t="n">
        <f aca="false">STDEV(C1877:C1896)*SQRT(252)*100</f>
        <v>13.8268115169272</v>
      </c>
      <c r="T1896" s="19" t="n">
        <f aca="false">B1875/B1645-1</f>
        <v>0.435029996153006</v>
      </c>
      <c r="U1896" s="19" t="n">
        <f aca="false">B1896/MAX(B1645:B1896)-1</f>
        <v>-0.0045005559893061</v>
      </c>
      <c r="V1896" s="17" t="n">
        <f aca="false">(B1896-AVERAGE(B1877:B1896))/STDEV(B1877:B1896)</f>
        <v>0.712709874882666</v>
      </c>
    </row>
    <row r="1897" customFormat="false" ht="15" hidden="false" customHeight="false" outlineLevel="0" collapsed="false">
      <c r="A1897" s="17" t="s">
        <v>2461</v>
      </c>
      <c r="B1897" s="17" t="n">
        <v>16736.28</v>
      </c>
      <c r="C1897" s="19" t="n">
        <f aca="false">B1897/B1896-1</f>
        <v>-0.00561057733155645</v>
      </c>
      <c r="D1897" s="17" t="n">
        <f aca="false">AVERAGE(B1848:B1897)</f>
        <v>16202.1842</v>
      </c>
      <c r="E1897" s="17" t="n">
        <f aca="false">AVERAGE(B1698:B1897)</f>
        <v>14966.849</v>
      </c>
      <c r="F1897" s="17" t="n">
        <f aca="false">B1897*2/13+F1896*11/13</f>
        <v>16698.4980011601</v>
      </c>
      <c r="G1897" s="17" t="n">
        <f aca="false">B1897*2/27+G1896*25/27</f>
        <v>16538.6583319417</v>
      </c>
      <c r="H1897" s="17" t="n">
        <f aca="false">F1897-G1897</f>
        <v>159.839669218472</v>
      </c>
      <c r="I1897" s="17" t="n">
        <f aca="false">H1897*2/10+I1896*8/10</f>
        <v>180.3748980635</v>
      </c>
      <c r="J1897" s="17" t="n">
        <f aca="false">H1897-I1897</f>
        <v>-20.5352288450277</v>
      </c>
      <c r="K1897" s="17" t="n">
        <f aca="false">MAX(B1897-B1896,0)</f>
        <v>0</v>
      </c>
      <c r="L1897" s="17" t="n">
        <f aca="false">MAX(B1896-B1897,0)</f>
        <v>94.4300000000003</v>
      </c>
      <c r="M1897" s="17" t="n">
        <f aca="false">(M1896*13+K1897)/14</f>
        <v>56.2366120473402</v>
      </c>
      <c r="N1897" s="17" t="n">
        <f aca="false">(N1896*13+L1897)/14</f>
        <v>39.9874040351358</v>
      </c>
      <c r="O1897" s="17" t="n">
        <f aca="false">IF(N1897=0,100,100-100/(1+M1897/N1897))</f>
        <v>58.4434264301943</v>
      </c>
      <c r="P1897" s="17" t="n">
        <f aca="false">AVERAGE(B1878:B1897)+2*STDEV(B1878:B1897)</f>
        <v>17083.1342998668</v>
      </c>
      <c r="Q1897" s="17" t="n">
        <f aca="false">AVERAGE(B1878:B1897)-2*STDEV(B1878:B1897)</f>
        <v>16315.1787001332</v>
      </c>
      <c r="R1897" s="19" t="n">
        <f aca="false">B1897/B1877-1</f>
        <v>0.0067873997274932</v>
      </c>
      <c r="S1897" s="17" t="n">
        <f aca="false">STDEV(C1878:C1897)*SQRT(252)*100</f>
        <v>13.9156366419315</v>
      </c>
      <c r="T1897" s="19" t="n">
        <f aca="false">B1876/B1646-1</f>
        <v>0.430955967670342</v>
      </c>
      <c r="U1897" s="19" t="n">
        <f aca="false">B1897/MAX(B1646:B1897)-1</f>
        <v>-0.0100858826034496</v>
      </c>
      <c r="V1897" s="17" t="n">
        <f aca="false">(B1897-AVERAGE(B1878:B1897))/STDEV(B1878:B1897)</f>
        <v>0.19336274135056</v>
      </c>
    </row>
    <row r="1898" customFormat="false" ht="15" hidden="false" customHeight="false" outlineLevel="0" collapsed="false">
      <c r="A1898" s="17" t="s">
        <v>2462</v>
      </c>
      <c r="B1898" s="17" t="n">
        <v>16982.29</v>
      </c>
      <c r="C1898" s="19" t="n">
        <f aca="false">B1898/B1897-1</f>
        <v>0.0146992043632159</v>
      </c>
      <c r="D1898" s="17" t="n">
        <f aca="false">AVERAGE(B1849:B1898)</f>
        <v>16239.8402</v>
      </c>
      <c r="E1898" s="17" t="n">
        <f aca="false">AVERAGE(B1699:B1898)</f>
        <v>14985.8537</v>
      </c>
      <c r="F1898" s="17" t="n">
        <f aca="false">B1898*2/13+F1897*11/13</f>
        <v>16742.158308674</v>
      </c>
      <c r="G1898" s="17" t="n">
        <f aca="false">B1898*2/27+G1897*25/27</f>
        <v>16571.519936983</v>
      </c>
      <c r="H1898" s="17" t="n">
        <f aca="false">F1898-G1898</f>
        <v>170.63837169094</v>
      </c>
      <c r="I1898" s="17" t="n">
        <f aca="false">H1898*2/10+I1897*8/10</f>
        <v>178.427592788988</v>
      </c>
      <c r="J1898" s="17" t="n">
        <f aca="false">H1898-I1898</f>
        <v>-7.78922109804776</v>
      </c>
      <c r="K1898" s="17" t="n">
        <f aca="false">MAX(B1898-B1897,0)</f>
        <v>246.010000000002</v>
      </c>
      <c r="L1898" s="17" t="n">
        <f aca="false">MAX(B1897-B1898,0)</f>
        <v>0</v>
      </c>
      <c r="M1898" s="17" t="n">
        <f aca="false">(M1897*13+K1898)/14</f>
        <v>69.7918540439589</v>
      </c>
      <c r="N1898" s="17" t="n">
        <f aca="false">(N1897*13+L1898)/14</f>
        <v>37.131160889769</v>
      </c>
      <c r="O1898" s="17" t="n">
        <f aca="false">IF(N1898=0,100,100-100/(1+M1898/N1898))</f>
        <v>65.2729948619731</v>
      </c>
      <c r="P1898" s="17" t="n">
        <f aca="false">AVERAGE(B1879:B1898)+2*STDEV(B1879:B1898)</f>
        <v>17116.0667277718</v>
      </c>
      <c r="Q1898" s="17" t="n">
        <f aca="false">AVERAGE(B1879:B1898)-2*STDEV(B1879:B1898)</f>
        <v>16307.4952722282</v>
      </c>
      <c r="R1898" s="19" t="n">
        <f aca="false">B1898/B1878-1</f>
        <v>0.0150922306303722</v>
      </c>
      <c r="S1898" s="17" t="n">
        <f aca="false">STDEV(C1879:C1898)*SQRT(252)*100</f>
        <v>14.6830312985229</v>
      </c>
      <c r="T1898" s="19" t="n">
        <f aca="false">B1877/B1647-1</f>
        <v>0.456882340413784</v>
      </c>
      <c r="U1898" s="19" t="n">
        <f aca="false">B1898/MAX(B1647:B1898)-1</f>
        <v>0</v>
      </c>
      <c r="V1898" s="17" t="n">
        <f aca="false">(B1898-AVERAGE(B1879:B1898))/STDEV(B1879:B1898)</f>
        <v>1.33820702249806</v>
      </c>
    </row>
    <row r="1899" customFormat="false" ht="15" hidden="false" customHeight="false" outlineLevel="0" collapsed="false">
      <c r="A1899" s="17" t="s">
        <v>2463</v>
      </c>
      <c r="B1899" s="17" t="n">
        <v>17314</v>
      </c>
      <c r="C1899" s="19" t="n">
        <f aca="false">B1899/B1898-1</f>
        <v>0.0195327014201265</v>
      </c>
      <c r="D1899" s="17" t="n">
        <f aca="false">AVERAGE(B1850:B1899)</f>
        <v>16283.0216</v>
      </c>
      <c r="E1899" s="17" t="n">
        <f aca="false">AVERAGE(B1700:B1899)</f>
        <v>15006.68195</v>
      </c>
      <c r="F1899" s="17" t="n">
        <f aca="false">B1899*2/13+F1898*11/13</f>
        <v>16830.1339534934</v>
      </c>
      <c r="G1899" s="17" t="n">
        <f aca="false">B1899*2/27+G1898*25/27</f>
        <v>16626.5184601695</v>
      </c>
      <c r="H1899" s="17" t="n">
        <f aca="false">F1899-G1899</f>
        <v>203.615493323887</v>
      </c>
      <c r="I1899" s="17" t="n">
        <f aca="false">H1899*2/10+I1898*8/10</f>
        <v>183.465172895968</v>
      </c>
      <c r="J1899" s="17" t="n">
        <f aca="false">H1899-I1899</f>
        <v>20.1503204279189</v>
      </c>
      <c r="K1899" s="17" t="n">
        <f aca="false">MAX(B1899-B1898,0)</f>
        <v>331.709999999999</v>
      </c>
      <c r="L1899" s="17" t="n">
        <f aca="false">MAX(B1898-B1899,0)</f>
        <v>0</v>
      </c>
      <c r="M1899" s="17" t="n">
        <f aca="false">(M1898*13+K1899)/14</f>
        <v>88.5002930408189</v>
      </c>
      <c r="N1899" s="17" t="n">
        <f aca="false">(N1898*13+L1899)/14</f>
        <v>34.4789351119284</v>
      </c>
      <c r="O1899" s="17" t="n">
        <f aca="false">IF(N1899=0,100,100-100/(1+M1899/N1899))</f>
        <v>71.9636107415607</v>
      </c>
      <c r="P1899" s="17" t="n">
        <f aca="false">AVERAGE(B1880:B1899)+2*STDEV(B1880:B1899)</f>
        <v>17221.6932244548</v>
      </c>
      <c r="Q1899" s="17" t="n">
        <f aca="false">AVERAGE(B1880:B1899)-2*STDEV(B1880:B1899)</f>
        <v>16252.0837755452</v>
      </c>
      <c r="R1899" s="19" t="n">
        <f aca="false">B1899/B1879-1</f>
        <v>0.0298688127719438</v>
      </c>
      <c r="S1899" s="17" t="n">
        <f aca="false">STDEV(C1880:C1899)*SQRT(252)*100</f>
        <v>16.0785477934349</v>
      </c>
      <c r="T1899" s="19" t="n">
        <f aca="false">B1878/B1648-1</f>
        <v>0.48108080352914</v>
      </c>
      <c r="U1899" s="19" t="n">
        <f aca="false">B1899/MAX(B1648:B1899)-1</f>
        <v>0</v>
      </c>
      <c r="V1899" s="17" t="n">
        <f aca="false">(B1899-AVERAGE(B1880:B1899))/STDEV(B1880:B1899)</f>
        <v>2.38079981852082</v>
      </c>
    </row>
    <row r="1900" customFormat="false" ht="15" hidden="false" customHeight="false" outlineLevel="0" collapsed="false">
      <c r="A1900" s="17" t="s">
        <v>2464</v>
      </c>
      <c r="B1900" s="17" t="n">
        <v>17330.38</v>
      </c>
      <c r="C1900" s="19" t="n">
        <f aca="false">B1900/B1899-1</f>
        <v>0.000946055215432562</v>
      </c>
      <c r="D1900" s="17" t="n">
        <f aca="false">AVERAGE(B1851:B1900)</f>
        <v>16323.7088</v>
      </c>
      <c r="E1900" s="17" t="n">
        <f aca="false">AVERAGE(B1701:B1900)</f>
        <v>15027.83345</v>
      </c>
      <c r="F1900" s="17" t="n">
        <f aca="false">B1900*2/13+F1899*11/13</f>
        <v>16907.0948837252</v>
      </c>
      <c r="G1900" s="17" t="n">
        <f aca="false">B1900*2/27+G1899*25/27</f>
        <v>16678.6563520088</v>
      </c>
      <c r="H1900" s="17" t="n">
        <f aca="false">F1900-G1900</f>
        <v>228.43853171638</v>
      </c>
      <c r="I1900" s="17" t="n">
        <f aca="false">H1900*2/10+I1899*8/10</f>
        <v>192.45984466005</v>
      </c>
      <c r="J1900" s="17" t="n">
        <f aca="false">H1900-I1900</f>
        <v>35.9786870563294</v>
      </c>
      <c r="K1900" s="17" t="n">
        <f aca="false">MAX(B1900-B1899,0)</f>
        <v>16.380000000001</v>
      </c>
      <c r="L1900" s="17" t="n">
        <f aca="false">MAX(B1899-B1900,0)</f>
        <v>0</v>
      </c>
      <c r="M1900" s="17" t="n">
        <f aca="false">(M1899*13+K1900)/14</f>
        <v>83.3488435379034</v>
      </c>
      <c r="N1900" s="17" t="n">
        <f aca="false">(N1899*13+L1900)/14</f>
        <v>32.0161540325049</v>
      </c>
      <c r="O1900" s="17" t="n">
        <f aca="false">IF(N1900=0,100,100-100/(1+M1900/N1900))</f>
        <v>72.2479480719746</v>
      </c>
      <c r="P1900" s="17" t="n">
        <f aca="false">AVERAGE(B1881:B1900)+2*STDEV(B1881:B1900)</f>
        <v>17319.5910875904</v>
      </c>
      <c r="Q1900" s="17" t="n">
        <f aca="false">AVERAGE(B1881:B1900)-2*STDEV(B1881:B1900)</f>
        <v>16231.8079124096</v>
      </c>
      <c r="R1900" s="19" t="n">
        <f aca="false">B1900/B1880-1</f>
        <v>0.0468897243955599</v>
      </c>
      <c r="S1900" s="17" t="n">
        <f aca="false">STDEV(C1881:C1900)*SQRT(252)*100</f>
        <v>14.8038523926505</v>
      </c>
      <c r="T1900" s="19" t="n">
        <f aca="false">B1879/B1649-1</f>
        <v>0.446923710499069</v>
      </c>
      <c r="U1900" s="19" t="n">
        <f aca="false">B1900/MAX(B1649:B1900)-1</f>
        <v>0</v>
      </c>
      <c r="V1900" s="17" t="n">
        <f aca="false">(B1900-AVERAGE(B1881:B1900))/STDEV(B1881:B1900)</f>
        <v>2.03967302549181</v>
      </c>
    </row>
    <row r="1901" customFormat="false" ht="15" hidden="false" customHeight="false" outlineLevel="0" collapsed="false">
      <c r="A1901" s="17" t="s">
        <v>2465</v>
      </c>
      <c r="B1901" s="17" t="n">
        <v>17404.21</v>
      </c>
      <c r="C1901" s="19" t="n">
        <f aca="false">B1901/B1900-1</f>
        <v>0.00426014894076165</v>
      </c>
      <c r="D1901" s="17" t="n">
        <f aca="false">AVERAGE(B1852:B1901)</f>
        <v>16365.5282</v>
      </c>
      <c r="E1901" s="17" t="n">
        <f aca="false">AVERAGE(B1702:B1901)</f>
        <v>15050.0185</v>
      </c>
      <c r="F1901" s="17" t="n">
        <f aca="false">B1901*2/13+F1900*11/13</f>
        <v>16983.5741323828</v>
      </c>
      <c r="G1901" s="17" t="n">
        <f aca="false">B1901*2/27+G1900*25/27</f>
        <v>16732.4010666748</v>
      </c>
      <c r="H1901" s="17" t="n">
        <f aca="false">F1901-G1901</f>
        <v>251.17306570803</v>
      </c>
      <c r="I1901" s="17" t="n">
        <f aca="false">H1901*2/10+I1900*8/10</f>
        <v>204.202488869646</v>
      </c>
      <c r="J1901" s="17" t="n">
        <f aca="false">H1901-I1901</f>
        <v>46.9705768383836</v>
      </c>
      <c r="K1901" s="17" t="n">
        <f aca="false">MAX(B1901-B1900,0)</f>
        <v>73.8299999999981</v>
      </c>
      <c r="L1901" s="17" t="n">
        <f aca="false">MAX(B1900-B1901,0)</f>
        <v>0</v>
      </c>
      <c r="M1901" s="17" t="n">
        <f aca="false">(M1900*13+K1901)/14</f>
        <v>82.6689261423387</v>
      </c>
      <c r="N1901" s="17" t="n">
        <f aca="false">(N1900*13+L1901)/14</f>
        <v>29.729285887326</v>
      </c>
      <c r="O1901" s="17" t="n">
        <f aca="false">IF(N1901=0,100,100-100/(1+M1901/N1901))</f>
        <v>73.5500366505121</v>
      </c>
      <c r="P1901" s="17" t="n">
        <f aca="false">AVERAGE(B1882:B1901)+2*STDEV(B1882:B1901)</f>
        <v>17420.0094358448</v>
      </c>
      <c r="Q1901" s="17" t="n">
        <f aca="false">AVERAGE(B1882:B1901)-2*STDEV(B1882:B1901)</f>
        <v>16196.0695641552</v>
      </c>
      <c r="R1901" s="19" t="n">
        <f aca="false">B1901/B1881-1</f>
        <v>0.0385978501450999</v>
      </c>
      <c r="S1901" s="17" t="n">
        <f aca="false">STDEV(C1882:C1901)*SQRT(252)*100</f>
        <v>14.3564314924166</v>
      </c>
      <c r="T1901" s="19" t="n">
        <f aca="false">B1880/B1650-1</f>
        <v>0.394323371409993</v>
      </c>
      <c r="U1901" s="19" t="n">
        <f aca="false">B1901/MAX(B1650:B1901)-1</f>
        <v>0</v>
      </c>
      <c r="V1901" s="17" t="n">
        <f aca="false">(B1901-AVERAGE(B1882:B1901))/STDEV(B1882:B1901)</f>
        <v>1.94836532019177</v>
      </c>
    </row>
    <row r="1902" customFormat="false" ht="15" hidden="false" customHeight="false" outlineLevel="0" collapsed="false">
      <c r="A1902" s="17" t="s">
        <v>2466</v>
      </c>
      <c r="B1902" s="17" t="n">
        <v>17499.3</v>
      </c>
      <c r="C1902" s="19" t="n">
        <f aca="false">B1902/B1901-1</f>
        <v>0.00546362058375527</v>
      </c>
      <c r="D1902" s="17" t="n">
        <f aca="false">AVERAGE(B1853:B1902)</f>
        <v>16411.7562</v>
      </c>
      <c r="E1902" s="17" t="n">
        <f aca="false">AVERAGE(B1703:B1902)</f>
        <v>15072.202</v>
      </c>
      <c r="F1902" s="17" t="n">
        <f aca="false">B1902*2/13+F1901*11/13</f>
        <v>17062.9165735547</v>
      </c>
      <c r="G1902" s="17" t="n">
        <f aca="false">B1902*2/27+G1901*25/27</f>
        <v>16789.2083950692</v>
      </c>
      <c r="H1902" s="17" t="n">
        <f aca="false">F1902-G1902</f>
        <v>273.708178485442</v>
      </c>
      <c r="I1902" s="17" t="n">
        <f aca="false">H1902*2/10+I1901*8/10</f>
        <v>218.103626792805</v>
      </c>
      <c r="J1902" s="17" t="n">
        <f aca="false">H1902-I1902</f>
        <v>55.6045516926365</v>
      </c>
      <c r="K1902" s="17" t="n">
        <f aca="false">MAX(B1902-B1901,0)</f>
        <v>95.0900000000002</v>
      </c>
      <c r="L1902" s="17" t="n">
        <f aca="false">MAX(B1901-B1902,0)</f>
        <v>0</v>
      </c>
      <c r="M1902" s="17" t="n">
        <f aca="false">(M1901*13+K1902)/14</f>
        <v>83.5561457036002</v>
      </c>
      <c r="N1902" s="17" t="n">
        <f aca="false">(N1901*13+L1902)/14</f>
        <v>27.6057654668027</v>
      </c>
      <c r="O1902" s="17" t="n">
        <f aca="false">IF(N1902=0,100,100-100/(1+M1902/N1902))</f>
        <v>75.1661651224356</v>
      </c>
      <c r="P1902" s="17" t="n">
        <f aca="false">AVERAGE(B1883:B1902)+2*STDEV(B1883:B1902)</f>
        <v>17529.2782852466</v>
      </c>
      <c r="Q1902" s="17" t="n">
        <f aca="false">AVERAGE(B1883:B1902)-2*STDEV(B1883:B1902)</f>
        <v>16158.9907147534</v>
      </c>
      <c r="R1902" s="19" t="n">
        <f aca="false">B1902/B1882-1</f>
        <v>0.043028121162993</v>
      </c>
      <c r="S1902" s="17" t="n">
        <f aca="false">STDEV(C1883:C1902)*SQRT(252)*100</f>
        <v>14.4071373455075</v>
      </c>
      <c r="T1902" s="19" t="n">
        <f aca="false">B1881/B1651-1</f>
        <v>0.414528507661244</v>
      </c>
      <c r="U1902" s="19" t="n">
        <f aca="false">B1902/MAX(B1651:B1902)-1</f>
        <v>0</v>
      </c>
      <c r="V1902" s="17" t="n">
        <f aca="false">(B1902-AVERAGE(B1883:B1902))/STDEV(B1883:B1902)</f>
        <v>1.91249052858049</v>
      </c>
    </row>
    <row r="1903" customFormat="false" ht="15" hidden="false" customHeight="false" outlineLevel="0" collapsed="false">
      <c r="A1903" s="17" t="s">
        <v>2467</v>
      </c>
      <c r="B1903" s="17" t="n">
        <v>17516.99</v>
      </c>
      <c r="C1903" s="19" t="n">
        <f aca="false">B1903/B1902-1</f>
        <v>0.00101089757876038</v>
      </c>
      <c r="D1903" s="17" t="n">
        <f aca="false">AVERAGE(B1854:B1903)</f>
        <v>16451.5136</v>
      </c>
      <c r="E1903" s="17" t="n">
        <f aca="false">AVERAGE(B1704:B1903)</f>
        <v>15094.5308</v>
      </c>
      <c r="F1903" s="17" t="n">
        <f aca="false">B1903*2/13+F1902*11/13</f>
        <v>17132.774023777</v>
      </c>
      <c r="G1903" s="17" t="n">
        <f aca="false">B1903*2/27+G1902*25/27</f>
        <v>16843.1181435826</v>
      </c>
      <c r="H1903" s="17" t="n">
        <f aca="false">F1903-G1903</f>
        <v>289.655880194408</v>
      </c>
      <c r="I1903" s="17" t="n">
        <f aca="false">H1903*2/10+I1902*8/10</f>
        <v>232.414077473126</v>
      </c>
      <c r="J1903" s="17" t="n">
        <f aca="false">H1903-I1903</f>
        <v>57.2418027212825</v>
      </c>
      <c r="K1903" s="17" t="n">
        <f aca="false">MAX(B1903-B1902,0)</f>
        <v>17.6900000000023</v>
      </c>
      <c r="L1903" s="17" t="n">
        <f aca="false">MAX(B1902-B1903,0)</f>
        <v>0</v>
      </c>
      <c r="M1903" s="17" t="n">
        <f aca="false">(M1902*13+K1903)/14</f>
        <v>78.8514210104861</v>
      </c>
      <c r="N1903" s="17" t="n">
        <f aca="false">(N1902*13+L1903)/14</f>
        <v>25.6339250763168</v>
      </c>
      <c r="O1903" s="17" t="n">
        <f aca="false">IF(N1903=0,100,100-100/(1+M1903/N1903))</f>
        <v>75.4664878508217</v>
      </c>
      <c r="P1903" s="17" t="n">
        <f aca="false">AVERAGE(B1884:B1903)+2*STDEV(B1884:B1903)</f>
        <v>17624.5225500556</v>
      </c>
      <c r="Q1903" s="17" t="n">
        <f aca="false">AVERAGE(B1884:B1903)-2*STDEV(B1884:B1903)</f>
        <v>16127.5994499444</v>
      </c>
      <c r="R1903" s="19" t="n">
        <f aca="false">B1903/B1883-1</f>
        <v>0.0378310580467651</v>
      </c>
      <c r="S1903" s="17" t="n">
        <f aca="false">STDEV(C1884:C1903)*SQRT(252)*100</f>
        <v>14.337984400345</v>
      </c>
      <c r="T1903" s="19" t="n">
        <f aca="false">B1882/B1652-1</f>
        <v>0.42004572274008</v>
      </c>
      <c r="U1903" s="19" t="n">
        <f aca="false">B1903/MAX(B1652:B1903)-1</f>
        <v>0</v>
      </c>
      <c r="V1903" s="17" t="n">
        <f aca="false">(B1903-AVERAGE(B1884:B1903))/STDEV(B1884:B1903)</f>
        <v>1.71265711632728</v>
      </c>
    </row>
    <row r="1904" customFormat="false" ht="15" hidden="false" customHeight="false" outlineLevel="0" collapsed="false">
      <c r="A1904" s="17" t="s">
        <v>2468</v>
      </c>
      <c r="B1904" s="17" t="n">
        <v>17421.01</v>
      </c>
      <c r="C1904" s="19" t="n">
        <f aca="false">B1904/B1903-1</f>
        <v>-0.00547925185776799</v>
      </c>
      <c r="D1904" s="17" t="n">
        <f aca="false">AVERAGE(B1855:B1904)</f>
        <v>16490.278</v>
      </c>
      <c r="E1904" s="17" t="n">
        <f aca="false">AVERAGE(B1705:B1904)</f>
        <v>15116.8151</v>
      </c>
      <c r="F1904" s="17" t="n">
        <f aca="false">B1904*2/13+F1903*11/13</f>
        <v>17177.118020119</v>
      </c>
      <c r="G1904" s="17" t="n">
        <f aca="false">B1904*2/27+G1903*25/27</f>
        <v>16885.9249477617</v>
      </c>
      <c r="H1904" s="17" t="n">
        <f aca="false">F1904-G1904</f>
        <v>291.193072357339</v>
      </c>
      <c r="I1904" s="17" t="n">
        <f aca="false">H1904*2/10+I1903*8/10</f>
        <v>244.169876449968</v>
      </c>
      <c r="J1904" s="17" t="n">
        <f aca="false">H1904-I1904</f>
        <v>47.0231959073703</v>
      </c>
      <c r="K1904" s="17" t="n">
        <f aca="false">MAX(B1904-B1903,0)</f>
        <v>0</v>
      </c>
      <c r="L1904" s="17" t="n">
        <f aca="false">MAX(B1903-B1904,0)</f>
        <v>95.9800000000032</v>
      </c>
      <c r="M1904" s="17" t="n">
        <f aca="false">(M1903*13+K1904)/14</f>
        <v>73.2191766525942</v>
      </c>
      <c r="N1904" s="17" t="n">
        <f aca="false">(N1903*13+L1904)/14</f>
        <v>30.658644713723</v>
      </c>
      <c r="O1904" s="17" t="n">
        <f aca="false">IF(N1904=0,100,100-100/(1+M1904/N1904))</f>
        <v>70.4858608791885</v>
      </c>
      <c r="P1904" s="17" t="n">
        <f aca="false">AVERAGE(B1885:B1904)+2*STDEV(B1885:B1904)</f>
        <v>17689.0023184028</v>
      </c>
      <c r="Q1904" s="17" t="n">
        <f aca="false">AVERAGE(B1885:B1904)-2*STDEV(B1885:B1904)</f>
        <v>16114.5406815972</v>
      </c>
      <c r="R1904" s="19" t="n">
        <f aca="false">B1904/B1884-1</f>
        <v>0.0304143894764237</v>
      </c>
      <c r="S1904" s="17" t="n">
        <f aca="false">STDEV(C1885:C1904)*SQRT(252)*100</f>
        <v>14.5755956144688</v>
      </c>
      <c r="T1904" s="19" t="n">
        <f aca="false">B1883/B1653-1</f>
        <v>0.400530059378599</v>
      </c>
      <c r="U1904" s="19" t="n">
        <f aca="false">B1904/MAX(B1653:B1904)-1</f>
        <v>-0.00547925185776799</v>
      </c>
      <c r="V1904" s="17" t="n">
        <f aca="false">(B1904-AVERAGE(B1885:B1904))/STDEV(B1885:B1904)</f>
        <v>1.31915186210181</v>
      </c>
    </row>
    <row r="1905" customFormat="false" ht="15" hidden="false" customHeight="false" outlineLevel="0" collapsed="false">
      <c r="A1905" s="17" t="s">
        <v>2469</v>
      </c>
      <c r="B1905" s="17" t="n">
        <v>17596.27</v>
      </c>
      <c r="C1905" s="19" t="n">
        <f aca="false">B1905/B1904-1</f>
        <v>0.0100602663106215</v>
      </c>
      <c r="D1905" s="17" t="n">
        <f aca="false">AVERAGE(B1856:B1905)</f>
        <v>16525.954</v>
      </c>
      <c r="E1905" s="17" t="n">
        <f aca="false">AVERAGE(B1706:B1905)</f>
        <v>15140.5547</v>
      </c>
      <c r="F1905" s="17" t="n">
        <f aca="false">B1905*2/13+F1904*11/13</f>
        <v>17241.6029401007</v>
      </c>
      <c r="G1905" s="17" t="n">
        <f aca="false">B1905*2/27+G1904*25/27</f>
        <v>16938.5430997794</v>
      </c>
      <c r="H1905" s="17" t="n">
        <f aca="false">F1905-G1905</f>
        <v>303.059840321374</v>
      </c>
      <c r="I1905" s="17" t="n">
        <f aca="false">H1905*2/10+I1904*8/10</f>
        <v>255.947869224249</v>
      </c>
      <c r="J1905" s="17" t="n">
        <f aca="false">H1905-I1905</f>
        <v>47.111971097124</v>
      </c>
      <c r="K1905" s="17" t="n">
        <f aca="false">MAX(B1905-B1904,0)</f>
        <v>175.260000000002</v>
      </c>
      <c r="L1905" s="17" t="n">
        <f aca="false">MAX(B1904-B1905,0)</f>
        <v>0</v>
      </c>
      <c r="M1905" s="17" t="n">
        <f aca="false">(M1904*13+K1905)/14</f>
        <v>80.5078068916948</v>
      </c>
      <c r="N1905" s="17" t="n">
        <f aca="false">(N1904*13+L1905)/14</f>
        <v>28.4687415198856</v>
      </c>
      <c r="O1905" s="17" t="n">
        <f aca="false">IF(N1905=0,100,100-100/(1+M1905/N1905))</f>
        <v>73.8762679357714</v>
      </c>
      <c r="P1905" s="17" t="n">
        <f aca="false">AVERAGE(B1886:B1905)+2*STDEV(B1886:B1905)</f>
        <v>17782.9163753127</v>
      </c>
      <c r="Q1905" s="17" t="n">
        <f aca="false">AVERAGE(B1886:B1905)-2*STDEV(B1886:B1905)</f>
        <v>16090.4066246873</v>
      </c>
      <c r="R1905" s="19" t="n">
        <f aca="false">B1905/B1885-1</f>
        <v>0.0412936792502516</v>
      </c>
      <c r="S1905" s="17" t="n">
        <f aca="false">STDEV(C1886:C1905)*SQRT(252)*100</f>
        <v>14.8590874299685</v>
      </c>
      <c r="T1905" s="19" t="n">
        <f aca="false">B1884/B1654-1</f>
        <v>0.389607614288297</v>
      </c>
      <c r="U1905" s="19" t="n">
        <f aca="false">B1905/MAX(B1654:B1905)-1</f>
        <v>0</v>
      </c>
      <c r="V1905" s="17" t="n">
        <f aca="false">(B1905-AVERAGE(B1886:B1905))/STDEV(B1886:B1905)</f>
        <v>1.5588885080426</v>
      </c>
    </row>
    <row r="1906" customFormat="false" ht="15" hidden="false" customHeight="false" outlineLevel="0" collapsed="false">
      <c r="A1906" s="17" t="s">
        <v>2470</v>
      </c>
      <c r="B1906" s="17" t="n">
        <v>17476.71</v>
      </c>
      <c r="C1906" s="19" t="n">
        <f aca="false">B1906/B1905-1</f>
        <v>-0.006794621814737</v>
      </c>
      <c r="D1906" s="17" t="n">
        <f aca="false">AVERAGE(B1857:B1906)</f>
        <v>16559.1446</v>
      </c>
      <c r="E1906" s="17" t="n">
        <f aca="false">AVERAGE(B1707:B1906)</f>
        <v>15162.3913</v>
      </c>
      <c r="F1906" s="17" t="n">
        <f aca="false">B1906*2/13+F1905*11/13</f>
        <v>17277.7732570083</v>
      </c>
      <c r="G1906" s="17" t="n">
        <f aca="false">B1906*2/27+G1905*25/27</f>
        <v>16978.4073146105</v>
      </c>
      <c r="H1906" s="17" t="n">
        <f aca="false">F1906-G1906</f>
        <v>299.365942397799</v>
      </c>
      <c r="I1906" s="17" t="n">
        <f aca="false">H1906*2/10+I1905*8/10</f>
        <v>264.631483858959</v>
      </c>
      <c r="J1906" s="17" t="n">
        <f aca="false">H1906-I1906</f>
        <v>34.7344585388395</v>
      </c>
      <c r="K1906" s="17" t="n">
        <f aca="false">MAX(B1906-B1905,0)</f>
        <v>0</v>
      </c>
      <c r="L1906" s="17" t="n">
        <f aca="false">MAX(B1905-B1906,0)</f>
        <v>119.560000000001</v>
      </c>
      <c r="M1906" s="17" t="n">
        <f aca="false">(M1905*13+K1906)/14</f>
        <v>74.7572492565737</v>
      </c>
      <c r="N1906" s="17" t="n">
        <f aca="false">(N1905*13+L1906)/14</f>
        <v>34.975259982751</v>
      </c>
      <c r="O1906" s="17" t="n">
        <f aca="false">IF(N1906=0,100,100-100/(1+M1906/N1906))</f>
        <v>68.1268019612396</v>
      </c>
      <c r="P1906" s="17" t="n">
        <f aca="false">AVERAGE(B1887:B1906)+2*STDEV(B1887:B1906)</f>
        <v>17846.9865821162</v>
      </c>
      <c r="Q1906" s="17" t="n">
        <f aca="false">AVERAGE(B1887:B1906)-2*STDEV(B1887:B1906)</f>
        <v>16091.4144178838</v>
      </c>
      <c r="R1906" s="19" t="n">
        <f aca="false">B1906/B1886-1</f>
        <v>0.0386772083326152</v>
      </c>
      <c r="S1906" s="17" t="n">
        <f aca="false">STDEV(C1887:C1906)*SQRT(252)*100</f>
        <v>15.0267004019983</v>
      </c>
      <c r="T1906" s="19" t="n">
        <f aca="false">B1885/B1655-1</f>
        <v>0.418562521878481</v>
      </c>
      <c r="U1906" s="19" t="n">
        <f aca="false">B1906/MAX(B1655:B1906)-1</f>
        <v>-0.006794621814737</v>
      </c>
      <c r="V1906" s="17" t="n">
        <f aca="false">(B1906-AVERAGE(B1887:B1906))/STDEV(B1887:B1906)</f>
        <v>1.15633981978046</v>
      </c>
    </row>
    <row r="1907" customFormat="false" ht="15" hidden="false" customHeight="false" outlineLevel="0" collapsed="false">
      <c r="A1907" s="17" t="s">
        <v>2471</v>
      </c>
      <c r="B1907" s="17" t="n">
        <v>17137.24</v>
      </c>
      <c r="C1907" s="19" t="n">
        <f aca="false">B1907/B1906-1</f>
        <v>-0.0194241364650439</v>
      </c>
      <c r="D1907" s="17" t="n">
        <f aca="false">AVERAGE(B1858:B1907)</f>
        <v>16585.226</v>
      </c>
      <c r="E1907" s="17" t="n">
        <f aca="false">AVERAGE(B1708:B1907)</f>
        <v>15182.6799</v>
      </c>
      <c r="F1907" s="17" t="n">
        <f aca="false">B1907*2/13+F1906*11/13</f>
        <v>17256.1527559301</v>
      </c>
      <c r="G1907" s="17" t="n">
        <f aca="false">B1907*2/27+G1906*25/27</f>
        <v>16990.1726987134</v>
      </c>
      <c r="H1907" s="17" t="n">
        <f aca="false">F1907-G1907</f>
        <v>265.980057216675</v>
      </c>
      <c r="I1907" s="17" t="n">
        <f aca="false">H1907*2/10+I1906*8/10</f>
        <v>264.901198530503</v>
      </c>
      <c r="J1907" s="17" t="n">
        <f aca="false">H1907-I1907</f>
        <v>1.07885868617257</v>
      </c>
      <c r="K1907" s="17" t="n">
        <f aca="false">MAX(B1907-B1906,0)</f>
        <v>0</v>
      </c>
      <c r="L1907" s="17" t="n">
        <f aca="false">MAX(B1906-B1907,0)</f>
        <v>339.469999999998</v>
      </c>
      <c r="M1907" s="17" t="n">
        <f aca="false">(M1906*13+K1907)/14</f>
        <v>69.417445738247</v>
      </c>
      <c r="N1907" s="17" t="n">
        <f aca="false">(N1906*13+L1907)/14</f>
        <v>56.7248842696972</v>
      </c>
      <c r="O1907" s="17" t="n">
        <f aca="false">IF(N1907=0,100,100-100/(1+M1907/N1907))</f>
        <v>55.0310476537696</v>
      </c>
      <c r="P1907" s="17" t="n">
        <f aca="false">AVERAGE(B1888:B1907)+2*STDEV(B1888:B1907)</f>
        <v>17855.9972487006</v>
      </c>
      <c r="Q1907" s="17" t="n">
        <f aca="false">AVERAGE(B1888:B1907)-2*STDEV(B1888:B1907)</f>
        <v>16141.7337512994</v>
      </c>
      <c r="R1907" s="19" t="n">
        <f aca="false">B1907/B1887-1</f>
        <v>0.0358620739678699</v>
      </c>
      <c r="S1907" s="17" t="n">
        <f aca="false">STDEV(C1888:C1907)*SQRT(252)*100</f>
        <v>15.4892247102151</v>
      </c>
      <c r="T1907" s="19" t="n">
        <f aca="false">B1886/B1656-1</f>
        <v>0.390350960549268</v>
      </c>
      <c r="U1907" s="19" t="n">
        <f aca="false">B1907/MAX(B1656:B1907)-1</f>
        <v>-0.026086778618423</v>
      </c>
      <c r="V1907" s="17" t="n">
        <f aca="false">(B1907-AVERAGE(B1888:B1907))/STDEV(B1888:B1907)</f>
        <v>0.322878017783795</v>
      </c>
    </row>
    <row r="1908" customFormat="false" ht="15" hidden="false" customHeight="false" outlineLevel="0" collapsed="false">
      <c r="A1908" s="17" t="s">
        <v>2472</v>
      </c>
      <c r="B1908" s="17" t="n">
        <v>17344.71</v>
      </c>
      <c r="C1908" s="19" t="n">
        <f aca="false">B1908/B1907-1</f>
        <v>0.0121063835250015</v>
      </c>
      <c r="D1908" s="17" t="n">
        <f aca="false">AVERAGE(B1859:B1908)</f>
        <v>16615.3604</v>
      </c>
      <c r="E1908" s="17" t="n">
        <f aca="false">AVERAGE(B1709:B1908)</f>
        <v>15203.9649</v>
      </c>
      <c r="F1908" s="17" t="n">
        <f aca="false">B1908*2/13+F1907*11/13</f>
        <v>17269.7769473255</v>
      </c>
      <c r="G1908" s="17" t="n">
        <f aca="false">B1908*2/27+G1907*25/27</f>
        <v>17016.434721031</v>
      </c>
      <c r="H1908" s="17" t="n">
        <f aca="false">F1908-G1908</f>
        <v>253.342226294517</v>
      </c>
      <c r="I1908" s="17" t="n">
        <f aca="false">H1908*2/10+I1907*8/10</f>
        <v>262.589404083305</v>
      </c>
      <c r="J1908" s="17" t="n">
        <f aca="false">H1908-I1908</f>
        <v>-9.24717778878846</v>
      </c>
      <c r="K1908" s="17" t="n">
        <f aca="false">MAX(B1908-B1907,0)</f>
        <v>207.469999999998</v>
      </c>
      <c r="L1908" s="17" t="n">
        <f aca="false">MAX(B1907-B1908,0)</f>
        <v>0</v>
      </c>
      <c r="M1908" s="17" t="n">
        <f aca="false">(M1907*13+K1908)/14</f>
        <v>79.2783424712292</v>
      </c>
      <c r="N1908" s="17" t="n">
        <f aca="false">(N1907*13+L1908)/14</f>
        <v>52.6731068218617</v>
      </c>
      <c r="O1908" s="17" t="n">
        <f aca="false">IF(N1908=0,100,100-100/(1+M1908/N1908))</f>
        <v>60.0814488176905</v>
      </c>
      <c r="P1908" s="17" t="n">
        <f aca="false">AVERAGE(B1889:B1908)+2*STDEV(B1889:B1908)</f>
        <v>17863.8666658257</v>
      </c>
      <c r="Q1908" s="17" t="n">
        <f aca="false">AVERAGE(B1889:B1908)-2*STDEV(B1889:B1908)</f>
        <v>16231.4863341743</v>
      </c>
      <c r="R1908" s="19" t="n">
        <f aca="false">B1908/B1888-1</f>
        <v>0.0596401989432134</v>
      </c>
      <c r="S1908" s="17" t="n">
        <f aca="false">STDEV(C1889:C1908)*SQRT(252)*100</f>
        <v>15.1698129347172</v>
      </c>
      <c r="T1908" s="19" t="n">
        <f aca="false">B1887/B1657-1</f>
        <v>0.338170847117632</v>
      </c>
      <c r="U1908" s="19" t="n">
        <f aca="false">B1908/MAX(B1657:B1908)-1</f>
        <v>-0.0142962116403079</v>
      </c>
      <c r="V1908" s="17" t="n">
        <f aca="false">(B1908-AVERAGE(B1889:B1908))/STDEV(B1889:B1908)</f>
        <v>0.727853660671149</v>
      </c>
    </row>
    <row r="1909" customFormat="false" ht="15" hidden="false" customHeight="false" outlineLevel="0" collapsed="false">
      <c r="A1909" s="17" t="s">
        <v>2473</v>
      </c>
      <c r="B1909" s="17" t="n">
        <v>17642.73</v>
      </c>
      <c r="C1909" s="19" t="n">
        <f aca="false">B1909/B1908-1</f>
        <v>0.0171821840780273</v>
      </c>
      <c r="D1909" s="17" t="n">
        <f aca="false">AVERAGE(B1860:B1909)</f>
        <v>16647.6738</v>
      </c>
      <c r="E1909" s="17" t="n">
        <f aca="false">AVERAGE(B1710:B1909)</f>
        <v>15226.7196</v>
      </c>
      <c r="F1909" s="17" t="n">
        <f aca="false">B1909*2/13+F1908*11/13</f>
        <v>17327.1543400446</v>
      </c>
      <c r="G1909" s="17" t="n">
        <f aca="false">B1909*2/27+G1908*25/27</f>
        <v>17062.8269639176</v>
      </c>
      <c r="H1909" s="17" t="n">
        <f aca="false">F1909-G1909</f>
        <v>264.327376127079</v>
      </c>
      <c r="I1909" s="17" t="n">
        <f aca="false">H1909*2/10+I1908*8/10</f>
        <v>262.93699849206</v>
      </c>
      <c r="J1909" s="17" t="n">
        <f aca="false">H1909-I1909</f>
        <v>1.39037763501921</v>
      </c>
      <c r="K1909" s="17" t="n">
        <f aca="false">MAX(B1909-B1908,0)</f>
        <v>298.02</v>
      </c>
      <c r="L1909" s="17" t="n">
        <f aca="false">MAX(B1908-B1909,0)</f>
        <v>0</v>
      </c>
      <c r="M1909" s="17" t="n">
        <f aca="false">(M1908*13+K1909)/14</f>
        <v>94.9027465804272</v>
      </c>
      <c r="N1909" s="17" t="n">
        <f aca="false">(N1908*13+L1909)/14</f>
        <v>48.9107420488716</v>
      </c>
      <c r="O1909" s="17" t="n">
        <f aca="false">IF(N1909=0,100,100-100/(1+M1909/N1909))</f>
        <v>65.9901567543873</v>
      </c>
      <c r="P1909" s="17" t="n">
        <f aca="false">AVERAGE(B1890:B1909)+2*STDEV(B1890:B1909)</f>
        <v>17888.8885703645</v>
      </c>
      <c r="Q1909" s="17" t="n">
        <f aca="false">AVERAGE(B1890:B1909)-2*STDEV(B1890:B1909)</f>
        <v>16342.5364296356</v>
      </c>
      <c r="R1909" s="19" t="n">
        <f aca="false">B1909/B1889-1</f>
        <v>0.0835719914187498</v>
      </c>
      <c r="S1909" s="17" t="n">
        <f aca="false">STDEV(C1890:C1909)*SQRT(252)*100</f>
        <v>15.642469383645</v>
      </c>
      <c r="T1909" s="19" t="n">
        <f aca="false">B1888/B1658-1</f>
        <v>0.278474655436088</v>
      </c>
      <c r="U1909" s="19" t="n">
        <f aca="false">B1909/MAX(B1658:B1909)-1</f>
        <v>0</v>
      </c>
      <c r="V1909" s="17" t="n">
        <f aca="false">(B1909-AVERAGE(B1890:B1909))/STDEV(B1890:B1909)</f>
        <v>1.36325352064137</v>
      </c>
    </row>
    <row r="1910" customFormat="false" ht="15" hidden="false" customHeight="false" outlineLevel="0" collapsed="false">
      <c r="A1910" s="17" t="s">
        <v>2474</v>
      </c>
      <c r="B1910" s="17" t="n">
        <v>17613.04</v>
      </c>
      <c r="C1910" s="19" t="n">
        <f aca="false">B1910/B1909-1</f>
        <v>-0.0016828461354903</v>
      </c>
      <c r="D1910" s="17" t="n">
        <f aca="false">AVERAGE(B1861:B1910)</f>
        <v>16681.2622</v>
      </c>
      <c r="E1910" s="17" t="n">
        <f aca="false">AVERAGE(B1711:B1910)</f>
        <v>15249.34125</v>
      </c>
      <c r="F1910" s="17" t="n">
        <f aca="false">B1910*2/13+F1909*11/13</f>
        <v>17371.1367492685</v>
      </c>
      <c r="G1910" s="17" t="n">
        <f aca="false">B1910*2/27+G1909*25/27</f>
        <v>17103.5834851088</v>
      </c>
      <c r="H1910" s="17" t="n">
        <f aca="false">F1910-G1910</f>
        <v>267.553264159691</v>
      </c>
      <c r="I1910" s="17" t="n">
        <f aca="false">H1910*2/10+I1909*8/10</f>
        <v>263.860251625586</v>
      </c>
      <c r="J1910" s="17" t="n">
        <f aca="false">H1910-I1910</f>
        <v>3.6930125341047</v>
      </c>
      <c r="K1910" s="17" t="n">
        <f aca="false">MAX(B1910-B1909,0)</f>
        <v>0</v>
      </c>
      <c r="L1910" s="17" t="n">
        <f aca="false">MAX(B1909-B1910,0)</f>
        <v>29.6899999999987</v>
      </c>
      <c r="M1910" s="17" t="n">
        <f aca="false">(M1909*13+K1910)/14</f>
        <v>88.1239789675395</v>
      </c>
      <c r="N1910" s="17" t="n">
        <f aca="false">(N1909*13+L1910)/14</f>
        <v>47.5378319025235</v>
      </c>
      <c r="O1910" s="17" t="n">
        <f aca="false">IF(N1910=0,100,100-100/(1+M1910/N1910))</f>
        <v>64.9585748578461</v>
      </c>
      <c r="P1910" s="17" t="n">
        <f aca="false">AVERAGE(B1891:B1910)+2*STDEV(B1891:B1910)</f>
        <v>17883.8125157206</v>
      </c>
      <c r="Q1910" s="17" t="n">
        <f aca="false">AVERAGE(B1891:B1910)-2*STDEV(B1891:B1910)</f>
        <v>16478.3184842794</v>
      </c>
      <c r="R1910" s="19" t="n">
        <f aca="false">B1910/B1890-1</f>
        <v>0.0801583222842173</v>
      </c>
      <c r="S1910" s="17" t="n">
        <f aca="false">STDEV(C1891:C1910)*SQRT(252)*100</f>
        <v>15.7515994631144</v>
      </c>
      <c r="T1910" s="19" t="n">
        <f aca="false">B1889/B1659-1</f>
        <v>0.294960933274797</v>
      </c>
      <c r="U1910" s="19" t="n">
        <f aca="false">B1910/MAX(B1659:B1910)-1</f>
        <v>-0.0016828461354903</v>
      </c>
      <c r="V1910" s="17" t="n">
        <f aca="false">(B1910-AVERAGE(B1891:B1910))/STDEV(B1891:B1910)</f>
        <v>1.22938835836123</v>
      </c>
    </row>
    <row r="1911" customFormat="false" ht="15" hidden="false" customHeight="false" outlineLevel="0" collapsed="false">
      <c r="A1911" s="17" t="s">
        <v>2475</v>
      </c>
      <c r="B1911" s="17" t="n">
        <v>17572.73</v>
      </c>
      <c r="C1911" s="19" t="n">
        <f aca="false">B1911/B1910-1</f>
        <v>-0.00228864523103345</v>
      </c>
      <c r="D1911" s="17" t="n">
        <f aca="false">AVERAGE(B1862:B1911)</f>
        <v>16712.689</v>
      </c>
      <c r="E1911" s="17" t="n">
        <f aca="false">AVERAGE(B1712:B1911)</f>
        <v>15272.275</v>
      </c>
      <c r="F1911" s="17" t="n">
        <f aca="false">B1911*2/13+F1910*11/13</f>
        <v>17402.1510955349</v>
      </c>
      <c r="G1911" s="17" t="n">
        <f aca="false">B1911*2/27+G1910*25/27</f>
        <v>17138.3350788045</v>
      </c>
      <c r="H1911" s="17" t="n">
        <f aca="false">F1911-G1911</f>
        <v>263.81601673043</v>
      </c>
      <c r="I1911" s="17" t="n">
        <f aca="false">H1911*2/10+I1910*8/10</f>
        <v>263.851404646555</v>
      </c>
      <c r="J1911" s="17" t="n">
        <f aca="false">H1911-I1911</f>
        <v>-0.035387916124705</v>
      </c>
      <c r="K1911" s="17" t="n">
        <f aca="false">MAX(B1911-B1910,0)</f>
        <v>0</v>
      </c>
      <c r="L1911" s="17" t="n">
        <f aca="false">MAX(B1910-B1911,0)</f>
        <v>40.3100000000013</v>
      </c>
      <c r="M1911" s="17" t="n">
        <f aca="false">(M1910*13+K1911)/14</f>
        <v>81.8294090412867</v>
      </c>
      <c r="N1911" s="17" t="n">
        <f aca="false">(N1910*13+L1911)/14</f>
        <v>47.0215581952005</v>
      </c>
      <c r="O1911" s="17" t="n">
        <f aca="false">IF(N1911=0,100,100-100/(1+M1911/N1911))</f>
        <v>63.5070196183322</v>
      </c>
      <c r="P1911" s="17" t="n">
        <f aca="false">AVERAGE(B1892:B1911)+2*STDEV(B1892:B1911)</f>
        <v>17903.8025072941</v>
      </c>
      <c r="Q1911" s="17" t="n">
        <f aca="false">AVERAGE(B1892:B1911)-2*STDEV(B1892:B1911)</f>
        <v>16550.6144927059</v>
      </c>
      <c r="R1911" s="19" t="n">
        <f aca="false">B1911/B1891-1</f>
        <v>0.0554274597939803</v>
      </c>
      <c r="S1911" s="17" t="n">
        <f aca="false">STDEV(C1892:C1911)*SQRT(252)*100</f>
        <v>14.5063948502732</v>
      </c>
      <c r="T1911" s="19" t="n">
        <f aca="false">B1890/B1660-1</f>
        <v>0.30819262048809</v>
      </c>
      <c r="U1911" s="19" t="n">
        <f aca="false">B1911/MAX(B1660:B1911)-1</f>
        <v>-0.00396763992874116</v>
      </c>
      <c r="V1911" s="17" t="n">
        <f aca="false">(B1911-AVERAGE(B1892:B1911))/STDEV(B1892:B1911)</f>
        <v>1.02135548430833</v>
      </c>
    </row>
    <row r="1912" customFormat="false" ht="15" hidden="false" customHeight="false" outlineLevel="0" collapsed="false">
      <c r="A1912" s="17" t="s">
        <v>2476</v>
      </c>
      <c r="B1912" s="17" t="n">
        <v>17755.07</v>
      </c>
      <c r="C1912" s="19" t="n">
        <f aca="false">B1912/B1911-1</f>
        <v>0.0103763046493062</v>
      </c>
      <c r="D1912" s="17" t="n">
        <f aca="false">AVERAGE(B1863:B1912)</f>
        <v>16748.1502</v>
      </c>
      <c r="E1912" s="17" t="n">
        <f aca="false">AVERAGE(B1713:B1912)</f>
        <v>15296.0465</v>
      </c>
      <c r="F1912" s="17" t="n">
        <f aca="false">B1912*2/13+F1911*11/13</f>
        <v>17456.4463116065</v>
      </c>
      <c r="G1912" s="17" t="n">
        <f aca="false">B1912*2/27+G1911*25/27</f>
        <v>17184.0191470412</v>
      </c>
      <c r="H1912" s="17" t="n">
        <f aca="false">F1912-G1912</f>
        <v>272.427164565277</v>
      </c>
      <c r="I1912" s="17" t="n">
        <f aca="false">H1912*2/10+I1911*8/10</f>
        <v>265.5665566303</v>
      </c>
      <c r="J1912" s="17" t="n">
        <f aca="false">H1912-I1912</f>
        <v>6.86060793497751</v>
      </c>
      <c r="K1912" s="17" t="n">
        <f aca="false">MAX(B1912-B1911,0)</f>
        <v>182.34</v>
      </c>
      <c r="L1912" s="17" t="n">
        <f aca="false">MAX(B1911-B1912,0)</f>
        <v>0</v>
      </c>
      <c r="M1912" s="17" t="n">
        <f aca="false">(M1911*13+K1912)/14</f>
        <v>89.0087369669091</v>
      </c>
      <c r="N1912" s="17" t="n">
        <f aca="false">(N1911*13+L1912)/14</f>
        <v>43.6628754669719</v>
      </c>
      <c r="O1912" s="17" t="n">
        <f aca="false">IF(N1912=0,100,100-100/(1+M1912/N1912))</f>
        <v>67.0895117154531</v>
      </c>
      <c r="P1912" s="17" t="n">
        <f aca="false">AVERAGE(B1893:B1912)+2*STDEV(B1893:B1912)</f>
        <v>17945.0339689901</v>
      </c>
      <c r="Q1912" s="17" t="n">
        <f aca="false">AVERAGE(B1893:B1912)-2*STDEV(B1893:B1912)</f>
        <v>16617.0200310099</v>
      </c>
      <c r="R1912" s="19" t="n">
        <f aca="false">B1912/B1892-1</f>
        <v>0.0645356052929784</v>
      </c>
      <c r="S1912" s="17" t="n">
        <f aca="false">STDEV(C1893:C1912)*SQRT(252)*100</f>
        <v>14.749167965328</v>
      </c>
      <c r="T1912" s="19" t="n">
        <f aca="false">B1891/B1661-1</f>
        <v>0.308101572326797</v>
      </c>
      <c r="U1912" s="19" t="n">
        <f aca="false">B1912/MAX(B1661:B1912)-1</f>
        <v>0</v>
      </c>
      <c r="V1912" s="17" t="n">
        <f aca="false">(B1912-AVERAGE(B1893:B1912))/STDEV(B1893:B1912)</f>
        <v>1.42782537575173</v>
      </c>
    </row>
    <row r="1913" customFormat="false" ht="15" hidden="false" customHeight="false" outlineLevel="0" collapsed="false">
      <c r="A1913" s="17" t="s">
        <v>2477</v>
      </c>
      <c r="B1913" s="17" t="n">
        <v>17783.17</v>
      </c>
      <c r="C1913" s="19" t="n">
        <f aca="false">B1913/B1912-1</f>
        <v>0.00158264653420104</v>
      </c>
      <c r="D1913" s="17" t="n">
        <f aca="false">AVERAGE(B1864:B1913)</f>
        <v>16784.574</v>
      </c>
      <c r="E1913" s="17" t="n">
        <f aca="false">AVERAGE(B1714:B1913)</f>
        <v>15320.11355</v>
      </c>
      <c r="F1913" s="17" t="n">
        <f aca="false">B1913*2/13+F1912*11/13</f>
        <v>17506.7114944362</v>
      </c>
      <c r="G1913" s="17" t="n">
        <f aca="false">B1913*2/27+G1912*25/27</f>
        <v>17228.4006917048</v>
      </c>
      <c r="H1913" s="17" t="n">
        <f aca="false">F1913-G1913</f>
        <v>278.310802731437</v>
      </c>
      <c r="I1913" s="17" t="n">
        <f aca="false">H1913*2/10+I1912*8/10</f>
        <v>268.115405850527</v>
      </c>
      <c r="J1913" s="17" t="n">
        <f aca="false">H1913-I1913</f>
        <v>10.1953968809103</v>
      </c>
      <c r="K1913" s="17" t="n">
        <f aca="false">MAX(B1913-B1912,0)</f>
        <v>28.0999999999985</v>
      </c>
      <c r="L1913" s="17" t="n">
        <f aca="false">MAX(B1912-B1913,0)</f>
        <v>0</v>
      </c>
      <c r="M1913" s="17" t="n">
        <f aca="false">(M1912*13+K1913)/14</f>
        <v>84.658112897844</v>
      </c>
      <c r="N1913" s="17" t="n">
        <f aca="false">(N1912*13+L1913)/14</f>
        <v>40.5440986479025</v>
      </c>
      <c r="O1913" s="17" t="n">
        <f aca="false">IF(N1913=0,100,100-100/(1+M1913/N1913))</f>
        <v>67.6171066410529</v>
      </c>
      <c r="P1913" s="17" t="n">
        <f aca="false">AVERAGE(B1894:B1913)+2*STDEV(B1894:B1913)</f>
        <v>17988.9696044407</v>
      </c>
      <c r="Q1913" s="17" t="n">
        <f aca="false">AVERAGE(B1894:B1913)-2*STDEV(B1894:B1913)</f>
        <v>16672.0963955593</v>
      </c>
      <c r="R1913" s="19" t="n">
        <f aca="false">B1913/B1893-1</f>
        <v>0.058960105519843</v>
      </c>
      <c r="S1913" s="17" t="n">
        <f aca="false">STDEV(C1894:C1913)*SQRT(252)*100</f>
        <v>14.6931803406164</v>
      </c>
      <c r="T1913" s="19" t="n">
        <f aca="false">B1892/B1662-1</f>
        <v>0.334789338139377</v>
      </c>
      <c r="U1913" s="19" t="n">
        <f aca="false">B1913/MAX(B1662:B1913)-1</f>
        <v>0</v>
      </c>
      <c r="V1913" s="17" t="n">
        <f aca="false">(B1913-AVERAGE(B1894:B1913))/STDEV(B1894:B1913)</f>
        <v>1.37488407220161</v>
      </c>
    </row>
    <row r="1914" customFormat="false" ht="15" hidden="false" customHeight="false" outlineLevel="0" collapsed="false">
      <c r="A1914" s="17" t="s">
        <v>2478</v>
      </c>
      <c r="B1914" s="17" t="n">
        <v>17962.41</v>
      </c>
      <c r="C1914" s="19" t="n">
        <f aca="false">B1914/B1913-1</f>
        <v>0.0100791928548174</v>
      </c>
      <c r="D1914" s="17" t="n">
        <f aca="false">AVERAGE(B1865:B1914)</f>
        <v>16823.6136</v>
      </c>
      <c r="E1914" s="17" t="n">
        <f aca="false">AVERAGE(B1715:B1914)</f>
        <v>15346.30005</v>
      </c>
      <c r="F1914" s="17" t="n">
        <f aca="false">B1914*2/13+F1913*11/13</f>
        <v>17576.8189568307</v>
      </c>
      <c r="G1914" s="17" t="n">
        <f aca="false">B1914*2/27+G1913*25/27</f>
        <v>17282.7717515785</v>
      </c>
      <c r="H1914" s="17" t="n">
        <f aca="false">F1914-G1914</f>
        <v>294.04720525214</v>
      </c>
      <c r="I1914" s="17" t="n">
        <f aca="false">H1914*2/10+I1913*8/10</f>
        <v>273.30176573085</v>
      </c>
      <c r="J1914" s="17" t="n">
        <f aca="false">H1914-I1914</f>
        <v>20.7454395212903</v>
      </c>
      <c r="K1914" s="17" t="n">
        <f aca="false">MAX(B1914-B1913,0)</f>
        <v>179.240000000002</v>
      </c>
      <c r="L1914" s="17" t="n">
        <f aca="false">MAX(B1913-B1914,0)</f>
        <v>0</v>
      </c>
      <c r="M1914" s="17" t="n">
        <f aca="false">(M1913*13+K1914)/14</f>
        <v>91.4139619765696</v>
      </c>
      <c r="N1914" s="17" t="n">
        <f aca="false">(N1913*13+L1914)/14</f>
        <v>37.6480916016237</v>
      </c>
      <c r="O1914" s="17" t="n">
        <f aca="false">IF(N1914=0,100,100-100/(1+M1914/N1914))</f>
        <v>70.8294649295857</v>
      </c>
      <c r="P1914" s="17" t="n">
        <f aca="false">AVERAGE(B1895:B1914)+2*STDEV(B1895:B1914)</f>
        <v>18057.8322826208</v>
      </c>
      <c r="Q1914" s="17" t="n">
        <f aca="false">AVERAGE(B1895:B1914)-2*STDEV(B1895:B1914)</f>
        <v>16717.3847173792</v>
      </c>
      <c r="R1914" s="19" t="n">
        <f aca="false">B1914/B1894-1</f>
        <v>0.0678625995041882</v>
      </c>
      <c r="S1914" s="17" t="n">
        <f aca="false">STDEV(C1895:C1914)*SQRT(252)*100</f>
        <v>14.9006865816522</v>
      </c>
      <c r="T1914" s="19" t="n">
        <f aca="false">B1893/B1663-1</f>
        <v>0.356337890522463</v>
      </c>
      <c r="U1914" s="19" t="n">
        <f aca="false">B1914/MAX(B1663:B1914)-1</f>
        <v>0</v>
      </c>
      <c r="V1914" s="17" t="n">
        <f aca="false">(B1914-AVERAGE(B1895:B1914))/STDEV(B1895:B1914)</f>
        <v>1.71525247209921</v>
      </c>
    </row>
    <row r="1915" customFormat="false" ht="15" hidden="false" customHeight="false" outlineLevel="0" collapsed="false">
      <c r="A1915" s="17" t="s">
        <v>2479</v>
      </c>
      <c r="B1915" s="17" t="n">
        <v>17882.66</v>
      </c>
      <c r="C1915" s="19" t="n">
        <f aca="false">B1915/B1914-1</f>
        <v>-0.00443982739509896</v>
      </c>
      <c r="D1915" s="17" t="n">
        <f aca="false">AVERAGE(B1866:B1915)</f>
        <v>16861.5148</v>
      </c>
      <c r="E1915" s="17" t="n">
        <f aca="false">AVERAGE(B1716:B1915)</f>
        <v>15371.68095</v>
      </c>
      <c r="F1915" s="17" t="n">
        <f aca="false">B1915*2/13+F1914*11/13</f>
        <v>17623.8714250106</v>
      </c>
      <c r="G1915" s="17" t="n">
        <f aca="false">B1915*2/27+G1914*25/27</f>
        <v>17327.2079181283</v>
      </c>
      <c r="H1915" s="17" t="n">
        <f aca="false">F1915-G1915</f>
        <v>296.663506882298</v>
      </c>
      <c r="I1915" s="17" t="n">
        <f aca="false">H1915*2/10+I1914*8/10</f>
        <v>277.974113961139</v>
      </c>
      <c r="J1915" s="17" t="n">
        <f aca="false">H1915-I1915</f>
        <v>18.6893929211586</v>
      </c>
      <c r="K1915" s="17" t="n">
        <f aca="false">MAX(B1915-B1914,0)</f>
        <v>0</v>
      </c>
      <c r="L1915" s="17" t="n">
        <f aca="false">MAX(B1914-B1915,0)</f>
        <v>79.75</v>
      </c>
      <c r="M1915" s="17" t="n">
        <f aca="false">(M1914*13+K1915)/14</f>
        <v>84.8843932639575</v>
      </c>
      <c r="N1915" s="17" t="n">
        <f aca="false">(N1914*13+L1915)/14</f>
        <v>40.6553707729363</v>
      </c>
      <c r="O1915" s="17" t="n">
        <f aca="false">IF(N1915=0,100,100-100/(1+M1915/N1915))</f>
        <v>67.615543103149</v>
      </c>
      <c r="P1915" s="17" t="n">
        <f aca="false">AVERAGE(B1896:B1915)+2*STDEV(B1896:B1915)</f>
        <v>18091.5713252161</v>
      </c>
      <c r="Q1915" s="17" t="n">
        <f aca="false">AVERAGE(B1896:B1915)-2*STDEV(B1896:B1915)</f>
        <v>16788.6196747839</v>
      </c>
      <c r="R1915" s="19" t="n">
        <f aca="false">B1915/B1895-1</f>
        <v>0.0623623233520982</v>
      </c>
      <c r="S1915" s="17" t="n">
        <f aca="false">STDEV(C1896:C1915)*SQRT(252)*100</f>
        <v>15.1312330069078</v>
      </c>
      <c r="T1915" s="19" t="n">
        <f aca="false">B1894/B1664-1</f>
        <v>0.367006043111211</v>
      </c>
      <c r="U1915" s="19" t="n">
        <f aca="false">B1915/MAX(B1664:B1915)-1</f>
        <v>-0.00443982739509896</v>
      </c>
      <c r="V1915" s="17" t="n">
        <f aca="false">(B1915-AVERAGE(B1896:B1915))/STDEV(B1896:B1915)</f>
        <v>1.35865210302522</v>
      </c>
    </row>
    <row r="1916" customFormat="false" ht="15" hidden="false" customHeight="false" outlineLevel="0" collapsed="false">
      <c r="A1916" s="17" t="s">
        <v>2480</v>
      </c>
      <c r="B1916" s="17" t="n">
        <v>17600.42</v>
      </c>
      <c r="C1916" s="19" t="n">
        <f aca="false">B1916/B1915-1</f>
        <v>-0.0157828868859555</v>
      </c>
      <c r="D1916" s="17" t="n">
        <f aca="false">AVERAGE(B1867:B1916)</f>
        <v>16894.5658</v>
      </c>
      <c r="E1916" s="17" t="n">
        <f aca="false">AVERAGE(B1717:B1916)</f>
        <v>15393.8829</v>
      </c>
      <c r="F1916" s="17" t="n">
        <f aca="false">B1916*2/13+F1915*11/13</f>
        <v>17620.2635134705</v>
      </c>
      <c r="G1916" s="17" t="n">
        <f aca="false">B1916*2/27+G1915*25/27</f>
        <v>17347.4458501188</v>
      </c>
      <c r="H1916" s="17" t="n">
        <f aca="false">F1916-G1916</f>
        <v>272.817663351714</v>
      </c>
      <c r="I1916" s="17" t="n">
        <f aca="false">H1916*2/10+I1915*8/10</f>
        <v>276.942823839254</v>
      </c>
      <c r="J1916" s="17" t="n">
        <f aca="false">H1916-I1916</f>
        <v>-4.12516048754014</v>
      </c>
      <c r="K1916" s="17" t="n">
        <f aca="false">MAX(B1916-B1915,0)</f>
        <v>0</v>
      </c>
      <c r="L1916" s="17" t="n">
        <f aca="false">MAX(B1915-B1916,0)</f>
        <v>282.240000000002</v>
      </c>
      <c r="M1916" s="17" t="n">
        <f aca="false">(M1915*13+K1916)/14</f>
        <v>78.8212223165319</v>
      </c>
      <c r="N1916" s="17" t="n">
        <f aca="false">(N1915*13+L1916)/14</f>
        <v>57.9114157177267</v>
      </c>
      <c r="O1916" s="17" t="n">
        <f aca="false">IF(N1916=0,100,100-100/(1+M1916/N1916))</f>
        <v>57.6462382717893</v>
      </c>
      <c r="P1916" s="17" t="n">
        <f aca="false">AVERAGE(B1897:B1916)+2*STDEV(B1897:B1916)</f>
        <v>18066.3025864282</v>
      </c>
      <c r="Q1916" s="17" t="n">
        <f aca="false">AVERAGE(B1897:B1916)-2*STDEV(B1897:B1916)</f>
        <v>16890.8594135718</v>
      </c>
      <c r="R1916" s="19" t="n">
        <f aca="false">B1916/B1896-1</f>
        <v>0.0457324735557798</v>
      </c>
      <c r="S1916" s="17" t="n">
        <f aca="false">STDEV(C1897:C1916)*SQRT(252)*100</f>
        <v>16.5263996311637</v>
      </c>
      <c r="T1916" s="19" t="n">
        <f aca="false">B1895/B1665-1</f>
        <v>0.346384788091161</v>
      </c>
      <c r="U1916" s="19" t="n">
        <f aca="false">B1916/MAX(B1665:B1916)-1</f>
        <v>-0.0201526409874845</v>
      </c>
      <c r="V1916" s="17" t="n">
        <f aca="false">(B1916-AVERAGE(B1897:B1916))/STDEV(B1897:B1916)</f>
        <v>0.414614684277498</v>
      </c>
    </row>
    <row r="1917" customFormat="false" ht="15" hidden="false" customHeight="false" outlineLevel="0" collapsed="false">
      <c r="A1917" s="17" t="s">
        <v>2481</v>
      </c>
      <c r="B1917" s="17" t="n">
        <v>17807.63</v>
      </c>
      <c r="C1917" s="19" t="n">
        <f aca="false">B1917/B1916-1</f>
        <v>0.0117730145076085</v>
      </c>
      <c r="D1917" s="17" t="n">
        <f aca="false">AVERAGE(B1868:B1917)</f>
        <v>16930.7668</v>
      </c>
      <c r="E1917" s="17" t="n">
        <f aca="false">AVERAGE(B1718:B1917)</f>
        <v>15416.6911</v>
      </c>
      <c r="F1917" s="17" t="n">
        <f aca="false">B1917*2/13+F1916*11/13</f>
        <v>17649.0891267827</v>
      </c>
      <c r="G1917" s="17" t="n">
        <f aca="false">B1917*2/27+G1916*25/27</f>
        <v>17381.5335649248</v>
      </c>
      <c r="H1917" s="17" t="n">
        <f aca="false">F1917-G1917</f>
        <v>267.555561857931</v>
      </c>
      <c r="I1917" s="17" t="n">
        <f aca="false">H1917*2/10+I1916*8/10</f>
        <v>275.06537144299</v>
      </c>
      <c r="J1917" s="17" t="n">
        <f aca="false">H1917-I1917</f>
        <v>-7.50980958505863</v>
      </c>
      <c r="K1917" s="17" t="n">
        <f aca="false">MAX(B1917-B1916,0)</f>
        <v>207.210000000003</v>
      </c>
      <c r="L1917" s="17" t="n">
        <f aca="false">MAX(B1916-B1917,0)</f>
        <v>0</v>
      </c>
      <c r="M1917" s="17" t="n">
        <f aca="false">(M1916*13+K1917)/14</f>
        <v>87.9918492939227</v>
      </c>
      <c r="N1917" s="17" t="n">
        <f aca="false">(N1916*13+L1917)/14</f>
        <v>53.7748860236034</v>
      </c>
      <c r="O1917" s="17" t="n">
        <f aca="false">IF(N1917=0,100,100-100/(1+M1917/N1917))</f>
        <v>62.0680507996749</v>
      </c>
      <c r="P1917" s="17" t="n">
        <f aca="false">AVERAGE(B1898:B1917)+2*STDEV(B1898:B1917)</f>
        <v>18022.1757986284</v>
      </c>
      <c r="Q1917" s="17" t="n">
        <f aca="false">AVERAGE(B1898:B1917)-2*STDEV(B1898:B1917)</f>
        <v>17042.1212013716</v>
      </c>
      <c r="R1917" s="19" t="n">
        <f aca="false">B1917/B1897-1</f>
        <v>0.0640136278790748</v>
      </c>
      <c r="S1917" s="17" t="n">
        <f aca="false">STDEV(C1898:C1917)*SQRT(252)*100</f>
        <v>16.5761007389261</v>
      </c>
      <c r="T1917" s="19" t="n">
        <f aca="false">B1896/B1666-1</f>
        <v>0.336737117074329</v>
      </c>
      <c r="U1917" s="19" t="n">
        <f aca="false">B1917/MAX(B1666:B1917)-1</f>
        <v>-0.00861688381458825</v>
      </c>
      <c r="V1917" s="17" t="n">
        <f aca="false">(B1917-AVERAGE(B1898:B1917))/STDEV(B1898:B1917)</f>
        <v>1.12435164641268</v>
      </c>
    </row>
    <row r="1918" customFormat="false" ht="15" hidden="false" customHeight="false" outlineLevel="0" collapsed="false">
      <c r="A1918" s="17" t="s">
        <v>2482</v>
      </c>
      <c r="B1918" s="17" t="n">
        <v>17845.72</v>
      </c>
      <c r="C1918" s="19" t="n">
        <f aca="false">B1918/B1917-1</f>
        <v>0.00213897076702518</v>
      </c>
      <c r="D1918" s="17" t="n">
        <f aca="false">AVERAGE(B1869:B1918)</f>
        <v>16970.8878</v>
      </c>
      <c r="E1918" s="17" t="n">
        <f aca="false">AVERAGE(B1719:B1918)</f>
        <v>15439.76235</v>
      </c>
      <c r="F1918" s="17" t="n">
        <f aca="false">B1918*2/13+F1917*11/13</f>
        <v>17679.3400303546</v>
      </c>
      <c r="G1918" s="17" t="n">
        <f aca="false">B1918*2/27+G1917*25/27</f>
        <v>17415.9177453007</v>
      </c>
      <c r="H1918" s="17" t="n">
        <f aca="false">F1918-G1918</f>
        <v>263.422285053879</v>
      </c>
      <c r="I1918" s="17" t="n">
        <f aca="false">H1918*2/10+I1917*8/10</f>
        <v>272.736754165168</v>
      </c>
      <c r="J1918" s="17" t="n">
        <f aca="false">H1918-I1918</f>
        <v>-9.31446911128853</v>
      </c>
      <c r="K1918" s="17" t="n">
        <f aca="false">MAX(B1918-B1917,0)</f>
        <v>38.0900000000001</v>
      </c>
      <c r="L1918" s="17" t="n">
        <f aca="false">MAX(B1917-B1918,0)</f>
        <v>0</v>
      </c>
      <c r="M1918" s="17" t="n">
        <f aca="false">(M1917*13+K1918)/14</f>
        <v>84.427431487214</v>
      </c>
      <c r="N1918" s="17" t="n">
        <f aca="false">(N1917*13+L1918)/14</f>
        <v>49.9338227362031</v>
      </c>
      <c r="O1918" s="17" t="n">
        <f aca="false">IF(N1918=0,100,100-100/(1+M1918/N1918))</f>
        <v>62.8361442256465</v>
      </c>
      <c r="P1918" s="17" t="n">
        <f aca="false">AVERAGE(B1899:B1918)+2*STDEV(B1899:B1918)</f>
        <v>18010.4386712901</v>
      </c>
      <c r="Q1918" s="17" t="n">
        <f aca="false">AVERAGE(B1899:B1918)-2*STDEV(B1899:B1918)</f>
        <v>17140.2013287099</v>
      </c>
      <c r="R1918" s="19" t="n">
        <f aca="false">B1918/B1898-1</f>
        <v>0.0508429664079462</v>
      </c>
      <c r="S1918" s="17" t="n">
        <f aca="false">STDEV(C1899:C1918)*SQRT(252)*100</f>
        <v>16.006111376831</v>
      </c>
      <c r="T1918" s="19" t="n">
        <f aca="false">B1897/B1667-1</f>
        <v>0.31907511808504</v>
      </c>
      <c r="U1918" s="19" t="n">
        <f aca="false">B1918/MAX(B1667:B1918)-1</f>
        <v>-0.00649634431014534</v>
      </c>
      <c r="V1918" s="17" t="n">
        <f aca="false">(B1918-AVERAGE(B1899:B1918))/STDEV(B1899:B1918)</f>
        <v>1.24287932392458</v>
      </c>
    </row>
    <row r="1919" customFormat="false" ht="15" hidden="false" customHeight="false" outlineLevel="0" collapsed="false">
      <c r="A1919" s="17" t="s">
        <v>2483</v>
      </c>
      <c r="B1919" s="17" t="n">
        <v>17685.98</v>
      </c>
      <c r="C1919" s="19" t="n">
        <f aca="false">B1919/B1918-1</f>
        <v>-0.00895116588179135</v>
      </c>
      <c r="D1919" s="17" t="n">
        <f aca="false">AVERAGE(B1870:B1919)</f>
        <v>17007.0532</v>
      </c>
      <c r="E1919" s="17" t="n">
        <f aca="false">AVERAGE(B1720:B1919)</f>
        <v>15462.62395</v>
      </c>
      <c r="F1919" s="17" t="n">
        <f aca="false">B1919*2/13+F1918*11/13</f>
        <v>17680.3615641462</v>
      </c>
      <c r="G1919" s="17" t="n">
        <f aca="false">B1919*2/27+G1918*25/27</f>
        <v>17435.9223567599</v>
      </c>
      <c r="H1919" s="17" t="n">
        <f aca="false">F1919-G1919</f>
        <v>244.439207386276</v>
      </c>
      <c r="I1919" s="17" t="n">
        <f aca="false">H1919*2/10+I1918*8/10</f>
        <v>267.077244809389</v>
      </c>
      <c r="J1919" s="17" t="n">
        <f aca="false">H1919-I1919</f>
        <v>-22.6380374231129</v>
      </c>
      <c r="K1919" s="17" t="n">
        <f aca="false">MAX(B1919-B1918,0)</f>
        <v>0</v>
      </c>
      <c r="L1919" s="17" t="n">
        <f aca="false">MAX(B1918-B1919,0)</f>
        <v>159.740000000002</v>
      </c>
      <c r="M1919" s="17" t="n">
        <f aca="false">(M1918*13+K1919)/14</f>
        <v>78.3969006666987</v>
      </c>
      <c r="N1919" s="17" t="n">
        <f aca="false">(N1918*13+L1919)/14</f>
        <v>57.7771211121887</v>
      </c>
      <c r="O1919" s="17" t="n">
        <f aca="false">IF(N1919=0,100,100-100/(1+M1919/N1919))</f>
        <v>57.5711135226627</v>
      </c>
      <c r="P1919" s="17" t="n">
        <f aca="false">AVERAGE(B1900:B1919)+2*STDEV(B1900:B1919)</f>
        <v>18013.5299133045</v>
      </c>
      <c r="Q1919" s="17" t="n">
        <f aca="false">AVERAGE(B1900:B1919)-2*STDEV(B1900:B1919)</f>
        <v>17174.3080866955</v>
      </c>
      <c r="R1919" s="19" t="n">
        <f aca="false">B1919/B1899-1</f>
        <v>0.0214843479265334</v>
      </c>
      <c r="S1919" s="17" t="n">
        <f aca="false">STDEV(C1900:C1919)*SQRT(252)*100</f>
        <v>15.1645385144111</v>
      </c>
      <c r="T1919" s="19" t="n">
        <f aca="false">B1898/B1668-1</f>
        <v>0.364863757064508</v>
      </c>
      <c r="U1919" s="19" t="n">
        <f aca="false">B1919/MAX(B1668:B1919)-1</f>
        <v>-0.0153893603363914</v>
      </c>
      <c r="V1919" s="17" t="n">
        <f aca="false">(B1919-AVERAGE(B1900:B1919))/STDEV(B1900:B1919)</f>
        <v>0.438792210026237</v>
      </c>
    </row>
    <row r="1920" customFormat="false" ht="15" hidden="false" customHeight="false" outlineLevel="0" collapsed="false">
      <c r="A1920" s="17" t="s">
        <v>2484</v>
      </c>
      <c r="B1920" s="17" t="n">
        <v>17546.1</v>
      </c>
      <c r="C1920" s="19" t="n">
        <f aca="false">B1920/B1919-1</f>
        <v>-0.00790908957264458</v>
      </c>
      <c r="D1920" s="17" t="n">
        <f aca="false">AVERAGE(B1871:B1920)</f>
        <v>17042.2142</v>
      </c>
      <c r="E1920" s="17" t="n">
        <f aca="false">AVERAGE(B1721:B1920)</f>
        <v>15485.2034</v>
      </c>
      <c r="F1920" s="17" t="n">
        <f aca="false">B1920*2/13+F1919*11/13</f>
        <v>17659.7059388929</v>
      </c>
      <c r="G1920" s="17" t="n">
        <f aca="false">B1920*2/27+G1919*25/27</f>
        <v>17444.0836636666</v>
      </c>
      <c r="H1920" s="17" t="n">
        <f aca="false">F1920-G1920</f>
        <v>215.622275226346</v>
      </c>
      <c r="I1920" s="17" t="n">
        <f aca="false">H1920*2/10+I1919*8/10</f>
        <v>256.786250892781</v>
      </c>
      <c r="J1920" s="17" t="n">
        <f aca="false">H1920-I1920</f>
        <v>-41.1639756664349</v>
      </c>
      <c r="K1920" s="17" t="n">
        <f aca="false">MAX(B1920-B1919,0)</f>
        <v>0</v>
      </c>
      <c r="L1920" s="17" t="n">
        <f aca="false">MAX(B1919-B1920,0)</f>
        <v>139.880000000001</v>
      </c>
      <c r="M1920" s="17" t="n">
        <f aca="false">(M1919*13+K1920)/14</f>
        <v>72.7971220476488</v>
      </c>
      <c r="N1920" s="17" t="n">
        <f aca="false">(N1919*13+L1920)/14</f>
        <v>63.6416124613182</v>
      </c>
      <c r="O1920" s="17" t="n">
        <f aca="false">IF(N1920=0,100,100-100/(1+M1920/N1920))</f>
        <v>53.3551724219961</v>
      </c>
      <c r="P1920" s="17" t="n">
        <f aca="false">AVERAGE(B1901:B1920)+2*STDEV(B1901:B1920)</f>
        <v>18006.5049920096</v>
      </c>
      <c r="Q1920" s="17" t="n">
        <f aca="false">AVERAGE(B1901:B1920)-2*STDEV(B1901:B1920)</f>
        <v>17202.9050079904</v>
      </c>
      <c r="R1920" s="19" t="n">
        <f aca="false">B1920/B1900-1</f>
        <v>0.012447505478818</v>
      </c>
      <c r="S1920" s="17" t="n">
        <f aca="false">STDEV(C1901:C1920)*SQRT(252)*100</f>
        <v>15.4990630920187</v>
      </c>
      <c r="T1920" s="19" t="n">
        <f aca="false">B1899/B1669-1</f>
        <v>0.401015359866906</v>
      </c>
      <c r="U1920" s="19" t="n">
        <f aca="false">B1920/MAX(B1669:B1920)-1</f>
        <v>-0.0231767340796698</v>
      </c>
      <c r="V1920" s="17" t="n">
        <f aca="false">(B1920-AVERAGE(B1901:B1920))/STDEV(B1901:B1920)</f>
        <v>-0.291712300475075</v>
      </c>
    </row>
    <row r="1921" customFormat="false" ht="15" hidden="false" customHeight="false" outlineLevel="0" collapsed="false">
      <c r="A1921" s="17" t="s">
        <v>2485</v>
      </c>
      <c r="B1921" s="17" t="n">
        <v>17478.91</v>
      </c>
      <c r="C1921" s="19" t="n">
        <f aca="false">B1921/B1920-1</f>
        <v>-0.00382934099315513</v>
      </c>
      <c r="D1921" s="17" t="n">
        <f aca="false">AVERAGE(B1872:B1921)</f>
        <v>17071.3426</v>
      </c>
      <c r="E1921" s="17" t="n">
        <f aca="false">AVERAGE(B1722:B1921)</f>
        <v>15507.68555</v>
      </c>
      <c r="F1921" s="17" t="n">
        <f aca="false">B1921*2/13+F1920*11/13</f>
        <v>17631.8911790633</v>
      </c>
      <c r="G1921" s="17" t="n">
        <f aca="false">B1921*2/27+G1920*25/27</f>
        <v>17446.6633922839</v>
      </c>
      <c r="H1921" s="17" t="n">
        <f aca="false">F1921-G1921</f>
        <v>185.227786779375</v>
      </c>
      <c r="I1921" s="17" t="n">
        <f aca="false">H1921*2/10+I1920*8/10</f>
        <v>242.474558070099</v>
      </c>
      <c r="J1921" s="17" t="n">
        <f aca="false">H1921-I1921</f>
        <v>-57.2467712907248</v>
      </c>
      <c r="K1921" s="17" t="n">
        <f aca="false">MAX(B1921-B1920,0)</f>
        <v>0</v>
      </c>
      <c r="L1921" s="17" t="n">
        <f aca="false">MAX(B1920-B1921,0)</f>
        <v>67.1899999999987</v>
      </c>
      <c r="M1921" s="17" t="n">
        <f aca="false">(M1920*13+K1921)/14</f>
        <v>67.5973276156739</v>
      </c>
      <c r="N1921" s="17" t="n">
        <f aca="false">(N1920*13+L1921)/14</f>
        <v>63.8950687140811</v>
      </c>
      <c r="O1921" s="17" t="n">
        <f aca="false">IF(N1921=0,100,100-100/(1+M1921/N1921))</f>
        <v>51.4077844061448</v>
      </c>
      <c r="P1921" s="17" t="n">
        <f aca="false">AVERAGE(B1902:B1921)+2*STDEV(B1902:B1921)</f>
        <v>18003.7286998265</v>
      </c>
      <c r="Q1921" s="17" t="n">
        <f aca="false">AVERAGE(B1902:B1921)-2*STDEV(B1902:B1921)</f>
        <v>17213.1513001735</v>
      </c>
      <c r="R1921" s="19" t="n">
        <f aca="false">B1921/B1901-1</f>
        <v>0.00429206496589041</v>
      </c>
      <c r="S1921" s="17" t="n">
        <f aca="false">STDEV(C1902:C1921)*SQRT(252)*100</f>
        <v>15.5161119005277</v>
      </c>
      <c r="T1921" s="19" t="n">
        <f aca="false">B1900/B1670-1</f>
        <v>0.436977521288857</v>
      </c>
      <c r="U1921" s="19" t="n">
        <f aca="false">B1921/MAX(B1670:B1921)-1</f>
        <v>-0.0269173234549261</v>
      </c>
      <c r="V1921" s="17" t="n">
        <f aca="false">(B1921-AVERAGE(B1902:B1921))/STDEV(B1902:B1921)</f>
        <v>-0.655369101402856</v>
      </c>
    </row>
    <row r="1922" customFormat="false" ht="15" hidden="false" customHeight="false" outlineLevel="0" collapsed="false">
      <c r="A1922" s="17" t="s">
        <v>2486</v>
      </c>
      <c r="B1922" s="17" t="n">
        <v>18004.7</v>
      </c>
      <c r="C1922" s="19" t="n">
        <f aca="false">B1922/B1921-1</f>
        <v>0.0300813952357442</v>
      </c>
      <c r="D1922" s="17" t="n">
        <f aca="false">AVERAGE(B1873:B1922)</f>
        <v>17109.7428</v>
      </c>
      <c r="E1922" s="17" t="n">
        <f aca="false">AVERAGE(B1723:B1922)</f>
        <v>15531.4134</v>
      </c>
      <c r="F1922" s="17" t="n">
        <f aca="false">B1922*2/13+F1921*11/13</f>
        <v>17689.2463822843</v>
      </c>
      <c r="G1922" s="17" t="n">
        <f aca="false">B1922*2/27+G1921*25/27</f>
        <v>17487.9994372999</v>
      </c>
      <c r="H1922" s="17" t="n">
        <f aca="false">F1922-G1922</f>
        <v>201.246944984403</v>
      </c>
      <c r="I1922" s="17" t="n">
        <f aca="false">H1922*2/10+I1921*8/10</f>
        <v>234.22903545296</v>
      </c>
      <c r="J1922" s="17" t="n">
        <f aca="false">H1922-I1922</f>
        <v>-32.9820904685571</v>
      </c>
      <c r="K1922" s="17" t="n">
        <f aca="false">MAX(B1922-B1921,0)</f>
        <v>525.790000000001</v>
      </c>
      <c r="L1922" s="17" t="n">
        <f aca="false">MAX(B1921-B1922,0)</f>
        <v>0</v>
      </c>
      <c r="M1922" s="17" t="n">
        <f aca="false">(M1921*13+K1922)/14</f>
        <v>100.325375643126</v>
      </c>
      <c r="N1922" s="17" t="n">
        <f aca="false">(N1921*13+L1922)/14</f>
        <v>59.3311352345039</v>
      </c>
      <c r="O1922" s="17" t="n">
        <f aca="false">IF(N1922=0,100,100-100/(1+M1922/N1922))</f>
        <v>62.8382613973201</v>
      </c>
      <c r="P1922" s="17" t="n">
        <f aca="false">AVERAGE(B1903:B1922)+2*STDEV(B1903:B1922)</f>
        <v>18062.7950687341</v>
      </c>
      <c r="Q1922" s="17" t="n">
        <f aca="false">AVERAGE(B1903:B1922)-2*STDEV(B1903:B1922)</f>
        <v>17204.6249312659</v>
      </c>
      <c r="R1922" s="19" t="n">
        <f aca="false">B1922/B1902-1</f>
        <v>0.0288811552462098</v>
      </c>
      <c r="S1922" s="17" t="n">
        <f aca="false">STDEV(C1903:C1922)*SQRT(252)*100</f>
        <v>18.7374881210371</v>
      </c>
      <c r="T1922" s="19" t="n">
        <f aca="false">B1901/B1671-1</f>
        <v>0.442385260730947</v>
      </c>
      <c r="U1922" s="19" t="n">
        <f aca="false">B1922/MAX(B1671:B1922)-1</f>
        <v>0</v>
      </c>
      <c r="V1922" s="17" t="n">
        <f aca="false">(B1922-AVERAGE(B1903:B1922))/STDEV(B1903:B1922)</f>
        <v>1.72921421430267</v>
      </c>
    </row>
    <row r="1923" customFormat="false" ht="15" hidden="false" customHeight="false" outlineLevel="0" collapsed="false">
      <c r="A1923" s="17" t="s">
        <v>2487</v>
      </c>
      <c r="B1923" s="17" t="n">
        <v>17937.61</v>
      </c>
      <c r="C1923" s="19" t="n">
        <f aca="false">B1923/B1922-1</f>
        <v>-0.00372624925713838</v>
      </c>
      <c r="D1923" s="17" t="n">
        <f aca="false">AVERAGE(B1874:B1923)</f>
        <v>17144.0604</v>
      </c>
      <c r="E1923" s="17" t="n">
        <f aca="false">AVERAGE(B1724:B1923)</f>
        <v>15554.64325</v>
      </c>
      <c r="F1923" s="17" t="n">
        <f aca="false">B1923*2/13+F1922*11/13</f>
        <v>17727.4561696252</v>
      </c>
      <c r="G1923" s="17" t="n">
        <f aca="false">B1923*2/27+G1922*25/27</f>
        <v>17521.3039234258</v>
      </c>
      <c r="H1923" s="17" t="n">
        <f aca="false">F1923-G1923</f>
        <v>206.152246199348</v>
      </c>
      <c r="I1923" s="17" t="n">
        <f aca="false">H1923*2/10+I1922*8/10</f>
        <v>228.613677602238</v>
      </c>
      <c r="J1923" s="17" t="n">
        <f aca="false">H1923-I1923</f>
        <v>-22.4614314028895</v>
      </c>
      <c r="K1923" s="17" t="n">
        <f aca="false">MAX(B1923-B1922,0)</f>
        <v>0</v>
      </c>
      <c r="L1923" s="17" t="n">
        <f aca="false">MAX(B1922-B1923,0)</f>
        <v>67.0900000000002</v>
      </c>
      <c r="M1923" s="17" t="n">
        <f aca="false">(M1922*13+K1923)/14</f>
        <v>93.1592773829025</v>
      </c>
      <c r="N1923" s="17" t="n">
        <f aca="false">(N1922*13+L1923)/14</f>
        <v>59.8853398606107</v>
      </c>
      <c r="O1923" s="17" t="n">
        <f aca="false">IF(N1923=0,100,100-100/(1+M1923/N1923))</f>
        <v>60.8706657318593</v>
      </c>
      <c r="P1923" s="17" t="n">
        <f aca="false">AVERAGE(B1904:B1923)+2*STDEV(B1904:B1923)</f>
        <v>18100.6409355248</v>
      </c>
      <c r="Q1923" s="17" t="n">
        <f aca="false">AVERAGE(B1904:B1923)-2*STDEV(B1904:B1923)</f>
        <v>17208.8410644752</v>
      </c>
      <c r="R1923" s="19" t="n">
        <f aca="false">B1923/B1903-1</f>
        <v>0.0240121162368649</v>
      </c>
      <c r="S1923" s="17" t="n">
        <f aca="false">STDEV(C1904:C1923)*SQRT(252)*100</f>
        <v>18.828797109196</v>
      </c>
      <c r="T1923" s="19" t="n">
        <f aca="false">B1902/B1672-1</f>
        <v>0.436707624050298</v>
      </c>
      <c r="U1923" s="19" t="n">
        <f aca="false">B1923/MAX(B1672:B1923)-1</f>
        <v>-0.00372624925713838</v>
      </c>
      <c r="V1923" s="17" t="n">
        <f aca="false">(B1923-AVERAGE(B1904:B1923))/STDEV(B1904:B1923)</f>
        <v>1.26875550976277</v>
      </c>
    </row>
    <row r="1924" customFormat="false" ht="15" hidden="false" customHeight="false" outlineLevel="0" collapsed="false">
      <c r="A1924" s="17" t="s">
        <v>2488</v>
      </c>
      <c r="B1924" s="17" t="n">
        <v>17933.33</v>
      </c>
      <c r="C1924" s="19" t="n">
        <f aca="false">B1924/B1923-1</f>
        <v>-0.000238604808555865</v>
      </c>
      <c r="D1924" s="17" t="n">
        <f aca="false">AVERAGE(B1875:B1924)</f>
        <v>17175.642</v>
      </c>
      <c r="E1924" s="17" t="n">
        <f aca="false">AVERAGE(B1725:B1924)</f>
        <v>15578.30435</v>
      </c>
      <c r="F1924" s="17" t="n">
        <f aca="false">B1924*2/13+F1923*11/13</f>
        <v>17759.1290666059</v>
      </c>
      <c r="G1924" s="17" t="n">
        <f aca="false">B1924*2/27+G1923*25/27</f>
        <v>17551.8243735424</v>
      </c>
      <c r="H1924" s="17" t="n">
        <f aca="false">F1924-G1924</f>
        <v>207.304693063485</v>
      </c>
      <c r="I1924" s="17" t="n">
        <f aca="false">H1924*2/10+I1923*8/10</f>
        <v>224.351880694487</v>
      </c>
      <c r="J1924" s="17" t="n">
        <f aca="false">H1924-I1924</f>
        <v>-17.0471876310024</v>
      </c>
      <c r="K1924" s="17" t="n">
        <f aca="false">MAX(B1924-B1923,0)</f>
        <v>0</v>
      </c>
      <c r="L1924" s="17" t="n">
        <f aca="false">MAX(B1923-B1924,0)</f>
        <v>4.27999999999884</v>
      </c>
      <c r="M1924" s="17" t="n">
        <f aca="false">(M1923*13+K1924)/14</f>
        <v>86.5050432841238</v>
      </c>
      <c r="N1924" s="17" t="n">
        <f aca="false">(N1923*13+L1924)/14</f>
        <v>55.913529870567</v>
      </c>
      <c r="O1924" s="17" t="n">
        <f aca="false">IF(N1924=0,100,100-100/(1+M1924/N1924))</f>
        <v>60.7400013691786</v>
      </c>
      <c r="P1924" s="17" t="n">
        <f aca="false">AVERAGE(B1905:B1924)+2*STDEV(B1905:B1924)</f>
        <v>18128.5780769886</v>
      </c>
      <c r="Q1924" s="17" t="n">
        <f aca="false">AVERAGE(B1905:B1924)-2*STDEV(B1905:B1924)</f>
        <v>17232.1359230114</v>
      </c>
      <c r="R1924" s="19" t="n">
        <f aca="false">B1924/B1904-1</f>
        <v>0.0294081686423464</v>
      </c>
      <c r="S1924" s="17" t="n">
        <f aca="false">STDEV(C1905:C1924)*SQRT(252)*100</f>
        <v>18.6714866588692</v>
      </c>
      <c r="T1924" s="19" t="n">
        <f aca="false">B1903/B1673-1</f>
        <v>0.463450476830985</v>
      </c>
      <c r="U1924" s="19" t="n">
        <f aca="false">B1924/MAX(B1673:B1924)-1</f>
        <v>-0.00396396496470364</v>
      </c>
      <c r="V1924" s="17" t="n">
        <f aca="false">(B1924-AVERAGE(B1905:B1924))/STDEV(B1905:B1924)</f>
        <v>1.12878672149736</v>
      </c>
    </row>
    <row r="1925" customFormat="false" ht="15" hidden="false" customHeight="false" outlineLevel="0" collapsed="false">
      <c r="A1925" s="17" t="s">
        <v>2489</v>
      </c>
      <c r="B1925" s="17" t="n">
        <v>17971.05</v>
      </c>
      <c r="C1925" s="19" t="n">
        <f aca="false">B1925/B1924-1</f>
        <v>0.00210334611586349</v>
      </c>
      <c r="D1925" s="17" t="n">
        <f aca="false">AVERAGE(B1876:B1925)</f>
        <v>17203.8156</v>
      </c>
      <c r="E1925" s="17" t="n">
        <f aca="false">AVERAGE(B1726:B1925)</f>
        <v>15601.42045</v>
      </c>
      <c r="F1925" s="17" t="n">
        <f aca="false">B1925*2/13+F1924*11/13</f>
        <v>17791.7322871281</v>
      </c>
      <c r="G1925" s="17" t="n">
        <f aca="false">B1925*2/27+G1924*25/27</f>
        <v>17582.8781236504</v>
      </c>
      <c r="H1925" s="17" t="n">
        <f aca="false">F1925-G1925</f>
        <v>208.854163477685</v>
      </c>
      <c r="I1925" s="17" t="n">
        <f aca="false">H1925*2/10+I1924*8/10</f>
        <v>221.252337251127</v>
      </c>
      <c r="J1925" s="17" t="n">
        <f aca="false">H1925-I1925</f>
        <v>-12.3981737734418</v>
      </c>
      <c r="K1925" s="17" t="n">
        <f aca="false">MAX(B1925-B1924,0)</f>
        <v>37.7199999999975</v>
      </c>
      <c r="L1925" s="17" t="n">
        <f aca="false">MAX(B1924-B1925,0)</f>
        <v>0</v>
      </c>
      <c r="M1925" s="17" t="n">
        <f aca="false">(M1924*13+K1925)/14</f>
        <v>83.0203973352576</v>
      </c>
      <c r="N1925" s="17" t="n">
        <f aca="false">(N1924*13+L1925)/14</f>
        <v>51.9197063083837</v>
      </c>
      <c r="O1925" s="17" t="n">
        <f aca="false">IF(N1925=0,100,100-100/(1+M1925/N1925))</f>
        <v>61.5238873348603</v>
      </c>
      <c r="P1925" s="17" t="n">
        <f aca="false">AVERAGE(B1906:B1925)+2*STDEV(B1906:B1925)</f>
        <v>18163.5580952366</v>
      </c>
      <c r="Q1925" s="17" t="n">
        <f aca="false">AVERAGE(B1906:B1925)-2*STDEV(B1906:B1925)</f>
        <v>17234.6339047634</v>
      </c>
      <c r="R1925" s="19" t="n">
        <f aca="false">B1925/B1905-1</f>
        <v>0.0212988320820264</v>
      </c>
      <c r="S1925" s="17" t="n">
        <f aca="false">STDEV(C1906:C1925)*SQRT(252)*100</f>
        <v>18.4001864482062</v>
      </c>
      <c r="T1925" s="19" t="n">
        <f aca="false">B1904/B1674-1</f>
        <v>0.4447929512788</v>
      </c>
      <c r="U1925" s="19" t="n">
        <f aca="false">B1925/MAX(B1674:B1925)-1</f>
        <v>-0.00186895643915208</v>
      </c>
      <c r="V1925" s="17" t="n">
        <f aca="false">(B1925-AVERAGE(B1906:B1925))/STDEV(B1906:B1925)</f>
        <v>1.17104927523294</v>
      </c>
    </row>
    <row r="1926" customFormat="false" ht="15" hidden="false" customHeight="false" outlineLevel="0" collapsed="false">
      <c r="A1926" s="17" t="s">
        <v>2490</v>
      </c>
      <c r="B1926" s="17" t="n">
        <v>17874.5</v>
      </c>
      <c r="C1926" s="19" t="n">
        <f aca="false">B1926/B1925-1</f>
        <v>-0.00537252970750179</v>
      </c>
      <c r="D1926" s="17" t="n">
        <f aca="false">AVERAGE(B1877:B1926)</f>
        <v>17230.549</v>
      </c>
      <c r="E1926" s="17" t="n">
        <f aca="false">AVERAGE(B1727:B1926)</f>
        <v>15623.84405</v>
      </c>
      <c r="F1926" s="17" t="n">
        <f aca="false">B1926*2/13+F1925*11/13</f>
        <v>17804.4657814161</v>
      </c>
      <c r="G1926" s="17" t="n">
        <f aca="false">B1926*2/27+G1925*25/27</f>
        <v>17604.4797441207</v>
      </c>
      <c r="H1926" s="17" t="n">
        <f aca="false">F1926-G1926</f>
        <v>199.98603729533</v>
      </c>
      <c r="I1926" s="17" t="n">
        <f aca="false">H1926*2/10+I1925*8/10</f>
        <v>216.999077259967</v>
      </c>
      <c r="J1926" s="17" t="n">
        <f aca="false">H1926-I1926</f>
        <v>-17.0130399646374</v>
      </c>
      <c r="K1926" s="17" t="n">
        <f aca="false">MAX(B1926-B1925,0)</f>
        <v>0</v>
      </c>
      <c r="L1926" s="17" t="n">
        <f aca="false">MAX(B1925-B1926,0)</f>
        <v>96.5499999999993</v>
      </c>
      <c r="M1926" s="17" t="n">
        <f aca="false">(M1925*13+K1926)/14</f>
        <v>77.0903689541678</v>
      </c>
      <c r="N1926" s="17" t="n">
        <f aca="false">(N1925*13+L1926)/14</f>
        <v>55.1075844292133</v>
      </c>
      <c r="O1926" s="17" t="n">
        <f aca="false">IF(N1926=0,100,100-100/(1+M1926/N1926))</f>
        <v>58.3143437407095</v>
      </c>
      <c r="P1926" s="17" t="n">
        <f aca="false">AVERAGE(B1907:B1926)+2*STDEV(B1907:B1926)</f>
        <v>18177.3792898208</v>
      </c>
      <c r="Q1926" s="17" t="n">
        <f aca="false">AVERAGE(B1907:B1926)-2*STDEV(B1907:B1926)</f>
        <v>17260.5917101792</v>
      </c>
      <c r="R1926" s="19" t="n">
        <f aca="false">B1926/B1906-1</f>
        <v>0.0227611489805577</v>
      </c>
      <c r="S1926" s="17" t="n">
        <f aca="false">STDEV(C1907:C1926)*SQRT(252)*100</f>
        <v>18.3258528948866</v>
      </c>
      <c r="T1926" s="19" t="n">
        <f aca="false">B1905/B1675-1</f>
        <v>0.461226926820194</v>
      </c>
      <c r="U1926" s="19" t="n">
        <f aca="false">B1926/MAX(B1675:B1926)-1</f>
        <v>-0.00723144512266249</v>
      </c>
      <c r="V1926" s="17" t="n">
        <f aca="false">(B1926-AVERAGE(B1907:B1926))/STDEV(B1907:B1926)</f>
        <v>0.678519227150865</v>
      </c>
    </row>
    <row r="1927" customFormat="false" ht="15" hidden="false" customHeight="false" outlineLevel="0" collapsed="false">
      <c r="A1927" s="17" t="s">
        <v>2491</v>
      </c>
      <c r="B1927" s="17" t="n">
        <v>18043.85</v>
      </c>
      <c r="C1927" s="19" t="n">
        <f aca="false">B1927/B1926-1</f>
        <v>0.00947439089205293</v>
      </c>
      <c r="D1927" s="17" t="n">
        <f aca="false">AVERAGE(B1878:B1927)</f>
        <v>17258.957</v>
      </c>
      <c r="E1927" s="17" t="n">
        <f aca="false">AVERAGE(B1728:B1927)</f>
        <v>15647.3624</v>
      </c>
      <c r="F1927" s="17" t="n">
        <f aca="false">B1927*2/13+F1926*11/13</f>
        <v>17841.2941227367</v>
      </c>
      <c r="G1927" s="17" t="n">
        <f aca="false">B1927*2/27+G1926*25/27</f>
        <v>17637.0256890007</v>
      </c>
      <c r="H1927" s="17" t="n">
        <f aca="false">F1927-G1927</f>
        <v>204.26843373599</v>
      </c>
      <c r="I1927" s="17" t="n">
        <f aca="false">H1927*2/10+I1926*8/10</f>
        <v>214.452948555172</v>
      </c>
      <c r="J1927" s="17" t="n">
        <f aca="false">H1927-I1927</f>
        <v>-10.1845148191821</v>
      </c>
      <c r="K1927" s="17" t="n">
        <f aca="false">MAX(B1927-B1926,0)</f>
        <v>169.349999999999</v>
      </c>
      <c r="L1927" s="17" t="n">
        <f aca="false">MAX(B1926-B1927,0)</f>
        <v>0</v>
      </c>
      <c r="M1927" s="17" t="n">
        <f aca="false">(M1926*13+K1927)/14</f>
        <v>83.6803426002985</v>
      </c>
      <c r="N1927" s="17" t="n">
        <f aca="false">(N1926*13+L1927)/14</f>
        <v>51.1713283985553</v>
      </c>
      <c r="O1927" s="17" t="n">
        <f aca="false">IF(N1927=0,100,100-100/(1+M1927/N1927))</f>
        <v>62.0536193437379</v>
      </c>
      <c r="P1927" s="17" t="n">
        <f aca="false">AVERAGE(B1908:B1927)+2*STDEV(B1908:B1927)</f>
        <v>18154.7557380768</v>
      </c>
      <c r="Q1927" s="17" t="n">
        <f aca="false">AVERAGE(B1908:B1927)-2*STDEV(B1908:B1927)</f>
        <v>17373.8762619232</v>
      </c>
      <c r="R1927" s="19" t="n">
        <f aca="false">B1927/B1907-1</f>
        <v>0.052902917856084</v>
      </c>
      <c r="S1927" s="17" t="n">
        <f aca="false">STDEV(C1908:C1927)*SQRT(252)*100</f>
        <v>16.8240577774122</v>
      </c>
      <c r="T1927" s="19" t="n">
        <f aca="false">B1906/B1676-1</f>
        <v>0.463886378351846</v>
      </c>
      <c r="U1927" s="19" t="n">
        <f aca="false">B1927/MAX(B1676:B1927)-1</f>
        <v>0</v>
      </c>
      <c r="V1927" s="17" t="n">
        <f aca="false">(B1927-AVERAGE(B1908:B1927))/STDEV(B1908:B1927)</f>
        <v>1.43189318473019</v>
      </c>
    </row>
    <row r="1928" customFormat="false" ht="15" hidden="false" customHeight="false" outlineLevel="0" collapsed="false">
      <c r="A1928" s="17" t="s">
        <v>2492</v>
      </c>
      <c r="B1928" s="17" t="n">
        <v>18302.91</v>
      </c>
      <c r="C1928" s="19" t="n">
        <f aca="false">B1928/B1927-1</f>
        <v>0.0143572463748036</v>
      </c>
      <c r="D1928" s="17" t="n">
        <f aca="false">AVERAGE(B1879:B1928)</f>
        <v>17290.4192</v>
      </c>
      <c r="E1928" s="17" t="n">
        <f aca="false">AVERAGE(B1729:B1928)</f>
        <v>15671.8094</v>
      </c>
      <c r="F1928" s="17" t="n">
        <f aca="false">B1928*2/13+F1927*11/13</f>
        <v>17912.311950008</v>
      </c>
      <c r="G1928" s="17" t="n">
        <f aca="false">B1928*2/27+G1927*25/27</f>
        <v>17686.3504527784</v>
      </c>
      <c r="H1928" s="17" t="n">
        <f aca="false">F1928-G1928</f>
        <v>225.961497229542</v>
      </c>
      <c r="I1928" s="17" t="n">
        <f aca="false">H1928*2/10+I1927*8/10</f>
        <v>216.754658290046</v>
      </c>
      <c r="J1928" s="17" t="n">
        <f aca="false">H1928-I1928</f>
        <v>9.20683893949632</v>
      </c>
      <c r="K1928" s="17" t="n">
        <f aca="false">MAX(B1928-B1927,0)</f>
        <v>259.060000000001</v>
      </c>
      <c r="L1928" s="17" t="n">
        <f aca="false">MAX(B1927-B1928,0)</f>
        <v>0</v>
      </c>
      <c r="M1928" s="17" t="n">
        <f aca="false">(M1927*13+K1928)/14</f>
        <v>96.2074609859916</v>
      </c>
      <c r="N1928" s="17" t="n">
        <f aca="false">(N1927*13+L1928)/14</f>
        <v>47.5162335129442</v>
      </c>
      <c r="O1928" s="17" t="n">
        <f aca="false">IF(N1928=0,100,100-100/(1+M1928/N1928))</f>
        <v>66.9391789025462</v>
      </c>
      <c r="P1928" s="17" t="n">
        <f aca="false">AVERAGE(B1909:B1928)+2*STDEV(B1909:B1928)</f>
        <v>18220.6148981635</v>
      </c>
      <c r="Q1928" s="17" t="n">
        <f aca="false">AVERAGE(B1909:B1928)-2*STDEV(B1909:B1928)</f>
        <v>17403.8371018366</v>
      </c>
      <c r="R1928" s="19" t="n">
        <f aca="false">B1928/B1908-1</f>
        <v>0.0552445097093004</v>
      </c>
      <c r="S1928" s="17" t="n">
        <f aca="false">STDEV(C1909:C1928)*SQRT(252)*100</f>
        <v>17.0100873020253</v>
      </c>
      <c r="T1928" s="19" t="n">
        <f aca="false">B1907/B1677-1</f>
        <v>0.422783309408902</v>
      </c>
      <c r="U1928" s="19" t="n">
        <f aca="false">B1928/MAX(B1677:B1928)-1</f>
        <v>0</v>
      </c>
      <c r="V1928" s="17" t="n">
        <f aca="false">(B1928-AVERAGE(B1909:B1928))/STDEV(B1909:B1928)</f>
        <v>2.40302320756823</v>
      </c>
    </row>
    <row r="1929" customFormat="false" ht="15" hidden="false" customHeight="false" outlineLevel="0" collapsed="false">
      <c r="A1929" s="17" t="s">
        <v>2493</v>
      </c>
      <c r="B1929" s="17" t="n">
        <v>18226.48</v>
      </c>
      <c r="C1929" s="19" t="n">
        <f aca="false">B1929/B1928-1</f>
        <v>-0.00417583870542992</v>
      </c>
      <c r="D1929" s="17" t="n">
        <f aca="false">AVERAGE(B1880:B1929)</f>
        <v>17318.7118</v>
      </c>
      <c r="E1929" s="17" t="n">
        <f aca="false">AVERAGE(B1730:B1929)</f>
        <v>15695.81175</v>
      </c>
      <c r="F1929" s="17" t="n">
        <f aca="false">B1929*2/13+F1928*11/13</f>
        <v>17960.6454961606</v>
      </c>
      <c r="G1929" s="17" t="n">
        <f aca="false">B1929*2/27+G1928*25/27</f>
        <v>17726.3600488689</v>
      </c>
      <c r="H1929" s="17" t="n">
        <f aca="false">F1929-G1929</f>
        <v>234.285447291677</v>
      </c>
      <c r="I1929" s="17" t="n">
        <f aca="false">H1929*2/10+I1928*8/10</f>
        <v>220.260816090372</v>
      </c>
      <c r="J1929" s="17" t="n">
        <f aca="false">H1929-I1929</f>
        <v>14.0246312013049</v>
      </c>
      <c r="K1929" s="17" t="n">
        <f aca="false">MAX(B1929-B1928,0)</f>
        <v>0</v>
      </c>
      <c r="L1929" s="17" t="n">
        <f aca="false">MAX(B1928-B1929,0)</f>
        <v>76.4300000000003</v>
      </c>
      <c r="M1929" s="17" t="n">
        <f aca="false">(M1928*13+K1929)/14</f>
        <v>89.3354994869922</v>
      </c>
      <c r="N1929" s="17" t="n">
        <f aca="false">(N1928*13+L1929)/14</f>
        <v>49.5815025477339</v>
      </c>
      <c r="O1929" s="17" t="n">
        <f aca="false">IF(N1929=0,100,100-100/(1+M1929/N1929))</f>
        <v>64.3085426394822</v>
      </c>
      <c r="P1929" s="17" t="n">
        <f aca="false">AVERAGE(B1910:B1929)+2*STDEV(B1910:B1929)</f>
        <v>18281.0428575406</v>
      </c>
      <c r="Q1929" s="17" t="n">
        <f aca="false">AVERAGE(B1910:B1929)-2*STDEV(B1910:B1929)</f>
        <v>17401.7841424594</v>
      </c>
      <c r="R1929" s="19" t="n">
        <f aca="false">B1929/B1909-1</f>
        <v>0.0330872829771809</v>
      </c>
      <c r="S1929" s="17" t="n">
        <f aca="false">STDEV(C1910:C1929)*SQRT(252)*100</f>
        <v>16.2798603260592</v>
      </c>
      <c r="T1929" s="19" t="n">
        <f aca="false">B1908/B1678-1</f>
        <v>0.411193403852147</v>
      </c>
      <c r="U1929" s="19" t="n">
        <f aca="false">B1929/MAX(B1678:B1929)-1</f>
        <v>-0.00417583870542992</v>
      </c>
      <c r="V1929" s="17" t="n">
        <f aca="false">(B1929-AVERAGE(B1910:B1929))/STDEV(B1910:B1929)</f>
        <v>1.75177791653469</v>
      </c>
    </row>
    <row r="1930" customFormat="false" ht="15" hidden="false" customHeight="false" outlineLevel="0" collapsed="false">
      <c r="A1930" s="17" t="s">
        <v>2494</v>
      </c>
      <c r="B1930" s="17" t="n">
        <v>17897.87</v>
      </c>
      <c r="C1930" s="19" t="n">
        <f aca="false">B1930/B1929-1</f>
        <v>-0.0180292629185669</v>
      </c>
      <c r="D1930" s="17" t="n">
        <f aca="false">AVERAGE(B1881:B1930)</f>
        <v>17345.586</v>
      </c>
      <c r="E1930" s="17" t="n">
        <f aca="false">AVERAGE(B1731:B1930)</f>
        <v>15717.3548</v>
      </c>
      <c r="F1930" s="17" t="n">
        <f aca="false">B1930*2/13+F1929*11/13</f>
        <v>17950.9877275205</v>
      </c>
      <c r="G1930" s="17" t="n">
        <f aca="false">B1930*2/27+G1929*25/27</f>
        <v>17739.0644896934</v>
      </c>
      <c r="H1930" s="17" t="n">
        <f aca="false">F1930-G1930</f>
        <v>211.923237827061</v>
      </c>
      <c r="I1930" s="17" t="n">
        <f aca="false">H1930*2/10+I1929*8/10</f>
        <v>218.59330043771</v>
      </c>
      <c r="J1930" s="17" t="n">
        <f aca="false">H1930-I1930</f>
        <v>-6.67006261064901</v>
      </c>
      <c r="K1930" s="17" t="n">
        <f aca="false">MAX(B1930-B1929,0)</f>
        <v>0</v>
      </c>
      <c r="L1930" s="17" t="n">
        <f aca="false">MAX(B1929-B1930,0)</f>
        <v>328.610000000001</v>
      </c>
      <c r="M1930" s="17" t="n">
        <f aca="false">(M1929*13+K1930)/14</f>
        <v>82.9543923807785</v>
      </c>
      <c r="N1930" s="17" t="n">
        <f aca="false">(N1929*13+L1930)/14</f>
        <v>69.5121095086101</v>
      </c>
      <c r="O1930" s="17" t="n">
        <f aca="false">IF(N1930=0,100,100-100/(1+M1930/N1930))</f>
        <v>54.4082741800952</v>
      </c>
      <c r="P1930" s="17" t="n">
        <f aca="false">AVERAGE(B1911:B1930)+2*STDEV(B1911:B1930)</f>
        <v>18282.3998002335</v>
      </c>
      <c r="Q1930" s="17" t="n">
        <f aca="false">AVERAGE(B1911:B1930)-2*STDEV(B1911:B1930)</f>
        <v>17428.9101997665</v>
      </c>
      <c r="R1930" s="19" t="n">
        <f aca="false">B1930/B1910-1</f>
        <v>0.0161715410854684</v>
      </c>
      <c r="S1930" s="17" t="n">
        <f aca="false">STDEV(C1911:C1930)*SQRT(252)*100</f>
        <v>17.6996257991831</v>
      </c>
      <c r="T1930" s="19" t="n">
        <f aca="false">B1909/B1679-1</f>
        <v>0.434079145017915</v>
      </c>
      <c r="U1930" s="19" t="n">
        <f aca="false">B1930/MAX(B1679:B1930)-1</f>
        <v>-0.0221298143300711</v>
      </c>
      <c r="V1930" s="17" t="n">
        <f aca="false">(B1930-AVERAGE(B1911:B1930))/STDEV(B1911:B1930)</f>
        <v>0.197846581736453</v>
      </c>
    </row>
    <row r="1931" customFormat="false" ht="15" hidden="false" customHeight="false" outlineLevel="0" collapsed="false">
      <c r="A1931" s="17" t="s">
        <v>2495</v>
      </c>
      <c r="B1931" s="17" t="n">
        <v>18017.57</v>
      </c>
      <c r="C1931" s="19" t="n">
        <f aca="false">B1931/B1930-1</f>
        <v>0.00668794666627925</v>
      </c>
      <c r="D1931" s="17" t="n">
        <f aca="false">AVERAGE(B1882:B1931)</f>
        <v>17370.7892</v>
      </c>
      <c r="E1931" s="17" t="n">
        <f aca="false">AVERAGE(B1732:B1931)</f>
        <v>15738.26955</v>
      </c>
      <c r="F1931" s="17" t="n">
        <f aca="false">B1931*2/13+F1930*11/13</f>
        <v>17961.2311540558</v>
      </c>
      <c r="G1931" s="17" t="n">
        <f aca="false">B1931*2/27+G1930*25/27</f>
        <v>17759.6945274939</v>
      </c>
      <c r="H1931" s="17" t="n">
        <f aca="false">F1931-G1931</f>
        <v>201.536626561883</v>
      </c>
      <c r="I1931" s="17" t="n">
        <f aca="false">H1931*2/10+I1930*8/10</f>
        <v>215.181965662544</v>
      </c>
      <c r="J1931" s="17" t="n">
        <f aca="false">H1931-I1931</f>
        <v>-13.6453391006613</v>
      </c>
      <c r="K1931" s="17" t="n">
        <f aca="false">MAX(B1931-B1930,0)</f>
        <v>119.700000000001</v>
      </c>
      <c r="L1931" s="17" t="n">
        <f aca="false">MAX(B1930-B1931,0)</f>
        <v>0</v>
      </c>
      <c r="M1931" s="17" t="n">
        <f aca="false">(M1930*13+K1931)/14</f>
        <v>85.5790786392943</v>
      </c>
      <c r="N1931" s="17" t="n">
        <f aca="false">(N1930*13+L1931)/14</f>
        <v>64.5469588294236</v>
      </c>
      <c r="O1931" s="17" t="n">
        <f aca="false">IF(N1931=0,100,100-100/(1+M1931/N1931))</f>
        <v>57.0048208040705</v>
      </c>
      <c r="P1931" s="17" t="n">
        <f aca="false">AVERAGE(B1912:B1931)+2*STDEV(B1912:B1931)</f>
        <v>18288.6225766695</v>
      </c>
      <c r="Q1931" s="17" t="n">
        <f aca="false">AVERAGE(B1912:B1931)-2*STDEV(B1912:B1931)</f>
        <v>17467.1714233305</v>
      </c>
      <c r="R1931" s="19" t="n">
        <f aca="false">B1931/B1911-1</f>
        <v>0.0253142226620451</v>
      </c>
      <c r="S1931" s="17" t="n">
        <f aca="false">STDEV(C1912:C1931)*SQRT(252)*100</f>
        <v>17.7744074823132</v>
      </c>
      <c r="T1931" s="19" t="n">
        <f aca="false">B1910/B1680-1</f>
        <v>0.449374062410253</v>
      </c>
      <c r="U1931" s="19" t="n">
        <f aca="false">B1931/MAX(B1680:B1931)-1</f>
        <v>-0.0155898706817659</v>
      </c>
      <c r="V1931" s="17" t="n">
        <f aca="false">(B1931-AVERAGE(B1912:B1931))/STDEV(B1912:B1931)</f>
        <v>0.680128085192884</v>
      </c>
    </row>
    <row r="1932" customFormat="false" ht="15" hidden="false" customHeight="false" outlineLevel="0" collapsed="false">
      <c r="A1932" s="17" t="s">
        <v>2496</v>
      </c>
      <c r="B1932" s="17" t="n">
        <v>18297.99</v>
      </c>
      <c r="C1932" s="19" t="n">
        <f aca="false">B1932/B1931-1</f>
        <v>0.0155636969913258</v>
      </c>
      <c r="D1932" s="17" t="n">
        <f aca="false">AVERAGE(B1883:B1932)</f>
        <v>17401.201</v>
      </c>
      <c r="E1932" s="17" t="n">
        <f aca="false">AVERAGE(B1733:B1932)</f>
        <v>15760.74205</v>
      </c>
      <c r="F1932" s="17" t="n">
        <f aca="false">B1932*2/13+F1931*11/13</f>
        <v>18013.040207278</v>
      </c>
      <c r="G1932" s="17" t="n">
        <f aca="false">B1932*2/27+G1931*25/27</f>
        <v>17799.5682661981</v>
      </c>
      <c r="H1932" s="17" t="n">
        <f aca="false">F1932-G1932</f>
        <v>213.471941079915</v>
      </c>
      <c r="I1932" s="17" t="n">
        <f aca="false">H1932*2/10+I1931*8/10</f>
        <v>214.839960746019</v>
      </c>
      <c r="J1932" s="17" t="n">
        <f aca="false">H1932-I1932</f>
        <v>-1.36801966610338</v>
      </c>
      <c r="K1932" s="17" t="n">
        <f aca="false">MAX(B1932-B1931,0)</f>
        <v>280.420000000002</v>
      </c>
      <c r="L1932" s="17" t="n">
        <f aca="false">MAX(B1931-B1932,0)</f>
        <v>0</v>
      </c>
      <c r="M1932" s="17" t="n">
        <f aca="false">(M1931*13+K1932)/14</f>
        <v>99.4962873079163</v>
      </c>
      <c r="N1932" s="17" t="n">
        <f aca="false">(N1931*13+L1932)/14</f>
        <v>59.9364617701791</v>
      </c>
      <c r="O1932" s="17" t="n">
        <f aca="false">IF(N1932=0,100,100-100/(1+M1932/N1932))</f>
        <v>62.4064302241817</v>
      </c>
      <c r="P1932" s="17" t="n">
        <f aca="false">AVERAGE(B1913:B1932)+2*STDEV(B1913:B1932)</f>
        <v>18351.7755049665</v>
      </c>
      <c r="Q1932" s="17" t="n">
        <f aca="false">AVERAGE(B1913:B1932)-2*STDEV(B1913:B1932)</f>
        <v>17458.3104950335</v>
      </c>
      <c r="R1932" s="19" t="n">
        <f aca="false">B1932/B1912-1</f>
        <v>0.0305783080551076</v>
      </c>
      <c r="S1932" s="17" t="n">
        <f aca="false">STDEV(C1913:C1932)*SQRT(252)*100</f>
        <v>18.2152567167341</v>
      </c>
      <c r="T1932" s="19" t="n">
        <f aca="false">B1911/B1681-1</f>
        <v>0.438580046548067</v>
      </c>
      <c r="U1932" s="19" t="n">
        <f aca="false">B1932/MAX(B1681:B1932)-1</f>
        <v>-0.000268809713865115</v>
      </c>
      <c r="V1932" s="17" t="n">
        <f aca="false">(B1932-AVERAGE(B1913:B1932))/STDEV(B1913:B1932)</f>
        <v>1.7592048737507</v>
      </c>
    </row>
    <row r="1933" customFormat="false" ht="15" hidden="false" customHeight="false" outlineLevel="0" collapsed="false">
      <c r="A1933" s="17" t="s">
        <v>2497</v>
      </c>
      <c r="B1933" s="17" t="n">
        <v>18018.45</v>
      </c>
      <c r="C1933" s="19" t="n">
        <f aca="false">B1933/B1932-1</f>
        <v>-0.0152770878112842</v>
      </c>
      <c r="D1933" s="17" t="n">
        <f aca="false">AVERAGE(B1884:B1933)</f>
        <v>17424.0008</v>
      </c>
      <c r="E1933" s="17" t="n">
        <f aca="false">AVERAGE(B1734:B1933)</f>
        <v>15781.5856</v>
      </c>
      <c r="F1933" s="17" t="n">
        <f aca="false">B1933*2/13+F1932*11/13</f>
        <v>18013.8724830814</v>
      </c>
      <c r="G1933" s="17" t="n">
        <f aca="false">B1933*2/27+G1932*25/27</f>
        <v>17815.7817279612</v>
      </c>
      <c r="H1933" s="17" t="n">
        <f aca="false">F1933-G1933</f>
        <v>198.0907551202</v>
      </c>
      <c r="I1933" s="17" t="n">
        <f aca="false">H1933*2/10+I1932*8/10</f>
        <v>211.490119620855</v>
      </c>
      <c r="J1933" s="17" t="n">
        <f aca="false">H1933-I1933</f>
        <v>-13.399364500655</v>
      </c>
      <c r="K1933" s="17" t="n">
        <f aca="false">MAX(B1933-B1932,0)</f>
        <v>0</v>
      </c>
      <c r="L1933" s="17" t="n">
        <f aca="false">MAX(B1932-B1933,0)</f>
        <v>279.540000000001</v>
      </c>
      <c r="M1933" s="17" t="n">
        <f aca="false">(M1932*13+K1933)/14</f>
        <v>92.3894096430651</v>
      </c>
      <c r="N1933" s="17" t="n">
        <f aca="false">(N1932*13+L1933)/14</f>
        <v>75.6224287865949</v>
      </c>
      <c r="O1933" s="17" t="n">
        <f aca="false">IF(N1933=0,100,100-100/(1+M1933/N1933))</f>
        <v>54.9898212569973</v>
      </c>
      <c r="P1933" s="17" t="n">
        <f aca="false">AVERAGE(B1914:B1933)+2*STDEV(B1914:B1933)</f>
        <v>18362.4165666128</v>
      </c>
      <c r="Q1933" s="17" t="n">
        <f aca="false">AVERAGE(B1914:B1933)-2*STDEV(B1914:B1933)</f>
        <v>17471.1974333872</v>
      </c>
      <c r="R1933" s="19" t="n">
        <f aca="false">B1933/B1913-1</f>
        <v>0.0132304870279034</v>
      </c>
      <c r="S1933" s="17" t="n">
        <f aca="false">STDEV(C1914:C1933)*SQRT(252)*100</f>
        <v>19.1716380075786</v>
      </c>
      <c r="T1933" s="19" t="n">
        <f aca="false">B1912/B1682-1</f>
        <v>0.480097333417807</v>
      </c>
      <c r="U1933" s="19" t="n">
        <f aca="false">B1933/MAX(B1682:B1933)-1</f>
        <v>-0.0155417908955461</v>
      </c>
      <c r="V1933" s="17" t="n">
        <f aca="false">(B1933-AVERAGE(B1914:B1933))/STDEV(B1914:B1933)</f>
        <v>0.456197566729177</v>
      </c>
    </row>
    <row r="1934" customFormat="false" ht="15" hidden="false" customHeight="false" outlineLevel="0" collapsed="false">
      <c r="A1934" s="17" t="s">
        <v>2498</v>
      </c>
      <c r="B1934" s="17" t="n">
        <v>17951.69</v>
      </c>
      <c r="C1934" s="19" t="n">
        <f aca="false">B1934/B1933-1</f>
        <v>-0.00370509117043927</v>
      </c>
      <c r="D1934" s="17" t="n">
        <f aca="false">AVERAGE(B1885:B1934)</f>
        <v>17444.8986</v>
      </c>
      <c r="E1934" s="17" t="n">
        <f aca="false">AVERAGE(B1735:B1934)</f>
        <v>15802.98135</v>
      </c>
      <c r="F1934" s="17" t="n">
        <f aca="false">B1934*2/13+F1933*11/13</f>
        <v>18004.3059472227</v>
      </c>
      <c r="G1934" s="17" t="n">
        <f aca="false">B1934*2/27+G1933*25/27</f>
        <v>17825.8490073715</v>
      </c>
      <c r="H1934" s="17" t="n">
        <f aca="false">F1934-G1934</f>
        <v>178.456939851243</v>
      </c>
      <c r="I1934" s="17" t="n">
        <f aca="false">H1934*2/10+I1933*8/10</f>
        <v>204.883483666933</v>
      </c>
      <c r="J1934" s="17" t="n">
        <f aca="false">H1934-I1934</f>
        <v>-26.4265438156895</v>
      </c>
      <c r="K1934" s="17" t="n">
        <f aca="false">MAX(B1934-B1933,0)</f>
        <v>0</v>
      </c>
      <c r="L1934" s="17" t="n">
        <f aca="false">MAX(B1933-B1934,0)</f>
        <v>66.760000000002</v>
      </c>
      <c r="M1934" s="17" t="n">
        <f aca="false">(M1933*13+K1934)/14</f>
        <v>85.7901660971319</v>
      </c>
      <c r="N1934" s="17" t="n">
        <f aca="false">(N1933*13+L1934)/14</f>
        <v>74.9893981589812</v>
      </c>
      <c r="O1934" s="17" t="n">
        <f aca="false">IF(N1934=0,100,100-100/(1+M1934/N1934))</f>
        <v>53.3588746144833</v>
      </c>
      <c r="P1934" s="17" t="n">
        <f aca="false">AVERAGE(B1915:B1934)+2*STDEV(B1915:B1934)</f>
        <v>18361.6753466288</v>
      </c>
      <c r="Q1934" s="17" t="n">
        <f aca="false">AVERAGE(B1915:B1934)-2*STDEV(B1915:B1934)</f>
        <v>17470.8666533712</v>
      </c>
      <c r="R1934" s="19" t="n">
        <f aca="false">B1934/B1914-1</f>
        <v>-0.000596801876808328</v>
      </c>
      <c r="S1934" s="17" t="n">
        <f aca="false">STDEV(C1915:C1934)*SQRT(252)*100</f>
        <v>18.9022289127179</v>
      </c>
      <c r="T1934" s="19" t="n">
        <f aca="false">B1913/B1683-1</f>
        <v>0.503190964203721</v>
      </c>
      <c r="U1934" s="19" t="n">
        <f aca="false">B1934/MAX(B1683:B1934)-1</f>
        <v>-0.0191892983137655</v>
      </c>
      <c r="V1934" s="17" t="n">
        <f aca="false">(B1934-AVERAGE(B1915:B1934))/STDEV(B1915:B1934)</f>
        <v>0.159042004273567</v>
      </c>
    </row>
    <row r="1935" customFormat="false" ht="15" hidden="false" customHeight="false" outlineLevel="0" collapsed="false">
      <c r="A1935" s="17" t="s">
        <v>2499</v>
      </c>
      <c r="B1935" s="17" t="n">
        <v>18219.11</v>
      </c>
      <c r="C1935" s="19" t="n">
        <f aca="false">B1935/B1934-1</f>
        <v>0.0148966476136789</v>
      </c>
      <c r="D1935" s="17" t="n">
        <f aca="false">AVERAGE(B1886:B1935)</f>
        <v>17471.3114</v>
      </c>
      <c r="E1935" s="17" t="n">
        <f aca="false">AVERAGE(B1736:B1935)</f>
        <v>15826.0545</v>
      </c>
      <c r="F1935" s="17" t="n">
        <f aca="false">B1935*2/13+F1934*11/13</f>
        <v>18037.3527245731</v>
      </c>
      <c r="G1935" s="17" t="n">
        <f aca="false">B1935*2/27+G1934*25/27</f>
        <v>17854.9794512699</v>
      </c>
      <c r="H1935" s="17" t="n">
        <f aca="false">F1935-G1935</f>
        <v>182.373273303187</v>
      </c>
      <c r="I1935" s="17" t="n">
        <f aca="false">H1935*2/10+I1934*8/10</f>
        <v>200.381441594183</v>
      </c>
      <c r="J1935" s="17" t="n">
        <f aca="false">H1935-I1935</f>
        <v>-18.0081682909968</v>
      </c>
      <c r="K1935" s="17" t="n">
        <f aca="false">MAX(B1935-B1934,0)</f>
        <v>267.420000000002</v>
      </c>
      <c r="L1935" s="17" t="n">
        <f aca="false">MAX(B1934-B1935,0)</f>
        <v>0</v>
      </c>
      <c r="M1935" s="17" t="n">
        <f aca="false">(M1934*13+K1935)/14</f>
        <v>98.7637256616226</v>
      </c>
      <c r="N1935" s="17" t="n">
        <f aca="false">(N1934*13+L1935)/14</f>
        <v>69.6330125761968</v>
      </c>
      <c r="O1935" s="17" t="n">
        <f aca="false">IF(N1935=0,100,100-100/(1+M1935/N1935))</f>
        <v>58.6494291368892</v>
      </c>
      <c r="P1935" s="17" t="n">
        <f aca="false">AVERAGE(B1916:B1935)+2*STDEV(B1916:B1935)</f>
        <v>18398.1346939773</v>
      </c>
      <c r="Q1935" s="17" t="n">
        <f aca="false">AVERAGE(B1916:B1935)-2*STDEV(B1916:B1935)</f>
        <v>17468.0523060227</v>
      </c>
      <c r="R1935" s="19" t="n">
        <f aca="false">B1935/B1915-1</f>
        <v>0.0188143150963001</v>
      </c>
      <c r="S1935" s="17" t="n">
        <f aca="false">STDEV(C1916:C1935)*SQRT(252)*100</f>
        <v>19.5305402108479</v>
      </c>
      <c r="T1935" s="19" t="n">
        <f aca="false">B1914/B1684-1</f>
        <v>0.506512949156978</v>
      </c>
      <c r="U1935" s="19" t="n">
        <f aca="false">B1935/MAX(B1684:B1935)-1</f>
        <v>-0.0045785069150206</v>
      </c>
      <c r="V1935" s="17" t="n">
        <f aca="false">(B1935-AVERAGE(B1916:B1935))/STDEV(B1916:B1935)</f>
        <v>1.23006952375058</v>
      </c>
    </row>
    <row r="1936" customFormat="false" ht="15" hidden="false" customHeight="false" outlineLevel="0" collapsed="false">
      <c r="A1936" s="17" t="s">
        <v>2500</v>
      </c>
      <c r="B1936" s="17" t="n">
        <v>18068.47</v>
      </c>
      <c r="C1936" s="19" t="n">
        <f aca="false">B1936/B1935-1</f>
        <v>-0.00826824142342841</v>
      </c>
      <c r="D1936" s="17" t="n">
        <f aca="false">AVERAGE(B1887:B1936)</f>
        <v>17496.1622</v>
      </c>
      <c r="E1936" s="17" t="n">
        <f aca="false">AVERAGE(B1737:B1936)</f>
        <v>15846.7042</v>
      </c>
      <c r="F1936" s="17" t="n">
        <f aca="false">B1936*2/13+F1935*11/13</f>
        <v>18042.1399977157</v>
      </c>
      <c r="G1936" s="17" t="n">
        <f aca="false">B1936*2/27+G1935*25/27</f>
        <v>17870.7935659906</v>
      </c>
      <c r="H1936" s="17" t="n">
        <f aca="false">F1936-G1936</f>
        <v>171.346431725044</v>
      </c>
      <c r="I1936" s="17" t="n">
        <f aca="false">H1936*2/10+I1935*8/10</f>
        <v>194.574439620355</v>
      </c>
      <c r="J1936" s="17" t="n">
        <f aca="false">H1936-I1936</f>
        <v>-23.2280078953117</v>
      </c>
      <c r="K1936" s="17" t="n">
        <f aca="false">MAX(B1936-B1935,0)</f>
        <v>0</v>
      </c>
      <c r="L1936" s="17" t="n">
        <f aca="false">MAX(B1935-B1936,0)</f>
        <v>150.639999999999</v>
      </c>
      <c r="M1936" s="17" t="n">
        <f aca="false">(M1935*13+K1936)/14</f>
        <v>91.7091738286496</v>
      </c>
      <c r="N1936" s="17" t="n">
        <f aca="false">(N1935*13+L1936)/14</f>
        <v>75.4192259636113</v>
      </c>
      <c r="O1936" s="17" t="n">
        <f aca="false">IF(N1936=0,100,100-100/(1+M1936/N1936))</f>
        <v>54.8734828686467</v>
      </c>
      <c r="P1936" s="17" t="n">
        <f aca="false">AVERAGE(B1917:B1936)+2*STDEV(B1917:B1936)</f>
        <v>18397.5359985393</v>
      </c>
      <c r="Q1936" s="17" t="n">
        <f aca="false">AVERAGE(B1917:B1936)-2*STDEV(B1917:B1936)</f>
        <v>17515.4560014607</v>
      </c>
      <c r="R1936" s="19" t="n">
        <f aca="false">B1936/B1916-1</f>
        <v>0.0265931153915646</v>
      </c>
      <c r="S1936" s="17" t="n">
        <f aca="false">STDEV(C1917:C1936)*SQRT(252)*100</f>
        <v>18.843963804488</v>
      </c>
      <c r="T1936" s="19" t="n">
        <f aca="false">B1915/B1685-1</f>
        <v>0.465817034555513</v>
      </c>
      <c r="U1936" s="19" t="n">
        <f aca="false">B1936/MAX(B1685:B1936)-1</f>
        <v>-0.0128088921379168</v>
      </c>
      <c r="V1936" s="17" t="n">
        <f aca="false">(B1936-AVERAGE(B1917:B1936))/STDEV(B1917:B1936)</f>
        <v>0.507772539319989</v>
      </c>
    </row>
    <row r="1937" customFormat="false" ht="15" hidden="false" customHeight="false" outlineLevel="0" collapsed="false">
      <c r="A1937" s="17" t="s">
        <v>2501</v>
      </c>
      <c r="B1937" s="17" t="n">
        <v>18014.81</v>
      </c>
      <c r="C1937" s="19" t="n">
        <f aca="false">B1937/B1936-1</f>
        <v>-0.00296981426761644</v>
      </c>
      <c r="D1937" s="17" t="n">
        <f aca="false">AVERAGE(B1888:B1937)</f>
        <v>17525.5796</v>
      </c>
      <c r="E1937" s="17" t="n">
        <f aca="false">AVERAGE(B1738:B1937)</f>
        <v>15865.2862</v>
      </c>
      <c r="F1937" s="17" t="n">
        <f aca="false">B1937*2/13+F1936*11/13</f>
        <v>18037.9353826825</v>
      </c>
      <c r="G1937" s="17" t="n">
        <f aca="false">B1937*2/27+G1936*25/27</f>
        <v>17881.4614499913</v>
      </c>
      <c r="H1937" s="17" t="n">
        <f aca="false">F1937-G1937</f>
        <v>156.473932691169</v>
      </c>
      <c r="I1937" s="17" t="n">
        <f aca="false">H1937*2/10+I1936*8/10</f>
        <v>186.954338234518</v>
      </c>
      <c r="J1937" s="17" t="n">
        <f aca="false">H1937-I1937</f>
        <v>-30.4804055433488</v>
      </c>
      <c r="K1937" s="17" t="n">
        <f aca="false">MAX(B1937-B1936,0)</f>
        <v>0</v>
      </c>
      <c r="L1937" s="17" t="n">
        <f aca="false">MAX(B1936-B1937,0)</f>
        <v>53.6599999999999</v>
      </c>
      <c r="M1937" s="17" t="n">
        <f aca="false">(M1936*13+K1937)/14</f>
        <v>85.1585185551746</v>
      </c>
      <c r="N1937" s="17" t="n">
        <f aca="false">(N1936*13+L1937)/14</f>
        <v>73.864995537639</v>
      </c>
      <c r="O1937" s="17" t="n">
        <f aca="false">IF(N1937=0,100,100-100/(1+M1937/N1937))</f>
        <v>53.5508971996884</v>
      </c>
      <c r="P1937" s="17" t="n">
        <f aca="false">AVERAGE(B1918:B1937)+2*STDEV(B1918:B1937)</f>
        <v>18402.8766292317</v>
      </c>
      <c r="Q1937" s="17" t="n">
        <f aca="false">AVERAGE(B1918:B1937)-2*STDEV(B1918:B1937)</f>
        <v>17530.8333707683</v>
      </c>
      <c r="R1937" s="19" t="n">
        <f aca="false">B1937/B1917-1</f>
        <v>0.0116343387637772</v>
      </c>
      <c r="S1937" s="17" t="n">
        <f aca="false">STDEV(C1918:C1937)*SQRT(252)*100</f>
        <v>18.4888016933084</v>
      </c>
      <c r="T1937" s="19" t="n">
        <f aca="false">B1916/B1686-1</f>
        <v>0.436614177084592</v>
      </c>
      <c r="U1937" s="19" t="n">
        <f aca="false">B1937/MAX(B1686:B1937)-1</f>
        <v>-0.0157406663749097</v>
      </c>
      <c r="V1937" s="17" t="n">
        <f aca="false">(B1937-AVERAGE(B1918:B1937))/STDEV(B1918:B1937)</f>
        <v>0.219966152066805</v>
      </c>
    </row>
    <row r="1938" customFormat="false" ht="15" hidden="false" customHeight="false" outlineLevel="0" collapsed="false">
      <c r="A1938" s="17" t="s">
        <v>2502</v>
      </c>
      <c r="B1938" s="17" t="n">
        <v>17808.25</v>
      </c>
      <c r="C1938" s="19" t="n">
        <f aca="false">B1938/B1937-1</f>
        <v>-0.0114661214856</v>
      </c>
      <c r="D1938" s="17" t="n">
        <f aca="false">AVERAGE(B1889:B1938)</f>
        <v>17554.3748</v>
      </c>
      <c r="E1938" s="17" t="n">
        <f aca="false">AVERAGE(B1739:B1938)</f>
        <v>15882.5525</v>
      </c>
      <c r="F1938" s="17" t="n">
        <f aca="false">B1938*2/13+F1937*11/13</f>
        <v>18002.5991699621</v>
      </c>
      <c r="G1938" s="17" t="n">
        <f aca="false">B1938*2/27+G1937*25/27</f>
        <v>17876.0383796216</v>
      </c>
      <c r="H1938" s="17" t="n">
        <f aca="false">F1938-G1938</f>
        <v>126.560790340514</v>
      </c>
      <c r="I1938" s="17" t="n">
        <f aca="false">H1938*2/10+I1937*8/10</f>
        <v>174.875628655717</v>
      </c>
      <c r="J1938" s="17" t="n">
        <f aca="false">H1938-I1938</f>
        <v>-48.3148383152031</v>
      </c>
      <c r="K1938" s="17" t="n">
        <f aca="false">MAX(B1938-B1937,0)</f>
        <v>0</v>
      </c>
      <c r="L1938" s="17" t="n">
        <f aca="false">MAX(B1937-B1938,0)</f>
        <v>206.560000000001</v>
      </c>
      <c r="M1938" s="17" t="n">
        <f aca="false">(M1937*13+K1938)/14</f>
        <v>79.075767229805</v>
      </c>
      <c r="N1938" s="17" t="n">
        <f aca="false">(N1937*13+L1938)/14</f>
        <v>83.3432101420935</v>
      </c>
      <c r="O1938" s="17" t="n">
        <f aca="false">IF(N1938=0,100,100-100/(1+M1938/N1938))</f>
        <v>48.686285623349</v>
      </c>
      <c r="P1938" s="17" t="n">
        <f aca="false">AVERAGE(B1919:B1938)+2*STDEV(B1919:B1938)</f>
        <v>18403.5094798443</v>
      </c>
      <c r="Q1938" s="17" t="n">
        <f aca="false">AVERAGE(B1919:B1938)-2*STDEV(B1919:B1938)</f>
        <v>17526.4535201557</v>
      </c>
      <c r="R1938" s="19" t="n">
        <f aca="false">B1938/B1918-1</f>
        <v>-0.00209966311249987</v>
      </c>
      <c r="S1938" s="17" t="n">
        <f aca="false">STDEV(C1919:C1938)*SQRT(252)*100</f>
        <v>18.9672819502034</v>
      </c>
      <c r="T1938" s="19" t="n">
        <f aca="false">B1917/B1687-1</f>
        <v>0.415394483439429</v>
      </c>
      <c r="U1938" s="19" t="n">
        <f aca="false">B1938/MAX(B1687:B1938)-1</f>
        <v>-0.0270263034675907</v>
      </c>
      <c r="V1938" s="17" t="n">
        <f aca="false">(B1938-AVERAGE(B1919:B1938))/STDEV(B1919:B1938)</f>
        <v>-0.71480729715651</v>
      </c>
    </row>
    <row r="1939" customFormat="false" ht="15" hidden="false" customHeight="false" outlineLevel="0" collapsed="false">
      <c r="A1939" s="17" t="s">
        <v>2503</v>
      </c>
      <c r="B1939" s="17" t="n">
        <v>17985.01</v>
      </c>
      <c r="C1939" s="19" t="n">
        <f aca="false">B1939/B1938-1</f>
        <v>0.00992573666699403</v>
      </c>
      <c r="D1939" s="17" t="n">
        <f aca="false">AVERAGE(B1890:B1939)</f>
        <v>17588.4348</v>
      </c>
      <c r="E1939" s="17" t="n">
        <f aca="false">AVERAGE(B1740:B1939)</f>
        <v>15901.2071</v>
      </c>
      <c r="F1939" s="17" t="n">
        <f aca="false">B1939*2/13+F1938*11/13</f>
        <v>17999.8931438141</v>
      </c>
      <c r="G1939" s="17" t="n">
        <f aca="false">B1939*2/27+G1938*25/27</f>
        <v>17884.1103515015</v>
      </c>
      <c r="H1939" s="17" t="n">
        <f aca="false">F1939-G1939</f>
        <v>115.782792312617</v>
      </c>
      <c r="I1939" s="17" t="n">
        <f aca="false">H1939*2/10+I1938*8/10</f>
        <v>163.057061387097</v>
      </c>
      <c r="J1939" s="17" t="n">
        <f aca="false">H1939-I1939</f>
        <v>-47.2742690744804</v>
      </c>
      <c r="K1939" s="17" t="n">
        <f aca="false">MAX(B1939-B1938,0)</f>
        <v>176.759999999998</v>
      </c>
      <c r="L1939" s="17" t="n">
        <f aca="false">MAX(B1938-B1939,0)</f>
        <v>0</v>
      </c>
      <c r="M1939" s="17" t="n">
        <f aca="false">(M1938*13+K1939)/14</f>
        <v>86.0532124276759</v>
      </c>
      <c r="N1939" s="17" t="n">
        <f aca="false">(N1938*13+L1939)/14</f>
        <v>77.3901237033725</v>
      </c>
      <c r="O1939" s="17" t="n">
        <f aca="false">IF(N1939=0,100,100-100/(1+M1939/N1939))</f>
        <v>52.6501810747908</v>
      </c>
      <c r="P1939" s="17" t="n">
        <f aca="false">AVERAGE(B1920:B1939)+2*STDEV(B1920:B1939)</f>
        <v>18398.3373888821</v>
      </c>
      <c r="Q1939" s="17" t="n">
        <f aca="false">AVERAGE(B1920:B1939)-2*STDEV(B1920:B1939)</f>
        <v>17561.5286111179</v>
      </c>
      <c r="R1939" s="19" t="n">
        <f aca="false">B1939/B1919-1</f>
        <v>0.0169077427431219</v>
      </c>
      <c r="S1939" s="17" t="n">
        <f aca="false">STDEV(C1920:C1939)*SQRT(252)*100</f>
        <v>18.9742833990402</v>
      </c>
      <c r="T1939" s="19" t="n">
        <f aca="false">B1918/B1688-1</f>
        <v>0.425390658696409</v>
      </c>
      <c r="U1939" s="19" t="n">
        <f aca="false">B1939/MAX(B1688:B1939)-1</f>
        <v>-0.0173688227718981</v>
      </c>
      <c r="V1939" s="17" t="n">
        <f aca="false">(B1939-AVERAGE(B1920:B1939))/STDEV(B1920:B1939)</f>
        <v>0.0242683878798028</v>
      </c>
    </row>
    <row r="1940" customFormat="false" ht="15" hidden="false" customHeight="false" outlineLevel="0" collapsed="false">
      <c r="A1940" s="17" t="s">
        <v>2504</v>
      </c>
      <c r="B1940" s="17" t="n">
        <v>18032.2</v>
      </c>
      <c r="C1940" s="19" t="n">
        <f aca="false">B1940/B1939-1</f>
        <v>0.00262385175209823</v>
      </c>
      <c r="D1940" s="17" t="n">
        <f aca="false">AVERAGE(B1891:B1940)</f>
        <v>17622.9592</v>
      </c>
      <c r="E1940" s="17" t="n">
        <f aca="false">AVERAGE(B1741:B1940)</f>
        <v>15919.16055</v>
      </c>
      <c r="F1940" s="17" t="n">
        <f aca="false">B1940*2/13+F1939*11/13</f>
        <v>18004.8634293812</v>
      </c>
      <c r="G1940" s="17" t="n">
        <f aca="false">B1940*2/27+G1939*25/27</f>
        <v>17895.079955094</v>
      </c>
      <c r="H1940" s="17" t="n">
        <f aca="false">F1940-G1940</f>
        <v>109.783474287196</v>
      </c>
      <c r="I1940" s="17" t="n">
        <f aca="false">H1940*2/10+I1939*8/10</f>
        <v>152.402343967117</v>
      </c>
      <c r="J1940" s="17" t="n">
        <f aca="false">H1940-I1940</f>
        <v>-42.6188696799207</v>
      </c>
      <c r="K1940" s="17" t="n">
        <f aca="false">MAX(B1940-B1939,0)</f>
        <v>47.1900000000023</v>
      </c>
      <c r="L1940" s="17" t="n">
        <f aca="false">MAX(B1939-B1940,0)</f>
        <v>0</v>
      </c>
      <c r="M1940" s="17" t="n">
        <f aca="false">(M1939*13+K1940)/14</f>
        <v>83.2772686828421</v>
      </c>
      <c r="N1940" s="17" t="n">
        <f aca="false">(N1939*13+L1940)/14</f>
        <v>71.8622577245602</v>
      </c>
      <c r="O1940" s="17" t="n">
        <f aca="false">IF(N1940=0,100,100-100/(1+M1940/N1940))</f>
        <v>53.6789499177359</v>
      </c>
      <c r="P1940" s="17" t="n">
        <f aca="false">AVERAGE(B1921:B1940)+2*STDEV(B1921:B1940)</f>
        <v>18369.6510213795</v>
      </c>
      <c r="Q1940" s="17" t="n">
        <f aca="false">AVERAGE(B1921:B1940)-2*STDEV(B1921:B1940)</f>
        <v>17638.8249786205</v>
      </c>
      <c r="R1940" s="19" t="n">
        <f aca="false">B1940/B1920-1</f>
        <v>0.0277041621784899</v>
      </c>
      <c r="S1940" s="17" t="n">
        <f aca="false">STDEV(C1921:C1940)*SQRT(252)*100</f>
        <v>18.6915066425592</v>
      </c>
      <c r="T1940" s="19" t="n">
        <f aca="false">B1919/B1689-1</f>
        <v>0.407826876739786</v>
      </c>
      <c r="U1940" s="19" t="n">
        <f aca="false">B1940/MAX(B1689:B1940)-1</f>
        <v>-0.0147905442358619</v>
      </c>
      <c r="V1940" s="17" t="n">
        <f aca="false">(B1940-AVERAGE(B1921:B1940))/STDEV(B1921:B1940)</f>
        <v>0.153043259895003</v>
      </c>
    </row>
    <row r="1941" customFormat="false" ht="15" hidden="false" customHeight="false" outlineLevel="0" collapsed="false">
      <c r="A1941" s="17" t="s">
        <v>2505</v>
      </c>
      <c r="B1941" s="17" t="n">
        <v>18240.11</v>
      </c>
      <c r="C1941" s="19" t="n">
        <f aca="false">B1941/B1940-1</f>
        <v>0.0115299297922604</v>
      </c>
      <c r="D1941" s="17" t="n">
        <f aca="false">AVERAGE(B1892:B1941)</f>
        <v>17654.764</v>
      </c>
      <c r="E1941" s="17" t="n">
        <f aca="false">AVERAGE(B1742:B1941)</f>
        <v>15937.6279</v>
      </c>
      <c r="F1941" s="17" t="n">
        <f aca="false">B1941*2/13+F1940*11/13</f>
        <v>18041.0552094764</v>
      </c>
      <c r="G1941" s="17" t="n">
        <f aca="false">B1941*2/27+G1940*25/27</f>
        <v>17920.6377361981</v>
      </c>
      <c r="H1941" s="17" t="n">
        <f aca="false">F1941-G1941</f>
        <v>120.417473278252</v>
      </c>
      <c r="I1941" s="17" t="n">
        <f aca="false">H1941*2/10+I1940*8/10</f>
        <v>146.005369829344</v>
      </c>
      <c r="J1941" s="17" t="n">
        <f aca="false">H1941-I1941</f>
        <v>-25.587896551092</v>
      </c>
      <c r="K1941" s="17" t="n">
        <f aca="false">MAX(B1941-B1940,0)</f>
        <v>207.91</v>
      </c>
      <c r="L1941" s="17" t="n">
        <f aca="false">MAX(B1940-B1941,0)</f>
        <v>0</v>
      </c>
      <c r="M1941" s="17" t="n">
        <f aca="false">(M1940*13+K1941)/14</f>
        <v>92.1796066340677</v>
      </c>
      <c r="N1941" s="17" t="n">
        <f aca="false">(N1940*13+L1941)/14</f>
        <v>66.729239315663</v>
      </c>
      <c r="O1941" s="17" t="n">
        <f aca="false">IF(N1941=0,100,100-100/(1+M1941/N1941))</f>
        <v>58.0078510312936</v>
      </c>
      <c r="P1941" s="17" t="n">
        <f aca="false">AVERAGE(B1922:B1941)+2*STDEV(B1922:B1941)</f>
        <v>18326.9756691444</v>
      </c>
      <c r="Q1941" s="17" t="n">
        <f aca="false">AVERAGE(B1922:B1941)-2*STDEV(B1922:B1941)</f>
        <v>17757.6203308556</v>
      </c>
      <c r="R1941" s="19" t="n">
        <f aca="false">B1941/B1921-1</f>
        <v>0.043549626378304</v>
      </c>
      <c r="S1941" s="17" t="n">
        <f aca="false">STDEV(C1922:C1941)*SQRT(252)*100</f>
        <v>18.9118333660826</v>
      </c>
      <c r="T1941" s="19" t="n">
        <f aca="false">B1920/B1690-1</f>
        <v>0.377089245799533</v>
      </c>
      <c r="U1941" s="19" t="n">
        <f aca="false">B1941/MAX(B1690:B1941)-1</f>
        <v>-0.00343114838023018</v>
      </c>
      <c r="V1941" s="17" t="n">
        <f aca="false">(B1941-AVERAGE(B1922:B1941))/STDEV(B1922:B1941)</f>
        <v>1.38972614602712</v>
      </c>
    </row>
    <row r="1942" customFormat="false" ht="15" hidden="false" customHeight="false" outlineLevel="0" collapsed="false">
      <c r="A1942" s="17" t="s">
        <v>2506</v>
      </c>
      <c r="B1942" s="17" t="n">
        <v>18320.38</v>
      </c>
      <c r="C1942" s="19" t="n">
        <f aca="false">B1942/B1941-1</f>
        <v>0.00440074100430321</v>
      </c>
      <c r="D1942" s="17" t="n">
        <f aca="false">AVERAGE(B1893:B1942)</f>
        <v>17687.5976</v>
      </c>
      <c r="E1942" s="17" t="n">
        <f aca="false">AVERAGE(B1743:B1942)</f>
        <v>15956.4473</v>
      </c>
      <c r="F1942" s="17" t="n">
        <f aca="false">B1942*2/13+F1941*11/13</f>
        <v>18084.0282541723</v>
      </c>
      <c r="G1942" s="17" t="n">
        <f aca="false">B1942*2/27+G1941*25/27</f>
        <v>17950.2482742575</v>
      </c>
      <c r="H1942" s="17" t="n">
        <f aca="false">F1942-G1942</f>
        <v>133.779979914798</v>
      </c>
      <c r="I1942" s="17" t="n">
        <f aca="false">H1942*2/10+I1941*8/10</f>
        <v>143.560291846435</v>
      </c>
      <c r="J1942" s="17" t="n">
        <f aca="false">H1942-I1942</f>
        <v>-9.78031193163702</v>
      </c>
      <c r="K1942" s="17" t="n">
        <f aca="false">MAX(B1942-B1941,0)</f>
        <v>80.2700000000004</v>
      </c>
      <c r="L1942" s="17" t="n">
        <f aca="false">MAX(B1941-B1942,0)</f>
        <v>0</v>
      </c>
      <c r="M1942" s="17" t="n">
        <f aca="false">(M1941*13+K1942)/14</f>
        <v>91.32892044592</v>
      </c>
      <c r="N1942" s="17" t="n">
        <f aca="false">(N1941*13+L1942)/14</f>
        <v>61.96286507883</v>
      </c>
      <c r="O1942" s="17" t="n">
        <f aca="false">IF(N1942=0,100,100-100/(1+M1942/N1942))</f>
        <v>59.578483043486</v>
      </c>
      <c r="P1942" s="17" t="n">
        <f aca="false">AVERAGE(B1923:B1942)+2*STDEV(B1923:B1942)</f>
        <v>18367.8798385708</v>
      </c>
      <c r="Q1942" s="17" t="n">
        <f aca="false">AVERAGE(B1923:B1942)-2*STDEV(B1923:B1942)</f>
        <v>17748.2841614292</v>
      </c>
      <c r="R1942" s="19" t="n">
        <f aca="false">B1942/B1922-1</f>
        <v>0.017533199664532</v>
      </c>
      <c r="S1942" s="17" t="n">
        <f aca="false">STDEV(C1923:C1942)*SQRT(252)*100</f>
        <v>15.8375324970332</v>
      </c>
      <c r="T1942" s="19" t="n">
        <f aca="false">B1921/B1691-1</f>
        <v>0.390841201067863</v>
      </c>
      <c r="U1942" s="19" t="n">
        <f aca="false">B1942/MAX(B1691:B1942)-1</f>
        <v>0</v>
      </c>
      <c r="V1942" s="17" t="n">
        <f aca="false">(B1942-AVERAGE(B1923:B1942))/STDEV(B1923:B1942)</f>
        <v>1.69334945143608</v>
      </c>
    </row>
    <row r="1943" customFormat="false" ht="15" hidden="false" customHeight="false" outlineLevel="0" collapsed="false">
      <c r="A1943" s="17" t="s">
        <v>2507</v>
      </c>
      <c r="B1943" s="17" t="n">
        <v>18339.44</v>
      </c>
      <c r="C1943" s="19" t="n">
        <f aca="false">B1943/B1942-1</f>
        <v>0.00104037143334357</v>
      </c>
      <c r="D1943" s="17" t="n">
        <f aca="false">AVERAGE(B1894:B1943)</f>
        <v>17718.5254</v>
      </c>
      <c r="E1943" s="17" t="n">
        <f aca="false">AVERAGE(B1744:B1943)</f>
        <v>15975.35405</v>
      </c>
      <c r="F1943" s="17" t="n">
        <f aca="false">B1943*2/13+F1942*11/13</f>
        <v>18123.322368915</v>
      </c>
      <c r="G1943" s="17" t="n">
        <f aca="false">B1943*2/27+G1942*25/27</f>
        <v>17979.0772909792</v>
      </c>
      <c r="H1943" s="17" t="n">
        <f aca="false">F1943-G1943</f>
        <v>144.245077935851</v>
      </c>
      <c r="I1943" s="17" t="n">
        <f aca="false">H1943*2/10+I1942*8/10</f>
        <v>143.697249064318</v>
      </c>
      <c r="J1943" s="17" t="n">
        <f aca="false">H1943-I1943</f>
        <v>0.547828871533227</v>
      </c>
      <c r="K1943" s="17" t="n">
        <f aca="false">MAX(B1943-B1942,0)</f>
        <v>19.0599999999977</v>
      </c>
      <c r="L1943" s="17" t="n">
        <f aca="false">MAX(B1942-B1943,0)</f>
        <v>0</v>
      </c>
      <c r="M1943" s="17" t="n">
        <f aca="false">(M1942*13+K1943)/14</f>
        <v>86.1668546997827</v>
      </c>
      <c r="N1943" s="17" t="n">
        <f aca="false">(N1942*13+L1943)/14</f>
        <v>57.5369461446278</v>
      </c>
      <c r="O1943" s="17" t="n">
        <f aca="false">IF(N1943=0,100,100-100/(1+M1943/N1943))</f>
        <v>59.9614305212959</v>
      </c>
      <c r="P1943" s="17" t="n">
        <f aca="false">AVERAGE(B1924:B1943)+2*STDEV(B1924:B1943)</f>
        <v>18406.6325121525</v>
      </c>
      <c r="Q1943" s="17" t="n">
        <f aca="false">AVERAGE(B1924:B1943)-2*STDEV(B1924:B1943)</f>
        <v>17749.7144878475</v>
      </c>
      <c r="R1943" s="19" t="n">
        <f aca="false">B1943/B1923-1</f>
        <v>0.0224015350986</v>
      </c>
      <c r="S1943" s="17" t="n">
        <f aca="false">STDEV(C1924:C1943)*SQRT(252)*100</f>
        <v>15.7422873318096</v>
      </c>
      <c r="T1943" s="19" t="n">
        <f aca="false">B1922/B1692-1</f>
        <v>0.414437479721869</v>
      </c>
      <c r="U1943" s="19" t="n">
        <f aca="false">B1943/MAX(B1692:B1943)-1</f>
        <v>0</v>
      </c>
      <c r="V1943" s="17" t="n">
        <f aca="false">(B1943-AVERAGE(B1924:B1943))/STDEV(B1924:B1943)</f>
        <v>1.59086211876373</v>
      </c>
    </row>
    <row r="1944" customFormat="false" ht="15" hidden="false" customHeight="false" outlineLevel="0" collapsed="false">
      <c r="A1944" s="17" t="s">
        <v>2508</v>
      </c>
      <c r="B1944" s="17" t="n">
        <v>18277.06</v>
      </c>
      <c r="C1944" s="19" t="n">
        <f aca="false">B1944/B1943-1</f>
        <v>-0.00340141247497183</v>
      </c>
      <c r="D1944" s="17" t="n">
        <f aca="false">AVERAGE(B1895:B1944)</f>
        <v>17747.6486</v>
      </c>
      <c r="E1944" s="17" t="n">
        <f aca="false">AVERAGE(B1745:B1944)</f>
        <v>15995.2229</v>
      </c>
      <c r="F1944" s="17" t="n">
        <f aca="false">B1944*2/13+F1943*11/13</f>
        <v>18146.9743121589</v>
      </c>
      <c r="G1944" s="17" t="n">
        <f aca="false">B1944*2/27+G1943*25/27</f>
        <v>18001.15008424</v>
      </c>
      <c r="H1944" s="17" t="n">
        <f aca="false">F1944-G1944</f>
        <v>145.824227918893</v>
      </c>
      <c r="I1944" s="17" t="n">
        <f aca="false">H1944*2/10+I1943*8/10</f>
        <v>144.122644835233</v>
      </c>
      <c r="J1944" s="17" t="n">
        <f aca="false">H1944-I1944</f>
        <v>1.7015830836595</v>
      </c>
      <c r="K1944" s="17" t="n">
        <f aca="false">MAX(B1944-B1943,0)</f>
        <v>0</v>
      </c>
      <c r="L1944" s="17" t="n">
        <f aca="false">MAX(B1943-B1944,0)</f>
        <v>62.3799999999974</v>
      </c>
      <c r="M1944" s="17" t="n">
        <f aca="false">(M1943*13+K1944)/14</f>
        <v>80.0120793640839</v>
      </c>
      <c r="N1944" s="17" t="n">
        <f aca="false">(N1943*13+L1944)/14</f>
        <v>57.8828785628685</v>
      </c>
      <c r="O1944" s="17" t="n">
        <f aca="false">IF(N1944=0,100,100-100/(1+M1944/N1944))</f>
        <v>58.023933990733</v>
      </c>
      <c r="P1944" s="17" t="n">
        <f aca="false">AVERAGE(B1925:B1944)+2*STDEV(B1925:B1944)</f>
        <v>18427.8542318138</v>
      </c>
      <c r="Q1944" s="17" t="n">
        <f aca="false">AVERAGE(B1925:B1944)-2*STDEV(B1925:B1944)</f>
        <v>17762.8657681862</v>
      </c>
      <c r="R1944" s="19" t="n">
        <f aca="false">B1944/B1924-1</f>
        <v>0.0191671039344059</v>
      </c>
      <c r="S1944" s="17" t="n">
        <f aca="false">STDEV(C1925:C1944)*SQRT(252)*100</f>
        <v>15.8192695591553</v>
      </c>
      <c r="T1944" s="19" t="n">
        <f aca="false">B1923/B1693-1</f>
        <v>0.404992539388504</v>
      </c>
      <c r="U1944" s="19" t="n">
        <f aca="false">B1944/MAX(B1693:B1944)-1</f>
        <v>-0.00340141247497183</v>
      </c>
      <c r="V1944" s="17" t="n">
        <f aca="false">(B1944-AVERAGE(B1925:B1944))/STDEV(B1925:B1944)</f>
        <v>1.09295129126772</v>
      </c>
    </row>
    <row r="1945" customFormat="false" ht="15" hidden="false" customHeight="false" outlineLevel="0" collapsed="false">
      <c r="A1945" s="17" t="s">
        <v>2509</v>
      </c>
      <c r="B1945" s="17" t="n">
        <v>18210.54</v>
      </c>
      <c r="C1945" s="19" t="n">
        <f aca="false">B1945/B1944-1</f>
        <v>-0.00363953502368541</v>
      </c>
      <c r="D1945" s="17" t="n">
        <f aca="false">AVERAGE(B1896:B1945)</f>
        <v>17775.201</v>
      </c>
      <c r="E1945" s="17" t="n">
        <f aca="false">AVERAGE(B1746:B1945)</f>
        <v>16013.8529</v>
      </c>
      <c r="F1945" s="17" t="n">
        <f aca="false">B1945*2/13+F1944*11/13</f>
        <v>18156.7536487498</v>
      </c>
      <c r="G1945" s="17" t="n">
        <f aca="false">B1945*2/27+G1944*25/27</f>
        <v>18016.6604483703</v>
      </c>
      <c r="H1945" s="17" t="n">
        <f aca="false">F1945-G1945</f>
        <v>140.093200379462</v>
      </c>
      <c r="I1945" s="17" t="n">
        <f aca="false">H1945*2/10+I1944*8/10</f>
        <v>143.316755944079</v>
      </c>
      <c r="J1945" s="17" t="n">
        <f aca="false">H1945-I1945</f>
        <v>-3.22355556461656</v>
      </c>
      <c r="K1945" s="17" t="n">
        <f aca="false">MAX(B1945-B1944,0)</f>
        <v>0</v>
      </c>
      <c r="L1945" s="17" t="n">
        <f aca="false">MAX(B1944-B1945,0)</f>
        <v>66.5200000000004</v>
      </c>
      <c r="M1945" s="17" t="n">
        <f aca="false">(M1944*13+K1945)/14</f>
        <v>74.2969308380779</v>
      </c>
      <c r="N1945" s="17" t="n">
        <f aca="false">(N1944*13+L1945)/14</f>
        <v>58.4998158083779</v>
      </c>
      <c r="O1945" s="17" t="n">
        <f aca="false">IF(N1945=0,100,100-100/(1+M1945/N1945))</f>
        <v>55.9478546834271</v>
      </c>
      <c r="P1945" s="17" t="n">
        <f aca="false">AVERAGE(B1926:B1945)+2*STDEV(B1926:B1945)</f>
        <v>18438.2247348434</v>
      </c>
      <c r="Q1945" s="17" t="n">
        <f aca="false">AVERAGE(B1926:B1945)-2*STDEV(B1926:B1945)</f>
        <v>17776.4442651566</v>
      </c>
      <c r="R1945" s="19" t="n">
        <f aca="false">B1945/B1925-1</f>
        <v>0.0133264333469665</v>
      </c>
      <c r="S1945" s="17" t="n">
        <f aca="false">STDEV(C1926:C1945)*SQRT(252)*100</f>
        <v>15.897149490312</v>
      </c>
      <c r="T1945" s="19" t="n">
        <f aca="false">B1924/B1694-1</f>
        <v>0.415073853454609</v>
      </c>
      <c r="U1945" s="19" t="n">
        <f aca="false">B1945/MAX(B1694:B1945)-1</f>
        <v>-0.00702856793882467</v>
      </c>
      <c r="V1945" s="17" t="n">
        <f aca="false">(B1945-AVERAGE(B1926:B1945))/STDEV(B1926:B1945)</f>
        <v>0.62380505153823</v>
      </c>
    </row>
    <row r="1946" customFormat="false" ht="15" hidden="false" customHeight="false" outlineLevel="0" collapsed="false">
      <c r="A1946" s="17" t="s">
        <v>2510</v>
      </c>
      <c r="B1946" s="17" t="n">
        <v>18280.84</v>
      </c>
      <c r="C1946" s="19" t="n">
        <f aca="false">B1946/B1945-1</f>
        <v>0.00386040172339741</v>
      </c>
      <c r="D1946" s="17" t="n">
        <f aca="false">AVERAGE(B1897:B1946)</f>
        <v>17804.2036</v>
      </c>
      <c r="E1946" s="17" t="n">
        <f aca="false">AVERAGE(B1747:B1946)</f>
        <v>16032.6153</v>
      </c>
      <c r="F1946" s="17" t="n">
        <f aca="false">B1946*2/13+F1945*11/13</f>
        <v>18175.8438566345</v>
      </c>
      <c r="G1946" s="17" t="n">
        <f aca="false">B1946*2/27+G1945*25/27</f>
        <v>18036.2293040466</v>
      </c>
      <c r="H1946" s="17" t="n">
        <f aca="false">F1946-G1946</f>
        <v>139.614552587838</v>
      </c>
      <c r="I1946" s="17" t="n">
        <f aca="false">H1946*2/10+I1945*8/10</f>
        <v>142.576315272831</v>
      </c>
      <c r="J1946" s="17" t="n">
        <f aca="false">H1946-I1946</f>
        <v>-2.96176268499252</v>
      </c>
      <c r="K1946" s="17" t="n">
        <f aca="false">MAX(B1946-B1945,0)</f>
        <v>70.2999999999993</v>
      </c>
      <c r="L1946" s="17" t="n">
        <f aca="false">MAX(B1945-B1946,0)</f>
        <v>0</v>
      </c>
      <c r="M1946" s="17" t="n">
        <f aca="false">(M1945*13+K1946)/14</f>
        <v>74.0114357782152</v>
      </c>
      <c r="N1946" s="17" t="n">
        <f aca="false">(N1945*13+L1946)/14</f>
        <v>54.3212575363509</v>
      </c>
      <c r="O1946" s="17" t="n">
        <f aca="false">IF(N1946=0,100,100-100/(1+M1946/N1946))</f>
        <v>57.6715362754837</v>
      </c>
      <c r="P1946" s="17" t="n">
        <f aca="false">AVERAGE(B1927:B1946)+2*STDEV(B1927:B1946)</f>
        <v>18448.0809142011</v>
      </c>
      <c r="Q1946" s="17" t="n">
        <f aca="false">AVERAGE(B1927:B1946)-2*STDEV(B1927:B1946)</f>
        <v>17807.2220857989</v>
      </c>
      <c r="R1946" s="19" t="n">
        <f aca="false">B1946/B1926-1</f>
        <v>0.0227329435788415</v>
      </c>
      <c r="S1946" s="17" t="n">
        <f aca="false">STDEV(C1927:C1946)*SQRT(252)*100</f>
        <v>15.7659111750885</v>
      </c>
      <c r="T1946" s="19" t="n">
        <f aca="false">B1925/B1695-1</f>
        <v>0.425078327149367</v>
      </c>
      <c r="U1946" s="19" t="n">
        <f aca="false">B1946/MAX(B1695:B1946)-1</f>
        <v>-0.00319529931121121</v>
      </c>
      <c r="V1946" s="17" t="n">
        <f aca="false">(B1946-AVERAGE(B1927:B1946))/STDEV(B1927:B1946)</f>
        <v>0.956145055421518</v>
      </c>
    </row>
    <row r="1947" customFormat="false" ht="15" hidden="false" customHeight="false" outlineLevel="0" collapsed="false">
      <c r="A1947" s="17" t="s">
        <v>2511</v>
      </c>
      <c r="B1947" s="17" t="n">
        <v>18254.69</v>
      </c>
      <c r="C1947" s="19" t="n">
        <f aca="false">B1947/B1946-1</f>
        <v>-0.00143045943184239</v>
      </c>
      <c r="D1947" s="17" t="n">
        <f aca="false">AVERAGE(B1898:B1947)</f>
        <v>17834.5718</v>
      </c>
      <c r="E1947" s="17" t="n">
        <f aca="false">AVERAGE(B1748:B1947)</f>
        <v>16049.96725</v>
      </c>
      <c r="F1947" s="17" t="n">
        <f aca="false">B1947*2/13+F1946*11/13</f>
        <v>18187.9740325368</v>
      </c>
      <c r="G1947" s="17" t="n">
        <f aca="false">B1947*2/27+G1946*25/27</f>
        <v>18052.4115778209</v>
      </c>
      <c r="H1947" s="17" t="n">
        <f aca="false">F1947-G1947</f>
        <v>135.562454715906</v>
      </c>
      <c r="I1947" s="17" t="n">
        <f aca="false">H1947*2/10+I1946*8/10</f>
        <v>141.173543161446</v>
      </c>
      <c r="J1947" s="17" t="n">
        <f aca="false">H1947-I1947</f>
        <v>-5.61108844553988</v>
      </c>
      <c r="K1947" s="17" t="n">
        <f aca="false">MAX(B1947-B1946,0)</f>
        <v>0</v>
      </c>
      <c r="L1947" s="17" t="n">
        <f aca="false">MAX(B1946-B1947,0)</f>
        <v>26.1500000000015</v>
      </c>
      <c r="M1947" s="17" t="n">
        <f aca="false">(M1946*13+K1947)/14</f>
        <v>68.7249046511998</v>
      </c>
      <c r="N1947" s="17" t="n">
        <f aca="false">(N1946*13+L1947)/14</f>
        <v>52.3090248551831</v>
      </c>
      <c r="O1947" s="17" t="n">
        <f aca="false">IF(N1947=0,100,100-100/(1+M1947/N1947))</f>
        <v>56.781519803152</v>
      </c>
      <c r="P1947" s="17" t="n">
        <f aca="false">AVERAGE(B1928:B1947)+2*STDEV(B1928:B1947)</f>
        <v>18460.8794998447</v>
      </c>
      <c r="Q1947" s="17" t="n">
        <f aca="false">AVERAGE(B1928:B1947)-2*STDEV(B1928:B1947)</f>
        <v>17815.5075001553</v>
      </c>
      <c r="R1947" s="19" t="n">
        <f aca="false">B1947/B1927-1</f>
        <v>0.011684867697304</v>
      </c>
      <c r="S1947" s="17" t="n">
        <f aca="false">STDEV(C1928:C1947)*SQRT(252)*100</f>
        <v>15.476748139764</v>
      </c>
      <c r="T1947" s="19" t="n">
        <f aca="false">B1926/B1696-1</f>
        <v>0.391441558209034</v>
      </c>
      <c r="U1947" s="19" t="n">
        <f aca="false">B1947/MAX(B1696:B1947)-1</f>
        <v>-0.00462118799701627</v>
      </c>
      <c r="V1947" s="17" t="n">
        <f aca="false">(B1947-AVERAGE(B1928:B1947))/STDEV(B1928:B1947)</f>
        <v>0.722042481273158</v>
      </c>
    </row>
    <row r="1948" customFormat="false" ht="15" hidden="false" customHeight="false" outlineLevel="0" collapsed="false">
      <c r="A1948" s="17" t="s">
        <v>2512</v>
      </c>
      <c r="B1948" s="17" t="n">
        <v>18293.2</v>
      </c>
      <c r="C1948" s="19" t="n">
        <f aca="false">B1948/B1947-1</f>
        <v>0.00210959484932372</v>
      </c>
      <c r="D1948" s="17" t="n">
        <f aca="false">AVERAGE(B1899:B1948)</f>
        <v>17860.79</v>
      </c>
      <c r="E1948" s="17" t="n">
        <f aca="false">AVERAGE(B1749:B1948)</f>
        <v>16066.929</v>
      </c>
      <c r="F1948" s="17" t="n">
        <f aca="false">B1948*2/13+F1947*11/13</f>
        <v>18204.1626429158</v>
      </c>
      <c r="G1948" s="17" t="n">
        <f aca="false">B1948*2/27+G1947*25/27</f>
        <v>18070.2477572416</v>
      </c>
      <c r="H1948" s="17" t="n">
        <f aca="false">F1948-G1948</f>
        <v>133.914885674181</v>
      </c>
      <c r="I1948" s="17" t="n">
        <f aca="false">H1948*2/10+I1947*8/10</f>
        <v>139.721811663993</v>
      </c>
      <c r="J1948" s="17" t="n">
        <f aca="false">H1948-I1948</f>
        <v>-5.80692598981162</v>
      </c>
      <c r="K1948" s="17" t="n">
        <f aca="false">MAX(B1948-B1947,0)</f>
        <v>38.510000000002</v>
      </c>
      <c r="L1948" s="17" t="n">
        <f aca="false">MAX(B1947-B1948,0)</f>
        <v>0</v>
      </c>
      <c r="M1948" s="17" t="n">
        <f aca="false">(M1947*13+K1948)/14</f>
        <v>66.5666971761143</v>
      </c>
      <c r="N1948" s="17" t="n">
        <f aca="false">(N1947*13+L1948)/14</f>
        <v>48.5726659369557</v>
      </c>
      <c r="O1948" s="17" t="n">
        <f aca="false">IF(N1948=0,100,100-100/(1+M1948/N1948))</f>
        <v>57.8140223954026</v>
      </c>
      <c r="P1948" s="17" t="n">
        <f aca="false">AVERAGE(B1929:B1948)+2*STDEV(B1929:B1948)</f>
        <v>18459.3781430184</v>
      </c>
      <c r="Q1948" s="17" t="n">
        <f aca="false">AVERAGE(B1929:B1948)-2*STDEV(B1929:B1948)</f>
        <v>17816.0378569816</v>
      </c>
      <c r="R1948" s="19" t="n">
        <f aca="false">B1948/B1928-1</f>
        <v>-0.000530516732038744</v>
      </c>
      <c r="S1948" s="17" t="n">
        <f aca="false">STDEV(C1929:C1948)*SQRT(252)*100</f>
        <v>14.6225918071201</v>
      </c>
      <c r="T1948" s="19" t="n">
        <f aca="false">B1927/B1697-1</f>
        <v>0.391935133000183</v>
      </c>
      <c r="U1948" s="19" t="n">
        <f aca="false">B1948/MAX(B1697:B1948)-1</f>
        <v>-0.00252134198208875</v>
      </c>
      <c r="V1948" s="17" t="n">
        <f aca="false">(B1948-AVERAGE(B1929:B1948))/STDEV(B1929:B1948)</f>
        <v>0.966779189022258</v>
      </c>
    </row>
    <row r="1949" customFormat="false" ht="15" hidden="false" customHeight="false" outlineLevel="0" collapsed="false">
      <c r="A1949" s="17" t="s">
        <v>2513</v>
      </c>
      <c r="B1949" s="17" t="n">
        <v>18121.78</v>
      </c>
      <c r="C1949" s="19" t="n">
        <f aca="false">B1949/B1948-1</f>
        <v>-0.00937069512168465</v>
      </c>
      <c r="D1949" s="17" t="n">
        <f aca="false">AVERAGE(B1900:B1949)</f>
        <v>17876.9456</v>
      </c>
      <c r="E1949" s="17" t="n">
        <f aca="false">AVERAGE(B1750:B1949)</f>
        <v>16082.50945</v>
      </c>
      <c r="F1949" s="17" t="n">
        <f aca="false">B1949*2/13+F1948*11/13</f>
        <v>18191.4883901595</v>
      </c>
      <c r="G1949" s="17" t="n">
        <f aca="false">B1949*2/27+G1948*25/27</f>
        <v>18074.0649604089</v>
      </c>
      <c r="H1949" s="17" t="n">
        <f aca="false">F1949-G1949</f>
        <v>117.423429750619</v>
      </c>
      <c r="I1949" s="17" t="n">
        <f aca="false">H1949*2/10+I1948*8/10</f>
        <v>135.262135281318</v>
      </c>
      <c r="J1949" s="17" t="n">
        <f aca="false">H1949-I1949</f>
        <v>-17.838705530699</v>
      </c>
      <c r="K1949" s="17" t="n">
        <f aca="false">MAX(B1949-B1948,0)</f>
        <v>0</v>
      </c>
      <c r="L1949" s="17" t="n">
        <f aca="false">MAX(B1948-B1949,0)</f>
        <v>171.420000000002</v>
      </c>
      <c r="M1949" s="17" t="n">
        <f aca="false">(M1948*13+K1949)/14</f>
        <v>61.8119330921061</v>
      </c>
      <c r="N1949" s="17" t="n">
        <f aca="false">(N1948*13+L1949)/14</f>
        <v>57.3474755128876</v>
      </c>
      <c r="O1949" s="17" t="n">
        <f aca="false">IF(N1949=0,100,100-100/(1+M1949/N1949))</f>
        <v>51.8733130818138</v>
      </c>
      <c r="P1949" s="17" t="n">
        <f aca="false">AVERAGE(B1930:B1949)+2*STDEV(B1930:B1949)</f>
        <v>18451.4567854384</v>
      </c>
      <c r="Q1949" s="17" t="n">
        <f aca="false">AVERAGE(B1930:B1949)-2*STDEV(B1930:B1949)</f>
        <v>17813.4892145616</v>
      </c>
      <c r="R1949" s="19" t="n">
        <f aca="false">B1949/B1929-1</f>
        <v>-0.00574438948167721</v>
      </c>
      <c r="S1949" s="17" t="n">
        <f aca="false">STDEV(C1930:C1949)*SQRT(252)*100</f>
        <v>14.9329781695964</v>
      </c>
      <c r="T1949" s="19" t="n">
        <f aca="false">B1928/B1698-1</f>
        <v>0.388545938010902</v>
      </c>
      <c r="U1949" s="19" t="n">
        <f aca="false">B1949/MAX(B1698:B1949)-1</f>
        <v>-0.0118684103767618</v>
      </c>
      <c r="V1949" s="17" t="n">
        <f aca="false">(B1949-AVERAGE(B1930:B1949))/STDEV(B1930:B1949)</f>
        <v>-0.0670441601619704</v>
      </c>
    </row>
    <row r="1950" customFormat="false" ht="15" hidden="false" customHeight="false" outlineLevel="0" collapsed="false">
      <c r="A1950" s="17" t="s">
        <v>2514</v>
      </c>
      <c r="B1950" s="17" t="n">
        <v>18160.19</v>
      </c>
      <c r="C1950" s="19" t="n">
        <f aca="false">B1950/B1949-1</f>
        <v>0.00211954896262956</v>
      </c>
      <c r="D1950" s="17" t="n">
        <f aca="false">AVERAGE(B1901:B1950)</f>
        <v>17893.5418</v>
      </c>
      <c r="E1950" s="17" t="n">
        <f aca="false">AVERAGE(B1751:B1950)</f>
        <v>16097.383</v>
      </c>
      <c r="F1950" s="17" t="n">
        <f aca="false">B1950*2/13+F1949*11/13</f>
        <v>18186.6732532119</v>
      </c>
      <c r="G1950" s="17" t="n">
        <f aca="false">B1950*2/27+G1949*25/27</f>
        <v>18080.4445929712</v>
      </c>
      <c r="H1950" s="17" t="n">
        <f aca="false">F1950-G1950</f>
        <v>106.2286602407</v>
      </c>
      <c r="I1950" s="17" t="n">
        <f aca="false">H1950*2/10+I1949*8/10</f>
        <v>129.455440273195</v>
      </c>
      <c r="J1950" s="17" t="n">
        <f aca="false">H1950-I1950</f>
        <v>-23.2267800324943</v>
      </c>
      <c r="K1950" s="17" t="n">
        <f aca="false">MAX(B1950-B1949,0)</f>
        <v>38.4099999999999</v>
      </c>
      <c r="L1950" s="17" t="n">
        <f aca="false">MAX(B1949-B1950,0)</f>
        <v>0</v>
      </c>
      <c r="M1950" s="17" t="n">
        <f aca="false">(M1949*13+K1950)/14</f>
        <v>60.1403664426699</v>
      </c>
      <c r="N1950" s="17" t="n">
        <f aca="false">(N1949*13+L1950)/14</f>
        <v>53.2512272619671</v>
      </c>
      <c r="O1950" s="17" t="n">
        <f aca="false">IF(N1950=0,100,100-100/(1+M1950/N1950))</f>
        <v>53.0377645095313</v>
      </c>
      <c r="P1950" s="17" t="n">
        <f aca="false">AVERAGE(B1931:B1950)+2*STDEV(B1931:B1950)</f>
        <v>18444.9232396509</v>
      </c>
      <c r="Q1950" s="17" t="n">
        <f aca="false">AVERAGE(B1931:B1950)-2*STDEV(B1931:B1950)</f>
        <v>17846.2547603491</v>
      </c>
      <c r="R1950" s="19" t="n">
        <f aca="false">B1950/B1930-1</f>
        <v>0.0146564926440966</v>
      </c>
      <c r="S1950" s="17" t="n">
        <f aca="false">STDEV(C1931:C1950)*SQRT(252)*100</f>
        <v>13.3828041743122</v>
      </c>
      <c r="T1950" s="19" t="n">
        <f aca="false">B1929/B1699-1</f>
        <v>0.386218042568079</v>
      </c>
      <c r="U1950" s="19" t="n">
        <f aca="false">B1950/MAX(B1699:B1950)-1</f>
        <v>-0.00977401709103443</v>
      </c>
      <c r="V1950" s="17" t="n">
        <f aca="false">(B1950-AVERAGE(B1931:B1950))/STDEV(B1931:B1950)</f>
        <v>0.0975564974927583</v>
      </c>
    </row>
    <row r="1951" customFormat="false" ht="15" hidden="false" customHeight="false" outlineLevel="0" collapsed="false">
      <c r="A1951" s="17" t="s">
        <v>2515</v>
      </c>
      <c r="B1951" s="17" t="n">
        <v>17878.78</v>
      </c>
      <c r="C1951" s="19" t="n">
        <f aca="false">B1951/B1950-1</f>
        <v>-0.0154959832468713</v>
      </c>
      <c r="D1951" s="17" t="n">
        <f aca="false">AVERAGE(B1902:B1951)</f>
        <v>17903.0332</v>
      </c>
      <c r="E1951" s="17" t="n">
        <f aca="false">AVERAGE(B1752:B1951)</f>
        <v>16111.3573</v>
      </c>
      <c r="F1951" s="17" t="n">
        <f aca="false">B1951*2/13+F1950*11/13</f>
        <v>18139.3050604101</v>
      </c>
      <c r="G1951" s="17" t="n">
        <f aca="false">B1951*2/27+G1950*25/27</f>
        <v>18065.5064749733</v>
      </c>
      <c r="H1951" s="17" t="n">
        <f aca="false">F1951-G1951</f>
        <v>73.7985854367362</v>
      </c>
      <c r="I1951" s="17" t="n">
        <f aca="false">H1951*2/10+I1950*8/10</f>
        <v>118.324069305903</v>
      </c>
      <c r="J1951" s="17" t="n">
        <f aca="false">H1951-I1951</f>
        <v>-44.5254838691667</v>
      </c>
      <c r="K1951" s="17" t="n">
        <f aca="false">MAX(B1951-B1950,0)</f>
        <v>0</v>
      </c>
      <c r="L1951" s="17" t="n">
        <f aca="false">MAX(B1950-B1951,0)</f>
        <v>281.41</v>
      </c>
      <c r="M1951" s="17" t="n">
        <f aca="false">(M1950*13+K1951)/14</f>
        <v>55.8446259824792</v>
      </c>
      <c r="N1951" s="17" t="n">
        <f aca="false">(N1950*13+L1951)/14</f>
        <v>69.5482824575408</v>
      </c>
      <c r="O1951" s="17" t="n">
        <f aca="false">IF(N1951=0,100,100-100/(1+M1951/N1951))</f>
        <v>44.535713125429</v>
      </c>
      <c r="P1951" s="17" t="n">
        <f aca="false">AVERAGE(B1932:B1951)+2*STDEV(B1932:B1951)</f>
        <v>18456.3516886826</v>
      </c>
      <c r="Q1951" s="17" t="n">
        <f aca="false">AVERAGE(B1932:B1951)-2*STDEV(B1932:B1951)</f>
        <v>17820.9473113174</v>
      </c>
      <c r="R1951" s="19" t="n">
        <f aca="false">B1951/B1931-1</f>
        <v>-0.00770303653600357</v>
      </c>
      <c r="S1951" s="17" t="n">
        <f aca="false">STDEV(C1932:C1951)*SQRT(252)*100</f>
        <v>14.3608069041795</v>
      </c>
      <c r="T1951" s="19" t="n">
        <f aca="false">B1930/B1700-1</f>
        <v>0.366241274862444</v>
      </c>
      <c r="U1951" s="19" t="n">
        <f aca="false">B1951/MAX(B1700:B1951)-1</f>
        <v>-0.0251185423328084</v>
      </c>
      <c r="V1951" s="17" t="n">
        <f aca="false">(B1951-AVERAGE(B1932:B1951))/STDEV(B1932:B1951)</f>
        <v>-1.63593144307647</v>
      </c>
    </row>
    <row r="1952" customFormat="false" ht="15" hidden="false" customHeight="false" outlineLevel="0" collapsed="false">
      <c r="A1952" s="17" t="s">
        <v>2516</v>
      </c>
      <c r="B1952" s="17" t="n">
        <v>18108.46</v>
      </c>
      <c r="C1952" s="19" t="n">
        <f aca="false">B1952/B1951-1</f>
        <v>0.0128465141357521</v>
      </c>
      <c r="D1952" s="17" t="n">
        <f aca="false">AVERAGE(B1903:B1952)</f>
        <v>17915.2164</v>
      </c>
      <c r="E1952" s="17" t="n">
        <f aca="false">AVERAGE(B1753:B1952)</f>
        <v>16126.54885</v>
      </c>
      <c r="F1952" s="17" t="n">
        <f aca="false">B1952*2/13+F1951*11/13</f>
        <v>18134.5596665008</v>
      </c>
      <c r="G1952" s="17" t="n">
        <f aca="false">B1952*2/27+G1951*25/27</f>
        <v>18068.6882175679</v>
      </c>
      <c r="H1952" s="17" t="n">
        <f aca="false">F1952-G1952</f>
        <v>65.8714489329286</v>
      </c>
      <c r="I1952" s="17" t="n">
        <f aca="false">H1952*2/10+I1951*8/10</f>
        <v>107.833545231308</v>
      </c>
      <c r="J1952" s="17" t="n">
        <f aca="false">H1952-I1952</f>
        <v>-41.9620962983794</v>
      </c>
      <c r="K1952" s="17" t="n">
        <f aca="false">MAX(B1952-B1951,0)</f>
        <v>229.68</v>
      </c>
      <c r="L1952" s="17" t="n">
        <f aca="false">MAX(B1951-B1952,0)</f>
        <v>0</v>
      </c>
      <c r="M1952" s="17" t="n">
        <f aca="false">(M1951*13+K1952)/14</f>
        <v>68.2614384123022</v>
      </c>
      <c r="N1952" s="17" t="n">
        <f aca="false">(N1951*13+L1952)/14</f>
        <v>64.5805479962879</v>
      </c>
      <c r="O1952" s="17" t="n">
        <f aca="false">IF(N1952=0,100,100-100/(1+M1952/N1952))</f>
        <v>51.3854393913882</v>
      </c>
      <c r="P1952" s="17" t="n">
        <f aca="false">AVERAGE(B1933:B1952)+2*STDEV(B1933:B1952)</f>
        <v>18438.0472422411</v>
      </c>
      <c r="Q1952" s="17" t="n">
        <f aca="false">AVERAGE(B1933:B1952)-2*STDEV(B1933:B1952)</f>
        <v>17820.2987577589</v>
      </c>
      <c r="R1952" s="19" t="n">
        <f aca="false">B1952/B1932-1</f>
        <v>-0.0103579682795762</v>
      </c>
      <c r="S1952" s="17" t="n">
        <f aca="false">STDEV(C1933:C1952)*SQRT(252)*100</f>
        <v>13.9890890480818</v>
      </c>
      <c r="T1952" s="19" t="n">
        <f aca="false">B1931/B1701-1</f>
        <v>0.389472669504596</v>
      </c>
      <c r="U1952" s="19" t="n">
        <f aca="false">B1952/MAX(B1701:B1952)-1</f>
        <v>-0.0125947139062043</v>
      </c>
      <c r="V1952" s="17" t="n">
        <f aca="false">(B1952-AVERAGE(B1933:B1952))/STDEV(B1933:B1952)</f>
        <v>-0.134119309203108</v>
      </c>
    </row>
    <row r="1953" customFormat="false" ht="15" hidden="false" customHeight="false" outlineLevel="0" collapsed="false">
      <c r="A1953" s="17" t="s">
        <v>2517</v>
      </c>
      <c r="B1953" s="17" t="n">
        <v>18100.19</v>
      </c>
      <c r="C1953" s="19" t="n">
        <f aca="false">B1953/B1952-1</f>
        <v>-0.000456692617704646</v>
      </c>
      <c r="D1953" s="17" t="n">
        <f aca="false">AVERAGE(B1904:B1953)</f>
        <v>17926.8804</v>
      </c>
      <c r="E1953" s="17" t="n">
        <f aca="false">AVERAGE(B1754:B1953)</f>
        <v>16142.71255</v>
      </c>
      <c r="F1953" s="17" t="n">
        <f aca="false">B1953*2/13+F1952*11/13</f>
        <v>18129.2720255007</v>
      </c>
      <c r="G1953" s="17" t="n">
        <f aca="false">B1953*2/27+G1952*25/27</f>
        <v>18071.0216829332</v>
      </c>
      <c r="H1953" s="17" t="n">
        <f aca="false">F1953-G1953</f>
        <v>58.2503425674549</v>
      </c>
      <c r="I1953" s="17" t="n">
        <f aca="false">H1953*2/10+I1952*8/10</f>
        <v>97.9169046985374</v>
      </c>
      <c r="J1953" s="17" t="n">
        <f aca="false">H1953-I1953</f>
        <v>-39.6665621310825</v>
      </c>
      <c r="K1953" s="17" t="n">
        <f aca="false">MAX(B1953-B1952,0)</f>
        <v>0</v>
      </c>
      <c r="L1953" s="17" t="n">
        <f aca="false">MAX(B1952-B1953,0)</f>
        <v>8.27000000000044</v>
      </c>
      <c r="M1953" s="17" t="n">
        <f aca="false">(M1952*13+K1953)/14</f>
        <v>63.385621382852</v>
      </c>
      <c r="N1953" s="17" t="n">
        <f aca="false">(N1952*13+L1953)/14</f>
        <v>60.5583659965531</v>
      </c>
      <c r="O1953" s="17" t="n">
        <f aca="false">IF(N1953=0,100,100-100/(1+M1953/N1953))</f>
        <v>51.1405375307333</v>
      </c>
      <c r="P1953" s="17" t="n">
        <f aca="false">AVERAGE(B1934:B1953)+2*STDEV(B1934:B1953)</f>
        <v>18438.1023314298</v>
      </c>
      <c r="Q1953" s="17" t="n">
        <f aca="false">AVERAGE(B1934:B1953)-2*STDEV(B1934:B1953)</f>
        <v>17828.4176685702</v>
      </c>
      <c r="R1953" s="19" t="n">
        <f aca="false">B1953/B1933-1</f>
        <v>0.00453646123834162</v>
      </c>
      <c r="S1953" s="17" t="n">
        <f aca="false">STDEV(C1934:C1953)*SQRT(252)*100</f>
        <v>12.8534775222529</v>
      </c>
      <c r="T1953" s="19" t="n">
        <f aca="false">B1932/B1702-1</f>
        <v>0.400792338431859</v>
      </c>
      <c r="U1953" s="19" t="n">
        <f aca="false">B1953/MAX(B1702:B1953)-1</f>
        <v>-0.0130456546110459</v>
      </c>
      <c r="V1953" s="17" t="n">
        <f aca="false">(B1953-AVERAGE(B1934:B1953))/STDEV(B1934:B1953)</f>
        <v>-0.21696461803642</v>
      </c>
    </row>
    <row r="1954" customFormat="false" ht="15" hidden="false" customHeight="false" outlineLevel="0" collapsed="false">
      <c r="A1954" s="17" t="s">
        <v>2518</v>
      </c>
      <c r="B1954" s="17" t="n">
        <v>18169.9</v>
      </c>
      <c r="C1954" s="19" t="n">
        <f aca="false">B1954/B1953-1</f>
        <v>0.00385134078703064</v>
      </c>
      <c r="D1954" s="17" t="n">
        <f aca="false">AVERAGE(B1905:B1954)</f>
        <v>17941.8582</v>
      </c>
      <c r="E1954" s="17" t="n">
        <f aca="false">AVERAGE(B1755:B1954)</f>
        <v>16158.35045</v>
      </c>
      <c r="F1954" s="17" t="n">
        <f aca="false">B1954*2/13+F1953*11/13</f>
        <v>18135.522483116</v>
      </c>
      <c r="G1954" s="17" t="n">
        <f aca="false">B1954*2/27+G1953*25/27</f>
        <v>18078.346002716</v>
      </c>
      <c r="H1954" s="17" t="n">
        <f aca="false">F1954-G1954</f>
        <v>57.176480400005</v>
      </c>
      <c r="I1954" s="17" t="n">
        <f aca="false">H1954*2/10+I1953*8/10</f>
        <v>89.7688198388309</v>
      </c>
      <c r="J1954" s="17" t="n">
        <f aca="false">H1954-I1954</f>
        <v>-32.592339438826</v>
      </c>
      <c r="K1954" s="17" t="n">
        <f aca="false">MAX(B1954-B1953,0)</f>
        <v>69.7100000000028</v>
      </c>
      <c r="L1954" s="17" t="n">
        <f aca="false">MAX(B1953-B1954,0)</f>
        <v>0</v>
      </c>
      <c r="M1954" s="17" t="n">
        <f aca="false">(M1953*13+K1954)/14</f>
        <v>63.8373627126485</v>
      </c>
      <c r="N1954" s="17" t="n">
        <f aca="false">(N1953*13+L1954)/14</f>
        <v>56.2327684253707</v>
      </c>
      <c r="O1954" s="17" t="n">
        <f aca="false">IF(N1954=0,100,100-100/(1+M1954/N1954))</f>
        <v>53.1667302330737</v>
      </c>
      <c r="P1954" s="17" t="n">
        <f aca="false">AVERAGE(B1935:B1954)+2*STDEV(B1935:B1954)</f>
        <v>18437.0351419495</v>
      </c>
      <c r="Q1954" s="17" t="n">
        <f aca="false">AVERAGE(B1935:B1954)-2*STDEV(B1935:B1954)</f>
        <v>17851.3058580505</v>
      </c>
      <c r="R1954" s="19" t="n">
        <f aca="false">B1954/B1934-1</f>
        <v>0.0121554015248706</v>
      </c>
      <c r="S1954" s="17" t="n">
        <f aca="false">STDEV(C1935:C1954)*SQRT(252)*100</f>
        <v>12.8243411102946</v>
      </c>
      <c r="T1954" s="19" t="n">
        <f aca="false">B1933/B1703-1</f>
        <v>0.380594012978087</v>
      </c>
      <c r="U1954" s="19" t="n">
        <f aca="false">B1954/MAX(B1703:B1954)-1</f>
        <v>-0.00924455708571237</v>
      </c>
      <c r="V1954" s="17" t="n">
        <f aca="false">(B1954-AVERAGE(B1935:B1954))/STDEV(B1935:B1954)</f>
        <v>0.17570915921245</v>
      </c>
    </row>
    <row r="1955" customFormat="false" ht="15" hidden="false" customHeight="false" outlineLevel="0" collapsed="false">
      <c r="A1955" s="17" t="s">
        <v>2519</v>
      </c>
      <c r="B1955" s="17" t="n">
        <v>18011.66</v>
      </c>
      <c r="C1955" s="19" t="n">
        <f aca="false">B1955/B1954-1</f>
        <v>-0.00870890868964613</v>
      </c>
      <c r="D1955" s="17" t="n">
        <f aca="false">AVERAGE(B1906:B1955)</f>
        <v>17950.166</v>
      </c>
      <c r="E1955" s="17" t="n">
        <f aca="false">AVERAGE(B1756:B1955)</f>
        <v>16173.95135</v>
      </c>
      <c r="F1955" s="17" t="n">
        <f aca="false">B1955*2/13+F1954*11/13</f>
        <v>18116.4667164827</v>
      </c>
      <c r="G1955" s="17" t="n">
        <f aca="false">B1955*2/27+G1954*25/27</f>
        <v>18073.4062988111</v>
      </c>
      <c r="H1955" s="17" t="n">
        <f aca="false">F1955-G1955</f>
        <v>43.0604176716661</v>
      </c>
      <c r="I1955" s="17" t="n">
        <f aca="false">H1955*2/10+I1954*8/10</f>
        <v>80.427139405398</v>
      </c>
      <c r="J1955" s="17" t="n">
        <f aca="false">H1955-I1955</f>
        <v>-37.3667217337319</v>
      </c>
      <c r="K1955" s="17" t="n">
        <f aca="false">MAX(B1955-B1954,0)</f>
        <v>0</v>
      </c>
      <c r="L1955" s="17" t="n">
        <f aca="false">MAX(B1954-B1955,0)</f>
        <v>158.240000000002</v>
      </c>
      <c r="M1955" s="17" t="n">
        <f aca="false">(M1954*13+K1955)/14</f>
        <v>59.2775510903164</v>
      </c>
      <c r="N1955" s="17" t="n">
        <f aca="false">(N1954*13+L1955)/14</f>
        <v>63.5189992521301</v>
      </c>
      <c r="O1955" s="17" t="n">
        <f aca="false">IF(N1955=0,100,100-100/(1+M1955/N1955))</f>
        <v>48.2729774777934</v>
      </c>
      <c r="P1955" s="17" t="n">
        <f aca="false">AVERAGE(B1936:B1955)+2*STDEV(B1936:B1955)</f>
        <v>18430.1610052628</v>
      </c>
      <c r="Q1955" s="17" t="n">
        <f aca="false">AVERAGE(B1936:B1955)-2*STDEV(B1936:B1955)</f>
        <v>17837.4349947372</v>
      </c>
      <c r="R1955" s="19" t="n">
        <f aca="false">B1955/B1935-1</f>
        <v>-0.0113863959326225</v>
      </c>
      <c r="S1955" s="17" t="n">
        <f aca="false">STDEV(C1936:C1955)*SQRT(252)*100</f>
        <v>12.0570970270686</v>
      </c>
      <c r="T1955" s="19" t="n">
        <f aca="false">B1934/B1704-1</f>
        <v>0.384717856550564</v>
      </c>
      <c r="U1955" s="19" t="n">
        <f aca="false">B1955/MAX(B1704:B1955)-1</f>
        <v>-0.0178729557718228</v>
      </c>
      <c r="V1955" s="17" t="n">
        <f aca="false">(B1955-AVERAGE(B1936:B1955))/STDEV(B1936:B1955)</f>
        <v>-0.824245926995381</v>
      </c>
    </row>
    <row r="1956" customFormat="false" ht="15" hidden="false" customHeight="false" outlineLevel="0" collapsed="false">
      <c r="A1956" s="17" t="s">
        <v>2520</v>
      </c>
      <c r="B1956" s="17" t="n">
        <v>18307.98</v>
      </c>
      <c r="C1956" s="19" t="n">
        <f aca="false">B1956/B1955-1</f>
        <v>0.0164515652638346</v>
      </c>
      <c r="D1956" s="17" t="n">
        <f aca="false">AVERAGE(B1907:B1956)</f>
        <v>17966.7914</v>
      </c>
      <c r="E1956" s="17" t="n">
        <f aca="false">AVERAGE(B1757:B1956)</f>
        <v>16192.04615</v>
      </c>
      <c r="F1956" s="17" t="n">
        <f aca="false">B1956*2/13+F1955*11/13</f>
        <v>18145.9302985623</v>
      </c>
      <c r="G1956" s="17" t="n">
        <f aca="false">B1956*2/27+G1955*25/27</f>
        <v>18090.7821285288</v>
      </c>
      <c r="H1956" s="17" t="n">
        <f aca="false">F1956-G1956</f>
        <v>55.1481700335462</v>
      </c>
      <c r="I1956" s="17" t="n">
        <f aca="false">H1956*2/10+I1955*8/10</f>
        <v>75.3713455310276</v>
      </c>
      <c r="J1956" s="17" t="n">
        <f aca="false">H1956-I1956</f>
        <v>-20.2231754974814</v>
      </c>
      <c r="K1956" s="17" t="n">
        <f aca="false">MAX(B1956-B1955,0)</f>
        <v>296.32</v>
      </c>
      <c r="L1956" s="17" t="n">
        <f aca="false">MAX(B1955-B1956,0)</f>
        <v>0</v>
      </c>
      <c r="M1956" s="17" t="n">
        <f aca="false">(M1955*13+K1956)/14</f>
        <v>76.2091545838653</v>
      </c>
      <c r="N1956" s="17" t="n">
        <f aca="false">(N1955*13+L1956)/14</f>
        <v>58.9819278769779</v>
      </c>
      <c r="O1956" s="17" t="n">
        <f aca="false">IF(N1956=0,100,100-100/(1+M1956/N1956))</f>
        <v>56.3714360419731</v>
      </c>
      <c r="P1956" s="17" t="n">
        <f aca="false">AVERAGE(B1937:B1956)+2*STDEV(B1937:B1956)</f>
        <v>18450.2664404609</v>
      </c>
      <c r="Q1956" s="17" t="n">
        <f aca="false">AVERAGE(B1937:B1956)-2*STDEV(B1937:B1956)</f>
        <v>17841.2805595391</v>
      </c>
      <c r="R1956" s="19" t="n">
        <f aca="false">B1956/B1936-1</f>
        <v>0.0132556879470147</v>
      </c>
      <c r="S1956" s="17" t="n">
        <f aca="false">STDEV(C1937:C1956)*SQRT(252)*100</f>
        <v>13.1043867631832</v>
      </c>
      <c r="T1956" s="19" t="n">
        <f aca="false">B1935/B1705-1</f>
        <v>0.418011651301529</v>
      </c>
      <c r="U1956" s="19" t="n">
        <f aca="false">B1956/MAX(B1705:B1956)-1</f>
        <v>-0.00171542860632601</v>
      </c>
      <c r="V1956" s="17" t="n">
        <f aca="false">(B1956-AVERAGE(B1937:B1956))/STDEV(B1937:B1956)</f>
        <v>1.06542043145219</v>
      </c>
    </row>
    <row r="1957" customFormat="false" ht="15" hidden="false" customHeight="false" outlineLevel="0" collapsed="false">
      <c r="A1957" s="17" t="s">
        <v>2521</v>
      </c>
      <c r="B1957" s="17" t="n">
        <v>18003.49</v>
      </c>
      <c r="C1957" s="19" t="n">
        <f aca="false">B1957/B1956-1</f>
        <v>-0.0166315453698331</v>
      </c>
      <c r="D1957" s="17" t="n">
        <f aca="false">AVERAGE(B1908:B1957)</f>
        <v>17984.1164</v>
      </c>
      <c r="E1957" s="17" t="n">
        <f aca="false">AVERAGE(B1758:B1957)</f>
        <v>16207.33405</v>
      </c>
      <c r="F1957" s="17" t="n">
        <f aca="false">B1957*2/13+F1956*11/13</f>
        <v>18124.0164064758</v>
      </c>
      <c r="G1957" s="17" t="n">
        <f aca="false">B1957*2/27+G1956*25/27</f>
        <v>18084.3160449341</v>
      </c>
      <c r="H1957" s="17" t="n">
        <f aca="false">F1957-G1957</f>
        <v>39.7003615417561</v>
      </c>
      <c r="I1957" s="17" t="n">
        <f aca="false">H1957*2/10+I1956*8/10</f>
        <v>68.2371487331733</v>
      </c>
      <c r="J1957" s="17" t="n">
        <f aca="false">H1957-I1957</f>
        <v>-28.5367871914172</v>
      </c>
      <c r="K1957" s="17" t="n">
        <f aca="false">MAX(B1957-B1956,0)</f>
        <v>0</v>
      </c>
      <c r="L1957" s="17" t="n">
        <f aca="false">MAX(B1956-B1957,0)</f>
        <v>304.489999999998</v>
      </c>
      <c r="M1957" s="17" t="n">
        <f aca="false">(M1956*13+K1957)/14</f>
        <v>70.7656435421606</v>
      </c>
      <c r="N1957" s="17" t="n">
        <f aca="false">(N1956*13+L1957)/14</f>
        <v>76.5182187429079</v>
      </c>
      <c r="O1957" s="17" t="n">
        <f aca="false">IF(N1957=0,100,100-100/(1+M1957/N1957))</f>
        <v>48.0471128637253</v>
      </c>
      <c r="P1957" s="17" t="n">
        <f aca="false">AVERAGE(B1938:B1957)+2*STDEV(B1938:B1957)</f>
        <v>18450.7656657695</v>
      </c>
      <c r="Q1957" s="17" t="n">
        <f aca="false">AVERAGE(B1938:B1957)-2*STDEV(B1938:B1957)</f>
        <v>17839.6493342305</v>
      </c>
      <c r="R1957" s="19" t="n">
        <f aca="false">B1957/B1937-1</f>
        <v>-0.00062837187847109</v>
      </c>
      <c r="S1957" s="17" t="n">
        <f aca="false">STDEV(C1938:C1957)*SQRT(252)*100</f>
        <v>14.4398260025498</v>
      </c>
      <c r="T1957" s="19" t="n">
        <f aca="false">B1936/B1706-1</f>
        <v>0.378284573118963</v>
      </c>
      <c r="U1957" s="19" t="n">
        <f aca="false">B1957/MAX(B1706:B1957)-1</f>
        <v>-0.0183184437474643</v>
      </c>
      <c r="V1957" s="17" t="n">
        <f aca="false">(B1957-AVERAGE(B1938:B1957))/STDEV(B1938:B1957)</f>
        <v>-0.927597530526508</v>
      </c>
    </row>
    <row r="1958" customFormat="false" ht="15" hidden="false" customHeight="false" outlineLevel="0" collapsed="false">
      <c r="A1958" s="17" t="s">
        <v>2522</v>
      </c>
      <c r="B1958" s="17" t="n">
        <v>17706.83</v>
      </c>
      <c r="C1958" s="19" t="n">
        <f aca="false">B1958/B1957-1</f>
        <v>-0.0164779162262428</v>
      </c>
      <c r="D1958" s="17" t="n">
        <f aca="false">AVERAGE(B1909:B1958)</f>
        <v>17991.3588</v>
      </c>
      <c r="E1958" s="17" t="n">
        <f aca="false">AVERAGE(B1759:B1958)</f>
        <v>16221.04535</v>
      </c>
      <c r="F1958" s="17" t="n">
        <f aca="false">B1958*2/13+F1957*11/13</f>
        <v>18059.8338824026</v>
      </c>
      <c r="G1958" s="17" t="n">
        <f aca="false">B1958*2/27+G1957*25/27</f>
        <v>18056.3541156797</v>
      </c>
      <c r="H1958" s="17" t="n">
        <f aca="false">F1958-G1958</f>
        <v>3.47976672293225</v>
      </c>
      <c r="I1958" s="17" t="n">
        <f aca="false">H1958*2/10+I1957*8/10</f>
        <v>55.2856723311251</v>
      </c>
      <c r="J1958" s="17" t="n">
        <f aca="false">H1958-I1958</f>
        <v>-51.8059056081928</v>
      </c>
      <c r="K1958" s="17" t="n">
        <f aca="false">MAX(B1958-B1957,0)</f>
        <v>0</v>
      </c>
      <c r="L1958" s="17" t="n">
        <f aca="false">MAX(B1957-B1958,0)</f>
        <v>296.66</v>
      </c>
      <c r="M1958" s="17" t="n">
        <f aca="false">(M1957*13+K1958)/14</f>
        <v>65.7109547177206</v>
      </c>
      <c r="N1958" s="17" t="n">
        <f aca="false">(N1957*13+L1958)/14</f>
        <v>92.2426316898431</v>
      </c>
      <c r="O1958" s="17" t="n">
        <f aca="false">IF(N1958=0,100,100-100/(1+M1958/N1958))</f>
        <v>41.6014325551104</v>
      </c>
      <c r="P1958" s="17" t="n">
        <f aca="false">AVERAGE(B1939:B1958)+2*STDEV(B1939:B1958)</f>
        <v>18471.5156563674</v>
      </c>
      <c r="Q1958" s="17" t="n">
        <f aca="false">AVERAGE(B1939:B1958)-2*STDEV(B1939:B1958)</f>
        <v>17808.7573436327</v>
      </c>
      <c r="R1958" s="19" t="n">
        <f aca="false">B1958/B1938-1</f>
        <v>-0.00569511321999627</v>
      </c>
      <c r="S1958" s="17" t="n">
        <f aca="false">STDEV(C1939:C1958)*SQRT(252)*100</f>
        <v>15.064114470656</v>
      </c>
      <c r="T1958" s="19" t="n">
        <f aca="false">B1937/B1707-1</f>
        <v>0.377329596193132</v>
      </c>
      <c r="U1958" s="19" t="n">
        <f aca="false">B1958/MAX(B1707:B1958)-1</f>
        <v>-0.0344945101922413</v>
      </c>
      <c r="V1958" s="17" t="n">
        <f aca="false">(B1958-AVERAGE(B1939:B1958))/STDEV(B1939:B1958)</f>
        <v>-2.61517051796497</v>
      </c>
    </row>
    <row r="1959" customFormat="false" ht="15" hidden="false" customHeight="false" outlineLevel="0" collapsed="false">
      <c r="A1959" s="17" t="s">
        <v>2523</v>
      </c>
      <c r="B1959" s="17" t="n">
        <v>17713.66</v>
      </c>
      <c r="C1959" s="19" t="n">
        <f aca="false">B1959/B1958-1</f>
        <v>0.000385726863588731</v>
      </c>
      <c r="D1959" s="17" t="n">
        <f aca="false">AVERAGE(B1910:B1959)</f>
        <v>17992.7774</v>
      </c>
      <c r="E1959" s="17" t="n">
        <f aca="false">AVERAGE(B1760:B1959)</f>
        <v>16234.9139</v>
      </c>
      <c r="F1959" s="17" t="n">
        <f aca="false">B1959*2/13+F1958*11/13</f>
        <v>18006.576362033</v>
      </c>
      <c r="G1959" s="17" t="n">
        <f aca="false">B1959*2/27+G1958*25/27</f>
        <v>18030.9693663701</v>
      </c>
      <c r="H1959" s="17" t="n">
        <f aca="false">F1959-G1959</f>
        <v>-24.3930043370965</v>
      </c>
      <c r="I1959" s="17" t="n">
        <f aca="false">H1959*2/10+I1958*8/10</f>
        <v>39.3499369974808</v>
      </c>
      <c r="J1959" s="17" t="n">
        <f aca="false">H1959-I1959</f>
        <v>-63.7429413345773</v>
      </c>
      <c r="K1959" s="17" t="n">
        <f aca="false">MAX(B1959-B1958,0)</f>
        <v>6.82999999999811</v>
      </c>
      <c r="L1959" s="17" t="n">
        <f aca="false">MAX(B1958-B1959,0)</f>
        <v>0</v>
      </c>
      <c r="M1959" s="17" t="n">
        <f aca="false">(M1958*13+K1959)/14</f>
        <v>61.5051722378832</v>
      </c>
      <c r="N1959" s="17" t="n">
        <f aca="false">(N1958*13+L1959)/14</f>
        <v>85.6538722834257</v>
      </c>
      <c r="O1959" s="17" t="n">
        <f aca="false">IF(N1959=0,100,100-100/(1+M1959/N1959))</f>
        <v>41.7950336915766</v>
      </c>
      <c r="P1959" s="17" t="n">
        <f aca="false">AVERAGE(B1940:B1959)+2*STDEV(B1940:B1959)</f>
        <v>18503.745246107</v>
      </c>
      <c r="Q1959" s="17" t="n">
        <f aca="false">AVERAGE(B1940:B1959)-2*STDEV(B1940:B1959)</f>
        <v>17749.392753893</v>
      </c>
      <c r="R1959" s="19" t="n">
        <f aca="false">B1959/B1939-1</f>
        <v>-0.01508756458851</v>
      </c>
      <c r="S1959" s="17" t="n">
        <f aca="false">STDEV(C1940:C1959)*SQRT(252)*100</f>
        <v>14.5829594853635</v>
      </c>
      <c r="T1959" s="19" t="n">
        <f aca="false">B1938/B1708-1</f>
        <v>0.360684947939709</v>
      </c>
      <c r="U1959" s="19" t="n">
        <f aca="false">B1959/MAX(B1708:B1959)-1</f>
        <v>-0.03412208878788</v>
      </c>
      <c r="V1959" s="17" t="n">
        <f aca="false">(B1959-AVERAGE(B1940:B1959))/STDEV(B1940:B1959)</f>
        <v>-2.18947510221979</v>
      </c>
    </row>
    <row r="1960" customFormat="false" ht="15" hidden="false" customHeight="false" outlineLevel="0" collapsed="false">
      <c r="A1960" s="17" t="s">
        <v>2524</v>
      </c>
      <c r="B1960" s="17" t="n">
        <v>17493.62</v>
      </c>
      <c r="C1960" s="19" t="n">
        <f aca="false">B1960/B1959-1</f>
        <v>-0.0124220516821482</v>
      </c>
      <c r="D1960" s="17" t="n">
        <f aca="false">AVERAGE(B1911:B1960)</f>
        <v>17990.389</v>
      </c>
      <c r="E1960" s="17" t="n">
        <f aca="false">AVERAGE(B1761:B1960)</f>
        <v>16246.48595</v>
      </c>
      <c r="F1960" s="17" t="n">
        <f aca="false">B1960*2/13+F1959*11/13</f>
        <v>17927.6599986433</v>
      </c>
      <c r="G1960" s="17" t="n">
        <f aca="false">B1960*2/27+G1959*25/27</f>
        <v>17991.1657096019</v>
      </c>
      <c r="H1960" s="17" t="n">
        <f aca="false">F1960-G1960</f>
        <v>-63.5057109586305</v>
      </c>
      <c r="I1960" s="17" t="n">
        <f aca="false">H1960*2/10+I1959*8/10</f>
        <v>18.7788074062585</v>
      </c>
      <c r="J1960" s="17" t="n">
        <f aca="false">H1960-I1960</f>
        <v>-82.284518364889</v>
      </c>
      <c r="K1960" s="17" t="n">
        <f aca="false">MAX(B1960-B1959,0)</f>
        <v>0</v>
      </c>
      <c r="L1960" s="17" t="n">
        <f aca="false">MAX(B1959-B1960,0)</f>
        <v>220.040000000001</v>
      </c>
      <c r="M1960" s="17" t="n">
        <f aca="false">(M1959*13+K1960)/14</f>
        <v>57.111945649463</v>
      </c>
      <c r="N1960" s="17" t="n">
        <f aca="false">(N1959*13+L1960)/14</f>
        <v>95.2528814060382</v>
      </c>
      <c r="O1960" s="17" t="n">
        <f aca="false">IF(N1960=0,100,100-100/(1+M1960/N1960))</f>
        <v>37.4836809473482</v>
      </c>
      <c r="P1960" s="17" t="n">
        <f aca="false">AVERAGE(B1941:B1960)+2*STDEV(B1941:B1960)</f>
        <v>18570.4645020231</v>
      </c>
      <c r="Q1960" s="17" t="n">
        <f aca="false">AVERAGE(B1941:B1960)-2*STDEV(B1941:B1960)</f>
        <v>17628.8154979769</v>
      </c>
      <c r="R1960" s="19" t="n">
        <f aca="false">B1960/B1940-1</f>
        <v>-0.0298676811481684</v>
      </c>
      <c r="S1960" s="17" t="n">
        <f aca="false">STDEV(C1941:C1960)*SQRT(252)*100</f>
        <v>15.0944375893915</v>
      </c>
      <c r="T1960" s="19" t="n">
        <f aca="false">B1939/B1709-1</f>
        <v>0.373762487788148</v>
      </c>
      <c r="U1960" s="19" t="n">
        <f aca="false">B1960/MAX(B1709:B1960)-1</f>
        <v>-0.0461202741196023</v>
      </c>
      <c r="V1960" s="17" t="n">
        <f aca="false">(B1960-AVERAGE(B1941:B1960))/STDEV(B1941:B1960)</f>
        <v>-2.57429253318816</v>
      </c>
    </row>
    <row r="1961" customFormat="false" ht="15" hidden="false" customHeight="false" outlineLevel="0" collapsed="false">
      <c r="A1961" s="17" t="s">
        <v>2525</v>
      </c>
      <c r="B1961" s="17" t="n">
        <v>17394.31</v>
      </c>
      <c r="C1961" s="19" t="n">
        <f aca="false">B1961/B1960-1</f>
        <v>-0.00567692678816611</v>
      </c>
      <c r="D1961" s="17" t="n">
        <f aca="false">AVERAGE(B1912:B1961)</f>
        <v>17986.8206</v>
      </c>
      <c r="E1961" s="17" t="n">
        <f aca="false">AVERAGE(B1762:B1961)</f>
        <v>16257.41405</v>
      </c>
      <c r="F1961" s="17" t="n">
        <f aca="false">B1961*2/13+F1960*11/13</f>
        <v>17845.6061526982</v>
      </c>
      <c r="G1961" s="17" t="n">
        <f aca="false">B1961*2/27+G1960*25/27</f>
        <v>17946.9541755573</v>
      </c>
      <c r="H1961" s="17" t="n">
        <f aca="false">F1961-G1961</f>
        <v>-101.348022859165</v>
      </c>
      <c r="I1961" s="17" t="n">
        <f aca="false">H1961*2/10+I1960*8/10</f>
        <v>-5.24655864682623</v>
      </c>
      <c r="J1961" s="17" t="n">
        <f aca="false">H1961-I1961</f>
        <v>-96.101464212339</v>
      </c>
      <c r="K1961" s="17" t="n">
        <f aca="false">MAX(B1961-B1960,0)</f>
        <v>0</v>
      </c>
      <c r="L1961" s="17" t="n">
        <f aca="false">MAX(B1960-B1961,0)</f>
        <v>99.3099999999977</v>
      </c>
      <c r="M1961" s="17" t="n">
        <f aca="false">(M1960*13+K1961)/14</f>
        <v>53.0325209602157</v>
      </c>
      <c r="N1961" s="17" t="n">
        <f aca="false">(N1960*13+L1961)/14</f>
        <v>95.542675591321</v>
      </c>
      <c r="O1961" s="17" t="n">
        <f aca="false">IF(N1961=0,100,100-100/(1+M1961/N1961))</f>
        <v>35.6940607793981</v>
      </c>
      <c r="P1961" s="17" t="n">
        <f aca="false">AVERAGE(B1942:B1961)+2*STDEV(B1942:B1961)</f>
        <v>18618.3546132843</v>
      </c>
      <c r="Q1961" s="17" t="n">
        <f aca="false">AVERAGE(B1942:B1961)-2*STDEV(B1942:B1961)</f>
        <v>17496.3453867157</v>
      </c>
      <c r="R1961" s="19" t="n">
        <f aca="false">B1961/B1941-1</f>
        <v>-0.0463703343894307</v>
      </c>
      <c r="S1961" s="17" t="n">
        <f aca="false">STDEV(C1942:C1961)*SQRT(252)*100</f>
        <v>14.3458160655591</v>
      </c>
      <c r="T1961" s="19" t="n">
        <f aca="false">B1940/B1710-1</f>
        <v>0.377691155201697</v>
      </c>
      <c r="U1961" s="19" t="n">
        <f aca="false">B1961/MAX(B1710:B1961)-1</f>
        <v>-0.0515353794881412</v>
      </c>
      <c r="V1961" s="17" t="n">
        <f aca="false">(B1961-AVERAGE(B1942:B1961))/STDEV(B1942:B1961)</f>
        <v>-2.36375952817321</v>
      </c>
    </row>
    <row r="1962" customFormat="false" ht="15" hidden="false" customHeight="false" outlineLevel="0" collapsed="false">
      <c r="A1962" s="17" t="s">
        <v>2526</v>
      </c>
      <c r="B1962" s="17" t="n">
        <v>17037.65</v>
      </c>
      <c r="C1962" s="19" t="n">
        <f aca="false">B1962/B1961-1</f>
        <v>-0.0205044063259767</v>
      </c>
      <c r="D1962" s="17" t="n">
        <f aca="false">AVERAGE(B1913:B1962)</f>
        <v>17972.4722</v>
      </c>
      <c r="E1962" s="17" t="n">
        <f aca="false">AVERAGE(B1763:B1962)</f>
        <v>16266.5834</v>
      </c>
      <c r="F1962" s="17" t="n">
        <f aca="false">B1962*2/13+F1961*11/13</f>
        <v>17721.3052061292</v>
      </c>
      <c r="G1962" s="17" t="n">
        <f aca="false">B1962*2/27+G1961*25/27</f>
        <v>17879.5983107012</v>
      </c>
      <c r="H1962" s="17" t="n">
        <f aca="false">F1962-G1962</f>
        <v>-158.293104572014</v>
      </c>
      <c r="I1962" s="17" t="n">
        <f aca="false">H1962*2/10+I1961*8/10</f>
        <v>-35.8558678318638</v>
      </c>
      <c r="J1962" s="17" t="n">
        <f aca="false">H1962-I1962</f>
        <v>-122.43723674015</v>
      </c>
      <c r="K1962" s="17" t="n">
        <f aca="false">MAX(B1962-B1961,0)</f>
        <v>0</v>
      </c>
      <c r="L1962" s="17" t="n">
        <f aca="false">MAX(B1961-B1962,0)</f>
        <v>356.66</v>
      </c>
      <c r="M1962" s="17" t="n">
        <f aca="false">(M1961*13+K1962)/14</f>
        <v>49.2444837487717</v>
      </c>
      <c r="N1962" s="17" t="n">
        <f aca="false">(N1961*13+L1962)/14</f>
        <v>114.193913049084</v>
      </c>
      <c r="O1962" s="17" t="n">
        <f aca="false">IF(N1962=0,100,100-100/(1+M1962/N1962))</f>
        <v>30.1303027401073</v>
      </c>
      <c r="P1962" s="17" t="n">
        <f aca="false">AVERAGE(B1943:B1962)+2*STDEV(B1943:B1962)</f>
        <v>18701.5522285243</v>
      </c>
      <c r="Q1962" s="17" t="n">
        <f aca="false">AVERAGE(B1943:B1962)-2*STDEV(B1943:B1962)</f>
        <v>17284.8747714757</v>
      </c>
      <c r="R1962" s="19" t="n">
        <f aca="false">B1962/B1942-1</f>
        <v>-0.0700165607918613</v>
      </c>
      <c r="S1962" s="17" t="n">
        <f aca="false">STDEV(C1943:C1962)*SQRT(252)*100</f>
        <v>15.4749672266897</v>
      </c>
      <c r="T1962" s="19" t="n">
        <f aca="false">B1941/B1711-1</f>
        <v>0.404600191899264</v>
      </c>
      <c r="U1962" s="19" t="n">
        <f aca="false">B1962/MAX(B1711:B1962)-1</f>
        <v>-0.0709830834529297</v>
      </c>
      <c r="V1962" s="17" t="n">
        <f aca="false">(B1962-AVERAGE(B1943:B1962))/STDEV(B1943:B1962)</f>
        <v>-2.69804109678092</v>
      </c>
    </row>
    <row r="1963" customFormat="false" ht="15" hidden="false" customHeight="false" outlineLevel="0" collapsed="false">
      <c r="A1963" s="17" t="s">
        <v>2527</v>
      </c>
      <c r="B1963" s="17" t="n">
        <v>17210.89</v>
      </c>
      <c r="C1963" s="19" t="n">
        <f aca="false">B1963/B1962-1</f>
        <v>0.0101680689531711</v>
      </c>
      <c r="D1963" s="17" t="n">
        <f aca="false">AVERAGE(B1914:B1963)</f>
        <v>17961.0266</v>
      </c>
      <c r="E1963" s="17" t="n">
        <f aca="false">AVERAGE(B1764:B1963)</f>
        <v>16277.1906</v>
      </c>
      <c r="F1963" s="17" t="n">
        <f aca="false">B1963*2/13+F1962*11/13</f>
        <v>17642.7797898016</v>
      </c>
      <c r="G1963" s="17" t="n">
        <f aca="false">B1963*2/27+G1962*25/27</f>
        <v>17830.0643617604</v>
      </c>
      <c r="H1963" s="17" t="n">
        <f aca="false">F1963-G1963</f>
        <v>-187.284571958753</v>
      </c>
      <c r="I1963" s="17" t="n">
        <f aca="false">H1963*2/10+I1962*8/10</f>
        <v>-66.1416086572417</v>
      </c>
      <c r="J1963" s="17" t="n">
        <f aca="false">H1963-I1963</f>
        <v>-121.142963301511</v>
      </c>
      <c r="K1963" s="17" t="n">
        <f aca="false">MAX(B1963-B1962,0)</f>
        <v>173.239999999998</v>
      </c>
      <c r="L1963" s="17" t="n">
        <f aca="false">MAX(B1962-B1963,0)</f>
        <v>0</v>
      </c>
      <c r="M1963" s="17" t="n">
        <f aca="false">(M1962*13+K1963)/14</f>
        <v>58.101306338145</v>
      </c>
      <c r="N1963" s="17" t="n">
        <f aca="false">(N1962*13+L1963)/14</f>
        <v>106.037204974149</v>
      </c>
      <c r="O1963" s="17" t="n">
        <f aca="false">IF(N1963=0,100,100-100/(1+M1963/N1963))</f>
        <v>35.3977295600055</v>
      </c>
      <c r="P1963" s="17" t="n">
        <f aca="false">AVERAGE(B1944:B1963)+2*STDEV(B1944:B1963)</f>
        <v>18706.1683698307</v>
      </c>
      <c r="Q1963" s="17" t="n">
        <f aca="false">AVERAGE(B1944:B1963)-2*STDEV(B1944:B1963)</f>
        <v>17167.4036301693</v>
      </c>
      <c r="R1963" s="19" t="n">
        <f aca="false">B1963/B1943-1</f>
        <v>-0.0615367753868166</v>
      </c>
      <c r="S1963" s="17" t="n">
        <f aca="false">STDEV(C1944:C1963)*SQRT(252)*100</f>
        <v>16.1602427202062</v>
      </c>
      <c r="T1963" s="19" t="n">
        <f aca="false">B1942/B1712-1</f>
        <v>0.409176533389945</v>
      </c>
      <c r="U1963" s="19" t="n">
        <f aca="false">B1963/MAX(B1712:B1963)-1</f>
        <v>-0.0615367753868166</v>
      </c>
      <c r="V1963" s="17" t="n">
        <f aca="false">(B1963-AVERAGE(B1944:B1963))/STDEV(B1944:B1963)</f>
        <v>-1.88695771690148</v>
      </c>
    </row>
    <row r="1964" customFormat="false" ht="15" hidden="false" customHeight="false" outlineLevel="0" collapsed="false">
      <c r="A1964" s="17" t="s">
        <v>2528</v>
      </c>
      <c r="B1964" s="17" t="n">
        <v>17471.47</v>
      </c>
      <c r="C1964" s="19" t="n">
        <f aca="false">B1964/B1963-1</f>
        <v>0.0151404140053188</v>
      </c>
      <c r="D1964" s="17" t="n">
        <f aca="false">AVERAGE(B1915:B1964)</f>
        <v>17951.2078</v>
      </c>
      <c r="E1964" s="17" t="n">
        <f aca="false">AVERAGE(B1765:B1964)</f>
        <v>16289.3637</v>
      </c>
      <c r="F1964" s="17" t="n">
        <f aca="false">B1964*2/13+F1963*11/13</f>
        <v>17616.4244375245</v>
      </c>
      <c r="G1964" s="17" t="n">
        <f aca="false">B1964*2/27+G1963*25/27</f>
        <v>17803.5018164448</v>
      </c>
      <c r="H1964" s="17" t="n">
        <f aca="false">F1964-G1964</f>
        <v>-187.077378920345</v>
      </c>
      <c r="I1964" s="17" t="n">
        <f aca="false">H1964*2/10+I1963*8/10</f>
        <v>-90.3287627098623</v>
      </c>
      <c r="J1964" s="17" t="n">
        <f aca="false">H1964-I1964</f>
        <v>-96.7486162104826</v>
      </c>
      <c r="K1964" s="17" t="n">
        <f aca="false">MAX(B1964-B1963,0)</f>
        <v>260.580000000002</v>
      </c>
      <c r="L1964" s="17" t="n">
        <f aca="false">MAX(B1963-B1964,0)</f>
        <v>0</v>
      </c>
      <c r="M1964" s="17" t="n">
        <f aca="false">(M1963*13+K1964)/14</f>
        <v>72.5640701711348</v>
      </c>
      <c r="N1964" s="17" t="n">
        <f aca="false">(N1963*13+L1964)/14</f>
        <v>98.4631189045672</v>
      </c>
      <c r="O1964" s="17" t="n">
        <f aca="false">IF(N1964=0,100,100-100/(1+M1964/N1964))</f>
        <v>42.4283826234293</v>
      </c>
      <c r="P1964" s="17" t="n">
        <f aca="false">AVERAGE(B1945:B1964)+2*STDEV(B1945:B1964)</f>
        <v>18675.175089683</v>
      </c>
      <c r="Q1964" s="17" t="n">
        <f aca="false">AVERAGE(B1945:B1964)-2*STDEV(B1945:B1964)</f>
        <v>17117.837910317</v>
      </c>
      <c r="R1964" s="19" t="n">
        <f aca="false">B1964/B1944-1</f>
        <v>-0.0440765637361807</v>
      </c>
      <c r="S1964" s="17" t="n">
        <f aca="false">STDEV(C1945:C1964)*SQRT(252)*100</f>
        <v>17.4095918745965</v>
      </c>
      <c r="T1964" s="19" t="n">
        <f aca="false">B1943/B1713-1</f>
        <v>0.414015371140252</v>
      </c>
      <c r="U1964" s="19" t="n">
        <f aca="false">B1964/MAX(B1713:B1964)-1</f>
        <v>-0.0473280536374064</v>
      </c>
      <c r="V1964" s="17" t="n">
        <f aca="false">(B1964-AVERAGE(B1945:B1964))/STDEV(B1945:B1964)</f>
        <v>-1.09170064294752</v>
      </c>
    </row>
    <row r="1965" customFormat="false" ht="15" hidden="false" customHeight="false" outlineLevel="0" collapsed="false">
      <c r="A1965" s="17" t="s">
        <v>2529</v>
      </c>
      <c r="B1965" s="17" t="n">
        <v>17526.8</v>
      </c>
      <c r="C1965" s="19" t="n">
        <f aca="false">B1965/B1964-1</f>
        <v>0.00316687720037279</v>
      </c>
      <c r="D1965" s="17" t="n">
        <f aca="false">AVERAGE(B1916:B1965)</f>
        <v>17944.0906</v>
      </c>
      <c r="E1965" s="17" t="n">
        <f aca="false">AVERAGE(B1766:B1965)</f>
        <v>16301.7695</v>
      </c>
      <c r="F1965" s="17" t="n">
        <f aca="false">B1965*2/13+F1964*11/13</f>
        <v>17602.6360625207</v>
      </c>
      <c r="G1965" s="17" t="n">
        <f aca="false">B1965*2/27+G1964*25/27</f>
        <v>17783.0053855971</v>
      </c>
      <c r="H1965" s="17" t="n">
        <f aca="false">F1965-G1965</f>
        <v>-180.369323076346</v>
      </c>
      <c r="I1965" s="17" t="n">
        <f aca="false">H1965*2/10+I1964*8/10</f>
        <v>-108.336874783159</v>
      </c>
      <c r="J1965" s="17" t="n">
        <f aca="false">H1965-I1965</f>
        <v>-72.0324482931866</v>
      </c>
      <c r="K1965" s="17" t="n">
        <f aca="false">MAX(B1965-B1964,0)</f>
        <v>55.3299999999981</v>
      </c>
      <c r="L1965" s="17" t="n">
        <f aca="false">MAX(B1964-B1965,0)</f>
        <v>0</v>
      </c>
      <c r="M1965" s="17" t="n">
        <f aca="false">(M1964*13+K1965)/14</f>
        <v>71.3330651589107</v>
      </c>
      <c r="N1965" s="17" t="n">
        <f aca="false">(N1964*13+L1965)/14</f>
        <v>91.4300389828124</v>
      </c>
      <c r="O1965" s="17" t="n">
        <f aca="false">IF(N1965=0,100,100-100/(1+M1965/N1965))</f>
        <v>43.8263115802945</v>
      </c>
      <c r="P1965" s="17" t="n">
        <f aca="false">AVERAGE(B1946:B1965)+2*STDEV(B1946:B1965)</f>
        <v>18642.97152266</v>
      </c>
      <c r="Q1965" s="17" t="n">
        <f aca="false">AVERAGE(B1946:B1965)-2*STDEV(B1946:B1965)</f>
        <v>17081.66747734</v>
      </c>
      <c r="R1965" s="19" t="n">
        <f aca="false">B1965/B1945-1</f>
        <v>-0.0375463879709225</v>
      </c>
      <c r="S1965" s="17" t="n">
        <f aca="false">STDEV(C1946:C1965)*SQRT(252)*100</f>
        <v>17.5020398348632</v>
      </c>
      <c r="T1965" s="19" t="n">
        <f aca="false">B1944/B1714-1</f>
        <v>0.436298782485967</v>
      </c>
      <c r="U1965" s="19" t="n">
        <f aca="false">B1965/MAX(B1714:B1965)-1</f>
        <v>-0.0443110585710359</v>
      </c>
      <c r="V1965" s="17" t="n">
        <f aca="false">(B1965-AVERAGE(B1946:B1965))/STDEV(B1946:B1965)</f>
        <v>-0.859587857997852</v>
      </c>
    </row>
    <row r="1966" customFormat="false" ht="15" hidden="false" customHeight="false" outlineLevel="0" collapsed="false">
      <c r="A1966" s="17" t="s">
        <v>2530</v>
      </c>
      <c r="B1966" s="17" t="n">
        <v>17430.5</v>
      </c>
      <c r="C1966" s="19" t="n">
        <f aca="false">B1966/B1965-1</f>
        <v>-0.00549444279617495</v>
      </c>
      <c r="D1966" s="17" t="n">
        <f aca="false">AVERAGE(B1917:B1966)</f>
        <v>17940.6922</v>
      </c>
      <c r="E1966" s="17" t="n">
        <f aca="false">AVERAGE(B1767:B1966)</f>
        <v>16313.3267</v>
      </c>
      <c r="F1966" s="17" t="n">
        <f aca="false">B1966*2/13+F1965*11/13</f>
        <v>17576.1535913637</v>
      </c>
      <c r="G1966" s="17" t="n">
        <f aca="false">B1966*2/27+G1965*25/27</f>
        <v>17756.8938755528</v>
      </c>
      <c r="H1966" s="17" t="n">
        <f aca="false">F1966-G1966</f>
        <v>-180.740284189153</v>
      </c>
      <c r="I1966" s="17" t="n">
        <f aca="false">H1966*2/10+I1965*8/10</f>
        <v>-122.817556664358</v>
      </c>
      <c r="J1966" s="17" t="n">
        <f aca="false">H1966-I1966</f>
        <v>-57.9227275247949</v>
      </c>
      <c r="K1966" s="17" t="n">
        <f aca="false">MAX(B1966-B1965,0)</f>
        <v>0</v>
      </c>
      <c r="L1966" s="17" t="n">
        <f aca="false">MAX(B1965-B1966,0)</f>
        <v>96.2999999999993</v>
      </c>
      <c r="M1966" s="17" t="n">
        <f aca="false">(M1965*13+K1966)/14</f>
        <v>66.2378462189885</v>
      </c>
      <c r="N1966" s="17" t="n">
        <f aca="false">(N1965*13+L1966)/14</f>
        <v>91.7778933411829</v>
      </c>
      <c r="O1966" s="17" t="n">
        <f aca="false">IF(N1966=0,100,100-100/(1+M1966/N1966))</f>
        <v>41.9185116643178</v>
      </c>
      <c r="P1966" s="17" t="n">
        <f aca="false">AVERAGE(B1947:B1966)+2*STDEV(B1947:B1966)</f>
        <v>18597.0971705587</v>
      </c>
      <c r="Q1966" s="17" t="n">
        <f aca="false">AVERAGE(B1947:B1966)-2*STDEV(B1947:B1966)</f>
        <v>17042.5078294413</v>
      </c>
      <c r="R1966" s="19" t="n">
        <f aca="false">B1966/B1946-1</f>
        <v>-0.0465153680027832</v>
      </c>
      <c r="S1966" s="17" t="n">
        <f aca="false">STDEV(C1947:C1966)*SQRT(252)*100</f>
        <v>17.411730027221</v>
      </c>
      <c r="T1966" s="19" t="n">
        <f aca="false">B1945/B1715-1</f>
        <v>0.421978560853568</v>
      </c>
      <c r="U1966" s="19" t="n">
        <f aca="false">B1966/MAX(B1715:B1966)-1</f>
        <v>-0.0495620367906544</v>
      </c>
      <c r="V1966" s="17" t="n">
        <f aca="false">(B1966-AVERAGE(B1947:B1966))/STDEV(B1947:B1966)</f>
        <v>-1.00168575636877</v>
      </c>
    </row>
    <row r="1967" customFormat="false" ht="15" hidden="false" customHeight="false" outlineLevel="0" collapsed="false">
      <c r="A1967" s="17" t="s">
        <v>2531</v>
      </c>
      <c r="B1967" s="17" t="n">
        <v>17718.3</v>
      </c>
      <c r="C1967" s="19" t="n">
        <f aca="false">B1967/B1966-1</f>
        <v>0.016511287685379</v>
      </c>
      <c r="D1967" s="17" t="n">
        <f aca="false">AVERAGE(B1918:B1967)</f>
        <v>17938.9056</v>
      </c>
      <c r="E1967" s="17" t="n">
        <f aca="false">AVERAGE(B1768:B1967)</f>
        <v>16325.38205</v>
      </c>
      <c r="F1967" s="17" t="n">
        <f aca="false">B1967*2/13+F1966*11/13</f>
        <v>17598.0222696154</v>
      </c>
      <c r="G1967" s="17" t="n">
        <f aca="false">B1967*2/27+G1966*25/27</f>
        <v>17754.0350699563</v>
      </c>
      <c r="H1967" s="17" t="n">
        <f aca="false">F1967-G1967</f>
        <v>-156.012800340905</v>
      </c>
      <c r="I1967" s="17" t="n">
        <f aca="false">H1967*2/10+I1966*8/10</f>
        <v>-129.456605399667</v>
      </c>
      <c r="J1967" s="17" t="n">
        <f aca="false">H1967-I1967</f>
        <v>-26.5561949412374</v>
      </c>
      <c r="K1967" s="17" t="n">
        <f aca="false">MAX(B1967-B1966,0)</f>
        <v>287.799999999999</v>
      </c>
      <c r="L1967" s="17" t="n">
        <f aca="false">MAX(B1966-B1967,0)</f>
        <v>0</v>
      </c>
      <c r="M1967" s="17" t="n">
        <f aca="false">(M1966*13+K1967)/14</f>
        <v>82.0637143462036</v>
      </c>
      <c r="N1967" s="17" t="n">
        <f aca="false">(N1966*13+L1967)/14</f>
        <v>85.2223295310984</v>
      </c>
      <c r="O1967" s="17" t="n">
        <f aca="false">IF(N1967=0,100,100-100/(1+M1967/N1967))</f>
        <v>49.0559238799348</v>
      </c>
      <c r="P1967" s="17" t="n">
        <f aca="false">AVERAGE(B1948:B1967)+2*STDEV(B1948:B1967)</f>
        <v>18543.6568280295</v>
      </c>
      <c r="Q1967" s="17" t="n">
        <f aca="false">AVERAGE(B1948:B1967)-2*STDEV(B1948:B1967)</f>
        <v>17042.3091719705</v>
      </c>
      <c r="R1967" s="19" t="n">
        <f aca="false">B1967/B1947-1</f>
        <v>-0.0293836816730385</v>
      </c>
      <c r="S1967" s="17" t="n">
        <f aca="false">STDEV(C1948:C1967)*SQRT(252)*100</f>
        <v>18.653936323851</v>
      </c>
      <c r="T1967" s="19" t="n">
        <f aca="false">B1946/B1716-1</f>
        <v>0.389118413863798</v>
      </c>
      <c r="U1967" s="19" t="n">
        <f aca="false">B1967/MAX(B1716:B1967)-1</f>
        <v>-0.0338690821529992</v>
      </c>
      <c r="V1967" s="17" t="n">
        <f aca="false">(B1967-AVERAGE(B1948:B1967))/STDEV(B1948:B1967)</f>
        <v>-0.198975899282501</v>
      </c>
    </row>
    <row r="1968" customFormat="false" ht="15" hidden="false" customHeight="false" outlineLevel="0" collapsed="false">
      <c r="A1968" s="17" t="s">
        <v>2532</v>
      </c>
      <c r="B1968" s="17" t="n">
        <v>17782.72</v>
      </c>
      <c r="C1968" s="19" t="n">
        <f aca="false">B1968/B1967-1</f>
        <v>0.00363578898652817</v>
      </c>
      <c r="D1968" s="17" t="n">
        <f aca="false">AVERAGE(B1919:B1968)</f>
        <v>17937.6456</v>
      </c>
      <c r="E1968" s="17" t="n">
        <f aca="false">AVERAGE(B1769:B1968)</f>
        <v>16336.43575</v>
      </c>
      <c r="F1968" s="17" t="n">
        <f aca="false">B1968*2/13+F1967*11/13</f>
        <v>17626.4373050592</v>
      </c>
      <c r="G1968" s="17" t="n">
        <f aca="false">B1968*2/27+G1967*25/27</f>
        <v>17756.1598795892</v>
      </c>
      <c r="H1968" s="17" t="n">
        <f aca="false">F1968-G1968</f>
        <v>-129.722574529991</v>
      </c>
      <c r="I1968" s="17" t="n">
        <f aca="false">H1968*2/10+I1967*8/10</f>
        <v>-129.509799225732</v>
      </c>
      <c r="J1968" s="17" t="n">
        <f aca="false">H1968-I1968</f>
        <v>-0.212775304259225</v>
      </c>
      <c r="K1968" s="17" t="n">
        <f aca="false">MAX(B1968-B1967,0)</f>
        <v>64.4200000000019</v>
      </c>
      <c r="L1968" s="17" t="n">
        <f aca="false">MAX(B1967-B1968,0)</f>
        <v>0</v>
      </c>
      <c r="M1968" s="17" t="n">
        <f aca="false">(M1967*13+K1968)/14</f>
        <v>80.8034490357606</v>
      </c>
      <c r="N1968" s="17" t="n">
        <f aca="false">(N1967*13+L1968)/14</f>
        <v>79.1350202788771</v>
      </c>
      <c r="O1968" s="17" t="n">
        <f aca="false">IF(N1968=0,100,100-100/(1+M1968/N1968))</f>
        <v>50.5215845706268</v>
      </c>
      <c r="P1968" s="17" t="n">
        <f aca="false">AVERAGE(B1949:B1968)+2*STDEV(B1949:B1968)</f>
        <v>18480.2794870321</v>
      </c>
      <c r="Q1968" s="17" t="n">
        <f aca="false">AVERAGE(B1949:B1968)-2*STDEV(B1949:B1968)</f>
        <v>17054.6385129679</v>
      </c>
      <c r="R1968" s="19" t="n">
        <f aca="false">B1968/B1948-1</f>
        <v>-0.0279054512059126</v>
      </c>
      <c r="S1968" s="17" t="n">
        <f aca="false">STDEV(C1949:C1968)*SQRT(252)*100</f>
        <v>18.7000950348764</v>
      </c>
      <c r="T1968" s="19" t="n">
        <f aca="false">B1947/B1717-1</f>
        <v>0.378129532031958</v>
      </c>
      <c r="U1968" s="19" t="n">
        <f aca="false">B1968/MAX(B1717:B1968)-1</f>
        <v>-0.0303564340023468</v>
      </c>
      <c r="V1968" s="17" t="n">
        <f aca="false">(B1968-AVERAGE(B1949:B1968))/STDEV(B1949:B1968)</f>
        <v>0.0428186346426257</v>
      </c>
    </row>
    <row r="1969" customFormat="false" ht="15" hidden="false" customHeight="false" outlineLevel="0" collapsed="false">
      <c r="A1969" s="17" t="s">
        <v>2533</v>
      </c>
      <c r="B1969" s="17" t="n">
        <v>17440.69</v>
      </c>
      <c r="C1969" s="19" t="n">
        <f aca="false">B1969/B1968-1</f>
        <v>-0.0192338404923432</v>
      </c>
      <c r="D1969" s="17" t="n">
        <f aca="false">AVERAGE(B1920:B1969)</f>
        <v>17932.7398</v>
      </c>
      <c r="E1969" s="17" t="n">
        <f aca="false">AVERAGE(B1770:B1969)</f>
        <v>16345.8112</v>
      </c>
      <c r="F1969" s="17" t="n">
        <f aca="false">B1969*2/13+F1968*11/13</f>
        <v>17597.8607965886</v>
      </c>
      <c r="G1969" s="17" t="n">
        <f aca="false">B1969*2/27+G1968*25/27</f>
        <v>17732.7917403604</v>
      </c>
      <c r="H1969" s="17" t="n">
        <f aca="false">F1969-G1969</f>
        <v>-134.930943771804</v>
      </c>
      <c r="I1969" s="17" t="n">
        <f aca="false">H1969*2/10+I1968*8/10</f>
        <v>-130.594028134946</v>
      </c>
      <c r="J1969" s="17" t="n">
        <f aca="false">H1969-I1969</f>
        <v>-4.33691563685758</v>
      </c>
      <c r="K1969" s="17" t="n">
        <f aca="false">MAX(B1969-B1968,0)</f>
        <v>0</v>
      </c>
      <c r="L1969" s="17" t="n">
        <f aca="false">MAX(B1968-B1969,0)</f>
        <v>342.030000000003</v>
      </c>
      <c r="M1969" s="17" t="n">
        <f aca="false">(M1968*13+K1969)/14</f>
        <v>75.0317741046349</v>
      </c>
      <c r="N1969" s="17" t="n">
        <f aca="false">(N1968*13+L1969)/14</f>
        <v>97.9132331161003</v>
      </c>
      <c r="O1969" s="17" t="n">
        <f aca="false">IF(N1969=0,100,100-100/(1+M1969/N1969))</f>
        <v>43.3847587221003</v>
      </c>
      <c r="P1969" s="17" t="n">
        <f aca="false">AVERAGE(B1950:B1969)+2*STDEV(B1950:B1969)</f>
        <v>18440.0015936963</v>
      </c>
      <c r="Q1969" s="17" t="n">
        <f aca="false">AVERAGE(B1950:B1969)-2*STDEV(B1950:B1969)</f>
        <v>17026.8074063037</v>
      </c>
      <c r="R1969" s="19" t="n">
        <f aca="false">B1969/B1949-1</f>
        <v>-0.0375840563123491</v>
      </c>
      <c r="S1969" s="17" t="n">
        <f aca="false">STDEV(C1950:C1969)*SQRT(252)*100</f>
        <v>19.5688715173647</v>
      </c>
      <c r="T1969" s="19" t="n">
        <f aca="false">B1948/B1718-1</f>
        <v>0.382552354349139</v>
      </c>
      <c r="U1969" s="19" t="n">
        <f aca="false">B1969/MAX(B1718:B1969)-1</f>
        <v>-0.0490064036851725</v>
      </c>
      <c r="V1969" s="17" t="n">
        <f aca="false">(B1969-AVERAGE(B1950:B1969))/STDEV(B1950:B1969)</f>
        <v>-0.82851883374949</v>
      </c>
    </row>
    <row r="1970" customFormat="false" ht="15" hidden="false" customHeight="false" outlineLevel="0" collapsed="false">
      <c r="A1970" s="17" t="s">
        <v>2534</v>
      </c>
      <c r="B1970" s="17" t="n">
        <v>17318.55</v>
      </c>
      <c r="C1970" s="19" t="n">
        <f aca="false">B1970/B1969-1</f>
        <v>-0.00700316329227801</v>
      </c>
      <c r="D1970" s="17" t="n">
        <f aca="false">AVERAGE(B1921:B1970)</f>
        <v>17928.1888</v>
      </c>
      <c r="E1970" s="17" t="n">
        <f aca="false">AVERAGE(B1771:B1970)</f>
        <v>16353.83755</v>
      </c>
      <c r="F1970" s="17" t="n">
        <f aca="false">B1970*2/13+F1969*11/13</f>
        <v>17554.8899048057</v>
      </c>
      <c r="G1970" s="17" t="n">
        <f aca="false">B1970*2/27+G1969*25/27</f>
        <v>17702.1071670003</v>
      </c>
      <c r="H1970" s="17" t="n">
        <f aca="false">F1970-G1970</f>
        <v>-147.21726219463</v>
      </c>
      <c r="I1970" s="17" t="n">
        <f aca="false">H1970*2/10+I1969*8/10</f>
        <v>-133.918674946883</v>
      </c>
      <c r="J1970" s="17" t="n">
        <f aca="false">H1970-I1970</f>
        <v>-13.2985872477471</v>
      </c>
      <c r="K1970" s="17" t="n">
        <f aca="false">MAX(B1970-B1969,0)</f>
        <v>0</v>
      </c>
      <c r="L1970" s="17" t="n">
        <f aca="false">MAX(B1969-B1970,0)</f>
        <v>122.139999999999</v>
      </c>
      <c r="M1970" s="17" t="n">
        <f aca="false">(M1969*13+K1970)/14</f>
        <v>69.6723616685895</v>
      </c>
      <c r="N1970" s="17" t="n">
        <f aca="false">(N1969*13+L1970)/14</f>
        <v>99.6437164649502</v>
      </c>
      <c r="O1970" s="17" t="n">
        <f aca="false">IF(N1970=0,100,100-100/(1+M1970/N1970))</f>
        <v>41.1492886184376</v>
      </c>
      <c r="P1970" s="17" t="n">
        <f aca="false">AVERAGE(B1951:B1970)+2*STDEV(B1951:B1970)</f>
        <v>18391.1146344867</v>
      </c>
      <c r="Q1970" s="17" t="n">
        <f aca="false">AVERAGE(B1951:B1970)-2*STDEV(B1951:B1970)</f>
        <v>16991.5303655133</v>
      </c>
      <c r="R1970" s="19" t="n">
        <f aca="false">B1970/B1950-1</f>
        <v>-0.0463453300874055</v>
      </c>
      <c r="S1970" s="17" t="n">
        <f aca="false">STDEV(C1951:C1970)*SQRT(252)*100</f>
        <v>19.5918875140896</v>
      </c>
      <c r="T1970" s="19" t="n">
        <f aca="false">B1949/B1719-1</f>
        <v>0.381901010091767</v>
      </c>
      <c r="U1970" s="19" t="n">
        <f aca="false">B1970/MAX(B1719:B1970)-1</f>
        <v>-0.0556663671300759</v>
      </c>
      <c r="V1970" s="17" t="n">
        <f aca="false">(B1970-AVERAGE(B1951:B1970))/STDEV(B1951:B1970)</f>
        <v>-1.0653806512799</v>
      </c>
    </row>
    <row r="1971" customFormat="false" ht="15" hidden="false" customHeight="false" outlineLevel="0" collapsed="false">
      <c r="A1971" s="17" t="s">
        <v>2535</v>
      </c>
      <c r="B1971" s="17" t="n">
        <v>17541.54</v>
      </c>
      <c r="C1971" s="19" t="n">
        <f aca="false">B1971/B1970-1</f>
        <v>0.0128757892548741</v>
      </c>
      <c r="D1971" s="17" t="n">
        <f aca="false">AVERAGE(B1922:B1971)</f>
        <v>17929.4414</v>
      </c>
      <c r="E1971" s="17" t="n">
        <f aca="false">AVERAGE(B1772:B1971)</f>
        <v>16362.3385</v>
      </c>
      <c r="F1971" s="17" t="n">
        <f aca="false">B1971*2/13+F1970*11/13</f>
        <v>17552.8360732971</v>
      </c>
      <c r="G1971" s="17" t="n">
        <f aca="false">B1971*2/27+G1970*25/27</f>
        <v>17690.2133027781</v>
      </c>
      <c r="H1971" s="17" t="n">
        <f aca="false">F1971-G1971</f>
        <v>-137.37722948095</v>
      </c>
      <c r="I1971" s="17" t="n">
        <f aca="false">H1971*2/10+I1970*8/10</f>
        <v>-134.610385853696</v>
      </c>
      <c r="J1971" s="17" t="n">
        <f aca="false">H1971-I1971</f>
        <v>-2.76684362725322</v>
      </c>
      <c r="K1971" s="17" t="n">
        <f aca="false">MAX(B1971-B1970,0)</f>
        <v>222.990000000002</v>
      </c>
      <c r="L1971" s="17" t="n">
        <f aca="false">MAX(B1970-B1971,0)</f>
        <v>0</v>
      </c>
      <c r="M1971" s="17" t="n">
        <f aca="false">(M1970*13+K1971)/14</f>
        <v>80.6236215494047</v>
      </c>
      <c r="N1971" s="17" t="n">
        <f aca="false">(N1970*13+L1971)/14</f>
        <v>92.5263081460252</v>
      </c>
      <c r="O1971" s="17" t="n">
        <f aca="false">IF(N1971=0,100,100-100/(1+M1971/N1971))</f>
        <v>46.5628959198663</v>
      </c>
      <c r="P1971" s="17" t="n">
        <f aca="false">AVERAGE(B1952:B1971)+2*STDEV(B1952:B1971)</f>
        <v>18371.4805996415</v>
      </c>
      <c r="Q1971" s="17" t="n">
        <f aca="false">AVERAGE(B1952:B1971)-2*STDEV(B1952:B1971)</f>
        <v>16977.4404003585</v>
      </c>
      <c r="R1971" s="19" t="n">
        <f aca="false">B1971/B1951-1</f>
        <v>-0.0188625845835118</v>
      </c>
      <c r="S1971" s="17" t="n">
        <f aca="false">STDEV(C1952:C1971)*SQRT(252)*100</f>
        <v>19.6452145922313</v>
      </c>
      <c r="T1971" s="19" t="n">
        <f aca="false">B1950/B1720-1</f>
        <v>0.393698950362273</v>
      </c>
      <c r="U1971" s="19" t="n">
        <f aca="false">B1971/MAX(B1720:B1971)-1</f>
        <v>-0.0435073262869531</v>
      </c>
      <c r="V1971" s="17" t="n">
        <f aca="false">(B1971-AVERAGE(B1952:B1971))/STDEV(B1952:B1971)</f>
        <v>-0.381396462077264</v>
      </c>
    </row>
    <row r="1972" customFormat="false" ht="15" hidden="false" customHeight="false" outlineLevel="0" collapsed="false">
      <c r="A1972" s="17" t="s">
        <v>2536</v>
      </c>
      <c r="B1972" s="17" t="n">
        <v>17890.8</v>
      </c>
      <c r="C1972" s="19" t="n">
        <f aca="false">B1972/B1971-1</f>
        <v>0.0199104525600373</v>
      </c>
      <c r="D1972" s="17" t="n">
        <f aca="false">AVERAGE(B1923:B1972)</f>
        <v>17927.1634</v>
      </c>
      <c r="E1972" s="17" t="n">
        <f aca="false">AVERAGE(B1773:B1972)</f>
        <v>16372.66075</v>
      </c>
      <c r="F1972" s="17" t="n">
        <f aca="false">B1972*2/13+F1971*11/13</f>
        <v>17604.8305235591</v>
      </c>
      <c r="G1972" s="17" t="n">
        <f aca="false">B1972*2/27+G1971*25/27</f>
        <v>17705.0715766464</v>
      </c>
      <c r="H1972" s="17" t="n">
        <f aca="false">F1972-G1972</f>
        <v>-100.241053087258</v>
      </c>
      <c r="I1972" s="17" t="n">
        <f aca="false">H1972*2/10+I1971*8/10</f>
        <v>-127.736519300409</v>
      </c>
      <c r="J1972" s="17" t="n">
        <f aca="false">H1972-I1972</f>
        <v>27.4954662131503</v>
      </c>
      <c r="K1972" s="17" t="n">
        <f aca="false">MAX(B1972-B1971,0)</f>
        <v>349.259999999998</v>
      </c>
      <c r="L1972" s="17" t="n">
        <f aca="false">MAX(B1971-B1972,0)</f>
        <v>0</v>
      </c>
      <c r="M1972" s="17" t="n">
        <f aca="false">(M1971*13+K1972)/14</f>
        <v>99.8119342958756</v>
      </c>
      <c r="N1972" s="17" t="n">
        <f aca="false">(N1971*13+L1972)/14</f>
        <v>85.9172861355949</v>
      </c>
      <c r="O1972" s="17" t="n">
        <f aca="false">IF(N1972=0,100,100-100/(1+M1972/N1972))</f>
        <v>53.7405660046389</v>
      </c>
      <c r="P1972" s="17" t="n">
        <f aca="false">AVERAGE(B1953:B1972)+2*STDEV(B1953:B1972)</f>
        <v>18338.5128592713</v>
      </c>
      <c r="Q1972" s="17" t="n">
        <f aca="false">AVERAGE(B1953:B1972)-2*STDEV(B1953:B1972)</f>
        <v>16988.6421407287</v>
      </c>
      <c r="R1972" s="19" t="n">
        <f aca="false">B1972/B1952-1</f>
        <v>-0.0120197962720187</v>
      </c>
      <c r="S1972" s="17" t="n">
        <f aca="false">STDEV(C1953:C1972)*SQRT(252)*100</f>
        <v>20.4435891463511</v>
      </c>
      <c r="T1972" s="19" t="n">
        <f aca="false">B1951/B1721-1</f>
        <v>0.377146739297884</v>
      </c>
      <c r="U1972" s="19" t="n">
        <f aca="false">B1972/MAX(B1721:B1972)-1</f>
        <v>-0.024463124282966</v>
      </c>
      <c r="V1972" s="17" t="n">
        <f aca="false">(B1972-AVERAGE(B1953:B1972))/STDEV(B1953:B1972)</f>
        <v>0.673316331345592</v>
      </c>
    </row>
    <row r="1973" customFormat="false" ht="15" hidden="false" customHeight="false" outlineLevel="0" collapsed="false">
      <c r="A1973" s="17" t="s">
        <v>2537</v>
      </c>
      <c r="B1973" s="17" t="n">
        <v>18093.57</v>
      </c>
      <c r="C1973" s="19" t="n">
        <f aca="false">B1973/B1972-1</f>
        <v>0.0113337581326716</v>
      </c>
      <c r="D1973" s="17" t="n">
        <f aca="false">AVERAGE(B1924:B1973)</f>
        <v>17930.2826</v>
      </c>
      <c r="E1973" s="17" t="n">
        <f aca="false">AVERAGE(B1774:B1973)</f>
        <v>16385.79815</v>
      </c>
      <c r="F1973" s="17" t="n">
        <f aca="false">B1973*2/13+F1972*11/13</f>
        <v>17680.0212122423</v>
      </c>
      <c r="G1973" s="17" t="n">
        <f aca="false">B1973*2/27+G1972*25/27</f>
        <v>17733.8492376355</v>
      </c>
      <c r="H1973" s="17" t="n">
        <f aca="false">F1973-G1973</f>
        <v>-53.8280253932062</v>
      </c>
      <c r="I1973" s="17" t="n">
        <f aca="false">H1973*2/10+I1972*8/10</f>
        <v>-112.954820518968</v>
      </c>
      <c r="J1973" s="17" t="n">
        <f aca="false">H1973-I1973</f>
        <v>59.1267951257621</v>
      </c>
      <c r="K1973" s="17" t="n">
        <f aca="false">MAX(B1973-B1972,0)</f>
        <v>202.77</v>
      </c>
      <c r="L1973" s="17" t="n">
        <f aca="false">MAX(B1972-B1973,0)</f>
        <v>0</v>
      </c>
      <c r="M1973" s="17" t="n">
        <f aca="false">(M1972*13+K1973)/14</f>
        <v>107.16608184617</v>
      </c>
      <c r="N1973" s="17" t="n">
        <f aca="false">(N1972*13+L1973)/14</f>
        <v>79.7803371259095</v>
      </c>
      <c r="O1973" s="17" t="n">
        <f aca="false">IF(N1973=0,100,100-100/(1+M1973/N1973))</f>
        <v>57.3244903194297</v>
      </c>
      <c r="P1973" s="17" t="n">
        <f aca="false">AVERAGE(B1954:B1973)+2*STDEV(B1954:B1973)</f>
        <v>18337.2861903596</v>
      </c>
      <c r="Q1973" s="17" t="n">
        <f aca="false">AVERAGE(B1954:B1973)-2*STDEV(B1954:B1973)</f>
        <v>16989.2068096405</v>
      </c>
      <c r="R1973" s="19" t="n">
        <f aca="false">B1973/B1953-1</f>
        <v>-0.000365742017072734</v>
      </c>
      <c r="S1973" s="17" t="n">
        <f aca="false">STDEV(C1954:C1973)*SQRT(252)*100</f>
        <v>20.8727525009044</v>
      </c>
      <c r="T1973" s="19" t="n">
        <f aca="false">B1952/B1722-1</f>
        <v>0.365735157585754</v>
      </c>
      <c r="U1973" s="19" t="n">
        <f aca="false">B1973/MAX(B1722:B1973)-1</f>
        <v>-0.0134066252840871</v>
      </c>
      <c r="V1973" s="17" t="n">
        <f aca="false">(B1973-AVERAGE(B1954:B1973))/STDEV(B1954:B1973)</f>
        <v>1.27684914154077</v>
      </c>
    </row>
    <row r="1974" customFormat="false" ht="15" hidden="false" customHeight="false" outlineLevel="0" collapsed="false">
      <c r="A1974" s="17" t="s">
        <v>2538</v>
      </c>
      <c r="B1974" s="17" t="n">
        <v>18091.45</v>
      </c>
      <c r="C1974" s="19" t="n">
        <f aca="false">B1974/B1973-1</f>
        <v>-0.000117168695840553</v>
      </c>
      <c r="D1974" s="17" t="n">
        <f aca="false">AVERAGE(B1925:B1974)</f>
        <v>17933.445</v>
      </c>
      <c r="E1974" s="17" t="n">
        <f aca="false">AVERAGE(B1775:B1974)</f>
        <v>16399.12705</v>
      </c>
      <c r="F1974" s="17" t="n">
        <f aca="false">B1974*2/13+F1973*11/13</f>
        <v>17743.3179488204</v>
      </c>
      <c r="G1974" s="17" t="n">
        <f aca="false">B1974*2/27+G1973*25/27</f>
        <v>17760.3381829959</v>
      </c>
      <c r="H1974" s="17" t="n">
        <f aca="false">F1974-G1974</f>
        <v>-17.0202341754302</v>
      </c>
      <c r="I1974" s="17" t="n">
        <f aca="false">H1974*2/10+I1973*8/10</f>
        <v>-93.7679032502607</v>
      </c>
      <c r="J1974" s="17" t="n">
        <f aca="false">H1974-I1974</f>
        <v>76.7476690748305</v>
      </c>
      <c r="K1974" s="17" t="n">
        <f aca="false">MAX(B1974-B1973,0)</f>
        <v>0</v>
      </c>
      <c r="L1974" s="17" t="n">
        <f aca="false">MAX(B1973-B1974,0)</f>
        <v>2.11999999999898</v>
      </c>
      <c r="M1974" s="17" t="n">
        <f aca="false">(M1973*13+K1974)/14</f>
        <v>99.511361714301</v>
      </c>
      <c r="N1974" s="17" t="n">
        <f aca="false">(N1973*13+L1974)/14</f>
        <v>74.2331701883445</v>
      </c>
      <c r="O1974" s="17" t="n">
        <f aca="false">IF(N1974=0,100,100-100/(1+M1974/N1974))</f>
        <v>57.274528656856</v>
      </c>
      <c r="P1974" s="17" t="n">
        <f aca="false">AVERAGE(B1955:B1974)+2*STDEV(B1955:B1974)</f>
        <v>18321.7625402404</v>
      </c>
      <c r="Q1974" s="17" t="n">
        <f aca="false">AVERAGE(B1955:B1974)-2*STDEV(B1955:B1974)</f>
        <v>16996.8854597596</v>
      </c>
      <c r="R1974" s="19" t="n">
        <f aca="false">B1974/B1954-1</f>
        <v>-0.00431758017380401</v>
      </c>
      <c r="S1974" s="17" t="n">
        <f aca="false">STDEV(C1955:C1974)*SQRT(252)*100</f>
        <v>20.8247241528294</v>
      </c>
      <c r="T1974" s="19" t="n">
        <f aca="false">B1953/B1723-1</f>
        <v>0.361772512647047</v>
      </c>
      <c r="U1974" s="19" t="n">
        <f aca="false">B1974/MAX(B1723:B1974)-1</f>
        <v>-0.0135222231431275</v>
      </c>
      <c r="V1974" s="17" t="n">
        <f aca="false">(B1974-AVERAGE(B1955:B1974))/STDEV(B1955:B1974)</f>
        <v>1.30465235263396</v>
      </c>
    </row>
    <row r="1975" customFormat="false" ht="15" hidden="false" customHeight="false" outlineLevel="0" collapsed="false">
      <c r="A1975" s="17" t="s">
        <v>2539</v>
      </c>
      <c r="B1975" s="17" t="n">
        <v>18085.01</v>
      </c>
      <c r="C1975" s="19" t="n">
        <f aca="false">B1975/B1974-1</f>
        <v>-0.000355969256195743</v>
      </c>
      <c r="D1975" s="17" t="n">
        <f aca="false">AVERAGE(B1926:B1975)</f>
        <v>17935.7242</v>
      </c>
      <c r="E1975" s="17" t="n">
        <f aca="false">AVERAGE(B1776:B1975)</f>
        <v>16412.312</v>
      </c>
      <c r="F1975" s="17" t="n">
        <f aca="false">B1975*2/13+F1974*11/13</f>
        <v>17795.8859566942</v>
      </c>
      <c r="G1975" s="17" t="n">
        <f aca="false">B1975*2/27+G1974*25/27</f>
        <v>17784.3879472184</v>
      </c>
      <c r="H1975" s="17" t="n">
        <f aca="false">F1975-G1975</f>
        <v>11.4980094758212</v>
      </c>
      <c r="I1975" s="17" t="n">
        <f aca="false">H1975*2/10+I1974*8/10</f>
        <v>-72.7147207050443</v>
      </c>
      <c r="J1975" s="17" t="n">
        <f aca="false">H1975-I1975</f>
        <v>84.2127301808655</v>
      </c>
      <c r="K1975" s="17" t="n">
        <f aca="false">MAX(B1975-B1974,0)</f>
        <v>0</v>
      </c>
      <c r="L1975" s="17" t="n">
        <f aca="false">MAX(B1974-B1975,0)</f>
        <v>6.44000000000233</v>
      </c>
      <c r="M1975" s="17" t="n">
        <f aca="false">(M1974*13+K1975)/14</f>
        <v>92.4034073061366</v>
      </c>
      <c r="N1975" s="17" t="n">
        <f aca="false">(N1974*13+L1975)/14</f>
        <v>69.3908008891772</v>
      </c>
      <c r="O1975" s="17" t="n">
        <f aca="false">IF(N1975=0,100,100-100/(1+M1975/N1975))</f>
        <v>57.111690422558</v>
      </c>
      <c r="P1975" s="17" t="n">
        <f aca="false">AVERAGE(B1956:B1975)+2*STDEV(B1956:B1975)</f>
        <v>18334.3948685467</v>
      </c>
      <c r="Q1975" s="17" t="n">
        <f aca="false">AVERAGE(B1956:B1975)-2*STDEV(B1956:B1975)</f>
        <v>16991.5881314534</v>
      </c>
      <c r="R1975" s="19" t="n">
        <f aca="false">B1975/B1955-1</f>
        <v>0.00407236201438388</v>
      </c>
      <c r="S1975" s="17" t="n">
        <f aca="false">STDEV(C1956:C1975)*SQRT(252)*100</f>
        <v>20.5781893936325</v>
      </c>
      <c r="T1975" s="19" t="n">
        <f aca="false">B1954/B1724-1</f>
        <v>0.376391833717013</v>
      </c>
      <c r="U1975" s="19" t="n">
        <f aca="false">B1975/MAX(B1724:B1975)-1</f>
        <v>-0.0138733789036088</v>
      </c>
      <c r="V1975" s="17" t="n">
        <f aca="false">(B1975-AVERAGE(B1956:B1975))/STDEV(B1956:B1975)</f>
        <v>1.25712357062944</v>
      </c>
    </row>
    <row r="1976" customFormat="false" ht="15" hidden="false" customHeight="false" outlineLevel="0" collapsed="false">
      <c r="A1976" s="17" t="s">
        <v>2540</v>
      </c>
      <c r="B1976" s="17" t="n">
        <v>18113.46</v>
      </c>
      <c r="C1976" s="19" t="n">
        <f aca="false">B1976/B1975-1</f>
        <v>0.00157312603089532</v>
      </c>
      <c r="D1976" s="17" t="n">
        <f aca="false">AVERAGE(B1927:B1976)</f>
        <v>17940.5034</v>
      </c>
      <c r="E1976" s="17" t="n">
        <f aca="false">AVERAGE(B1777:B1976)</f>
        <v>16425.0722</v>
      </c>
      <c r="F1976" s="17" t="n">
        <f aca="false">B1976*2/13+F1975*11/13</f>
        <v>17844.7435018182</v>
      </c>
      <c r="G1976" s="17" t="n">
        <f aca="false">B1976*2/27+G1975*25/27</f>
        <v>17808.7636548318</v>
      </c>
      <c r="H1976" s="17" t="n">
        <f aca="false">F1976-G1976</f>
        <v>35.9798469863345</v>
      </c>
      <c r="I1976" s="17" t="n">
        <f aca="false">H1976*2/10+I1975*8/10</f>
        <v>-50.9758071667686</v>
      </c>
      <c r="J1976" s="17" t="n">
        <f aca="false">H1976-I1976</f>
        <v>86.955654153103</v>
      </c>
      <c r="K1976" s="17" t="n">
        <f aca="false">MAX(B1976-B1975,0)</f>
        <v>28.4500000000007</v>
      </c>
      <c r="L1976" s="17" t="n">
        <f aca="false">MAX(B1975-B1976,0)</f>
        <v>0</v>
      </c>
      <c r="M1976" s="17" t="n">
        <f aca="false">(M1975*13+K1976)/14</f>
        <v>87.8353067842698</v>
      </c>
      <c r="N1976" s="17" t="n">
        <f aca="false">(N1975*13+L1976)/14</f>
        <v>64.4343151113788</v>
      </c>
      <c r="O1976" s="17" t="n">
        <f aca="false">IF(N1976=0,100,100-100/(1+M1976/N1976))</f>
        <v>57.6840644186166</v>
      </c>
      <c r="P1976" s="17" t="n">
        <f aca="false">AVERAGE(B1957:B1976)+2*STDEV(B1957:B1976)</f>
        <v>18290.0727663059</v>
      </c>
      <c r="Q1976" s="17" t="n">
        <f aca="false">AVERAGE(B1957:B1976)-2*STDEV(B1957:B1976)</f>
        <v>17016.4582336941</v>
      </c>
      <c r="R1976" s="19" t="n">
        <f aca="false">B1976/B1956-1</f>
        <v>-0.0106248750544845</v>
      </c>
      <c r="S1976" s="17" t="n">
        <f aca="false">STDEV(C1957:C1976)*SQRT(252)*100</f>
        <v>19.6860912616955</v>
      </c>
      <c r="T1976" s="19" t="n">
        <f aca="false">B1955/B1725-1</f>
        <v>0.349407356851263</v>
      </c>
      <c r="U1976" s="19" t="n">
        <f aca="false">B1976/MAX(B1725:B1976)-1</f>
        <v>-0.0123220774462034</v>
      </c>
      <c r="V1976" s="17" t="n">
        <f aca="false">(B1976-AVERAGE(B1957:B1976))/STDEV(B1957:B1976)</f>
        <v>1.44531799289782</v>
      </c>
    </row>
    <row r="1977" customFormat="false" ht="15" hidden="false" customHeight="false" outlineLevel="0" collapsed="false">
      <c r="A1977" s="17" t="s">
        <v>2541</v>
      </c>
      <c r="B1977" s="17" t="n">
        <v>18161.18</v>
      </c>
      <c r="C1977" s="19" t="n">
        <f aca="false">B1977/B1976-1</f>
        <v>0.00263450494825412</v>
      </c>
      <c r="D1977" s="17" t="n">
        <f aca="false">AVERAGE(B1928:B1977)</f>
        <v>17942.85</v>
      </c>
      <c r="E1977" s="17" t="n">
        <f aca="false">AVERAGE(B1778:B1977)</f>
        <v>16438.3818</v>
      </c>
      <c r="F1977" s="17" t="n">
        <f aca="false">B1977*2/13+F1976*11/13</f>
        <v>17893.42604</v>
      </c>
      <c r="G1977" s="17" t="n">
        <f aca="false">B1977*2/27+G1976*25/27</f>
        <v>17834.8685692887</v>
      </c>
      <c r="H1977" s="17" t="n">
        <f aca="false">F1977-G1977</f>
        <v>58.5574707112537</v>
      </c>
      <c r="I1977" s="17" t="n">
        <f aca="false">H1977*2/10+I1976*8/10</f>
        <v>-29.0691515911641</v>
      </c>
      <c r="J1977" s="17" t="n">
        <f aca="false">H1977-I1977</f>
        <v>87.6266223024178</v>
      </c>
      <c r="K1977" s="17" t="n">
        <f aca="false">MAX(B1977-B1976,0)</f>
        <v>47.7200000000012</v>
      </c>
      <c r="L1977" s="17" t="n">
        <f aca="false">MAX(B1976-B1977,0)</f>
        <v>0</v>
      </c>
      <c r="M1977" s="17" t="n">
        <f aca="false">(M1976*13+K1977)/14</f>
        <v>84.9699277282506</v>
      </c>
      <c r="N1977" s="17" t="n">
        <f aca="false">(N1976*13+L1977)/14</f>
        <v>59.8318640319946</v>
      </c>
      <c r="O1977" s="17" t="n">
        <f aca="false">IF(N1977=0,100,100-100/(1+M1977/N1977))</f>
        <v>58.6801632047061</v>
      </c>
      <c r="P1977" s="17" t="n">
        <f aca="false">AVERAGE(B1958:B1977)+2*STDEV(B1958:B1977)</f>
        <v>18319.7471103873</v>
      </c>
      <c r="Q1977" s="17" t="n">
        <f aca="false">AVERAGE(B1958:B1977)-2*STDEV(B1958:B1977)</f>
        <v>17002.5528896127</v>
      </c>
      <c r="R1977" s="19" t="n">
        <f aca="false">B1977/B1957-1</f>
        <v>0.00875885731044357</v>
      </c>
      <c r="S1977" s="17" t="n">
        <f aca="false">STDEV(C1958:C1977)*SQRT(252)*100</f>
        <v>18.7528454511105</v>
      </c>
      <c r="T1977" s="19" t="n">
        <f aca="false">B1956/B1726-1</f>
        <v>0.367309993144025</v>
      </c>
      <c r="U1977" s="19" t="n">
        <f aca="false">B1977/MAX(B1726:B1977)-1</f>
        <v>-0.00972003507195418</v>
      </c>
      <c r="V1977" s="17" t="n">
        <f aca="false">(B1977-AVERAGE(B1958:B1977))/STDEV(B1958:B1977)</f>
        <v>1.51847006952683</v>
      </c>
    </row>
    <row r="1978" customFormat="false" ht="15" hidden="false" customHeight="false" outlineLevel="0" collapsed="false">
      <c r="A1978" s="17" t="s">
        <v>2542</v>
      </c>
      <c r="B1978" s="17" t="n">
        <v>18198.61</v>
      </c>
      <c r="C1978" s="19" t="n">
        <f aca="false">B1978/B1977-1</f>
        <v>0.00206098942910105</v>
      </c>
      <c r="D1978" s="17" t="n">
        <f aca="false">AVERAGE(B1929:B1978)</f>
        <v>17940.764</v>
      </c>
      <c r="E1978" s="17" t="n">
        <f aca="false">AVERAGE(B1779:B1978)</f>
        <v>16452.0502</v>
      </c>
      <c r="F1978" s="17" t="n">
        <f aca="false">B1978*2/13+F1977*11/13</f>
        <v>17940.3774184615</v>
      </c>
      <c r="G1978" s="17" t="n">
        <f aca="false">B1978*2/27+G1977*25/27</f>
        <v>17861.8123789711</v>
      </c>
      <c r="H1978" s="17" t="n">
        <f aca="false">F1978-G1978</f>
        <v>78.5650394904733</v>
      </c>
      <c r="I1978" s="17" t="n">
        <f aca="false">H1978*2/10+I1977*8/10</f>
        <v>-7.54231337483664</v>
      </c>
      <c r="J1978" s="17" t="n">
        <f aca="false">H1978-I1978</f>
        <v>86.1073528653099</v>
      </c>
      <c r="K1978" s="17" t="n">
        <f aca="false">MAX(B1978-B1977,0)</f>
        <v>37.4300000000003</v>
      </c>
      <c r="L1978" s="17" t="n">
        <f aca="false">MAX(B1977-B1978,0)</f>
        <v>0</v>
      </c>
      <c r="M1978" s="17" t="n">
        <f aca="false">(M1977*13+K1978)/14</f>
        <v>81.5742186048041</v>
      </c>
      <c r="N1978" s="17" t="n">
        <f aca="false">(N1977*13+L1978)/14</f>
        <v>55.5581594582807</v>
      </c>
      <c r="O1978" s="17" t="n">
        <f aca="false">IF(N1978=0,100,100-100/(1+M1978/N1978))</f>
        <v>59.4857463693058</v>
      </c>
      <c r="P1978" s="17" t="n">
        <f aca="false">AVERAGE(B1959:B1978)+2*STDEV(B1959:B1978)</f>
        <v>18386.8655283182</v>
      </c>
      <c r="Q1978" s="17" t="n">
        <f aca="false">AVERAGE(B1959:B1978)-2*STDEV(B1959:B1978)</f>
        <v>16984.6124716818</v>
      </c>
      <c r="R1978" s="19" t="n">
        <f aca="false">B1978/B1958-1</f>
        <v>0.0277734636860465</v>
      </c>
      <c r="S1978" s="17" t="n">
        <f aca="false">STDEV(C1959:C1978)*SQRT(252)*100</f>
        <v>17.6485099505008</v>
      </c>
      <c r="T1978" s="19" t="n">
        <f aca="false">B1957/B1727-1</f>
        <v>0.349568746448699</v>
      </c>
      <c r="U1978" s="19" t="n">
        <f aca="false">B1978/MAX(B1727:B1978)-1</f>
        <v>-0.00767907853238692</v>
      </c>
      <c r="V1978" s="17" t="n">
        <f aca="false">(B1978-AVERAGE(B1959:B1978))/STDEV(B1959:B1978)</f>
        <v>1.46299128412729</v>
      </c>
    </row>
    <row r="1979" customFormat="false" ht="15" hidden="false" customHeight="false" outlineLevel="0" collapsed="false">
      <c r="A1979" s="17" t="s">
        <v>2543</v>
      </c>
      <c r="B1979" s="17" t="n">
        <v>18322.77</v>
      </c>
      <c r="C1979" s="19" t="n">
        <f aca="false">B1979/B1978-1</f>
        <v>0.00682249908097377</v>
      </c>
      <c r="D1979" s="17" t="n">
        <f aca="false">AVERAGE(B1930:B1979)</f>
        <v>17942.6898</v>
      </c>
      <c r="E1979" s="17" t="n">
        <f aca="false">AVERAGE(B1780:B1979)</f>
        <v>16464.9094</v>
      </c>
      <c r="F1979" s="17" t="n">
        <f aca="false">B1979*2/13+F1978*11/13</f>
        <v>17999.2070463905</v>
      </c>
      <c r="G1979" s="17" t="n">
        <f aca="false">B1979*2/27+G1978*25/27</f>
        <v>17895.9573879362</v>
      </c>
      <c r="H1979" s="17" t="n">
        <f aca="false">F1979-G1979</f>
        <v>103.249658454359</v>
      </c>
      <c r="I1979" s="17" t="n">
        <f aca="false">H1979*2/10+I1978*8/10</f>
        <v>14.6160809910024</v>
      </c>
      <c r="J1979" s="17" t="n">
        <f aca="false">H1979-I1979</f>
        <v>88.6335774633563</v>
      </c>
      <c r="K1979" s="17" t="n">
        <f aca="false">MAX(B1979-B1978,0)</f>
        <v>124.16</v>
      </c>
      <c r="L1979" s="17" t="n">
        <f aca="false">MAX(B1978-B1979,0)</f>
        <v>0</v>
      </c>
      <c r="M1979" s="17" t="n">
        <f aca="false">(M1978*13+K1979)/14</f>
        <v>84.6160601330324</v>
      </c>
      <c r="N1979" s="17" t="n">
        <f aca="false">(N1978*13+L1979)/14</f>
        <v>51.5897194969749</v>
      </c>
      <c r="O1979" s="17" t="n">
        <f aca="false">IF(N1979=0,100,100-100/(1+M1979/N1979))</f>
        <v>62.1236928145674</v>
      </c>
      <c r="P1979" s="17" t="n">
        <f aca="false">AVERAGE(B1960:B1979)+2*STDEV(B1960:B1979)</f>
        <v>18473.1239765863</v>
      </c>
      <c r="Q1979" s="17" t="n">
        <f aca="false">AVERAGE(B1960:B1979)-2*STDEV(B1960:B1979)</f>
        <v>16959.2650234137</v>
      </c>
      <c r="R1979" s="19" t="n">
        <f aca="false">B1979/B1959-1</f>
        <v>0.0343864565538687</v>
      </c>
      <c r="S1979" s="17" t="n">
        <f aca="false">STDEV(C1960:C1979)*SQRT(252)*100</f>
        <v>17.7456547584714</v>
      </c>
      <c r="T1979" s="19" t="n">
        <f aca="false">B1958/B1728-1</f>
        <v>0.320074313136532</v>
      </c>
      <c r="U1979" s="19" t="n">
        <f aca="false">B1979/MAX(B1728:B1979)-1</f>
        <v>-0.000908969957643113</v>
      </c>
      <c r="V1979" s="17" t="n">
        <f aca="false">(B1979-AVERAGE(B1960:B1979))/STDEV(B1960:B1979)</f>
        <v>1.60272659148005</v>
      </c>
    </row>
    <row r="1980" customFormat="false" ht="15" hidden="false" customHeight="false" outlineLevel="0" collapsed="false">
      <c r="A1980" s="17" t="s">
        <v>2544</v>
      </c>
      <c r="B1980" s="17" t="n">
        <v>18596.65</v>
      </c>
      <c r="C1980" s="19" t="n">
        <f aca="false">B1980/B1979-1</f>
        <v>0.014947521581071</v>
      </c>
      <c r="D1980" s="17" t="n">
        <f aca="false">AVERAGE(B1931:B1980)</f>
        <v>17956.6654</v>
      </c>
      <c r="E1980" s="17" t="n">
        <f aca="false">AVERAGE(B1781:B1980)</f>
        <v>16479.10765</v>
      </c>
      <c r="F1980" s="17" t="n">
        <f aca="false">B1980*2/13+F1979*11/13</f>
        <v>18091.1213469458</v>
      </c>
      <c r="G1980" s="17" t="n">
        <f aca="false">B1980*2/27+G1979*25/27</f>
        <v>17947.8605443853</v>
      </c>
      <c r="H1980" s="17" t="n">
        <f aca="false">F1980-G1980</f>
        <v>143.260802560493</v>
      </c>
      <c r="I1980" s="17" t="n">
        <f aca="false">H1980*2/10+I1979*8/10</f>
        <v>40.3450253049006</v>
      </c>
      <c r="J1980" s="17" t="n">
        <f aca="false">H1980-I1980</f>
        <v>102.915777255593</v>
      </c>
      <c r="K1980" s="17" t="n">
        <f aca="false">MAX(B1980-B1979,0)</f>
        <v>273.880000000001</v>
      </c>
      <c r="L1980" s="17" t="n">
        <f aca="false">MAX(B1979-B1980,0)</f>
        <v>0</v>
      </c>
      <c r="M1980" s="17" t="n">
        <f aca="false">(M1979*13+K1980)/14</f>
        <v>98.134912980673</v>
      </c>
      <c r="N1980" s="17" t="n">
        <f aca="false">(N1979*13+L1980)/14</f>
        <v>47.9047395329053</v>
      </c>
      <c r="O1980" s="17" t="n">
        <f aca="false">IF(N1980=0,100,100-100/(1+M1980/N1980))</f>
        <v>67.1974434967577</v>
      </c>
      <c r="P1980" s="17" t="n">
        <f aca="false">AVERAGE(B1961:B1980)+2*STDEV(B1961:B1980)</f>
        <v>18615.6837130384</v>
      </c>
      <c r="Q1980" s="17" t="n">
        <f aca="false">AVERAGE(B1961:B1980)-2*STDEV(B1961:B1980)</f>
        <v>16927.0082869616</v>
      </c>
      <c r="R1980" s="19" t="n">
        <f aca="false">B1980/B1960-1</f>
        <v>0.0630532731361493</v>
      </c>
      <c r="S1980" s="17" t="n">
        <f aca="false">STDEV(C1961:C1980)*SQRT(252)*100</f>
        <v>17.5041049302171</v>
      </c>
      <c r="T1980" s="19" t="n">
        <f aca="false">B1959/B1729-1</f>
        <v>0.319354000183226</v>
      </c>
      <c r="U1980" s="19" t="n">
        <f aca="false">B1980/MAX(B1729:B1980)-1</f>
        <v>0</v>
      </c>
      <c r="V1980" s="17" t="n">
        <f aca="false">(B1980-AVERAGE(B1961:B1980))/STDEV(B1961:B1980)</f>
        <v>1.95491445485736</v>
      </c>
    </row>
    <row r="1981" customFormat="false" ht="15" hidden="false" customHeight="false" outlineLevel="0" collapsed="false">
      <c r="A1981" s="17" t="s">
        <v>2545</v>
      </c>
      <c r="B1981" s="17" t="n">
        <v>18557.96</v>
      </c>
      <c r="C1981" s="19" t="n">
        <f aca="false">B1981/B1980-1</f>
        <v>-0.00208048223739232</v>
      </c>
      <c r="D1981" s="17" t="n">
        <f aca="false">AVERAGE(B1932:B1981)</f>
        <v>17967.4732</v>
      </c>
      <c r="E1981" s="17" t="n">
        <f aca="false">AVERAGE(B1782:B1981)</f>
        <v>16493.3074</v>
      </c>
      <c r="F1981" s="17" t="n">
        <f aca="false">B1981*2/13+F1980*11/13</f>
        <v>18162.9426781849</v>
      </c>
      <c r="G1981" s="17" t="n">
        <f aca="false">B1981*2/27+G1980*25/27</f>
        <v>17993.0530966531</v>
      </c>
      <c r="H1981" s="17" t="n">
        <f aca="false">F1981-G1981</f>
        <v>169.889581531847</v>
      </c>
      <c r="I1981" s="17" t="n">
        <f aca="false">H1981*2/10+I1980*8/10</f>
        <v>66.2539365502898</v>
      </c>
      <c r="J1981" s="17" t="n">
        <f aca="false">H1981-I1981</f>
        <v>103.635644981557</v>
      </c>
      <c r="K1981" s="17" t="n">
        <f aca="false">MAX(B1981-B1980,0)</f>
        <v>0</v>
      </c>
      <c r="L1981" s="17" t="n">
        <f aca="false">MAX(B1980-B1981,0)</f>
        <v>38.6900000000023</v>
      </c>
      <c r="M1981" s="17" t="n">
        <f aca="false">(M1980*13+K1981)/14</f>
        <v>91.1252763391964</v>
      </c>
      <c r="N1981" s="17" t="n">
        <f aca="false">(N1980*13+L1981)/14</f>
        <v>47.2465438519836</v>
      </c>
      <c r="O1981" s="17" t="n">
        <f aca="false">IF(N1981=0,100,100-100/(1+M1981/N1981))</f>
        <v>65.8553715729793</v>
      </c>
      <c r="P1981" s="17" t="n">
        <f aca="false">AVERAGE(B1962:B1981)+2*STDEV(B1962:B1981)</f>
        <v>18723.3912821757</v>
      </c>
      <c r="Q1981" s="17" t="n">
        <f aca="false">AVERAGE(B1962:B1981)-2*STDEV(B1962:B1981)</f>
        <v>16935.6657178243</v>
      </c>
      <c r="R1981" s="19" t="n">
        <f aca="false">B1981/B1961-1</f>
        <v>0.066898313299004</v>
      </c>
      <c r="S1981" s="17" t="n">
        <f aca="false">STDEV(C1962:C1981)*SQRT(252)*100</f>
        <v>17.3098628218998</v>
      </c>
      <c r="T1981" s="19" t="n">
        <f aca="false">B1960/B1730-1</f>
        <v>0.287312186241193</v>
      </c>
      <c r="U1981" s="19" t="n">
        <f aca="false">B1981/MAX(B1730:B1981)-1</f>
        <v>-0.00208048223739232</v>
      </c>
      <c r="V1981" s="17" t="n">
        <f aca="false">(B1981-AVERAGE(B1962:B1981))/STDEV(B1962:B1981)</f>
        <v>1.62985083286931</v>
      </c>
    </row>
    <row r="1982" customFormat="false" ht="15" hidden="false" customHeight="false" outlineLevel="0" collapsed="false">
      <c r="A1982" s="17" t="s">
        <v>2546</v>
      </c>
      <c r="B1982" s="17" t="n">
        <v>18546.23</v>
      </c>
      <c r="C1982" s="19" t="n">
        <f aca="false">B1982/B1981-1</f>
        <v>-0.000632073783971898</v>
      </c>
      <c r="D1982" s="17" t="n">
        <f aca="false">AVERAGE(B1933:B1982)</f>
        <v>17972.438</v>
      </c>
      <c r="E1982" s="17" t="n">
        <f aca="false">AVERAGE(B1783:B1982)</f>
        <v>16509.18485</v>
      </c>
      <c r="F1982" s="17" t="n">
        <f aca="false">B1982*2/13+F1981*11/13</f>
        <v>18221.9099584642</v>
      </c>
      <c r="G1982" s="17" t="n">
        <f aca="false">B1982*2/27+G1981*25/27</f>
        <v>18034.0291635677</v>
      </c>
      <c r="H1982" s="17" t="n">
        <f aca="false">F1982-G1982</f>
        <v>187.880794896504</v>
      </c>
      <c r="I1982" s="17" t="n">
        <f aca="false">H1982*2/10+I1981*8/10</f>
        <v>90.5793082195326</v>
      </c>
      <c r="J1982" s="17" t="n">
        <f aca="false">H1982-I1982</f>
        <v>97.3014866769715</v>
      </c>
      <c r="K1982" s="17" t="n">
        <f aca="false">MAX(B1982-B1981,0)</f>
        <v>0</v>
      </c>
      <c r="L1982" s="17" t="n">
        <f aca="false">MAX(B1981-B1982,0)</f>
        <v>11.7299999999996</v>
      </c>
      <c r="M1982" s="17" t="n">
        <f aca="false">(M1981*13+K1982)/14</f>
        <v>84.6163280292538</v>
      </c>
      <c r="N1982" s="17" t="n">
        <f aca="false">(N1981*13+L1982)/14</f>
        <v>44.7096478625562</v>
      </c>
      <c r="O1982" s="17" t="n">
        <f aca="false">IF(N1982=0,100,100-100/(1+M1982/N1982))</f>
        <v>65.4287179708128</v>
      </c>
      <c r="P1982" s="17" t="n">
        <f aca="false">AVERAGE(B1963:B1982)+2*STDEV(B1963:B1982)</f>
        <v>18771.6517032167</v>
      </c>
      <c r="Q1982" s="17" t="n">
        <f aca="false">AVERAGE(B1963:B1982)-2*STDEV(B1963:B1982)</f>
        <v>17038.2632967833</v>
      </c>
      <c r="R1982" s="19" t="n">
        <f aca="false">B1982/B1962-1</f>
        <v>0.0885439013009421</v>
      </c>
      <c r="S1982" s="17" t="n">
        <f aca="false">STDEV(C1963:C1982)*SQRT(252)*100</f>
        <v>14.9636118946982</v>
      </c>
      <c r="T1982" s="19" t="n">
        <f aca="false">B1961/B1731-1</f>
        <v>0.257303055667593</v>
      </c>
      <c r="U1982" s="19" t="n">
        <f aca="false">B1982/MAX(B1731:B1982)-1</f>
        <v>-0.00271124100308395</v>
      </c>
      <c r="V1982" s="17" t="n">
        <f aca="false">(B1982-AVERAGE(B1963:B1982))/STDEV(B1963:B1982)</f>
        <v>1.47981259738423</v>
      </c>
    </row>
    <row r="1983" customFormat="false" ht="15" hidden="false" customHeight="false" outlineLevel="0" collapsed="false">
      <c r="A1983" s="17" t="s">
        <v>2547</v>
      </c>
      <c r="B1983" s="17" t="n">
        <v>18674.19</v>
      </c>
      <c r="C1983" s="19" t="n">
        <f aca="false">B1983/B1982-1</f>
        <v>0.00689951542712453</v>
      </c>
      <c r="D1983" s="17" t="n">
        <f aca="false">AVERAGE(B1934:B1983)</f>
        <v>17985.5528</v>
      </c>
      <c r="E1983" s="17" t="n">
        <f aca="false">AVERAGE(B1784:B1983)</f>
        <v>16525.7881</v>
      </c>
      <c r="F1983" s="17" t="n">
        <f aca="false">B1983*2/13+F1982*11/13</f>
        <v>18291.4915033158</v>
      </c>
      <c r="G1983" s="17" t="n">
        <f aca="false">B1983*2/27+G1982*25/27</f>
        <v>18081.4484847849</v>
      </c>
      <c r="H1983" s="17" t="n">
        <f aca="false">F1983-G1983</f>
        <v>210.04301853096</v>
      </c>
      <c r="I1983" s="17" t="n">
        <f aca="false">H1983*2/10+I1982*8/10</f>
        <v>114.472050281818</v>
      </c>
      <c r="J1983" s="17" t="n">
        <f aca="false">H1983-I1983</f>
        <v>95.5709682491416</v>
      </c>
      <c r="K1983" s="17" t="n">
        <f aca="false">MAX(B1983-B1982,0)</f>
        <v>127.959999999999</v>
      </c>
      <c r="L1983" s="17" t="n">
        <f aca="false">MAX(B1982-B1983,0)</f>
        <v>0</v>
      </c>
      <c r="M1983" s="17" t="n">
        <f aca="false">(M1982*13+K1983)/14</f>
        <v>87.7123045985927</v>
      </c>
      <c r="N1983" s="17" t="n">
        <f aca="false">(N1982*13+L1983)/14</f>
        <v>41.5161015866593</v>
      </c>
      <c r="O1983" s="17" t="n">
        <f aca="false">IF(N1983=0,100,100-100/(1+M1983/N1983))</f>
        <v>67.8738577591486</v>
      </c>
      <c r="P1983" s="17" t="n">
        <f aca="false">AVERAGE(B1964:B1983)+2*STDEV(B1964:B1983)</f>
        <v>18845.1720765556</v>
      </c>
      <c r="Q1983" s="17" t="n">
        <f aca="false">AVERAGE(B1964:B1983)-2*STDEV(B1964:B1983)</f>
        <v>17111.0729234444</v>
      </c>
      <c r="R1983" s="19" t="n">
        <f aca="false">B1983/B1963-1</f>
        <v>0.0850217507636153</v>
      </c>
      <c r="S1983" s="17" t="n">
        <f aca="false">STDEV(C1964:C1983)*SQRT(252)*100</f>
        <v>14.8378611303142</v>
      </c>
      <c r="T1983" s="19" t="n">
        <f aca="false">B1962/B1732-1</f>
        <v>0.23430016611741</v>
      </c>
      <c r="U1983" s="19" t="n">
        <f aca="false">B1983/MAX(B1732:B1983)-1</f>
        <v>0</v>
      </c>
      <c r="V1983" s="17" t="n">
        <f aca="false">(B1983-AVERAGE(B1964:B1983))/STDEV(B1964:B1983)</f>
        <v>1.60560023053158</v>
      </c>
    </row>
    <row r="1984" customFormat="false" ht="15" hidden="false" customHeight="false" outlineLevel="0" collapsed="false">
      <c r="A1984" s="17" t="s">
        <v>2548</v>
      </c>
      <c r="B1984" s="17" t="n">
        <v>18713.8</v>
      </c>
      <c r="C1984" s="19" t="n">
        <f aca="false">B1984/B1983-1</f>
        <v>0.00212110940287102</v>
      </c>
      <c r="D1984" s="17" t="n">
        <f aca="false">AVERAGE(B1935:B1984)</f>
        <v>18000.795</v>
      </c>
      <c r="E1984" s="17" t="n">
        <f aca="false">AVERAGE(B1785:B1984)</f>
        <v>16542.9825</v>
      </c>
      <c r="F1984" s="17" t="n">
        <f aca="false">B1984*2/13+F1983*11/13</f>
        <v>18356.4620412673</v>
      </c>
      <c r="G1984" s="17" t="n">
        <f aca="false">B1984*2/27+G1983*25/27</f>
        <v>18128.2893377638</v>
      </c>
      <c r="H1984" s="17" t="n">
        <f aca="false">F1984-G1984</f>
        <v>228.172703503471</v>
      </c>
      <c r="I1984" s="17" t="n">
        <f aca="false">H1984*2/10+I1983*8/10</f>
        <v>137.212180926149</v>
      </c>
      <c r="J1984" s="17" t="n">
        <f aca="false">H1984-I1984</f>
        <v>90.9605225773224</v>
      </c>
      <c r="K1984" s="17" t="n">
        <f aca="false">MAX(B1984-B1983,0)</f>
        <v>39.6100000000006</v>
      </c>
      <c r="L1984" s="17" t="n">
        <f aca="false">MAX(B1983-B1984,0)</f>
        <v>0</v>
      </c>
      <c r="M1984" s="17" t="n">
        <f aca="false">(M1983*13+K1984)/14</f>
        <v>84.2764256986933</v>
      </c>
      <c r="N1984" s="17" t="n">
        <f aca="false">(N1983*13+L1984)/14</f>
        <v>38.5506657590408</v>
      </c>
      <c r="O1984" s="17" t="n">
        <f aca="false">IF(N1984=0,100,100-100/(1+M1984/N1984))</f>
        <v>68.6138739413964</v>
      </c>
      <c r="P1984" s="17" t="n">
        <f aca="false">AVERAGE(B1965:B1984)+2*STDEV(B1965:B1984)</f>
        <v>18932.1071205059</v>
      </c>
      <c r="Q1984" s="17" t="n">
        <f aca="false">AVERAGE(B1965:B1984)-2*STDEV(B1965:B1984)</f>
        <v>17148.3708794941</v>
      </c>
      <c r="R1984" s="19" t="n">
        <f aca="false">B1984/B1964-1</f>
        <v>0.071106209151262</v>
      </c>
      <c r="S1984" s="17" t="n">
        <f aca="false">STDEV(C1965:C1984)*SQRT(252)*100</f>
        <v>14.2651214175954</v>
      </c>
      <c r="T1984" s="19" t="n">
        <f aca="false">B1963/B1733-1</f>
        <v>0.242686866323844</v>
      </c>
      <c r="U1984" s="19" t="n">
        <f aca="false">B1984/MAX(B1733:B1984)-1</f>
        <v>0</v>
      </c>
      <c r="V1984" s="17" t="n">
        <f aca="false">(B1984-AVERAGE(B1965:B1984))/STDEV(B1965:B1984)</f>
        <v>1.51044977281603</v>
      </c>
    </row>
    <row r="1985" customFormat="false" ht="15" hidden="false" customHeight="false" outlineLevel="0" collapsed="false">
      <c r="A1985" s="17" t="s">
        <v>2549</v>
      </c>
      <c r="B1985" s="17" t="n">
        <v>18705.2</v>
      </c>
      <c r="C1985" s="19" t="n">
        <f aca="false">B1985/B1984-1</f>
        <v>-0.000459553912086186</v>
      </c>
      <c r="D1985" s="17" t="n">
        <f aca="false">AVERAGE(B1936:B1985)</f>
        <v>18010.5168</v>
      </c>
      <c r="E1985" s="17" t="n">
        <f aca="false">AVERAGE(B1786:B1985)</f>
        <v>16559.46925</v>
      </c>
      <c r="F1985" s="17" t="n">
        <f aca="false">B1985*2/13+F1984*11/13</f>
        <v>18410.1140349184</v>
      </c>
      <c r="G1985" s="17" t="n">
        <f aca="false">B1985*2/27+G1984*25/27</f>
        <v>18171.0234608924</v>
      </c>
      <c r="H1985" s="17" t="n">
        <f aca="false">F1985-G1985</f>
        <v>239.090574026053</v>
      </c>
      <c r="I1985" s="17" t="n">
        <f aca="false">H1985*2/10+I1984*8/10</f>
        <v>157.58785954613</v>
      </c>
      <c r="J1985" s="17" t="n">
        <f aca="false">H1985-I1985</f>
        <v>81.5027144799237</v>
      </c>
      <c r="K1985" s="17" t="n">
        <f aca="false">MAX(B1985-B1984,0)</f>
        <v>0</v>
      </c>
      <c r="L1985" s="17" t="n">
        <f aca="false">MAX(B1984-B1985,0)</f>
        <v>8.59999999999855</v>
      </c>
      <c r="M1985" s="17" t="n">
        <f aca="false">(M1984*13+K1985)/14</f>
        <v>78.2566810059295</v>
      </c>
      <c r="N1985" s="17" t="n">
        <f aca="false">(N1984*13+L1985)/14</f>
        <v>36.4113324905378</v>
      </c>
      <c r="O1985" s="17" t="n">
        <f aca="false">IF(N1985=0,100,100-100/(1+M1985/N1985))</f>
        <v>68.2463039340439</v>
      </c>
      <c r="P1985" s="17" t="n">
        <f aca="false">AVERAGE(B1966:B1985)+2*STDEV(B1966:B1985)</f>
        <v>19003.8146463306</v>
      </c>
      <c r="Q1985" s="17" t="n">
        <f aca="false">AVERAGE(B1966:B1985)-2*STDEV(B1966:B1985)</f>
        <v>17194.5033536694</v>
      </c>
      <c r="R1985" s="19" t="n">
        <f aca="false">B1985/B1965-1</f>
        <v>0.0672341785151882</v>
      </c>
      <c r="S1985" s="17" t="n">
        <f aca="false">STDEV(C1966:C1985)*SQRT(252)*100</f>
        <v>14.3335542000456</v>
      </c>
      <c r="T1985" s="19" t="n">
        <f aca="false">B1964/B1734-1</f>
        <v>0.277851079609202</v>
      </c>
      <c r="U1985" s="19" t="n">
        <f aca="false">B1985/MAX(B1734:B1985)-1</f>
        <v>-0.000459553912086186</v>
      </c>
      <c r="V1985" s="17" t="n">
        <f aca="false">(B1985-AVERAGE(B1966:B1985))/STDEV(B1966:B1985)</f>
        <v>1.33982693295103</v>
      </c>
    </row>
    <row r="1986" customFormat="false" ht="15" hidden="false" customHeight="false" outlineLevel="0" collapsed="false">
      <c r="A1986" s="17" t="s">
        <v>2550</v>
      </c>
      <c r="B1986" s="17" t="n">
        <v>18623.39</v>
      </c>
      <c r="C1986" s="19" t="n">
        <f aca="false">B1986/B1985-1</f>
        <v>-0.0043736501079914</v>
      </c>
      <c r="D1986" s="17" t="n">
        <f aca="false">AVERAGE(B1937:B1986)</f>
        <v>18021.6152</v>
      </c>
      <c r="E1986" s="17" t="n">
        <f aca="false">AVERAGE(B1787:B1986)</f>
        <v>16576.22095</v>
      </c>
      <c r="F1986" s="17" t="n">
        <f aca="false">B1986*2/13+F1985*11/13</f>
        <v>18442.9257218541</v>
      </c>
      <c r="G1986" s="17" t="n">
        <f aca="false">B1986*2/27+G1985*25/27</f>
        <v>18204.5320934189</v>
      </c>
      <c r="H1986" s="17" t="n">
        <f aca="false">F1986-G1986</f>
        <v>238.393628435184</v>
      </c>
      <c r="I1986" s="17" t="n">
        <f aca="false">H1986*2/10+I1985*8/10</f>
        <v>173.74901332394</v>
      </c>
      <c r="J1986" s="17" t="n">
        <f aca="false">H1986-I1986</f>
        <v>64.6446151112435</v>
      </c>
      <c r="K1986" s="17" t="n">
        <f aca="false">MAX(B1986-B1985,0)</f>
        <v>0</v>
      </c>
      <c r="L1986" s="17" t="n">
        <f aca="false">MAX(B1985-B1986,0)</f>
        <v>81.8100000000013</v>
      </c>
      <c r="M1986" s="17" t="n">
        <f aca="false">(M1985*13+K1986)/14</f>
        <v>72.6669180769345</v>
      </c>
      <c r="N1986" s="17" t="n">
        <f aca="false">(N1985*13+L1986)/14</f>
        <v>39.6540944554995</v>
      </c>
      <c r="O1986" s="17" t="n">
        <f aca="false">IF(N1986=0,100,100-100/(1+M1986/N1986))</f>
        <v>64.6957469831846</v>
      </c>
      <c r="P1986" s="17" t="n">
        <f aca="false">AVERAGE(B1967:B1986)+2*STDEV(B1967:B1986)</f>
        <v>19034.6757194782</v>
      </c>
      <c r="Q1986" s="17" t="n">
        <f aca="false">AVERAGE(B1967:B1986)-2*STDEV(B1967:B1986)</f>
        <v>17282.9312805218</v>
      </c>
      <c r="R1986" s="19" t="n">
        <f aca="false">B1986/B1966-1</f>
        <v>0.0684369352571641</v>
      </c>
      <c r="S1986" s="17" t="n">
        <f aca="false">STDEV(C1967:C1986)*SQRT(252)*100</f>
        <v>14.2476373768845</v>
      </c>
      <c r="T1986" s="19" t="n">
        <f aca="false">B1965/B1735-1</f>
        <v>0.288310909347509</v>
      </c>
      <c r="U1986" s="19" t="n">
        <f aca="false">B1986/MAX(B1735:B1986)-1</f>
        <v>-0.00483119409206034</v>
      </c>
      <c r="V1986" s="17" t="n">
        <f aca="false">(B1986-AVERAGE(B1967:B1986))/STDEV(B1967:B1986)</f>
        <v>1.06085451660236</v>
      </c>
    </row>
    <row r="1987" customFormat="false" ht="15" hidden="false" customHeight="false" outlineLevel="0" collapsed="false">
      <c r="A1987" s="17" t="s">
        <v>2551</v>
      </c>
      <c r="B1987" s="17" t="n">
        <v>18808.35</v>
      </c>
      <c r="C1987" s="19" t="n">
        <f aca="false">B1987/B1986-1</f>
        <v>0.00993159677158673</v>
      </c>
      <c r="D1987" s="17" t="n">
        <f aca="false">AVERAGE(B1938:B1987)</f>
        <v>18037.486</v>
      </c>
      <c r="E1987" s="17" t="n">
        <f aca="false">AVERAGE(B1788:B1987)</f>
        <v>16594.75415</v>
      </c>
      <c r="F1987" s="17" t="n">
        <f aca="false">B1987*2/13+F1986*11/13</f>
        <v>18499.1448415688</v>
      </c>
      <c r="G1987" s="17" t="n">
        <f aca="false">B1987*2/27+G1986*25/27</f>
        <v>18249.2593457582</v>
      </c>
      <c r="H1987" s="17" t="n">
        <f aca="false">F1987-G1987</f>
        <v>249.885495810599</v>
      </c>
      <c r="I1987" s="17" t="n">
        <f aca="false">H1987*2/10+I1986*8/10</f>
        <v>188.976309821272</v>
      </c>
      <c r="J1987" s="17" t="n">
        <f aca="false">H1987-I1987</f>
        <v>60.9091859893265</v>
      </c>
      <c r="K1987" s="17" t="n">
        <f aca="false">MAX(B1987-B1986,0)</f>
        <v>184.959999999999</v>
      </c>
      <c r="L1987" s="17" t="n">
        <f aca="false">MAX(B1986-B1987,0)</f>
        <v>0</v>
      </c>
      <c r="M1987" s="17" t="n">
        <f aca="false">(M1986*13+K1987)/14</f>
        <v>80.6878525000106</v>
      </c>
      <c r="N1987" s="17" t="n">
        <f aca="false">(N1986*13+L1987)/14</f>
        <v>36.8216591372495</v>
      </c>
      <c r="O1987" s="17" t="n">
        <f aca="false">IF(N1987=0,100,100-100/(1+M1987/N1987))</f>
        <v>68.6649543307488</v>
      </c>
      <c r="P1987" s="17" t="n">
        <f aca="false">AVERAGE(B1968:B1987)+2*STDEV(B1968:B1987)</f>
        <v>19109.1948041998</v>
      </c>
      <c r="Q1987" s="17" t="n">
        <f aca="false">AVERAGE(B1968:B1987)-2*STDEV(B1968:B1987)</f>
        <v>17317.4171958002</v>
      </c>
      <c r="R1987" s="19" t="n">
        <f aca="false">B1987/B1967-1</f>
        <v>0.0615211391612063</v>
      </c>
      <c r="S1987" s="17" t="n">
        <f aca="false">STDEV(C1968:C1987)*SQRT(252)*100</f>
        <v>13.619291605821</v>
      </c>
      <c r="T1987" s="19" t="n">
        <f aca="false">B1966/B1736-1</f>
        <v>0.250526418496068</v>
      </c>
      <c r="U1987" s="19" t="n">
        <f aca="false">B1987/MAX(B1736:B1987)-1</f>
        <v>0</v>
      </c>
      <c r="V1987" s="17" t="n">
        <f aca="false">(B1987-AVERAGE(B1968:B1987))/STDEV(B1968:B1987)</f>
        <v>1.32838807050724</v>
      </c>
    </row>
    <row r="1988" customFormat="false" ht="15" hidden="false" customHeight="false" outlineLevel="0" collapsed="false">
      <c r="A1988" s="17" t="s">
        <v>2552</v>
      </c>
      <c r="B1988" s="17" t="n">
        <v>18869.44</v>
      </c>
      <c r="C1988" s="19" t="n">
        <f aca="false">B1988/B1987-1</f>
        <v>0.00324802547804559</v>
      </c>
      <c r="D1988" s="17" t="n">
        <f aca="false">AVERAGE(B1939:B1988)</f>
        <v>18058.7098</v>
      </c>
      <c r="E1988" s="17" t="n">
        <f aca="false">AVERAGE(B1789:B1988)</f>
        <v>16613.45715</v>
      </c>
      <c r="F1988" s="17" t="n">
        <f aca="false">B1988*2/13+F1987*11/13</f>
        <v>18556.1133274813</v>
      </c>
      <c r="G1988" s="17" t="n">
        <f aca="false">B1988*2/27+G1987*25/27</f>
        <v>18295.1986534798</v>
      </c>
      <c r="H1988" s="17" t="n">
        <f aca="false">F1988-G1988</f>
        <v>260.914674001473</v>
      </c>
      <c r="I1988" s="17" t="n">
        <f aca="false">H1988*2/10+I1987*8/10</f>
        <v>203.363982657312</v>
      </c>
      <c r="J1988" s="17" t="n">
        <f aca="false">H1988-I1988</f>
        <v>57.5506913441608</v>
      </c>
      <c r="K1988" s="17" t="n">
        <f aca="false">MAX(B1988-B1987,0)</f>
        <v>61.0900000000001</v>
      </c>
      <c r="L1988" s="17" t="n">
        <f aca="false">MAX(B1987-B1988,0)</f>
        <v>0</v>
      </c>
      <c r="M1988" s="17" t="n">
        <f aca="false">(M1987*13+K1988)/14</f>
        <v>79.288005892867</v>
      </c>
      <c r="N1988" s="17" t="n">
        <f aca="false">(N1987*13+L1988)/14</f>
        <v>34.191540627446</v>
      </c>
      <c r="O1988" s="17" t="n">
        <f aca="false">IF(N1988=0,100,100-100/(1+M1988/N1988))</f>
        <v>69.8698649440535</v>
      </c>
      <c r="P1988" s="17" t="n">
        <f aca="false">AVERAGE(B1969:B1988)+2*STDEV(B1969:B1988)</f>
        <v>19185.1316029493</v>
      </c>
      <c r="Q1988" s="17" t="n">
        <f aca="false">AVERAGE(B1969:B1988)-2*STDEV(B1969:B1988)</f>
        <v>17350.1523970507</v>
      </c>
      <c r="R1988" s="19" t="n">
        <f aca="false">B1988/B1968-1</f>
        <v>0.0611110111389033</v>
      </c>
      <c r="S1988" s="17" t="n">
        <f aca="false">STDEV(C1969:C1988)*SQRT(252)*100</f>
        <v>13.6176788156734</v>
      </c>
      <c r="T1988" s="19" t="n">
        <f aca="false">B1967/B1737-1</f>
        <v>0.239179740964205</v>
      </c>
      <c r="U1988" s="19" t="n">
        <f aca="false">B1988/MAX(B1737:B1988)-1</f>
        <v>0</v>
      </c>
      <c r="V1988" s="17" t="n">
        <f aca="false">(B1988-AVERAGE(B1969:B1988))/STDEV(B1969:B1988)</f>
        <v>1.31183611904816</v>
      </c>
    </row>
    <row r="1989" customFormat="false" ht="15" hidden="false" customHeight="false" outlineLevel="0" collapsed="false">
      <c r="A1989" s="17" t="s">
        <v>2553</v>
      </c>
      <c r="B1989" s="17" t="n">
        <v>18736.75</v>
      </c>
      <c r="C1989" s="19" t="n">
        <f aca="false">B1989/B1988-1</f>
        <v>-0.00703200518934311</v>
      </c>
      <c r="D1989" s="17" t="n">
        <f aca="false">AVERAGE(B1940:B1989)</f>
        <v>18073.7446</v>
      </c>
      <c r="E1989" s="17" t="n">
        <f aca="false">AVERAGE(B1790:B1989)</f>
        <v>16632.00055</v>
      </c>
      <c r="F1989" s="17" t="n">
        <f aca="false">B1989*2/13+F1988*11/13</f>
        <v>18583.9035847919</v>
      </c>
      <c r="G1989" s="17" t="n">
        <f aca="false">B1989*2/27+G1988*25/27</f>
        <v>18327.9061606295</v>
      </c>
      <c r="H1989" s="17" t="n">
        <f aca="false">F1989-G1989</f>
        <v>255.997424162397</v>
      </c>
      <c r="I1989" s="17" t="n">
        <f aca="false">H1989*2/10+I1988*8/10</f>
        <v>213.890670958329</v>
      </c>
      <c r="J1989" s="17" t="n">
        <f aca="false">H1989-I1989</f>
        <v>42.1067532040676</v>
      </c>
      <c r="K1989" s="17" t="n">
        <f aca="false">MAX(B1989-B1988,0)</f>
        <v>0</v>
      </c>
      <c r="L1989" s="17" t="n">
        <f aca="false">MAX(B1988-B1989,0)</f>
        <v>132.689999999999</v>
      </c>
      <c r="M1989" s="17" t="n">
        <f aca="false">(M1988*13+K1989)/14</f>
        <v>73.6245769005193</v>
      </c>
      <c r="N1989" s="17" t="n">
        <f aca="false">(N1988*13+L1989)/14</f>
        <v>41.2271448683426</v>
      </c>
      <c r="O1989" s="17" t="n">
        <f aca="false">IF(N1989=0,100,100-100/(1+M1989/N1989))</f>
        <v>64.1040254047633</v>
      </c>
      <c r="P1989" s="17" t="n">
        <f aca="false">AVERAGE(B1970:B1989)+2*STDEV(B1970:B1989)</f>
        <v>19184.774710592</v>
      </c>
      <c r="Q1989" s="17" t="n">
        <f aca="false">AVERAGE(B1970:B1989)-2*STDEV(B1970:B1989)</f>
        <v>17480.115289408</v>
      </c>
      <c r="R1989" s="19" t="n">
        <f aca="false">B1989/B1969-1</f>
        <v>0.0743124268592585</v>
      </c>
      <c r="S1989" s="17" t="n">
        <f aca="false">STDEV(C1970:C1989)*SQRT(252)*100</f>
        <v>11.4986859902855</v>
      </c>
      <c r="T1989" s="19" t="n">
        <f aca="false">B1968/B1738-1</f>
        <v>0.238783168779637</v>
      </c>
      <c r="U1989" s="19" t="n">
        <f aca="false">B1989/MAX(B1738:B1989)-1</f>
        <v>-0.00703200518934311</v>
      </c>
      <c r="V1989" s="17" t="n">
        <f aca="false">(B1989-AVERAGE(B1970:B1989))/STDEV(B1970:B1989)</f>
        <v>0.948705635801828</v>
      </c>
    </row>
    <row r="1990" customFormat="false" ht="15" hidden="false" customHeight="false" outlineLevel="0" collapsed="false">
      <c r="A1990" s="17" t="s">
        <v>2554</v>
      </c>
      <c r="B1990" s="17" t="n">
        <v>18538.66</v>
      </c>
      <c r="C1990" s="19" t="n">
        <f aca="false">B1990/B1989-1</f>
        <v>-0.0105722710715572</v>
      </c>
      <c r="D1990" s="17" t="n">
        <f aca="false">AVERAGE(B1941:B1990)</f>
        <v>18083.8738</v>
      </c>
      <c r="E1990" s="17" t="n">
        <f aca="false">AVERAGE(B1791:B1990)</f>
        <v>16648.6659</v>
      </c>
      <c r="F1990" s="17" t="n">
        <f aca="false">B1990*2/13+F1989*11/13</f>
        <v>18576.9430332854</v>
      </c>
      <c r="G1990" s="17" t="n">
        <f aca="false">B1990*2/27+G1989*25/27</f>
        <v>18343.5175561384</v>
      </c>
      <c r="H1990" s="17" t="n">
        <f aca="false">F1990-G1990</f>
        <v>233.42547714703</v>
      </c>
      <c r="I1990" s="17" t="n">
        <f aca="false">H1990*2/10+I1989*8/10</f>
        <v>217.797632196069</v>
      </c>
      <c r="J1990" s="17" t="n">
        <f aca="false">H1990-I1990</f>
        <v>15.6278449509603</v>
      </c>
      <c r="K1990" s="17" t="n">
        <f aca="false">MAX(B1990-B1989,0)</f>
        <v>0</v>
      </c>
      <c r="L1990" s="17" t="n">
        <f aca="false">MAX(B1989-B1990,0)</f>
        <v>198.09</v>
      </c>
      <c r="M1990" s="17" t="n">
        <f aca="false">(M1989*13+K1990)/14</f>
        <v>68.3656785504822</v>
      </c>
      <c r="N1990" s="17" t="n">
        <f aca="false">(N1989*13+L1990)/14</f>
        <v>52.4316345206039</v>
      </c>
      <c r="O1990" s="17" t="n">
        <f aca="false">IF(N1990=0,100,100-100/(1+M1990/N1990))</f>
        <v>56.5953635990652</v>
      </c>
      <c r="P1990" s="17" t="n">
        <f aca="false">AVERAGE(B1971:B1990)+2*STDEV(B1971:B1990)</f>
        <v>19102.9086072896</v>
      </c>
      <c r="Q1990" s="17" t="n">
        <f aca="false">AVERAGE(B1971:B1990)-2*STDEV(B1971:B1990)</f>
        <v>17683.9923927104</v>
      </c>
      <c r="R1990" s="19" t="n">
        <f aca="false">B1990/B1970-1</f>
        <v>0.0704510481535694</v>
      </c>
      <c r="S1990" s="17" t="n">
        <f aca="false">STDEV(C1971:C1990)*SQRT(252)*100</f>
        <v>11.9949088534393</v>
      </c>
      <c r="T1990" s="19" t="n">
        <f aca="false">B1969/B1739-1</f>
        <v>0.223556887882706</v>
      </c>
      <c r="U1990" s="19" t="n">
        <f aca="false">B1990/MAX(B1739:B1990)-1</f>
        <v>-0.0175299319958621</v>
      </c>
      <c r="V1990" s="17" t="n">
        <f aca="false">(B1990-AVERAGE(B1971:B1990))/STDEV(B1971:B1990)</f>
        <v>0.409353275430894</v>
      </c>
    </row>
    <row r="1991" customFormat="false" ht="15" hidden="false" customHeight="false" outlineLevel="0" collapsed="false">
      <c r="A1991" s="17" t="s">
        <v>2555</v>
      </c>
      <c r="B1991" s="17" t="n">
        <v>18536.65</v>
      </c>
      <c r="C1991" s="19" t="n">
        <f aca="false">B1991/B1990-1</f>
        <v>-0.000108422075813408</v>
      </c>
      <c r="D1991" s="17" t="n">
        <f aca="false">AVERAGE(B1942:B1991)</f>
        <v>18089.8046</v>
      </c>
      <c r="E1991" s="17" t="n">
        <f aca="false">AVERAGE(B1792:B1991)</f>
        <v>16666.1609</v>
      </c>
      <c r="F1991" s="17" t="n">
        <f aca="false">B1991*2/13+F1990*11/13</f>
        <v>18570.7441050877</v>
      </c>
      <c r="G1991" s="17" t="n">
        <f aca="false">B1991*2/27+G1990*25/27</f>
        <v>18357.8236630911</v>
      </c>
      <c r="H1991" s="17" t="n">
        <f aca="false">F1991-G1991</f>
        <v>212.920441996561</v>
      </c>
      <c r="I1991" s="17" t="n">
        <f aca="false">H1991*2/10+I1990*8/10</f>
        <v>216.822194156168</v>
      </c>
      <c r="J1991" s="17" t="n">
        <f aca="false">H1991-I1991</f>
        <v>-3.90175215960676</v>
      </c>
      <c r="K1991" s="17" t="n">
        <f aca="false">MAX(B1991-B1990,0)</f>
        <v>0</v>
      </c>
      <c r="L1991" s="17" t="n">
        <f aca="false">MAX(B1990-B1991,0)</f>
        <v>2.0099999999984</v>
      </c>
      <c r="M1991" s="17" t="n">
        <f aca="false">(M1990*13+K1991)/14</f>
        <v>63.4824157968764</v>
      </c>
      <c r="N1991" s="17" t="n">
        <f aca="false">(N1990*13+L1991)/14</f>
        <v>48.8300891977035</v>
      </c>
      <c r="O1991" s="17" t="n">
        <f aca="false">IF(N1991=0,100,100-100/(1+M1991/N1991))</f>
        <v>56.5230165598568</v>
      </c>
      <c r="P1991" s="17" t="n">
        <f aca="false">AVERAGE(B1972:B1991)+2*STDEV(B1972:B1991)</f>
        <v>19030.0913971657</v>
      </c>
      <c r="Q1991" s="17" t="n">
        <f aca="false">AVERAGE(B1972:B1991)-2*STDEV(B1972:B1991)</f>
        <v>17856.3206028343</v>
      </c>
      <c r="R1991" s="19" t="n">
        <f aca="false">B1991/B1971-1</f>
        <v>0.056728770678059</v>
      </c>
      <c r="S1991" s="17" t="n">
        <f aca="false">STDEV(C1972:C1991)*SQRT(252)*100</f>
        <v>11.5156423839033</v>
      </c>
      <c r="T1991" s="19" t="n">
        <f aca="false">B1970/B1740-1</f>
        <v>0.199220164650372</v>
      </c>
      <c r="U1991" s="19" t="n">
        <f aca="false">B1991/MAX(B1740:B1991)-1</f>
        <v>-0.0176364534400596</v>
      </c>
      <c r="V1991" s="17" t="n">
        <f aca="false">(B1991-AVERAGE(B1972:B1991))/STDEV(B1972:B1991)</f>
        <v>0.318440364852438</v>
      </c>
    </row>
    <row r="1992" customFormat="false" ht="15" hidden="false" customHeight="false" outlineLevel="0" collapsed="false">
      <c r="A1992" s="17" t="s">
        <v>2556</v>
      </c>
      <c r="B1992" s="17" t="n">
        <v>18600.97</v>
      </c>
      <c r="C1992" s="19" t="n">
        <f aca="false">B1992/B1991-1</f>
        <v>0.00346988263790915</v>
      </c>
      <c r="D1992" s="17" t="n">
        <f aca="false">AVERAGE(B1943:B1992)</f>
        <v>18095.4164</v>
      </c>
      <c r="E1992" s="17" t="n">
        <f aca="false">AVERAGE(B1793:B1992)</f>
        <v>16684.7834</v>
      </c>
      <c r="F1992" s="17" t="n">
        <f aca="false">B1992*2/13+F1991*11/13</f>
        <v>18575.3942427665</v>
      </c>
      <c r="G1992" s="17" t="n">
        <f aca="false">B1992*2/27+G1991*25/27</f>
        <v>18375.8345028621</v>
      </c>
      <c r="H1992" s="17" t="n">
        <f aca="false">F1992-G1992</f>
        <v>199.559739904351</v>
      </c>
      <c r="I1992" s="17" t="n">
        <f aca="false">H1992*2/10+I1991*8/10</f>
        <v>213.369703305804</v>
      </c>
      <c r="J1992" s="17" t="n">
        <f aca="false">H1992-I1992</f>
        <v>-13.8099634014534</v>
      </c>
      <c r="K1992" s="17" t="n">
        <f aca="false">MAX(B1992-B1991,0)</f>
        <v>64.3199999999997</v>
      </c>
      <c r="L1992" s="17" t="n">
        <f aca="false">MAX(B1991-B1992,0)</f>
        <v>0</v>
      </c>
      <c r="M1992" s="17" t="n">
        <f aca="false">(M1991*13+K1992)/14</f>
        <v>63.5422432399566</v>
      </c>
      <c r="N1992" s="17" t="n">
        <f aca="false">(N1991*13+L1992)/14</f>
        <v>45.3422256835818</v>
      </c>
      <c r="O1992" s="17" t="n">
        <f aca="false">IF(N1992=0,100,100-100/(1+M1992/N1992))</f>
        <v>58.3574901619603</v>
      </c>
      <c r="P1992" s="17" t="n">
        <f aca="false">AVERAGE(B1973:B1992)+2*STDEV(B1973:B1992)</f>
        <v>19007.9808739048</v>
      </c>
      <c r="Q1992" s="17" t="n">
        <f aca="false">AVERAGE(B1973:B1992)-2*STDEV(B1973:B1992)</f>
        <v>17949.4481260952</v>
      </c>
      <c r="R1992" s="19" t="n">
        <f aca="false">B1992/B1972-1</f>
        <v>0.0396947034229884</v>
      </c>
      <c r="S1992" s="17" t="n">
        <f aca="false">STDEV(C1973:C1992)*SQRT(252)*100</f>
        <v>9.59128035471361</v>
      </c>
      <c r="T1992" s="19" t="n">
        <f aca="false">B1971/B1741-1</f>
        <v>0.205882595568461</v>
      </c>
      <c r="U1992" s="19" t="n">
        <f aca="false">B1992/MAX(B1741:B1992)-1</f>
        <v>-0.0142277672257363</v>
      </c>
      <c r="V1992" s="17" t="n">
        <f aca="false">(B1992-AVERAGE(B1973:B1992))/STDEV(B1973:B1992)</f>
        <v>0.461980983594464</v>
      </c>
    </row>
    <row r="1993" customFormat="false" ht="15" hidden="false" customHeight="false" outlineLevel="0" collapsed="false">
      <c r="A1993" s="17" t="s">
        <v>2557</v>
      </c>
      <c r="B1993" s="17" t="n">
        <v>18654.84</v>
      </c>
      <c r="C1993" s="19" t="n">
        <f aca="false">B1993/B1992-1</f>
        <v>0.00289608552672238</v>
      </c>
      <c r="D1993" s="17" t="n">
        <f aca="false">AVERAGE(B1944:B1993)</f>
        <v>18101.7244</v>
      </c>
      <c r="E1993" s="17" t="n">
        <f aca="false">AVERAGE(B1794:B1993)</f>
        <v>16704.47855</v>
      </c>
      <c r="F1993" s="17" t="n">
        <f aca="false">B1993*2/13+F1992*11/13</f>
        <v>18587.6166669563</v>
      </c>
      <c r="G1993" s="17" t="n">
        <f aca="false">B1993*2/27+G1992*25/27</f>
        <v>18396.5015767242</v>
      </c>
      <c r="H1993" s="17" t="n">
        <f aca="false">F1993-G1993</f>
        <v>191.115090232055</v>
      </c>
      <c r="I1993" s="17" t="n">
        <f aca="false">H1993*2/10+I1992*8/10</f>
        <v>208.918780691054</v>
      </c>
      <c r="J1993" s="17" t="n">
        <f aca="false">H1993-I1993</f>
        <v>-17.8036904589993</v>
      </c>
      <c r="K1993" s="17" t="n">
        <f aca="false">MAX(B1993-B1992,0)</f>
        <v>53.869999999999</v>
      </c>
      <c r="L1993" s="17" t="n">
        <f aca="false">MAX(B1992-B1993,0)</f>
        <v>0</v>
      </c>
      <c r="M1993" s="17" t="n">
        <f aca="false">(M1992*13+K1993)/14</f>
        <v>62.8513687228168</v>
      </c>
      <c r="N1993" s="17" t="n">
        <f aca="false">(N1992*13+L1993)/14</f>
        <v>42.1034952776117</v>
      </c>
      <c r="O1993" s="17" t="n">
        <f aca="false">IF(N1993=0,100,100-100/(1+M1993/N1993))</f>
        <v>59.884188618986</v>
      </c>
      <c r="P1993" s="17" t="n">
        <f aca="false">AVERAGE(B1974:B1993)+2*STDEV(B1974:B1993)</f>
        <v>19008.8822991503</v>
      </c>
      <c r="Q1993" s="17" t="n">
        <f aca="false">AVERAGE(B1974:B1993)-2*STDEV(B1974:B1993)</f>
        <v>18004.6737008497</v>
      </c>
      <c r="R1993" s="19" t="n">
        <f aca="false">B1993/B1973-1</f>
        <v>0.03102041222379</v>
      </c>
      <c r="S1993" s="17" t="n">
        <f aca="false">STDEV(C1974:C1993)*SQRT(252)*100</f>
        <v>8.94400232385321</v>
      </c>
      <c r="T1993" s="19" t="n">
        <f aca="false">B1972/B1742-1</f>
        <v>0.229059183182771</v>
      </c>
      <c r="U1993" s="19" t="n">
        <f aca="false">B1993/MAX(B1742:B1993)-1</f>
        <v>-0.0113728865297539</v>
      </c>
      <c r="V1993" s="17" t="n">
        <f aca="false">(B1993-AVERAGE(B1974:B1993))/STDEV(B1974:B1993)</f>
        <v>0.589765912184179</v>
      </c>
    </row>
    <row r="1994" customFormat="false" ht="15" hidden="false" customHeight="false" outlineLevel="0" collapsed="false">
      <c r="A1994" s="17" t="s">
        <v>2558</v>
      </c>
      <c r="B1994" s="17" t="n">
        <v>19035.05</v>
      </c>
      <c r="C1994" s="19" t="n">
        <f aca="false">B1994/B1993-1</f>
        <v>0.0203813058702191</v>
      </c>
      <c r="D1994" s="17" t="n">
        <f aca="false">AVERAGE(B1945:B1994)</f>
        <v>18116.8842</v>
      </c>
      <c r="E1994" s="17" t="n">
        <f aca="false">AVERAGE(B1795:B1994)</f>
        <v>16726.1796</v>
      </c>
      <c r="F1994" s="17" t="n">
        <f aca="false">B1994*2/13+F1993*11/13</f>
        <v>18656.4525643476</v>
      </c>
      <c r="G1994" s="17" t="n">
        <f aca="false">B1994*2/27+G1993*25/27</f>
        <v>18443.8014599298</v>
      </c>
      <c r="H1994" s="17" t="n">
        <f aca="false">F1994-G1994</f>
        <v>212.651104417782</v>
      </c>
      <c r="I1994" s="17" t="n">
        <f aca="false">H1994*2/10+I1993*8/10</f>
        <v>209.6652454364</v>
      </c>
      <c r="J1994" s="17" t="n">
        <f aca="false">H1994-I1994</f>
        <v>2.98585898138236</v>
      </c>
      <c r="K1994" s="17" t="n">
        <f aca="false">MAX(B1994-B1993,0)</f>
        <v>380.209999999999</v>
      </c>
      <c r="L1994" s="17" t="n">
        <f aca="false">MAX(B1993-B1994,0)</f>
        <v>0</v>
      </c>
      <c r="M1994" s="17" t="n">
        <f aca="false">(M1993*13+K1994)/14</f>
        <v>85.5198423854726</v>
      </c>
      <c r="N1994" s="17" t="n">
        <f aca="false">(N1993*13+L1994)/14</f>
        <v>39.0961027577823</v>
      </c>
      <c r="O1994" s="17" t="n">
        <f aca="false">IF(N1994=0,100,100-100/(1+M1994/N1994))</f>
        <v>68.6267253256889</v>
      </c>
      <c r="P1994" s="17" t="n">
        <f aca="false">AVERAGE(B1975:B1994)+2*STDEV(B1975:B1994)</f>
        <v>19068.9074333315</v>
      </c>
      <c r="Q1994" s="17" t="n">
        <f aca="false">AVERAGE(B1975:B1994)-2*STDEV(B1975:B1994)</f>
        <v>18039.0085666685</v>
      </c>
      <c r="R1994" s="19" t="n">
        <f aca="false">B1994/B1974-1</f>
        <v>0.0521572344947474</v>
      </c>
      <c r="S1994" s="17" t="n">
        <f aca="false">STDEV(C1975:C1994)*SQRT(252)*100</f>
        <v>11.1313989048328</v>
      </c>
      <c r="T1994" s="19" t="n">
        <f aca="false">B1973/B1743-1</f>
        <v>0.242853286385783</v>
      </c>
      <c r="U1994" s="19" t="n">
        <f aca="false">B1994/MAX(B1743:B1994)-1</f>
        <v>0</v>
      </c>
      <c r="V1994" s="17" t="n">
        <f aca="false">(B1994-AVERAGE(B1975:B1994))/STDEV(B1975:B1994)</f>
        <v>1.86850191051791</v>
      </c>
    </row>
    <row r="1995" customFormat="false" ht="15" hidden="false" customHeight="false" outlineLevel="0" collapsed="false">
      <c r="A1995" s="17" t="s">
        <v>2559</v>
      </c>
      <c r="B1995" s="17" t="n">
        <v>19021.19</v>
      </c>
      <c r="C1995" s="19" t="n">
        <f aca="false">B1995/B1994-1</f>
        <v>-0.000728130475097233</v>
      </c>
      <c r="D1995" s="17" t="n">
        <f aca="false">AVERAGE(B1946:B1995)</f>
        <v>18133.0972</v>
      </c>
      <c r="E1995" s="17" t="n">
        <f aca="false">AVERAGE(B1796:B1995)</f>
        <v>16746.6021</v>
      </c>
      <c r="F1995" s="17" t="n">
        <f aca="false">B1995*2/13+F1994*11/13</f>
        <v>18712.5660159864</v>
      </c>
      <c r="G1995" s="17" t="n">
        <f aca="false">B1995*2/27+G1994*25/27</f>
        <v>18486.5709814165</v>
      </c>
      <c r="H1995" s="17" t="n">
        <f aca="false">F1995-G1995</f>
        <v>225.995034569929</v>
      </c>
      <c r="I1995" s="17" t="n">
        <f aca="false">H1995*2/10+I1994*8/10</f>
        <v>212.931203263106</v>
      </c>
      <c r="J1995" s="17" t="n">
        <f aca="false">H1995-I1995</f>
        <v>13.0638313068232</v>
      </c>
      <c r="K1995" s="17" t="n">
        <f aca="false">MAX(B1995-B1994,0)</f>
        <v>0</v>
      </c>
      <c r="L1995" s="17" t="n">
        <f aca="false">MAX(B1994-B1995,0)</f>
        <v>13.8600000000006</v>
      </c>
      <c r="M1995" s="17" t="n">
        <f aca="false">(M1994*13+K1995)/14</f>
        <v>79.4112822150817</v>
      </c>
      <c r="N1995" s="17" t="n">
        <f aca="false">(N1994*13+L1995)/14</f>
        <v>37.2935239893693</v>
      </c>
      <c r="O1995" s="17" t="n">
        <f aca="false">IF(N1995=0,100,100-100/(1+M1995/N1995))</f>
        <v>68.0445688551712</v>
      </c>
      <c r="P1995" s="17" t="n">
        <f aca="false">AVERAGE(B1976:B1995)+2*STDEV(B1976:B1995)</f>
        <v>19106.3449871582</v>
      </c>
      <c r="Q1995" s="17" t="n">
        <f aca="false">AVERAGE(B1976:B1995)-2*STDEV(B1976:B1995)</f>
        <v>18095.1890128418</v>
      </c>
      <c r="R1995" s="19" t="n">
        <f aca="false">B1995/B1975-1</f>
        <v>0.0517655229386105</v>
      </c>
      <c r="S1995" s="17" t="n">
        <f aca="false">STDEV(C1976:C1995)*SQRT(252)*100</f>
        <v>11.1451427616031</v>
      </c>
      <c r="T1995" s="19" t="n">
        <f aca="false">B1974/B1744-1</f>
        <v>0.264845360752666</v>
      </c>
      <c r="U1995" s="19" t="n">
        <f aca="false">B1995/MAX(B1744:B1995)-1</f>
        <v>-0.000728130475097233</v>
      </c>
      <c r="V1995" s="17" t="n">
        <f aca="false">(B1995-AVERAGE(B1976:B1995))/STDEV(B1976:B1995)</f>
        <v>1.6631380743578</v>
      </c>
    </row>
    <row r="1996" customFormat="false" ht="15" hidden="false" customHeight="false" outlineLevel="0" collapsed="false">
      <c r="A1996" s="17" t="s">
        <v>2560</v>
      </c>
      <c r="B1996" s="17" t="n">
        <v>19000.95</v>
      </c>
      <c r="C1996" s="19" t="n">
        <f aca="false">B1996/B1995-1</f>
        <v>-0.00106407643265216</v>
      </c>
      <c r="D1996" s="17" t="n">
        <f aca="false">AVERAGE(B1947:B1996)</f>
        <v>18147.4994</v>
      </c>
      <c r="E1996" s="17" t="n">
        <f aca="false">AVERAGE(B1797:B1996)</f>
        <v>16767.06205</v>
      </c>
      <c r="F1996" s="17" t="n">
        <f aca="false">B1996*2/13+F1995*11/13</f>
        <v>18756.9327827578</v>
      </c>
      <c r="G1996" s="17" t="n">
        <f aca="false">B1996*2/27+G1995*25/27</f>
        <v>18524.6731309412</v>
      </c>
      <c r="H1996" s="17" t="n">
        <f aca="false">F1996-G1996</f>
        <v>232.259651816541</v>
      </c>
      <c r="I1996" s="17" t="n">
        <f aca="false">H1996*2/10+I1995*8/10</f>
        <v>216.796892973793</v>
      </c>
      <c r="J1996" s="17" t="n">
        <f aca="false">H1996-I1996</f>
        <v>15.4627588427482</v>
      </c>
      <c r="K1996" s="17" t="n">
        <f aca="false">MAX(B1996-B1995,0)</f>
        <v>0</v>
      </c>
      <c r="L1996" s="17" t="n">
        <f aca="false">MAX(B1995-B1996,0)</f>
        <v>20.239999999998</v>
      </c>
      <c r="M1996" s="17" t="n">
        <f aca="false">(M1995*13+K1996)/14</f>
        <v>73.7390477711473</v>
      </c>
      <c r="N1996" s="17" t="n">
        <f aca="false">(N1995*13+L1996)/14</f>
        <v>36.0754151329856</v>
      </c>
      <c r="O1996" s="17" t="n">
        <f aca="false">IF(N1996=0,100,100-100/(1+M1996/N1996))</f>
        <v>67.1487578421441</v>
      </c>
      <c r="P1996" s="17" t="n">
        <f aca="false">AVERAGE(B1977:B1996)+2*STDEV(B1977:B1996)</f>
        <v>19125.8076225414</v>
      </c>
      <c r="Q1996" s="17" t="n">
        <f aca="false">AVERAGE(B1977:B1996)-2*STDEV(B1977:B1996)</f>
        <v>18164.4753774586</v>
      </c>
      <c r="R1996" s="19" t="n">
        <f aca="false">B1996/B1976-1</f>
        <v>0.0489961608660081</v>
      </c>
      <c r="S1996" s="17" t="n">
        <f aca="false">STDEV(C1977:C1996)*SQRT(252)*100</f>
        <v>11.2148952946929</v>
      </c>
      <c r="T1996" s="19" t="n">
        <f aca="false">B1975/B1745-1</f>
        <v>0.248573306435689</v>
      </c>
      <c r="U1996" s="19" t="n">
        <f aca="false">B1996/MAX(B1745:B1996)-1</f>
        <v>-0.00179143212127098</v>
      </c>
      <c r="V1996" s="17" t="n">
        <f aca="false">(B1996-AVERAGE(B1977:B1996))/STDEV(B1977:B1996)</f>
        <v>1.48048087149883</v>
      </c>
    </row>
    <row r="1997" customFormat="false" ht="15" hidden="false" customHeight="false" outlineLevel="0" collapsed="false">
      <c r="A1997" s="17" t="s">
        <v>2561</v>
      </c>
      <c r="B1997" s="17" t="n">
        <v>19074.67</v>
      </c>
      <c r="C1997" s="19" t="n">
        <f aca="false">B1997/B1996-1</f>
        <v>0.00387980600969939</v>
      </c>
      <c r="D1997" s="17" t="n">
        <f aca="false">AVERAGE(B1948:B1997)</f>
        <v>18163.899</v>
      </c>
      <c r="E1997" s="17" t="n">
        <f aca="false">AVERAGE(B1798:B1997)</f>
        <v>16786.6951</v>
      </c>
      <c r="F1997" s="17" t="n">
        <f aca="false">B1997*2/13+F1996*11/13</f>
        <v>18805.8154315643</v>
      </c>
      <c r="G1997" s="17" t="n">
        <f aca="false">B1997*2/27+G1996*25/27</f>
        <v>18565.4136397604</v>
      </c>
      <c r="H1997" s="17" t="n">
        <f aca="false">F1997-G1997</f>
        <v>240.401791803874</v>
      </c>
      <c r="I1997" s="17" t="n">
        <f aca="false">H1997*2/10+I1996*8/10</f>
        <v>221.517872739809</v>
      </c>
      <c r="J1997" s="17" t="n">
        <f aca="false">H1997-I1997</f>
        <v>18.8839190640645</v>
      </c>
      <c r="K1997" s="17" t="n">
        <f aca="false">MAX(B1997-B1996,0)</f>
        <v>73.7199999999975</v>
      </c>
      <c r="L1997" s="17" t="n">
        <f aca="false">MAX(B1996-B1997,0)</f>
        <v>0</v>
      </c>
      <c r="M1997" s="17" t="n">
        <f aca="false">(M1996*13+K1997)/14</f>
        <v>73.7376872160652</v>
      </c>
      <c r="N1997" s="17" t="n">
        <f aca="false">(N1996*13+L1997)/14</f>
        <v>33.4985997663438</v>
      </c>
      <c r="O1997" s="17" t="n">
        <f aca="false">IF(N1997=0,100,100-100/(1+M1997/N1997))</f>
        <v>68.7618802282488</v>
      </c>
      <c r="P1997" s="17" t="n">
        <f aca="false">AVERAGE(B1978:B1997)+2*STDEV(B1978:B1997)</f>
        <v>19151.0201712293</v>
      </c>
      <c r="Q1997" s="17" t="n">
        <f aca="false">AVERAGE(B1978:B1997)-2*STDEV(B1978:B1997)</f>
        <v>18230.6118287707</v>
      </c>
      <c r="R1997" s="19" t="n">
        <f aca="false">B1997/B1977-1</f>
        <v>0.0502990444453497</v>
      </c>
      <c r="S1997" s="17" t="n">
        <f aca="false">STDEV(C1978:C1997)*SQRT(252)*100</f>
        <v>11.226787320856</v>
      </c>
      <c r="T1997" s="19" t="n">
        <f aca="false">B1976/B1746-1</f>
        <v>0.246765636314078</v>
      </c>
      <c r="U1997" s="19" t="n">
        <f aca="false">B1997/MAX(B1746:B1997)-1</f>
        <v>0</v>
      </c>
      <c r="V1997" s="17" t="n">
        <f aca="false">(B1997-AVERAGE(B1978:B1997))/STDEV(B1978:B1997)</f>
        <v>1.6681900078161</v>
      </c>
    </row>
    <row r="1998" customFormat="false" ht="15" hidden="false" customHeight="false" outlineLevel="0" collapsed="false">
      <c r="A1998" s="17" t="s">
        <v>2562</v>
      </c>
      <c r="B1998" s="17" t="n">
        <v>19210.18</v>
      </c>
      <c r="C1998" s="19" t="n">
        <f aca="false">B1998/B1997-1</f>
        <v>0.00710418581291328</v>
      </c>
      <c r="D1998" s="17" t="n">
        <f aca="false">AVERAGE(B1949:B1998)</f>
        <v>18182.2386</v>
      </c>
      <c r="E1998" s="17" t="n">
        <f aca="false">AVERAGE(B1799:B1998)</f>
        <v>16808.6638</v>
      </c>
      <c r="F1998" s="17" t="n">
        <f aca="false">B1998*2/13+F1997*11/13</f>
        <v>18868.0253651698</v>
      </c>
      <c r="G1998" s="17" t="n">
        <f aca="false">B1998*2/27+G1997*25/27</f>
        <v>18613.1741108892</v>
      </c>
      <c r="H1998" s="17" t="n">
        <f aca="false">F1998-G1998</f>
        <v>254.851254280511</v>
      </c>
      <c r="I1998" s="17" t="n">
        <f aca="false">H1998*2/10+I1997*8/10</f>
        <v>228.184549047949</v>
      </c>
      <c r="J1998" s="17" t="n">
        <f aca="false">H1998-I1998</f>
        <v>26.6667052325617</v>
      </c>
      <c r="K1998" s="17" t="n">
        <f aca="false">MAX(B1998-B1997,0)</f>
        <v>135.510000000002</v>
      </c>
      <c r="L1998" s="17" t="n">
        <f aca="false">MAX(B1997-B1998,0)</f>
        <v>0</v>
      </c>
      <c r="M1998" s="17" t="n">
        <f aca="false">(M1997*13+K1998)/14</f>
        <v>78.1499952720607</v>
      </c>
      <c r="N1998" s="17" t="n">
        <f aca="false">(N1997*13+L1998)/14</f>
        <v>31.1058426401764</v>
      </c>
      <c r="O1998" s="17" t="n">
        <f aca="false">IF(N1998=0,100,100-100/(1+M1998/N1998))</f>
        <v>71.529354188686</v>
      </c>
      <c r="P1998" s="17" t="n">
        <f aca="false">AVERAGE(B1979:B1998)+2*STDEV(B1979:B1998)</f>
        <v>19196.1474001892</v>
      </c>
      <c r="Q1998" s="17" t="n">
        <f aca="false">AVERAGE(B1979:B1998)-2*STDEV(B1979:B1998)</f>
        <v>18286.6415998108</v>
      </c>
      <c r="R1998" s="19" t="n">
        <f aca="false">B1998/B1978-1</f>
        <v>0.0555850144598955</v>
      </c>
      <c r="S1998" s="17" t="n">
        <f aca="false">STDEV(C1979:C1998)*SQRT(252)*100</f>
        <v>11.3439129669632</v>
      </c>
      <c r="T1998" s="19" t="n">
        <f aca="false">B1977/B1747-1</f>
        <v>0.228409867224015</v>
      </c>
      <c r="U1998" s="19" t="n">
        <f aca="false">B1998/MAX(B1747:B1998)-1</f>
        <v>0</v>
      </c>
      <c r="V1998" s="17" t="n">
        <f aca="false">(B1998-AVERAGE(B1979:B1998))/STDEV(B1979:B1998)</f>
        <v>2.06171527352511</v>
      </c>
    </row>
    <row r="1999" customFormat="false" ht="15" hidden="false" customHeight="false" outlineLevel="0" collapsed="false">
      <c r="A1999" s="17" t="s">
        <v>2563</v>
      </c>
      <c r="B1999" s="17" t="n">
        <v>19465.18</v>
      </c>
      <c r="C1999" s="19" t="n">
        <f aca="false">B1999/B1998-1</f>
        <v>0.0132742119022311</v>
      </c>
      <c r="D1999" s="17" t="n">
        <f aca="false">AVERAGE(B1950:B1999)</f>
        <v>18209.1066</v>
      </c>
      <c r="E1999" s="17" t="n">
        <f aca="false">AVERAGE(B1800:B1999)</f>
        <v>16831.28055</v>
      </c>
      <c r="F1999" s="17" t="n">
        <f aca="false">B1999*2/13+F1998*11/13</f>
        <v>18959.8953089898</v>
      </c>
      <c r="G1999" s="17" t="n">
        <f aca="false">B1999*2/27+G1998*25/27</f>
        <v>18676.2856582308</v>
      </c>
      <c r="H1999" s="17" t="n">
        <f aca="false">F1999-G1999</f>
        <v>283.609650759012</v>
      </c>
      <c r="I1999" s="17" t="n">
        <f aca="false">H1999*2/10+I1998*8/10</f>
        <v>239.269569390162</v>
      </c>
      <c r="J1999" s="17" t="n">
        <f aca="false">H1999-I1999</f>
        <v>44.34008136885</v>
      </c>
      <c r="K1999" s="17" t="n">
        <f aca="false">MAX(B1999-B1998,0)</f>
        <v>255</v>
      </c>
      <c r="L1999" s="17" t="n">
        <f aca="false">MAX(B1998-B1999,0)</f>
        <v>0</v>
      </c>
      <c r="M1999" s="17" t="n">
        <f aca="false">(M1998*13+K1999)/14</f>
        <v>90.7821384669135</v>
      </c>
      <c r="N1999" s="17" t="n">
        <f aca="false">(N1998*13+L1999)/14</f>
        <v>28.8839967373066</v>
      </c>
      <c r="O1999" s="17" t="n">
        <f aca="false">IF(N1999=0,100,100-100/(1+M1999/N1999))</f>
        <v>75.8628481750382</v>
      </c>
      <c r="P1999" s="17" t="n">
        <f aca="false">AVERAGE(B1980:B1999)+2*STDEV(B1980:B1999)</f>
        <v>19314.7085374909</v>
      </c>
      <c r="Q1999" s="17" t="n">
        <f aca="false">AVERAGE(B1980:B1999)-2*STDEV(B1980:B1999)</f>
        <v>18282.3214625091</v>
      </c>
      <c r="R1999" s="19" t="n">
        <f aca="false">B1999/B1979-1</f>
        <v>0.0623491972010781</v>
      </c>
      <c r="S1999" s="17" t="n">
        <f aca="false">STDEV(C1980:C1999)*SQRT(252)*100</f>
        <v>11.871335979518</v>
      </c>
      <c r="T1999" s="19" t="n">
        <f aca="false">B1978/B1748-1</f>
        <v>0.221313549227057</v>
      </c>
      <c r="U1999" s="19" t="n">
        <f aca="false">B1999/MAX(B1748:B1999)-1</f>
        <v>0</v>
      </c>
      <c r="V1999" s="17" t="n">
        <f aca="false">(B1999-AVERAGE(B1980:B1999))/STDEV(B1980:B1999)</f>
        <v>2.58300405402404</v>
      </c>
    </row>
    <row r="2000" customFormat="false" ht="15" hidden="false" customHeight="false" outlineLevel="0" collapsed="false">
      <c r="A2000" s="17" t="s">
        <v>2564</v>
      </c>
      <c r="B2000" s="17" t="n">
        <v>19576.92</v>
      </c>
      <c r="C2000" s="19" t="n">
        <f aca="false">B2000/B1999-1</f>
        <v>0.00574050689487571</v>
      </c>
      <c r="D2000" s="17" t="n">
        <f aca="false">AVERAGE(B1951:B2000)</f>
        <v>18237.4412</v>
      </c>
      <c r="E2000" s="17" t="n">
        <f aca="false">AVERAGE(B1801:B2000)</f>
        <v>16853.90285</v>
      </c>
      <c r="F2000" s="17" t="n">
        <f aca="false">B2000*2/13+F1999*11/13</f>
        <v>19054.8221845298</v>
      </c>
      <c r="G2000" s="17" t="n">
        <f aca="false">B2000*2/27+G1999*25/27</f>
        <v>18742.9993131766</v>
      </c>
      <c r="H2000" s="17" t="n">
        <f aca="false">F2000-G2000</f>
        <v>311.822871353179</v>
      </c>
      <c r="I2000" s="17" t="n">
        <f aca="false">H2000*2/10+I1999*8/10</f>
        <v>253.780229782765</v>
      </c>
      <c r="J2000" s="17" t="n">
        <f aca="false">H2000-I2000</f>
        <v>58.0426415704136</v>
      </c>
      <c r="K2000" s="17" t="n">
        <f aca="false">MAX(B2000-B1999,0)</f>
        <v>111.739999999998</v>
      </c>
      <c r="L2000" s="17" t="n">
        <f aca="false">MAX(B1999-B2000,0)</f>
        <v>0</v>
      </c>
      <c r="M2000" s="17" t="n">
        <f aca="false">(M1999*13+K2000)/14</f>
        <v>92.2791285764195</v>
      </c>
      <c r="N2000" s="17" t="n">
        <f aca="false">(N1999*13+L2000)/14</f>
        <v>26.8208541132133</v>
      </c>
      <c r="O2000" s="17" t="n">
        <f aca="false">IF(N2000=0,100,100-100/(1+M2000/N2000))</f>
        <v>77.4803878997138</v>
      </c>
      <c r="P2000" s="17" t="n">
        <f aca="false">AVERAGE(B1981:B2000)+2*STDEV(B1981:B2000)</f>
        <v>19460.1644442442</v>
      </c>
      <c r="Q2000" s="17" t="n">
        <f aca="false">AVERAGE(B1981:B2000)-2*STDEV(B1981:B2000)</f>
        <v>18234.8925557558</v>
      </c>
      <c r="R2000" s="19" t="n">
        <f aca="false">B2000/B1980-1</f>
        <v>0.0527121820327854</v>
      </c>
      <c r="S2000" s="17" t="n">
        <f aca="false">STDEV(C1981:C2000)*SQRT(252)*100</f>
        <v>11.0709057118192</v>
      </c>
      <c r="T2000" s="19" t="n">
        <f aca="false">B1979/B1749-1</f>
        <v>0.221054813207523</v>
      </c>
      <c r="U2000" s="19" t="n">
        <f aca="false">B2000/MAX(B1749:B2000)-1</f>
        <v>0</v>
      </c>
      <c r="V2000" s="17" t="n">
        <f aca="false">(B2000-AVERAGE(B1981:B2000))/STDEV(B1981:B2000)</f>
        <v>2.38115803309524</v>
      </c>
    </row>
    <row r="2001" customFormat="false" ht="15" hidden="false" customHeight="false" outlineLevel="0" collapsed="false">
      <c r="A2001" s="17" t="s">
        <v>2565</v>
      </c>
      <c r="B2001" s="17" t="n">
        <v>19659.8</v>
      </c>
      <c r="C2001" s="19" t="n">
        <f aca="false">B2001/B2000-1</f>
        <v>0.00423355665753356</v>
      </c>
      <c r="D2001" s="17" t="n">
        <f aca="false">AVERAGE(B1952:B2001)</f>
        <v>18273.0616</v>
      </c>
      <c r="E2001" s="17" t="n">
        <f aca="false">AVERAGE(B1802:B2001)</f>
        <v>16875.3191</v>
      </c>
      <c r="F2001" s="17" t="n">
        <f aca="false">B2001*2/13+F2000*11/13</f>
        <v>19147.8956946022</v>
      </c>
      <c r="G2001" s="17" t="n">
        <f aca="false">B2001*2/27+G2000*25/27</f>
        <v>18810.9104751636</v>
      </c>
      <c r="H2001" s="17" t="n">
        <f aca="false">F2001-G2001</f>
        <v>336.9852194386</v>
      </c>
      <c r="I2001" s="17" t="n">
        <f aca="false">H2001*2/10+I2000*8/10</f>
        <v>270.421227713932</v>
      </c>
      <c r="J2001" s="17" t="n">
        <f aca="false">H2001-I2001</f>
        <v>66.563991724668</v>
      </c>
      <c r="K2001" s="17" t="n">
        <f aca="false">MAX(B2001-B2000,0)</f>
        <v>82.880000000001</v>
      </c>
      <c r="L2001" s="17" t="n">
        <f aca="false">MAX(B2000-B2001,0)</f>
        <v>0</v>
      </c>
      <c r="M2001" s="17" t="n">
        <f aca="false">(M2000*13+K2001)/14</f>
        <v>91.6077622495325</v>
      </c>
      <c r="N2001" s="17" t="n">
        <f aca="false">(N2000*13+L2001)/14</f>
        <v>24.9050788194124</v>
      </c>
      <c r="O2001" s="17" t="n">
        <f aca="false">IF(N2001=0,100,100-100/(1+M2001/N2001))</f>
        <v>78.6246060168809</v>
      </c>
      <c r="P2001" s="17" t="n">
        <f aca="false">AVERAGE(B1982:B2001)+2*STDEV(B1982:B2001)</f>
        <v>19598.1726555373</v>
      </c>
      <c r="Q2001" s="17" t="n">
        <f aca="false">AVERAGE(B1982:B2001)-2*STDEV(B1982:B2001)</f>
        <v>18207.0683444627</v>
      </c>
      <c r="R2001" s="19" t="n">
        <f aca="false">B2001/B1981-1</f>
        <v>0.0593729052115641</v>
      </c>
      <c r="S2001" s="17" t="n">
        <f aca="false">STDEV(C1982:C2001)*SQRT(252)*100</f>
        <v>10.9433859929504</v>
      </c>
      <c r="T2001" s="19" t="n">
        <f aca="false">B1980/B1750-1</f>
        <v>0.224633663209856</v>
      </c>
      <c r="U2001" s="19" t="n">
        <f aca="false">B2001/MAX(B1750:B2001)-1</f>
        <v>0</v>
      </c>
      <c r="V2001" s="17" t="n">
        <f aca="false">(B2001-AVERAGE(B1982:B2001))/STDEV(B1982:B2001)</f>
        <v>2.17720409309942</v>
      </c>
    </row>
    <row r="2002" customFormat="false" ht="15" hidden="false" customHeight="false" outlineLevel="0" collapsed="false">
      <c r="A2002" s="17" t="s">
        <v>2566</v>
      </c>
      <c r="B2002" s="17" t="n">
        <v>19902.75</v>
      </c>
      <c r="C2002" s="19" t="n">
        <f aca="false">B2002/B2001-1</f>
        <v>0.0123577045544716</v>
      </c>
      <c r="D2002" s="17" t="n">
        <f aca="false">AVERAGE(B1953:B2002)</f>
        <v>18308.9474</v>
      </c>
      <c r="E2002" s="17" t="n">
        <f aca="false">AVERAGE(B1803:B2002)</f>
        <v>16897.5207</v>
      </c>
      <c r="F2002" s="17" t="n">
        <f aca="false">B2002*2/13+F2001*11/13</f>
        <v>19264.0271262018</v>
      </c>
      <c r="G2002" s="17" t="n">
        <f aca="false">B2002*2/27+G2001*25/27</f>
        <v>18891.7874770033</v>
      </c>
      <c r="H2002" s="17" t="n">
        <f aca="false">F2002-G2002</f>
        <v>372.239649198535</v>
      </c>
      <c r="I2002" s="17" t="n">
        <f aca="false">H2002*2/10+I2001*8/10</f>
        <v>290.784912010853</v>
      </c>
      <c r="J2002" s="17" t="n">
        <f aca="false">H2002-I2002</f>
        <v>81.4547371876819</v>
      </c>
      <c r="K2002" s="17" t="n">
        <f aca="false">MAX(B2002-B2001,0)</f>
        <v>242.950000000001</v>
      </c>
      <c r="L2002" s="17" t="n">
        <f aca="false">MAX(B2001-B2002,0)</f>
        <v>0</v>
      </c>
      <c r="M2002" s="17" t="n">
        <f aca="false">(M2001*13+K2002)/14</f>
        <v>102.417922088852</v>
      </c>
      <c r="N2002" s="17" t="n">
        <f aca="false">(N2001*13+L2002)/14</f>
        <v>23.1261446180258</v>
      </c>
      <c r="O2002" s="17" t="n">
        <f aca="false">IF(N2002=0,100,100-100/(1+M2002/N2002))</f>
        <v>81.579261191195</v>
      </c>
      <c r="P2002" s="17" t="n">
        <f aca="false">AVERAGE(B1983:B2002)+2*STDEV(B1983:B2002)</f>
        <v>19775.5948430308</v>
      </c>
      <c r="Q2002" s="17" t="n">
        <f aca="false">AVERAGE(B1983:B2002)-2*STDEV(B1983:B2002)</f>
        <v>18165.2981569692</v>
      </c>
      <c r="R2002" s="19" t="n">
        <f aca="false">B2002/B1982-1</f>
        <v>0.0731426279087448</v>
      </c>
      <c r="S2002" s="17" t="n">
        <f aca="false">STDEV(C1983:C2002)*SQRT(252)*100</f>
        <v>11.34952031631</v>
      </c>
      <c r="T2002" s="19" t="n">
        <f aca="false">B1981/B1751-1</f>
        <v>0.230314135847976</v>
      </c>
      <c r="U2002" s="19" t="n">
        <f aca="false">B2002/MAX(B1751:B2002)-1</f>
        <v>0</v>
      </c>
      <c r="V2002" s="17" t="n">
        <f aca="false">(B2002-AVERAGE(B1983:B2002))/STDEV(B1983:B2002)</f>
        <v>2.31585522859189</v>
      </c>
    </row>
    <row r="2003" customFormat="false" ht="15" hidden="false" customHeight="false" outlineLevel="0" collapsed="false">
      <c r="A2003" s="17" t="s">
        <v>2567</v>
      </c>
      <c r="B2003" s="17" t="n">
        <v>19908.86</v>
      </c>
      <c r="C2003" s="19" t="n">
        <f aca="false">B2003/B2002-1</f>
        <v>0.000306992752257873</v>
      </c>
      <c r="D2003" s="17" t="n">
        <f aca="false">AVERAGE(B1954:B2003)</f>
        <v>18345.1208</v>
      </c>
      <c r="E2003" s="17" t="n">
        <f aca="false">AVERAGE(B1804:B2003)</f>
        <v>16919.55965</v>
      </c>
      <c r="F2003" s="17" t="n">
        <f aca="false">B2003*2/13+F2002*11/13</f>
        <v>19363.2321837092</v>
      </c>
      <c r="G2003" s="17" t="n">
        <f aca="false">B2003*2/27+G2002*25/27</f>
        <v>18967.1261824105</v>
      </c>
      <c r="H2003" s="17" t="n">
        <f aca="false">F2003-G2003</f>
        <v>396.106001298784</v>
      </c>
      <c r="I2003" s="17" t="n">
        <f aca="false">H2003*2/10+I2002*8/10</f>
        <v>311.849129868439</v>
      </c>
      <c r="J2003" s="17" t="n">
        <f aca="false">H2003-I2003</f>
        <v>84.2568714303448</v>
      </c>
      <c r="K2003" s="17" t="n">
        <f aca="false">MAX(B2003-B2002,0)</f>
        <v>6.11000000000058</v>
      </c>
      <c r="L2003" s="17" t="n">
        <f aca="false">MAX(B2002-B2003,0)</f>
        <v>0</v>
      </c>
      <c r="M2003" s="17" t="n">
        <f aca="false">(M2002*13+K2003)/14</f>
        <v>95.5387847967909</v>
      </c>
      <c r="N2003" s="17" t="n">
        <f aca="false">(N2002*13+L2003)/14</f>
        <v>21.4742771453096</v>
      </c>
      <c r="O2003" s="17" t="n">
        <f aca="false">IF(N2003=0,100,100-100/(1+M2003/N2003))</f>
        <v>81.6479658006596</v>
      </c>
      <c r="P2003" s="17" t="n">
        <f aca="false">AVERAGE(B1984:B2003)+2*STDEV(B1984:B2003)</f>
        <v>19926.1227499154</v>
      </c>
      <c r="Q2003" s="17" t="n">
        <f aca="false">AVERAGE(B1984:B2003)-2*STDEV(B1984:B2003)</f>
        <v>18138.2372500846</v>
      </c>
      <c r="R2003" s="19" t="n">
        <f aca="false">B2003/B1983-1</f>
        <v>0.0661163884484415</v>
      </c>
      <c r="S2003" s="17" t="n">
        <f aca="false">STDEV(C1984:C2003)*SQRT(252)*100</f>
        <v>11.3334769323856</v>
      </c>
      <c r="T2003" s="19" t="n">
        <f aca="false">B1982/B1752-1</f>
        <v>0.230659946981284</v>
      </c>
      <c r="U2003" s="19" t="n">
        <f aca="false">B2003/MAX(B1752:B2003)-1</f>
        <v>0</v>
      </c>
      <c r="V2003" s="17" t="n">
        <f aca="false">(B2003-AVERAGE(B1984:B2003))/STDEV(B1984:B2003)</f>
        <v>1.96137839941755</v>
      </c>
    </row>
    <row r="2004" customFormat="false" ht="15" hidden="false" customHeight="false" outlineLevel="0" collapsed="false">
      <c r="A2004" s="17" t="s">
        <v>2568</v>
      </c>
      <c r="B2004" s="17" t="n">
        <v>19752.3</v>
      </c>
      <c r="C2004" s="19" t="n">
        <f aca="false">B2004/B2003-1</f>
        <v>-0.00786383549836611</v>
      </c>
      <c r="D2004" s="17" t="n">
        <f aca="false">AVERAGE(B1955:B2004)</f>
        <v>18376.7688</v>
      </c>
      <c r="E2004" s="17" t="n">
        <f aca="false">AVERAGE(B1805:B2004)</f>
        <v>16940.86685</v>
      </c>
      <c r="F2004" s="17" t="n">
        <f aca="false">B2004*2/13+F2003*11/13</f>
        <v>19423.0887708309</v>
      </c>
      <c r="G2004" s="17" t="n">
        <f aca="false">B2004*2/27+G2003*25/27</f>
        <v>19025.2872059356</v>
      </c>
      <c r="H2004" s="17" t="n">
        <f aca="false">F2004-G2004</f>
        <v>397.801564895282</v>
      </c>
      <c r="I2004" s="17" t="n">
        <f aca="false">H2004*2/10+I2003*8/10</f>
        <v>329.039616873808</v>
      </c>
      <c r="J2004" s="17" t="n">
        <f aca="false">H2004-I2004</f>
        <v>68.7619480214747</v>
      </c>
      <c r="K2004" s="17" t="n">
        <f aca="false">MAX(B2004-B2003,0)</f>
        <v>0</v>
      </c>
      <c r="L2004" s="17" t="n">
        <f aca="false">MAX(B2003-B2004,0)</f>
        <v>156.560000000001</v>
      </c>
      <c r="M2004" s="17" t="n">
        <f aca="false">(M2003*13+K2004)/14</f>
        <v>88.7145858827344</v>
      </c>
      <c r="N2004" s="17" t="n">
        <f aca="false">(N2003*13+L2004)/14</f>
        <v>31.1232573492162</v>
      </c>
      <c r="O2004" s="17" t="n">
        <f aca="false">IF(N2004=0,100,100-100/(1+M2004/N2004))</f>
        <v>74.0288572375456</v>
      </c>
      <c r="P2004" s="17" t="n">
        <f aca="false">AVERAGE(B1985:B2004)+2*STDEV(B1985:B2004)</f>
        <v>20019.8476173451</v>
      </c>
      <c r="Q2004" s="17" t="n">
        <f aca="false">AVERAGE(B1985:B2004)-2*STDEV(B1985:B2004)</f>
        <v>18148.3623826549</v>
      </c>
      <c r="R2004" s="19" t="n">
        <f aca="false">B2004/B1984-1</f>
        <v>0.0554938067094872</v>
      </c>
      <c r="S2004" s="17" t="n">
        <f aca="false">STDEV(C1985:C2004)*SQRT(252)*100</f>
        <v>11.9978226147038</v>
      </c>
      <c r="T2004" s="19" t="n">
        <f aca="false">B1983/B1753-1</f>
        <v>0.256045253220963</v>
      </c>
      <c r="U2004" s="19" t="n">
        <f aca="false">B2004/MAX(B1753:B2004)-1</f>
        <v>-0.00786383549836611</v>
      </c>
      <c r="V2004" s="17" t="n">
        <f aca="false">(B2004-AVERAGE(B1985:B2004))/STDEV(B1985:B2004)</f>
        <v>1.42815981149996</v>
      </c>
    </row>
    <row r="2005" customFormat="false" ht="15" hidden="false" customHeight="false" outlineLevel="0" collapsed="false">
      <c r="A2005" s="17" t="s">
        <v>2569</v>
      </c>
      <c r="B2005" s="17" t="n">
        <v>19700.43</v>
      </c>
      <c r="C2005" s="19" t="n">
        <f aca="false">B2005/B2004-1</f>
        <v>-0.00262602329855255</v>
      </c>
      <c r="D2005" s="17" t="n">
        <f aca="false">AVERAGE(B1956:B2005)</f>
        <v>18410.5442</v>
      </c>
      <c r="E2005" s="17" t="n">
        <f aca="false">AVERAGE(B1806:B2005)</f>
        <v>16961.8278</v>
      </c>
      <c r="F2005" s="17" t="n">
        <f aca="false">B2005*2/13+F2004*11/13</f>
        <v>19465.7566522415</v>
      </c>
      <c r="G2005" s="17" t="n">
        <f aca="false">B2005*2/27+G2004*25/27</f>
        <v>19075.2977832737</v>
      </c>
      <c r="H2005" s="17" t="n">
        <f aca="false">F2005-G2005</f>
        <v>390.458868967809</v>
      </c>
      <c r="I2005" s="17" t="n">
        <f aca="false">H2005*2/10+I2004*8/10</f>
        <v>341.323467292608</v>
      </c>
      <c r="J2005" s="17" t="n">
        <f aca="false">H2005-I2005</f>
        <v>49.1354016752014</v>
      </c>
      <c r="K2005" s="17" t="n">
        <f aca="false">MAX(B2005-B2004,0)</f>
        <v>0</v>
      </c>
      <c r="L2005" s="17" t="n">
        <f aca="false">MAX(B2004-B2005,0)</f>
        <v>51.869999999999</v>
      </c>
      <c r="M2005" s="17" t="n">
        <f aca="false">(M2004*13+K2005)/14</f>
        <v>82.3778297482534</v>
      </c>
      <c r="N2005" s="17" t="n">
        <f aca="false">(N2004*13+L2005)/14</f>
        <v>32.6051675385578</v>
      </c>
      <c r="O2005" s="17" t="n">
        <f aca="false">IF(N2005=0,100,100-100/(1+M2005/N2005))</f>
        <v>71.6434879000169</v>
      </c>
      <c r="P2005" s="17" t="n">
        <f aca="false">AVERAGE(B1986:B2005)+2*STDEV(B1986:B2005)</f>
        <v>20090.3877229252</v>
      </c>
      <c r="Q2005" s="17" t="n">
        <f aca="false">AVERAGE(B1986:B2005)-2*STDEV(B1986:B2005)</f>
        <v>18177.3452770748</v>
      </c>
      <c r="R2005" s="19" t="n">
        <f aca="false">B2005/B1985-1</f>
        <v>0.0532060603468554</v>
      </c>
      <c r="S2005" s="17" t="n">
        <f aca="false">STDEV(C1986:C2005)*SQRT(252)*100</f>
        <v>12.0984609251014</v>
      </c>
      <c r="T2005" s="19" t="n">
        <f aca="false">B1984/B1754-1</f>
        <v>0.244076711571087</v>
      </c>
      <c r="U2005" s="19" t="n">
        <f aca="false">B2005/MAX(B1754:B2005)-1</f>
        <v>-0.010469208181684</v>
      </c>
      <c r="V2005" s="17" t="n">
        <f aca="false">(B2005-AVERAGE(B1986:B2005))/STDEV(B1986:B2005)</f>
        <v>1.18463341203733</v>
      </c>
    </row>
    <row r="2006" customFormat="false" ht="15" hidden="false" customHeight="false" outlineLevel="0" collapsed="false">
      <c r="A2006" s="17" t="s">
        <v>2570</v>
      </c>
      <c r="B2006" s="17" t="n">
        <v>19474.62</v>
      </c>
      <c r="C2006" s="19" t="n">
        <f aca="false">B2006/B2005-1</f>
        <v>-0.0114621863583689</v>
      </c>
      <c r="D2006" s="17" t="n">
        <f aca="false">AVERAGE(B1957:B2006)</f>
        <v>18433.877</v>
      </c>
      <c r="E2006" s="17" t="n">
        <f aca="false">AVERAGE(B1807:B2006)</f>
        <v>16982.3437</v>
      </c>
      <c r="F2006" s="17" t="n">
        <f aca="false">B2006*2/13+F2005*11/13</f>
        <v>19467.1202442044</v>
      </c>
      <c r="G2006" s="17" t="n">
        <f aca="false">B2006*2/27+G2005*25/27</f>
        <v>19104.8772067349</v>
      </c>
      <c r="H2006" s="17" t="n">
        <f aca="false">F2006-G2006</f>
        <v>362.243037469445</v>
      </c>
      <c r="I2006" s="17" t="n">
        <f aca="false">H2006*2/10+I2005*8/10</f>
        <v>345.507381327975</v>
      </c>
      <c r="J2006" s="17" t="n">
        <f aca="false">H2006-I2006</f>
        <v>16.7356561414696</v>
      </c>
      <c r="K2006" s="17" t="n">
        <f aca="false">MAX(B2006-B2005,0)</f>
        <v>0</v>
      </c>
      <c r="L2006" s="17" t="n">
        <f aca="false">MAX(B2005-B2006,0)</f>
        <v>225.810000000001</v>
      </c>
      <c r="M2006" s="17" t="n">
        <f aca="false">(M2005*13+K2006)/14</f>
        <v>76.4936990519496</v>
      </c>
      <c r="N2006" s="17" t="n">
        <f aca="false">(N2005*13+L2006)/14</f>
        <v>46.4055127143752</v>
      </c>
      <c r="O2006" s="17" t="n">
        <f aca="false">IF(N2006=0,100,100-100/(1+M2006/N2006))</f>
        <v>62.2410005341543</v>
      </c>
      <c r="P2006" s="17" t="n">
        <f aca="false">AVERAGE(B1987:B2006)+2*STDEV(B1987:B2006)</f>
        <v>20112.8521169268</v>
      </c>
      <c r="Q2006" s="17" t="n">
        <f aca="false">AVERAGE(B1987:B2006)-2*STDEV(B1987:B2006)</f>
        <v>18240.0038830732</v>
      </c>
      <c r="R2006" s="19" t="n">
        <f aca="false">B2006/B1986-1</f>
        <v>0.0457075752588545</v>
      </c>
      <c r="S2006" s="17" t="n">
        <f aca="false">STDEV(C1987:C2006)*SQRT(252)*100</f>
        <v>12.8786446480718</v>
      </c>
      <c r="T2006" s="19" t="n">
        <f aca="false">B1985/B1755-1</f>
        <v>0.256100803949641</v>
      </c>
      <c r="U2006" s="19" t="n">
        <f aca="false">B2006/MAX(B1755:B2006)-1</f>
        <v>-0.0218113945248498</v>
      </c>
      <c r="V2006" s="17" t="n">
        <f aca="false">(B2006-AVERAGE(B1987:B2006))/STDEV(B1987:B2006)</f>
        <v>0.63687381520806</v>
      </c>
    </row>
    <row r="2007" customFormat="false" ht="15" hidden="false" customHeight="false" outlineLevel="0" collapsed="false">
      <c r="A2007" s="17" t="s">
        <v>2571</v>
      </c>
      <c r="B2007" s="17" t="n">
        <v>19701.13</v>
      </c>
      <c r="C2007" s="19" t="n">
        <f aca="false">B2007/B2006-1</f>
        <v>0.0116310356761775</v>
      </c>
      <c r="D2007" s="17" t="n">
        <f aca="false">AVERAGE(B1958:B2007)</f>
        <v>18467.8298</v>
      </c>
      <c r="E2007" s="17" t="n">
        <f aca="false">AVERAGE(B1808:B2007)</f>
        <v>17004.55675</v>
      </c>
      <c r="F2007" s="17" t="n">
        <f aca="false">B2007*2/13+F2006*11/13</f>
        <v>19503.121745096</v>
      </c>
      <c r="G2007" s="17" t="n">
        <f aca="false">B2007*2/27+G2006*25/27</f>
        <v>19149.0440803101</v>
      </c>
      <c r="H2007" s="17" t="n">
        <f aca="false">F2007-G2007</f>
        <v>354.077664785891</v>
      </c>
      <c r="I2007" s="17" t="n">
        <f aca="false">H2007*2/10+I2006*8/10</f>
        <v>347.221438019559</v>
      </c>
      <c r="J2007" s="17" t="n">
        <f aca="false">H2007-I2007</f>
        <v>6.85622676633255</v>
      </c>
      <c r="K2007" s="17" t="n">
        <f aca="false">MAX(B2007-B2006,0)</f>
        <v>226.510000000002</v>
      </c>
      <c r="L2007" s="17" t="n">
        <f aca="false">MAX(B2006-B2007,0)</f>
        <v>0</v>
      </c>
      <c r="M2007" s="17" t="n">
        <f aca="false">(M2006*13+K2007)/14</f>
        <v>87.2091491196676</v>
      </c>
      <c r="N2007" s="17" t="n">
        <f aca="false">(N2006*13+L2007)/14</f>
        <v>43.090833234777</v>
      </c>
      <c r="O2007" s="17" t="n">
        <f aca="false">IF(N2007=0,100,100-100/(1+M2007/N2007))</f>
        <v>66.9295172139314</v>
      </c>
      <c r="P2007" s="17" t="n">
        <f aca="false">AVERAGE(B1988:B2007)+2*STDEV(B1988:B2007)</f>
        <v>20168.6629688013</v>
      </c>
      <c r="Q2007" s="17" t="n">
        <f aca="false">AVERAGE(B1988:B2007)-2*STDEV(B1988:B2007)</f>
        <v>18273.4710311987</v>
      </c>
      <c r="R2007" s="19" t="n">
        <f aca="false">B2007/B1987-1</f>
        <v>0.0474672153591358</v>
      </c>
      <c r="S2007" s="17" t="n">
        <f aca="false">STDEV(C1988:C2007)*SQRT(252)*100</f>
        <v>13.0260496712962</v>
      </c>
      <c r="T2007" s="19" t="n">
        <f aca="false">B1986/B1756-1</f>
        <v>0.267844280966327</v>
      </c>
      <c r="U2007" s="19" t="n">
        <f aca="false">B2007/MAX(B1756:B2007)-1</f>
        <v>-0.0104340479565379</v>
      </c>
      <c r="V2007" s="17" t="n">
        <f aca="false">(B2007-AVERAGE(B1988:B2007))/STDEV(B1988:B2007)</f>
        <v>1.0132229680278</v>
      </c>
    </row>
    <row r="2008" customFormat="false" ht="15" hidden="false" customHeight="false" outlineLevel="0" collapsed="false">
      <c r="A2008" s="17" t="s">
        <v>2572</v>
      </c>
      <c r="B2008" s="17" t="n">
        <v>19751.05</v>
      </c>
      <c r="C2008" s="19" t="n">
        <f aca="false">B2008/B2007-1</f>
        <v>0.00253386480876983</v>
      </c>
      <c r="D2008" s="17" t="n">
        <f aca="false">AVERAGE(B1959:B2008)</f>
        <v>18508.7142</v>
      </c>
      <c r="E2008" s="17" t="n">
        <f aca="false">AVERAGE(B1809:B2008)</f>
        <v>17026.91085</v>
      </c>
      <c r="F2008" s="17" t="n">
        <f aca="false">B2008*2/13+F2007*11/13</f>
        <v>19541.2645535428</v>
      </c>
      <c r="G2008" s="17" t="n">
        <f aca="false">B2008*2/27+G2007*25/27</f>
        <v>19193.6371113983</v>
      </c>
      <c r="H2008" s="17" t="n">
        <f aca="false">F2008-G2008</f>
        <v>347.62744214452</v>
      </c>
      <c r="I2008" s="17" t="n">
        <f aca="false">H2008*2/10+I2007*8/10</f>
        <v>347.302638844551</v>
      </c>
      <c r="J2008" s="17" t="n">
        <f aca="false">H2008-I2008</f>
        <v>0.324803299968835</v>
      </c>
      <c r="K2008" s="17" t="n">
        <f aca="false">MAX(B2008-B2007,0)</f>
        <v>49.9199999999983</v>
      </c>
      <c r="L2008" s="17" t="n">
        <f aca="false">MAX(B2007-B2008,0)</f>
        <v>0</v>
      </c>
      <c r="M2008" s="17" t="n">
        <f aca="false">(M2007*13+K2008)/14</f>
        <v>84.5456384682626</v>
      </c>
      <c r="N2008" s="17" t="n">
        <f aca="false">(N2007*13+L2008)/14</f>
        <v>40.01291657515</v>
      </c>
      <c r="O2008" s="17" t="n">
        <f aca="false">IF(N2008=0,100,100-100/(1+M2008/N2008))</f>
        <v>67.8762196934572</v>
      </c>
      <c r="P2008" s="17" t="n">
        <f aca="false">AVERAGE(B1989:B2008)+2*STDEV(B1989:B2008)</f>
        <v>20225.8034923165</v>
      </c>
      <c r="Q2008" s="17" t="n">
        <f aca="false">AVERAGE(B1989:B2008)-2*STDEV(B1989:B2008)</f>
        <v>18304.4915076835</v>
      </c>
      <c r="R2008" s="19" t="n">
        <f aca="false">B2008/B1988-1</f>
        <v>0.0467215773229095</v>
      </c>
      <c r="S2008" s="17" t="n">
        <f aca="false">STDEV(C1989:C2008)*SQRT(252)*100</f>
        <v>13.0220098027039</v>
      </c>
      <c r="T2008" s="19" t="n">
        <f aca="false">B1987/B1757-1</f>
        <v>0.258427890974855</v>
      </c>
      <c r="U2008" s="19" t="n">
        <f aca="false">B2008/MAX(B1757:B2008)-1</f>
        <v>-0.00792662161469826</v>
      </c>
      <c r="V2008" s="17" t="n">
        <f aca="false">(B2008-AVERAGE(B1989:B2008))/STDEV(B1989:B2008)</f>
        <v>1.01160561925666</v>
      </c>
    </row>
    <row r="2009" customFormat="false" ht="15" hidden="false" customHeight="false" outlineLevel="0" collapsed="false">
      <c r="A2009" s="17" t="s">
        <v>2573</v>
      </c>
      <c r="B2009" s="17" t="n">
        <v>19789.03</v>
      </c>
      <c r="C2009" s="19" t="n">
        <f aca="false">B2009/B2008-1</f>
        <v>0.00192293574265667</v>
      </c>
      <c r="D2009" s="17" t="n">
        <f aca="false">AVERAGE(B1960:B2009)</f>
        <v>18550.2216</v>
      </c>
      <c r="E2009" s="17" t="n">
        <f aca="false">AVERAGE(B1810:B2009)</f>
        <v>17048.54665</v>
      </c>
      <c r="F2009" s="17" t="n">
        <f aca="false">B2009*2/13+F2008*11/13</f>
        <v>19579.3823145362</v>
      </c>
      <c r="G2009" s="17" t="n">
        <f aca="false">B2009*2/27+G2008*25/27</f>
        <v>19237.7402883317</v>
      </c>
      <c r="H2009" s="17" t="n">
        <f aca="false">F2009-G2009</f>
        <v>341.642026204474</v>
      </c>
      <c r="I2009" s="17" t="n">
        <f aca="false">H2009*2/10+I2008*8/10</f>
        <v>346.170516316535</v>
      </c>
      <c r="J2009" s="17" t="n">
        <f aca="false">H2009-I2009</f>
        <v>-4.52849011206149</v>
      </c>
      <c r="K2009" s="17" t="n">
        <f aca="false">MAX(B2009-B2008,0)</f>
        <v>37.9799999999996</v>
      </c>
      <c r="L2009" s="17" t="n">
        <f aca="false">MAX(B2008-B2009,0)</f>
        <v>0</v>
      </c>
      <c r="M2009" s="17" t="n">
        <f aca="false">(M2008*13+K2009)/14</f>
        <v>81.2195214348153</v>
      </c>
      <c r="N2009" s="17" t="n">
        <f aca="false">(N2008*13+L2009)/14</f>
        <v>37.1548511054965</v>
      </c>
      <c r="O2009" s="17" t="n">
        <f aca="false">IF(N2009=0,100,100-100/(1+M2009/N2009))</f>
        <v>68.6124198100027</v>
      </c>
      <c r="P2009" s="17" t="n">
        <f aca="false">AVERAGE(B1990:B2009)+2*STDEV(B1990:B2009)</f>
        <v>20271.8076193591</v>
      </c>
      <c r="Q2009" s="17" t="n">
        <f aca="false">AVERAGE(B1990:B2009)-2*STDEV(B1990:B2009)</f>
        <v>18363.7153806409</v>
      </c>
      <c r="R2009" s="19" t="n">
        <f aca="false">B2009/B1989-1</f>
        <v>0.0561612873096988</v>
      </c>
      <c r="S2009" s="17" t="n">
        <f aca="false">STDEV(C1990:C2009)*SQRT(252)*100</f>
        <v>12.5486086009832</v>
      </c>
      <c r="T2009" s="19" t="n">
        <f aca="false">B1988/B1758-1</f>
        <v>0.260941009330706</v>
      </c>
      <c r="U2009" s="19" t="n">
        <f aca="false">B2009/MAX(B1758:B2009)-1</f>
        <v>-0.00601892825606298</v>
      </c>
      <c r="V2009" s="17" t="n">
        <f aca="false">(B2009-AVERAGE(B1990:B2009))/STDEV(B1990:B2009)</f>
        <v>0.987936516772521</v>
      </c>
    </row>
    <row r="2010" customFormat="false" ht="15" hidden="false" customHeight="false" outlineLevel="0" collapsed="false">
      <c r="A2010" s="17" t="s">
        <v>2574</v>
      </c>
      <c r="B2010" s="17" t="n">
        <v>19682.87</v>
      </c>
      <c r="C2010" s="19" t="n">
        <f aca="false">B2010/B2009-1</f>
        <v>-0.00536458836031883</v>
      </c>
      <c r="D2010" s="17" t="n">
        <f aca="false">AVERAGE(B1961:B2010)</f>
        <v>18594.0066</v>
      </c>
      <c r="E2010" s="17" t="n">
        <f aca="false">AVERAGE(B1811:B2010)</f>
        <v>17070.5123</v>
      </c>
      <c r="F2010" s="17" t="n">
        <f aca="false">B2010*2/13+F2009*11/13</f>
        <v>19595.3034969152</v>
      </c>
      <c r="G2010" s="17" t="n">
        <f aca="false">B2010*2/27+G2009*25/27</f>
        <v>19270.7128595664</v>
      </c>
      <c r="H2010" s="17" t="n">
        <f aca="false">F2010-G2010</f>
        <v>324.590637348836</v>
      </c>
      <c r="I2010" s="17" t="n">
        <f aca="false">H2010*2/10+I2009*8/10</f>
        <v>341.854540522996</v>
      </c>
      <c r="J2010" s="17" t="n">
        <f aca="false">H2010-I2010</f>
        <v>-17.2639031741595</v>
      </c>
      <c r="K2010" s="17" t="n">
        <f aca="false">MAX(B2010-B2009,0)</f>
        <v>0</v>
      </c>
      <c r="L2010" s="17" t="n">
        <f aca="false">MAX(B2009-B2010,0)</f>
        <v>106.16</v>
      </c>
      <c r="M2010" s="17" t="n">
        <f aca="false">(M2009*13+K2010)/14</f>
        <v>75.4181270466142</v>
      </c>
      <c r="N2010" s="17" t="n">
        <f aca="false">(N2009*13+L2010)/14</f>
        <v>42.0837903122467</v>
      </c>
      <c r="O2010" s="17" t="n">
        <f aca="false">IF(N2010=0,100,100-100/(1+M2010/N2010))</f>
        <v>64.1845926788418</v>
      </c>
      <c r="P2010" s="17" t="n">
        <f aca="false">AVERAGE(B1991:B2010)+2*STDEV(B1991:B2010)</f>
        <v>20267.5511408957</v>
      </c>
      <c r="Q2010" s="17" t="n">
        <f aca="false">AVERAGE(B1991:B2010)-2*STDEV(B1991:B2010)</f>
        <v>18482.3928591043</v>
      </c>
      <c r="R2010" s="19" t="n">
        <f aca="false">B2010/B1990-1</f>
        <v>0.0617202106301102</v>
      </c>
      <c r="S2010" s="17" t="n">
        <f aca="false">STDEV(C1991:C2010)*SQRT(252)*100</f>
        <v>11.9356612357962</v>
      </c>
      <c r="T2010" s="19" t="n">
        <f aca="false">B1989/B1759-1</f>
        <v>0.254137396711502</v>
      </c>
      <c r="U2010" s="19" t="n">
        <f aca="false">B2010/MAX(B1759:B2010)-1</f>
        <v>-0.0113512275439177</v>
      </c>
      <c r="V2010" s="17" t="n">
        <f aca="false">(B2010-AVERAGE(B1991:B2010))/STDEV(B1991:B2010)</f>
        <v>0.689906330750735</v>
      </c>
    </row>
    <row r="2011" customFormat="false" ht="15" hidden="false" customHeight="false" outlineLevel="0" collapsed="false">
      <c r="A2011" s="17" t="s">
        <v>2575</v>
      </c>
      <c r="B2011" s="17" t="n">
        <v>19812.22</v>
      </c>
      <c r="C2011" s="19" t="n">
        <f aca="false">B2011/B2010-1</f>
        <v>0.00657170422809283</v>
      </c>
      <c r="D2011" s="17" t="n">
        <f aca="false">AVERAGE(B1962:B2011)</f>
        <v>18642.3648</v>
      </c>
      <c r="E2011" s="17" t="n">
        <f aca="false">AVERAGE(B1812:B2011)</f>
        <v>17092.83075</v>
      </c>
      <c r="F2011" s="17" t="n">
        <f aca="false">B2011*2/13+F2010*11/13</f>
        <v>19628.6752666206</v>
      </c>
      <c r="G2011" s="17" t="n">
        <f aca="false">B2011*2/27+G2010*25/27</f>
        <v>19310.8244995985</v>
      </c>
      <c r="H2011" s="17" t="n">
        <f aca="false">F2011-G2011</f>
        <v>317.850767022064</v>
      </c>
      <c r="I2011" s="17" t="n">
        <f aca="false">H2011*2/10+I2010*8/10</f>
        <v>337.053785822809</v>
      </c>
      <c r="J2011" s="17" t="n">
        <f aca="false">H2011-I2011</f>
        <v>-19.203018800745</v>
      </c>
      <c r="K2011" s="17" t="n">
        <f aca="false">MAX(B2011-B2010,0)</f>
        <v>129.350000000002</v>
      </c>
      <c r="L2011" s="17" t="n">
        <f aca="false">MAX(B2010-B2011,0)</f>
        <v>0</v>
      </c>
      <c r="M2011" s="17" t="n">
        <f aca="false">(M2010*13+K2011)/14</f>
        <v>79.2704036861419</v>
      </c>
      <c r="N2011" s="17" t="n">
        <f aca="false">(N2010*13+L2011)/14</f>
        <v>39.0778052899434</v>
      </c>
      <c r="O2011" s="17" t="n">
        <f aca="false">IF(N2011=0,100,100-100/(1+M2011/N2011))</f>
        <v>66.9806534226134</v>
      </c>
      <c r="P2011" s="17" t="n">
        <f aca="false">AVERAGE(B1992:B2011)+2*STDEV(B1992:B2011)</f>
        <v>20258.4245468587</v>
      </c>
      <c r="Q2011" s="17" t="n">
        <f aca="false">AVERAGE(B1992:B2011)-2*STDEV(B1992:B2011)</f>
        <v>18619.0764531413</v>
      </c>
      <c r="R2011" s="19" t="n">
        <f aca="false">B2011/B1991-1</f>
        <v>0.0688134047953648</v>
      </c>
      <c r="S2011" s="17" t="n">
        <f aca="false">STDEV(C1992:C2011)*SQRT(252)*100</f>
        <v>11.9385482709918</v>
      </c>
      <c r="T2011" s="19" t="n">
        <f aca="false">B1990/B1760-1</f>
        <v>0.221319159561005</v>
      </c>
      <c r="U2011" s="19" t="n">
        <f aca="false">B2011/MAX(B1760:B2011)-1</f>
        <v>-0.00485412022586929</v>
      </c>
      <c r="V2011" s="17" t="n">
        <f aca="false">(B2011-AVERAGE(B1992:B2011))/STDEV(B1992:B2011)</f>
        <v>0.911263450224598</v>
      </c>
    </row>
    <row r="2012" customFormat="false" ht="15" hidden="false" customHeight="false" outlineLevel="0" collapsed="false">
      <c r="A2012" s="17" t="s">
        <v>2576</v>
      </c>
      <c r="B2012" s="17" t="n">
        <v>20011.89</v>
      </c>
      <c r="C2012" s="19" t="n">
        <f aca="false">B2012/B2011-1</f>
        <v>0.0100781235015561</v>
      </c>
      <c r="D2012" s="17" t="n">
        <f aca="false">AVERAGE(B1963:B2012)</f>
        <v>18701.8496</v>
      </c>
      <c r="E2012" s="17" t="n">
        <f aca="false">AVERAGE(B1813:B2012)</f>
        <v>17115.52075</v>
      </c>
      <c r="F2012" s="17" t="n">
        <f aca="false">B2012*2/13+F2011*11/13</f>
        <v>19687.6313794482</v>
      </c>
      <c r="G2012" s="17" t="n">
        <f aca="false">B2012*2/27+G2011*25/27</f>
        <v>19362.755277406</v>
      </c>
      <c r="H2012" s="17" t="n">
        <f aca="false">F2012-G2012</f>
        <v>324.876102042148</v>
      </c>
      <c r="I2012" s="17" t="n">
        <f aca="false">H2012*2/10+I2011*8/10</f>
        <v>334.618249066677</v>
      </c>
      <c r="J2012" s="17" t="n">
        <f aca="false">H2012-I2012</f>
        <v>-9.74214702452906</v>
      </c>
      <c r="K2012" s="17" t="n">
        <f aca="false">MAX(B2012-B2011,0)</f>
        <v>199.669999999998</v>
      </c>
      <c r="L2012" s="17" t="n">
        <f aca="false">MAX(B2011-B2012,0)</f>
        <v>0</v>
      </c>
      <c r="M2012" s="17" t="n">
        <f aca="false">(M2011*13+K2012)/14</f>
        <v>87.8703748514173</v>
      </c>
      <c r="N2012" s="17" t="n">
        <f aca="false">(N2011*13+L2012)/14</f>
        <v>36.2865334835189</v>
      </c>
      <c r="O2012" s="17" t="n">
        <f aca="false">IF(N2012=0,100,100-100/(1+M2012/N2012))</f>
        <v>70.7736492715901</v>
      </c>
      <c r="P2012" s="17" t="n">
        <f aca="false">AVERAGE(B1993:B2012)+2*STDEV(B1993:B2012)</f>
        <v>20265.8036102953</v>
      </c>
      <c r="Q2012" s="17" t="n">
        <f aca="false">AVERAGE(B1993:B2012)-2*STDEV(B1993:B2012)</f>
        <v>18752.7893897047</v>
      </c>
      <c r="R2012" s="19" t="n">
        <f aca="false">B2012/B1992-1</f>
        <v>0.0758519582580908</v>
      </c>
      <c r="S2012" s="17" t="n">
        <f aca="false">STDEV(C1993:C2012)*SQRT(252)*100</f>
        <v>12.1747389694185</v>
      </c>
      <c r="T2012" s="19" t="n">
        <f aca="false">B1991/B1761-1</f>
        <v>0.218819635353209</v>
      </c>
      <c r="U2012" s="19" t="n">
        <f aca="false">B2012/MAX(B1761:B2012)-1</f>
        <v>0</v>
      </c>
      <c r="V2012" s="17" t="n">
        <f aca="false">(B2012-AVERAGE(B1993:B2012))/STDEV(B1993:B2012)</f>
        <v>1.32872115320583</v>
      </c>
    </row>
    <row r="2013" customFormat="false" ht="15" hidden="false" customHeight="false" outlineLevel="0" collapsed="false">
      <c r="A2013" s="17" t="s">
        <v>2577</v>
      </c>
      <c r="B2013" s="17" t="n">
        <v>20186.63</v>
      </c>
      <c r="C2013" s="19" t="n">
        <f aca="false">B2013/B2012-1</f>
        <v>0.00873180893958558</v>
      </c>
      <c r="D2013" s="17" t="n">
        <f aca="false">AVERAGE(B1964:B2013)</f>
        <v>18761.3644</v>
      </c>
      <c r="E2013" s="17" t="n">
        <f aca="false">AVERAGE(B1814:B2013)</f>
        <v>17140.4419</v>
      </c>
      <c r="F2013" s="17" t="n">
        <f aca="false">B2013*2/13+F2012*11/13</f>
        <v>19764.4003979946</v>
      </c>
      <c r="G2013" s="17" t="n">
        <f aca="false">B2013*2/27+G2012*25/27</f>
        <v>19423.7830346352</v>
      </c>
      <c r="H2013" s="17" t="n">
        <f aca="false">F2013-G2013</f>
        <v>340.617363359397</v>
      </c>
      <c r="I2013" s="17" t="n">
        <f aca="false">H2013*2/10+I2012*8/10</f>
        <v>335.818071925221</v>
      </c>
      <c r="J2013" s="17" t="n">
        <f aca="false">H2013-I2013</f>
        <v>4.7992914341761</v>
      </c>
      <c r="K2013" s="17" t="n">
        <f aca="false">MAX(B2013-B2012,0)</f>
        <v>174.740000000002</v>
      </c>
      <c r="L2013" s="17" t="n">
        <f aca="false">MAX(B2012-B2013,0)</f>
        <v>0</v>
      </c>
      <c r="M2013" s="17" t="n">
        <f aca="false">(M2012*13+K2013)/14</f>
        <v>94.0753480763162</v>
      </c>
      <c r="N2013" s="17" t="n">
        <f aca="false">(N2012*13+L2013)/14</f>
        <v>33.6946382346961</v>
      </c>
      <c r="O2013" s="17" t="n">
        <f aca="false">IF(N2013=0,100,100-100/(1+M2013/N2013))</f>
        <v>73.6286750843989</v>
      </c>
      <c r="P2013" s="17" t="n">
        <f aca="false">AVERAGE(B1994:B2013)+2*STDEV(B1994:B2013)</f>
        <v>20286.2325333646</v>
      </c>
      <c r="Q2013" s="17" t="n">
        <f aca="false">AVERAGE(B1994:B2013)-2*STDEV(B1994:B2013)</f>
        <v>18885.5394666354</v>
      </c>
      <c r="R2013" s="19" t="n">
        <f aca="false">B2013/B1993-1</f>
        <v>0.0821122025168803</v>
      </c>
      <c r="S2013" s="17" t="n">
        <f aca="false">STDEV(C1994:C2013)*SQRT(252)*100</f>
        <v>12.2998396529609</v>
      </c>
      <c r="T2013" s="19" t="n">
        <f aca="false">B1992/B1762-1</f>
        <v>0.223443775166439</v>
      </c>
      <c r="U2013" s="19" t="n">
        <f aca="false">B2013/MAX(B1762:B2013)-1</f>
        <v>0</v>
      </c>
      <c r="V2013" s="17" t="n">
        <f aca="false">(B2013-AVERAGE(B1994:B2013))/STDEV(B1994:B2013)</f>
        <v>1.71556214354036</v>
      </c>
    </row>
    <row r="2014" customFormat="false" ht="15" hidden="false" customHeight="false" outlineLevel="0" collapsed="false">
      <c r="A2014" s="17" t="s">
        <v>2578</v>
      </c>
      <c r="B2014" s="17" t="n">
        <v>20391.97</v>
      </c>
      <c r="C2014" s="19" t="n">
        <f aca="false">B2014/B2013-1</f>
        <v>0.0101720792425481</v>
      </c>
      <c r="D2014" s="17" t="n">
        <f aca="false">AVERAGE(B1965:B2014)</f>
        <v>18819.7744</v>
      </c>
      <c r="E2014" s="17" t="n">
        <f aca="false">AVERAGE(B1815:B2014)</f>
        <v>17166.2749</v>
      </c>
      <c r="F2014" s="17" t="n">
        <f aca="false">B2014*2/13+F2013*11/13</f>
        <v>19860.9495675339</v>
      </c>
      <c r="G2014" s="17" t="n">
        <f aca="false">B2014*2/27+G2013*25/27</f>
        <v>19495.5005876252</v>
      </c>
      <c r="H2014" s="17" t="n">
        <f aca="false">F2014-G2014</f>
        <v>365.448979908702</v>
      </c>
      <c r="I2014" s="17" t="n">
        <f aca="false">H2014*2/10+I2013*8/10</f>
        <v>341.744253521917</v>
      </c>
      <c r="J2014" s="17" t="n">
        <f aca="false">H2014-I2014</f>
        <v>23.704726386785</v>
      </c>
      <c r="K2014" s="17" t="n">
        <f aca="false">MAX(B2014-B2013,0)</f>
        <v>205.34</v>
      </c>
      <c r="L2014" s="17" t="n">
        <f aca="false">MAX(B2013-B2014,0)</f>
        <v>0</v>
      </c>
      <c r="M2014" s="17" t="n">
        <f aca="false">(M2013*13+K2014)/14</f>
        <v>102.022823213722</v>
      </c>
      <c r="N2014" s="17" t="n">
        <f aca="false">(N2013*13+L2014)/14</f>
        <v>31.2878783607892</v>
      </c>
      <c r="O2014" s="17" t="n">
        <f aca="false">IF(N2014=0,100,100-100/(1+M2014/N2014))</f>
        <v>76.530107492307</v>
      </c>
      <c r="P2014" s="17" t="n">
        <f aca="false">AVERAGE(B1995:B2014)+2*STDEV(B1995:B2014)</f>
        <v>20391.309048838</v>
      </c>
      <c r="Q2014" s="17" t="n">
        <f aca="false">AVERAGE(B1995:B2014)-2*STDEV(B1995:B2014)</f>
        <v>18916.154951162</v>
      </c>
      <c r="R2014" s="19" t="n">
        <f aca="false">B2014/B1994-1</f>
        <v>0.0712853394133455</v>
      </c>
      <c r="S2014" s="17" t="n">
        <f aca="false">STDEV(C1995:C2014)*SQRT(252)*100</f>
        <v>10.9547794950948</v>
      </c>
      <c r="T2014" s="19" t="n">
        <f aca="false">B1993/B1763-1</f>
        <v>0.236283628627949</v>
      </c>
      <c r="U2014" s="19" t="n">
        <f aca="false">B2014/MAX(B1763:B2014)-1</f>
        <v>0</v>
      </c>
      <c r="V2014" s="17" t="n">
        <f aca="false">(B2014-AVERAGE(B1995:B2014))/STDEV(B1995:B2014)</f>
        <v>2.00179222269186</v>
      </c>
    </row>
    <row r="2015" customFormat="false" ht="15" hidden="false" customHeight="false" outlineLevel="0" collapsed="false">
      <c r="A2015" s="17" t="s">
        <v>2579</v>
      </c>
      <c r="B2015" s="17" t="n">
        <v>20439.54</v>
      </c>
      <c r="C2015" s="19" t="n">
        <f aca="false">B2015/B2014-1</f>
        <v>0.00233278099173351</v>
      </c>
      <c r="D2015" s="17" t="n">
        <f aca="false">AVERAGE(B1966:B2015)</f>
        <v>18878.0292</v>
      </c>
      <c r="E2015" s="17" t="n">
        <f aca="false">AVERAGE(B1816:B2015)</f>
        <v>17192.51645</v>
      </c>
      <c r="F2015" s="17" t="n">
        <f aca="false">B2015*2/13+F2014*11/13</f>
        <v>19949.963480221</v>
      </c>
      <c r="G2015" s="17" t="n">
        <f aca="false">B2015*2/27+G2014*25/27</f>
        <v>19565.4294329863</v>
      </c>
      <c r="H2015" s="17" t="n">
        <f aca="false">F2015-G2015</f>
        <v>384.534047234698</v>
      </c>
      <c r="I2015" s="17" t="n">
        <f aca="false">H2015*2/10+I2014*8/10</f>
        <v>350.302212264473</v>
      </c>
      <c r="J2015" s="17" t="n">
        <f aca="false">H2015-I2015</f>
        <v>34.2318349702245</v>
      </c>
      <c r="K2015" s="17" t="n">
        <f aca="false">MAX(B2015-B2014,0)</f>
        <v>47.5699999999997</v>
      </c>
      <c r="L2015" s="17" t="n">
        <f aca="false">MAX(B2014-B2015,0)</f>
        <v>0</v>
      </c>
      <c r="M2015" s="17" t="n">
        <f aca="false">(M2014*13+K2015)/14</f>
        <v>98.1333358413135</v>
      </c>
      <c r="N2015" s="17" t="n">
        <f aca="false">(N2014*13+L2015)/14</f>
        <v>29.0530299064471</v>
      </c>
      <c r="O2015" s="17" t="n">
        <f aca="false">IF(N2015=0,100,100-100/(1+M2015/N2015))</f>
        <v>77.1571192119241</v>
      </c>
      <c r="P2015" s="17" t="n">
        <f aca="false">AVERAGE(B1996:B2015)+2*STDEV(B1996:B2015)</f>
        <v>20478.7112780213</v>
      </c>
      <c r="Q2015" s="17" t="n">
        <f aca="false">AVERAGE(B1996:B2015)-2*STDEV(B1996:B2015)</f>
        <v>18970.5877219787</v>
      </c>
      <c r="R2015" s="19" t="n">
        <f aca="false">B2015/B1995-1</f>
        <v>0.074566838352385</v>
      </c>
      <c r="S2015" s="17" t="n">
        <f aca="false">STDEV(C1996:C2015)*SQRT(252)*100</f>
        <v>10.852550204532</v>
      </c>
      <c r="T2015" s="19" t="n">
        <f aca="false">B1994/B1764-1</f>
        <v>0.26589345507869</v>
      </c>
      <c r="U2015" s="19" t="n">
        <f aca="false">B2015/MAX(B1764:B2015)-1</f>
        <v>0</v>
      </c>
      <c r="V2015" s="17" t="n">
        <f aca="false">(B2015-AVERAGE(B1996:B2015))/STDEV(B1996:B2015)</f>
        <v>1.89610591820718</v>
      </c>
    </row>
    <row r="2016" customFormat="false" ht="15" hidden="false" customHeight="false" outlineLevel="0" collapsed="false">
      <c r="A2016" s="17" t="s">
        <v>2580</v>
      </c>
      <c r="B2016" s="17" t="n">
        <v>20453.02</v>
      </c>
      <c r="C2016" s="19" t="n">
        <f aca="false">B2016/B2015-1</f>
        <v>0.000659506035850077</v>
      </c>
      <c r="D2016" s="17" t="n">
        <f aca="false">AVERAGE(B1967:B2016)</f>
        <v>18938.4796</v>
      </c>
      <c r="E2016" s="17" t="n">
        <f aca="false">AVERAGE(B1817:B2016)</f>
        <v>17219.93195</v>
      </c>
      <c r="F2016" s="17" t="n">
        <f aca="false">B2016*2/13+F2015*11/13</f>
        <v>20027.3567909562</v>
      </c>
      <c r="G2016" s="17" t="n">
        <f aca="false">B2016*2/27+G2015*25/27</f>
        <v>19631.1768823947</v>
      </c>
      <c r="H2016" s="17" t="n">
        <f aca="false">F2016-G2016</f>
        <v>396.179908561506</v>
      </c>
      <c r="I2016" s="17" t="n">
        <f aca="false">H2016*2/10+I2015*8/10</f>
        <v>359.47775152388</v>
      </c>
      <c r="J2016" s="17" t="n">
        <f aca="false">H2016-I2016</f>
        <v>36.7021570376259</v>
      </c>
      <c r="K2016" s="17" t="n">
        <f aca="false">MAX(B2016-B2015,0)</f>
        <v>13.4799999999996</v>
      </c>
      <c r="L2016" s="17" t="n">
        <f aca="false">MAX(B2015-B2016,0)</f>
        <v>0</v>
      </c>
      <c r="M2016" s="17" t="n">
        <f aca="false">(M2015*13+K2016)/14</f>
        <v>92.0866689955053</v>
      </c>
      <c r="N2016" s="17" t="n">
        <f aca="false">(N2015*13+L2016)/14</f>
        <v>26.9778134845581</v>
      </c>
      <c r="O2016" s="17" t="n">
        <f aca="false">IF(N2016=0,100,100-100/(1+M2016/N2016))</f>
        <v>77.3418462646278</v>
      </c>
      <c r="P2016" s="17" t="n">
        <f aca="false">AVERAGE(B1997:B2016)+2*STDEV(B1997:B2016)</f>
        <v>20537.4166787431</v>
      </c>
      <c r="Q2016" s="17" t="n">
        <f aca="false">AVERAGE(B1997:B2016)-2*STDEV(B1997:B2016)</f>
        <v>19057.0893212569</v>
      </c>
      <c r="R2016" s="19" t="n">
        <f aca="false">B2016/B1996-1</f>
        <v>0.0764209157963154</v>
      </c>
      <c r="S2016" s="17" t="n">
        <f aca="false">STDEV(C1997:C2016)*SQRT(252)*100</f>
        <v>10.77072487961</v>
      </c>
      <c r="T2016" s="19" t="n">
        <f aca="false">B1995/B1765-1</f>
        <v>0.264232694654398</v>
      </c>
      <c r="U2016" s="19" t="n">
        <f aca="false">B2016/MAX(B1765:B2016)-1</f>
        <v>0</v>
      </c>
      <c r="V2016" s="17" t="n">
        <f aca="false">(B2016-AVERAGE(B1997:B2016))/STDEV(B1997:B2016)</f>
        <v>1.77195130977942</v>
      </c>
    </row>
    <row r="2017" customFormat="false" ht="15" hidden="false" customHeight="false" outlineLevel="0" collapsed="false">
      <c r="A2017" s="17" t="s">
        <v>2581</v>
      </c>
      <c r="B2017" s="17" t="n">
        <v>20675.38</v>
      </c>
      <c r="C2017" s="19" t="n">
        <f aca="false">B2017/B2016-1</f>
        <v>0.0108717441238506</v>
      </c>
      <c r="D2017" s="17" t="n">
        <f aca="false">AVERAGE(B1968:B2017)</f>
        <v>18997.6212</v>
      </c>
      <c r="E2017" s="17" t="n">
        <f aca="false">AVERAGE(B1818:B2017)</f>
        <v>17249.83765</v>
      </c>
      <c r="F2017" s="17" t="n">
        <f aca="false">B2017*2/13+F2016*11/13</f>
        <v>20127.0526692707</v>
      </c>
      <c r="G2017" s="17" t="n">
        <f aca="false">B2017*2/27+G2016*25/27</f>
        <v>19708.5252614766</v>
      </c>
      <c r="H2017" s="17" t="n">
        <f aca="false">F2017-G2017</f>
        <v>418.527407794059</v>
      </c>
      <c r="I2017" s="17" t="n">
        <f aca="false">H2017*2/10+I2016*8/10</f>
        <v>371.287682777916</v>
      </c>
      <c r="J2017" s="17" t="n">
        <f aca="false">H2017-I2017</f>
        <v>47.2397250161436</v>
      </c>
      <c r="K2017" s="17" t="n">
        <f aca="false">MAX(B2017-B2016,0)</f>
        <v>222.360000000001</v>
      </c>
      <c r="L2017" s="17" t="n">
        <f aca="false">MAX(B2016-B2017,0)</f>
        <v>0</v>
      </c>
      <c r="M2017" s="17" t="n">
        <f aca="false">(M2016*13+K2017)/14</f>
        <v>101.391906924398</v>
      </c>
      <c r="N2017" s="17" t="n">
        <f aca="false">(N2016*13+L2017)/14</f>
        <v>25.0508268070896</v>
      </c>
      <c r="O2017" s="17" t="n">
        <f aca="false">IF(N2017=0,100,100-100/(1+M2017/N2017))</f>
        <v>80.1880060104622</v>
      </c>
      <c r="P2017" s="17" t="n">
        <f aca="false">AVERAGE(B1998:B2017)+2*STDEV(B1998:B2017)</f>
        <v>20634.4463434973</v>
      </c>
      <c r="Q2017" s="17" t="n">
        <f aca="false">AVERAGE(B1998:B2017)-2*STDEV(B1998:B2017)</f>
        <v>19120.1306565027</v>
      </c>
      <c r="R2017" s="19" t="n">
        <f aca="false">B2017/B1997-1</f>
        <v>0.0839180966171369</v>
      </c>
      <c r="S2017" s="17" t="n">
        <f aca="false">STDEV(C1998:C2017)*SQRT(252)*100</f>
        <v>11.0671553341548</v>
      </c>
      <c r="T2017" s="19" t="n">
        <f aca="false">B1996/B1766-1</f>
        <v>0.256754718878026</v>
      </c>
      <c r="U2017" s="19" t="n">
        <f aca="false">B2017/MAX(B1766:B2017)-1</f>
        <v>0</v>
      </c>
      <c r="V2017" s="17" t="n">
        <f aca="false">(B2017-AVERAGE(B1998:B2017))/STDEV(B1998:B2017)</f>
        <v>2.10812449967798</v>
      </c>
    </row>
    <row r="2018" customFormat="false" ht="15" hidden="false" customHeight="false" outlineLevel="0" collapsed="false">
      <c r="A2018" s="17" t="s">
        <v>2582</v>
      </c>
      <c r="B2018" s="17" t="n">
        <v>20211.36</v>
      </c>
      <c r="C2018" s="19" t="n">
        <f aca="false">B2018/B2017-1</f>
        <v>-0.0224431183368818</v>
      </c>
      <c r="D2018" s="17" t="n">
        <f aca="false">AVERAGE(B1969:B2018)</f>
        <v>19046.194</v>
      </c>
      <c r="E2018" s="17" t="n">
        <f aca="false">AVERAGE(B1819:B2018)</f>
        <v>17277.38895</v>
      </c>
      <c r="F2018" s="17" t="n">
        <f aca="false">B2018*2/13+F2017*11/13</f>
        <v>20140.0230278444</v>
      </c>
      <c r="G2018" s="17" t="n">
        <f aca="false">B2018*2/27+G2017*25/27</f>
        <v>19745.772279145</v>
      </c>
      <c r="H2018" s="17" t="n">
        <f aca="false">F2018-G2018</f>
        <v>394.250748699404</v>
      </c>
      <c r="I2018" s="17" t="n">
        <f aca="false">H2018*2/10+I2017*8/10</f>
        <v>375.880295962213</v>
      </c>
      <c r="J2018" s="17" t="n">
        <f aca="false">H2018-I2018</f>
        <v>18.3704527371903</v>
      </c>
      <c r="K2018" s="17" t="n">
        <f aca="false">MAX(B2018-B2017,0)</f>
        <v>0</v>
      </c>
      <c r="L2018" s="17" t="n">
        <f aca="false">MAX(B2017-B2018,0)</f>
        <v>464.02</v>
      </c>
      <c r="M2018" s="17" t="n">
        <f aca="false">(M2017*13+K2018)/14</f>
        <v>94.1496278583694</v>
      </c>
      <c r="N2018" s="17" t="n">
        <f aca="false">(N2017*13+L2018)/14</f>
        <v>56.4057677494404</v>
      </c>
      <c r="O2018" s="17" t="n">
        <f aca="false">IF(N2018=0,100,100-100/(1+M2018/N2018))</f>
        <v>62.5348746076328</v>
      </c>
      <c r="P2018" s="17" t="n">
        <f aca="false">AVERAGE(B1999:B2018)+2*STDEV(B1999:B2018)</f>
        <v>20629.1601825473</v>
      </c>
      <c r="Q2018" s="17" t="n">
        <f aca="false">AVERAGE(B1999:B2018)-2*STDEV(B1999:B2018)</f>
        <v>19225.5348174527</v>
      </c>
      <c r="R2018" s="19" t="n">
        <f aca="false">B2018/B1998-1</f>
        <v>0.0521171587148064</v>
      </c>
      <c r="S2018" s="17" t="n">
        <f aca="false">STDEV(C1999:C2018)*SQRT(252)*100</f>
        <v>14.4439609634839</v>
      </c>
      <c r="T2018" s="19" t="n">
        <f aca="false">B1997/B1767-1</f>
        <v>0.24612160397407</v>
      </c>
      <c r="U2018" s="19" t="n">
        <f aca="false">B2018/MAX(B1767:B2018)-1</f>
        <v>-0.0224431183368818</v>
      </c>
      <c r="V2018" s="17" t="n">
        <f aca="false">(B2018-AVERAGE(B1999:B2018))/STDEV(B1999:B2018)</f>
        <v>0.809368388639419</v>
      </c>
    </row>
    <row r="2019" customFormat="false" ht="15" hidden="false" customHeight="false" outlineLevel="0" collapsed="false">
      <c r="A2019" s="17" t="s">
        <v>2583</v>
      </c>
      <c r="B2019" s="17" t="n">
        <v>20331.49</v>
      </c>
      <c r="C2019" s="19" t="n">
        <f aca="false">B2019/B2018-1</f>
        <v>0.00594368711457327</v>
      </c>
      <c r="D2019" s="17" t="n">
        <f aca="false">AVERAGE(B1970:B2019)</f>
        <v>19104.01</v>
      </c>
      <c r="E2019" s="17" t="n">
        <f aca="false">AVERAGE(B1820:B2019)</f>
        <v>17305.2019</v>
      </c>
      <c r="F2019" s="17" t="n">
        <f aca="false">B2019*2/13+F2018*11/13</f>
        <v>20169.4794850991</v>
      </c>
      <c r="G2019" s="17" t="n">
        <f aca="false">B2019*2/27+G2018*25/27</f>
        <v>19789.1587769861</v>
      </c>
      <c r="H2019" s="17" t="n">
        <f aca="false">F2019-G2019</f>
        <v>380.320708112999</v>
      </c>
      <c r="I2019" s="17" t="n">
        <f aca="false">H2019*2/10+I2018*8/10</f>
        <v>376.76837839237</v>
      </c>
      <c r="J2019" s="17" t="n">
        <f aca="false">H2019-I2019</f>
        <v>3.55232972062811</v>
      </c>
      <c r="K2019" s="17" t="n">
        <f aca="false">MAX(B2019-B2018,0)</f>
        <v>120.130000000001</v>
      </c>
      <c r="L2019" s="17" t="n">
        <f aca="false">MAX(B2018-B2019,0)</f>
        <v>0</v>
      </c>
      <c r="M2019" s="17" t="n">
        <f aca="false">(M2018*13+K2019)/14</f>
        <v>96.0053687256288</v>
      </c>
      <c r="N2019" s="17" t="n">
        <f aca="false">(N2018*13+L2019)/14</f>
        <v>52.3767843387661</v>
      </c>
      <c r="O2019" s="17" t="n">
        <f aca="false">IF(N2019=0,100,100-100/(1+M2019/N2019))</f>
        <v>64.7014258405891</v>
      </c>
      <c r="P2019" s="17" t="n">
        <f aca="false">AVERAGE(B2000:B2019)+2*STDEV(B2000:B2019)</f>
        <v>20659.1820297443</v>
      </c>
      <c r="Q2019" s="17" t="n">
        <f aca="false">AVERAGE(B2000:B2019)-2*STDEV(B2000:B2019)</f>
        <v>19282.1439702557</v>
      </c>
      <c r="R2019" s="19" t="n">
        <f aca="false">B2019/B1999-1</f>
        <v>0.0445056249158755</v>
      </c>
      <c r="S2019" s="17" t="n">
        <f aca="false">STDEV(C2000:C2019)*SQRT(252)*100</f>
        <v>13.9502490020452</v>
      </c>
      <c r="T2019" s="19" t="n">
        <f aca="false">B1998/B1768-1</f>
        <v>0.233637597787822</v>
      </c>
      <c r="U2019" s="19" t="n">
        <f aca="false">B2019/MAX(B1768:B2019)-1</f>
        <v>-0.0166328260955784</v>
      </c>
      <c r="V2019" s="17" t="n">
        <f aca="false">(B2019-AVERAGE(B2000:B2019))/STDEV(B2000:B2019)</f>
        <v>1.04812498830719</v>
      </c>
    </row>
    <row r="2020" customFormat="false" ht="15" hidden="false" customHeight="false" outlineLevel="0" collapsed="false">
      <c r="A2020" s="17" t="s">
        <v>2584</v>
      </c>
      <c r="B2020" s="17" t="n">
        <v>20386.88</v>
      </c>
      <c r="C2020" s="19" t="n">
        <f aca="false">B2020/B2019-1</f>
        <v>0.00272434533819221</v>
      </c>
      <c r="D2020" s="17" t="n">
        <f aca="false">AVERAGE(B1971:B2020)</f>
        <v>19165.3766</v>
      </c>
      <c r="E2020" s="17" t="n">
        <f aca="false">AVERAGE(B1821:B2020)</f>
        <v>17334.40715</v>
      </c>
      <c r="F2020" s="17" t="n">
        <f aca="false">B2020*2/13+F2019*11/13</f>
        <v>20202.9257181608</v>
      </c>
      <c r="G2020" s="17" t="n">
        <f aca="false">B2020*2/27+G2019*25/27</f>
        <v>19833.4344231353</v>
      </c>
      <c r="H2020" s="17" t="n">
        <f aca="false">F2020-G2020</f>
        <v>369.491295025498</v>
      </c>
      <c r="I2020" s="17" t="n">
        <f aca="false">H2020*2/10+I2019*8/10</f>
        <v>375.312961718996</v>
      </c>
      <c r="J2020" s="17" t="n">
        <f aca="false">H2020-I2020</f>
        <v>-5.82166669349761</v>
      </c>
      <c r="K2020" s="17" t="n">
        <f aca="false">MAX(B2020-B2019,0)</f>
        <v>55.3899999999994</v>
      </c>
      <c r="L2020" s="17" t="n">
        <f aca="false">MAX(B2019-B2020,0)</f>
        <v>0</v>
      </c>
      <c r="M2020" s="17" t="n">
        <f aca="false">(M2019*13+K2020)/14</f>
        <v>93.1042709595125</v>
      </c>
      <c r="N2020" s="17" t="n">
        <f aca="false">(N2019*13+L2020)/14</f>
        <v>48.6355854574256</v>
      </c>
      <c r="O2020" s="17" t="n">
        <f aca="false">IF(N2020=0,100,100-100/(1+M2020/N2020))</f>
        <v>65.6867258886163</v>
      </c>
      <c r="P2020" s="17" t="n">
        <f aca="false">AVERAGE(B2001:B2020)+2*STDEV(B2001:B2020)</f>
        <v>20697.4444981152</v>
      </c>
      <c r="Q2020" s="17" t="n">
        <f aca="false">AVERAGE(B2001:B2020)-2*STDEV(B2001:B2020)</f>
        <v>19324.8775018848</v>
      </c>
      <c r="R2020" s="19" t="n">
        <f aca="false">B2020/B2000-1</f>
        <v>0.0413732088602294</v>
      </c>
      <c r="S2020" s="17" t="n">
        <f aca="false">STDEV(C2001:C2020)*SQRT(252)*100</f>
        <v>13.8901459386058</v>
      </c>
      <c r="T2020" s="19" t="n">
        <f aca="false">B1999/B1769-1</f>
        <v>0.250525517808501</v>
      </c>
      <c r="U2020" s="19" t="n">
        <f aca="false">B2020/MAX(B1769:B2020)-1</f>
        <v>-0.0139537943196207</v>
      </c>
      <c r="V2020" s="17" t="n">
        <f aca="false">(B2020-AVERAGE(B2001:B2020))/STDEV(B2001:B2020)</f>
        <v>1.09493817360277</v>
      </c>
    </row>
    <row r="2021" customFormat="false" ht="15" hidden="false" customHeight="false" outlineLevel="0" collapsed="false">
      <c r="A2021" s="17" t="s">
        <v>2585</v>
      </c>
      <c r="B2021" s="17" t="n">
        <v>20398.62</v>
      </c>
      <c r="C2021" s="19" t="n">
        <f aca="false">B2021/B2020-1</f>
        <v>0.000575860553453822</v>
      </c>
      <c r="D2021" s="17" t="n">
        <f aca="false">AVERAGE(B1972:B2021)</f>
        <v>19222.5182</v>
      </c>
      <c r="E2021" s="17" t="n">
        <f aca="false">AVERAGE(B1822:B2021)</f>
        <v>17363.49945</v>
      </c>
      <c r="F2021" s="17" t="n">
        <f aca="false">B2021*2/13+F2020*11/13</f>
        <v>20233.0325307514</v>
      </c>
      <c r="G2021" s="17" t="n">
        <f aca="false">B2021*2/27+G2020*25/27</f>
        <v>19875.3000214216</v>
      </c>
      <c r="H2021" s="17" t="n">
        <f aca="false">F2021-G2021</f>
        <v>357.732509329868</v>
      </c>
      <c r="I2021" s="17" t="n">
        <f aca="false">H2021*2/10+I2020*8/10</f>
        <v>371.79687124117</v>
      </c>
      <c r="J2021" s="17" t="n">
        <f aca="false">H2021-I2021</f>
        <v>-14.0643619113026</v>
      </c>
      <c r="K2021" s="17" t="n">
        <f aca="false">MAX(B2021-B2020,0)</f>
        <v>11.739999999998</v>
      </c>
      <c r="L2021" s="17" t="n">
        <f aca="false">MAX(B2020-B2021,0)</f>
        <v>0</v>
      </c>
      <c r="M2021" s="17" t="n">
        <f aca="false">(M2020*13+K2021)/14</f>
        <v>87.2925373195471</v>
      </c>
      <c r="N2021" s="17" t="n">
        <f aca="false">(N2020*13+L2021)/14</f>
        <v>45.1616150676095</v>
      </c>
      <c r="O2021" s="17" t="n">
        <f aca="false">IF(N2021=0,100,100-100/(1+M2021/N2021))</f>
        <v>65.9039643124177</v>
      </c>
      <c r="P2021" s="17" t="n">
        <f aca="false">AVERAGE(B2002:B2021)+2*STDEV(B2002:B2021)</f>
        <v>20734.2899616241</v>
      </c>
      <c r="Q2021" s="17" t="n">
        <f aca="false">AVERAGE(B2002:B2021)-2*STDEV(B2002:B2021)</f>
        <v>19361.9140383759</v>
      </c>
      <c r="R2021" s="19" t="n">
        <f aca="false">B2021/B2001-1</f>
        <v>0.0375802398803651</v>
      </c>
      <c r="S2021" s="17" t="n">
        <f aca="false">STDEV(C2002:C2021)*SQRT(252)*100</f>
        <v>13.8751006096629</v>
      </c>
      <c r="T2021" s="19" t="n">
        <f aca="false">B2000/B1770-1</f>
        <v>0.24588373655914</v>
      </c>
      <c r="U2021" s="19" t="n">
        <f aca="false">B2021/MAX(B1770:B2021)-1</f>
        <v>-0.0133859692058865</v>
      </c>
      <c r="V2021" s="17" t="n">
        <f aca="false">(B2021-AVERAGE(B2002:B2021))/STDEV(B2002:B2021)</f>
        <v>1.02163844195213</v>
      </c>
    </row>
    <row r="2022" customFormat="false" ht="15" hidden="false" customHeight="false" outlineLevel="0" collapsed="false">
      <c r="A2022" s="17" t="s">
        <v>2586</v>
      </c>
      <c r="B2022" s="17" t="n">
        <v>19799.14</v>
      </c>
      <c r="C2022" s="19" t="n">
        <f aca="false">B2022/B2021-1</f>
        <v>-0.0293882625393286</v>
      </c>
      <c r="D2022" s="17" t="n">
        <f aca="false">AVERAGE(B1973:B2022)</f>
        <v>19260.685</v>
      </c>
      <c r="E2022" s="17" t="n">
        <f aca="false">AVERAGE(B1823:B2022)</f>
        <v>17388.9813</v>
      </c>
      <c r="F2022" s="17" t="n">
        <f aca="false">B2022*2/13+F2021*11/13</f>
        <v>20166.2798337127</v>
      </c>
      <c r="G2022" s="17" t="n">
        <f aca="false">B2022*2/27+G2021*25/27</f>
        <v>19869.6585383533</v>
      </c>
      <c r="H2022" s="17" t="n">
        <f aca="false">F2022-G2022</f>
        <v>296.621295359444</v>
      </c>
      <c r="I2022" s="17" t="n">
        <f aca="false">H2022*2/10+I2021*8/10</f>
        <v>356.761756064825</v>
      </c>
      <c r="J2022" s="17" t="n">
        <f aca="false">H2022-I2022</f>
        <v>-60.140460705381</v>
      </c>
      <c r="K2022" s="17" t="n">
        <f aca="false">MAX(B2022-B2021,0)</f>
        <v>0</v>
      </c>
      <c r="L2022" s="17" t="n">
        <f aca="false">MAX(B2021-B2022,0)</f>
        <v>599.48</v>
      </c>
      <c r="M2022" s="17" t="n">
        <f aca="false">(M2021*13+K2022)/14</f>
        <v>81.0573560824366</v>
      </c>
      <c r="N2022" s="17" t="n">
        <f aca="false">(N2021*13+L2022)/14</f>
        <v>84.7557854199231</v>
      </c>
      <c r="O2022" s="17" t="n">
        <f aca="false">IF(N2022=0,100,100-100/(1+M2022/N2022))</f>
        <v>48.8847598857435</v>
      </c>
      <c r="P2022" s="17" t="n">
        <f aca="false">AVERAGE(B2003:B2022)+2*STDEV(B2003:B2022)</f>
        <v>20735.2667493868</v>
      </c>
      <c r="Q2022" s="17" t="n">
        <f aca="false">AVERAGE(B2003:B2022)-2*STDEV(B2003:B2022)</f>
        <v>19350.5762506132</v>
      </c>
      <c r="R2022" s="19" t="n">
        <f aca="false">B2022/B2002-1</f>
        <v>-0.00520581326701086</v>
      </c>
      <c r="S2022" s="17" t="n">
        <f aca="false">STDEV(C2003:C2022)*SQRT(252)*100</f>
        <v>17.2077129332424</v>
      </c>
      <c r="T2022" s="19" t="n">
        <f aca="false">B2001/B1771-1</f>
        <v>0.241043219170083</v>
      </c>
      <c r="U2022" s="19" t="n">
        <f aca="false">B2022/MAX(B1771:B2022)-1</f>
        <v>-0.0423808413678491</v>
      </c>
      <c r="V2022" s="17" t="n">
        <f aca="false">(B2022-AVERAGE(B2003:B2022))/STDEV(B2003:B2022)</f>
        <v>-0.704219463384567</v>
      </c>
    </row>
    <row r="2023" customFormat="false" ht="15" hidden="false" customHeight="false" outlineLevel="0" collapsed="false">
      <c r="A2023" s="17" t="s">
        <v>2587</v>
      </c>
      <c r="B2023" s="17" t="n">
        <v>19705.09</v>
      </c>
      <c r="C2023" s="19" t="n">
        <f aca="false">B2023/B2022-1</f>
        <v>-0.00475020632209278</v>
      </c>
      <c r="D2023" s="17" t="n">
        <f aca="false">AVERAGE(B1974:B2023)</f>
        <v>19292.9154</v>
      </c>
      <c r="E2023" s="17" t="n">
        <f aca="false">AVERAGE(B1824:B2023)</f>
        <v>17413.93055</v>
      </c>
      <c r="F2023" s="17" t="n">
        <f aca="false">B2023*2/13+F2022*11/13</f>
        <v>20095.3275516031</v>
      </c>
      <c r="G2023" s="17" t="n">
        <f aca="false">B2023*2/27+G2022*25/27</f>
        <v>19857.4682762531</v>
      </c>
      <c r="H2023" s="17" t="n">
        <f aca="false">F2023-G2023</f>
        <v>237.859275350038</v>
      </c>
      <c r="I2023" s="17" t="n">
        <f aca="false">H2023*2/10+I2022*8/10</f>
        <v>332.981259921868</v>
      </c>
      <c r="J2023" s="17" t="n">
        <f aca="false">H2023-I2023</f>
        <v>-95.1219845718297</v>
      </c>
      <c r="K2023" s="17" t="n">
        <f aca="false">MAX(B2023-B2022,0)</f>
        <v>0</v>
      </c>
      <c r="L2023" s="17" t="n">
        <f aca="false">MAX(B2022-B2023,0)</f>
        <v>94.0499999999993</v>
      </c>
      <c r="M2023" s="17" t="n">
        <f aca="false">(M2022*13+K2023)/14</f>
        <v>75.2675449336911</v>
      </c>
      <c r="N2023" s="17" t="n">
        <f aca="false">(N2022*13+L2023)/14</f>
        <v>85.4196578899285</v>
      </c>
      <c r="O2023" s="17" t="n">
        <f aca="false">IF(N2023=0,100,100-100/(1+M2023/N2023))</f>
        <v>46.8410325222411</v>
      </c>
      <c r="P2023" s="17" t="n">
        <f aca="false">AVERAGE(B2004:B2023)+2*STDEV(B2004:B2023)</f>
        <v>20739.2374808023</v>
      </c>
      <c r="Q2023" s="17" t="n">
        <f aca="false">AVERAGE(B2004:B2023)-2*STDEV(B2004:B2023)</f>
        <v>19326.2285191977</v>
      </c>
      <c r="R2023" s="19" t="n">
        <f aca="false">B2023/B2003-1</f>
        <v>-0.0102351415399978</v>
      </c>
      <c r="S2023" s="17" t="n">
        <f aca="false">STDEV(C2004:C2023)*SQRT(252)*100</f>
        <v>17.2812500160639</v>
      </c>
      <c r="T2023" s="19" t="n">
        <f aca="false">B2002/B1772-1</f>
        <v>0.257570444227507</v>
      </c>
      <c r="U2023" s="19" t="n">
        <f aca="false">B2023/MAX(B1772:B2023)-1</f>
        <v>-0.0469297299493408</v>
      </c>
      <c r="V2023" s="17" t="n">
        <f aca="false">(B2023-AVERAGE(B2004:B2023))/STDEV(B2004:B2023)</f>
        <v>-0.927504379386088</v>
      </c>
    </row>
    <row r="2024" customFormat="false" ht="15" hidden="false" customHeight="false" outlineLevel="0" collapsed="false">
      <c r="A2024" s="17" t="s">
        <v>2588</v>
      </c>
      <c r="B2024" s="17" t="n">
        <v>19522.62</v>
      </c>
      <c r="C2024" s="19" t="n">
        <f aca="false">B2024/B2023-1</f>
        <v>-0.00926004397848479</v>
      </c>
      <c r="D2024" s="17" t="n">
        <f aca="false">AVERAGE(B1975:B2024)</f>
        <v>19321.5388</v>
      </c>
      <c r="E2024" s="17" t="n">
        <f aca="false">AVERAGE(B1825:B2024)</f>
        <v>17437.3558</v>
      </c>
      <c r="F2024" s="17" t="n">
        <f aca="false">B2024*2/13+F2023*11/13</f>
        <v>20007.2186975103</v>
      </c>
      <c r="G2024" s="17" t="n">
        <f aca="false">B2024*2/27+G2023*25/27</f>
        <v>19832.6647002343</v>
      </c>
      <c r="H2024" s="17" t="n">
        <f aca="false">F2024-G2024</f>
        <v>174.553997275998</v>
      </c>
      <c r="I2024" s="17" t="n">
        <f aca="false">H2024*2/10+I2023*8/10</f>
        <v>301.295807392694</v>
      </c>
      <c r="J2024" s="17" t="n">
        <f aca="false">H2024-I2024</f>
        <v>-126.741810116696</v>
      </c>
      <c r="K2024" s="17" t="n">
        <f aca="false">MAX(B2024-B2023,0)</f>
        <v>0</v>
      </c>
      <c r="L2024" s="17" t="n">
        <f aca="false">MAX(B2023-B2024,0)</f>
        <v>182.470000000001</v>
      </c>
      <c r="M2024" s="17" t="n">
        <f aca="false">(M2023*13+K2024)/14</f>
        <v>69.8912917241418</v>
      </c>
      <c r="N2024" s="17" t="n">
        <f aca="false">(N2023*13+L2024)/14</f>
        <v>92.3518251835052</v>
      </c>
      <c r="O2024" s="17" t="n">
        <f aca="false">IF(N2024=0,100,100-100/(1+M2024/N2024))</f>
        <v>43.0781243952098</v>
      </c>
      <c r="P2024" s="17" t="n">
        <f aca="false">AVERAGE(B2005:B2024)+2*STDEV(B2005:B2024)</f>
        <v>20753.9283973643</v>
      </c>
      <c r="Q2024" s="17" t="n">
        <f aca="false">AVERAGE(B2005:B2024)-2*STDEV(B2005:B2024)</f>
        <v>19288.5696026357</v>
      </c>
      <c r="R2024" s="19" t="n">
        <f aca="false">B2024/B2004-1</f>
        <v>-0.0116280129402652</v>
      </c>
      <c r="S2024" s="17" t="n">
        <f aca="false">STDEV(C2005:C2024)*SQRT(252)*100</f>
        <v>17.3675064337339</v>
      </c>
      <c r="T2024" s="19" t="n">
        <f aca="false">B2003/B1773-1</f>
        <v>0.287258770639509</v>
      </c>
      <c r="U2024" s="19" t="n">
        <f aca="false">B2024/MAX(B1773:B2024)-1</f>
        <v>-0.0557552025645962</v>
      </c>
      <c r="V2024" s="17" t="n">
        <f aca="false">(B2024-AVERAGE(B2005:B2024))/STDEV(B2005:B2024)</f>
        <v>-1.36111101743476</v>
      </c>
    </row>
    <row r="2025" customFormat="false" ht="15" hidden="false" customHeight="false" outlineLevel="0" collapsed="false">
      <c r="A2025" s="17" t="s">
        <v>2589</v>
      </c>
      <c r="B2025" s="17" t="n">
        <v>19822.87</v>
      </c>
      <c r="C2025" s="19" t="n">
        <f aca="false">B2025/B2024-1</f>
        <v>0.0153795955665788</v>
      </c>
      <c r="D2025" s="17" t="n">
        <f aca="false">AVERAGE(B1976:B2025)</f>
        <v>19356.296</v>
      </c>
      <c r="E2025" s="17" t="n">
        <f aca="false">AVERAGE(B1826:B2025)</f>
        <v>17463.64205</v>
      </c>
      <c r="F2025" s="17" t="n">
        <f aca="false">B2025*2/13+F2024*11/13</f>
        <v>19978.8573594318</v>
      </c>
      <c r="G2025" s="17" t="n">
        <f aca="false">B2025*2/27+G2024*25/27</f>
        <v>19831.9391668836</v>
      </c>
      <c r="H2025" s="17" t="n">
        <f aca="false">F2025-G2025</f>
        <v>146.918192548179</v>
      </c>
      <c r="I2025" s="17" t="n">
        <f aca="false">H2025*2/10+I2024*8/10</f>
        <v>270.420284423791</v>
      </c>
      <c r="J2025" s="17" t="n">
        <f aca="false">H2025-I2025</f>
        <v>-123.502091875612</v>
      </c>
      <c r="K2025" s="17" t="n">
        <f aca="false">MAX(B2025-B2024,0)</f>
        <v>300.25</v>
      </c>
      <c r="L2025" s="17" t="n">
        <f aca="false">MAX(B2024-B2025,0)</f>
        <v>0</v>
      </c>
      <c r="M2025" s="17" t="n">
        <f aca="false">(M2024*13+K2025)/14</f>
        <v>86.3454851724174</v>
      </c>
      <c r="N2025" s="17" t="n">
        <f aca="false">(N2024*13+L2025)/14</f>
        <v>85.7552662418262</v>
      </c>
      <c r="O2025" s="17" t="n">
        <f aca="false">IF(N2025=0,100,100-100/(1+M2025/N2025))</f>
        <v>50.171474826734</v>
      </c>
      <c r="P2025" s="17" t="n">
        <f aca="false">AVERAGE(B2006:B2025)+2*STDEV(B2006:B2025)</f>
        <v>20750.7505743781</v>
      </c>
      <c r="Q2025" s="17" t="n">
        <f aca="false">AVERAGE(B2006:B2025)-2*STDEV(B2006:B2025)</f>
        <v>19303.991425622</v>
      </c>
      <c r="R2025" s="19" t="n">
        <f aca="false">B2025/B2005-1</f>
        <v>0.0062150927670106</v>
      </c>
      <c r="S2025" s="17" t="n">
        <f aca="false">STDEV(C2006:C2025)*SQRT(252)*100</f>
        <v>18.2333634105245</v>
      </c>
      <c r="T2025" s="19" t="n">
        <f aca="false">B2004/B1774-1</f>
        <v>0.280482468508661</v>
      </c>
      <c r="U2025" s="19" t="n">
        <f aca="false">B2025/MAX(B1774:B2025)-1</f>
        <v>-0.0412330994641937</v>
      </c>
      <c r="V2025" s="17" t="n">
        <f aca="false">(B2025-AVERAGE(B2006:B2025))/STDEV(B2006:B2025)</f>
        <v>-0.565404407985466</v>
      </c>
    </row>
    <row r="2026" customFormat="false" ht="15" hidden="false" customHeight="false" outlineLevel="0" collapsed="false">
      <c r="A2026" s="17" t="s">
        <v>2590</v>
      </c>
      <c r="B2026" s="17" t="n">
        <v>19754.34</v>
      </c>
      <c r="C2026" s="19" t="n">
        <f aca="false">B2026/B2025-1</f>
        <v>-0.00345711796525927</v>
      </c>
      <c r="D2026" s="17" t="n">
        <f aca="false">AVERAGE(B1977:B2026)</f>
        <v>19389.1136</v>
      </c>
      <c r="E2026" s="17" t="n">
        <f aca="false">AVERAGE(B1827:B2026)</f>
        <v>17488.5325</v>
      </c>
      <c r="F2026" s="17" t="n">
        <f aca="false">B2026*2/13+F2025*11/13</f>
        <v>19944.3162272115</v>
      </c>
      <c r="G2026" s="17" t="n">
        <f aca="false">B2026*2/27+G2025*25/27</f>
        <v>19826.1910804478</v>
      </c>
      <c r="H2026" s="17" t="n">
        <f aca="false">F2026-G2026</f>
        <v>118.125146763723</v>
      </c>
      <c r="I2026" s="17" t="n">
        <f aca="false">H2026*2/10+I2025*8/10</f>
        <v>239.961256891777</v>
      </c>
      <c r="J2026" s="17" t="n">
        <f aca="false">H2026-I2026</f>
        <v>-121.836110128054</v>
      </c>
      <c r="K2026" s="17" t="n">
        <f aca="false">MAX(B2026-B2025,0)</f>
        <v>0</v>
      </c>
      <c r="L2026" s="17" t="n">
        <f aca="false">MAX(B2025-B2026,0)</f>
        <v>68.5299999999988</v>
      </c>
      <c r="M2026" s="17" t="n">
        <f aca="false">(M2025*13+K2026)/14</f>
        <v>80.1779505172447</v>
      </c>
      <c r="N2026" s="17" t="n">
        <f aca="false">(N2025*13+L2026)/14</f>
        <v>84.5248900816957</v>
      </c>
      <c r="O2026" s="17" t="n">
        <f aca="false">IF(N2026=0,100,100-100/(1+M2026/N2026))</f>
        <v>48.6803689758345</v>
      </c>
      <c r="P2026" s="17" t="n">
        <f aca="false">AVERAGE(B2007:B2026)+2*STDEV(B2007:B2026)</f>
        <v>20729.7067636063</v>
      </c>
      <c r="Q2026" s="17" t="n">
        <f aca="false">AVERAGE(B2007:B2026)-2*STDEV(B2007:B2026)</f>
        <v>19353.0072363937</v>
      </c>
      <c r="R2026" s="19" t="n">
        <f aca="false">B2026/B2006-1</f>
        <v>0.0143633097847353</v>
      </c>
      <c r="S2026" s="17" t="n">
        <f aca="false">STDEV(C2007:C2026)*SQRT(252)*100</f>
        <v>17.7594557489231</v>
      </c>
      <c r="T2026" s="19" t="n">
        <f aca="false">B2005/B1775-1</f>
        <v>0.275272170802472</v>
      </c>
      <c r="U2026" s="19" t="n">
        <f aca="false">B2026/MAX(B1775:B2026)-1</f>
        <v>-0.044547669740532</v>
      </c>
      <c r="V2026" s="17" t="n">
        <f aca="false">(B2026-AVERAGE(B2007:B2026))/STDEV(B2007:B2026)</f>
        <v>-0.833927794196673</v>
      </c>
    </row>
    <row r="2027" customFormat="false" ht="15" hidden="false" customHeight="false" outlineLevel="0" collapsed="false">
      <c r="A2027" s="17" t="s">
        <v>2591</v>
      </c>
      <c r="B2027" s="17" t="n">
        <v>19032.39</v>
      </c>
      <c r="C2027" s="19" t="n">
        <f aca="false">B2027/B2026-1</f>
        <v>-0.0365463994241266</v>
      </c>
      <c r="D2027" s="17" t="n">
        <f aca="false">AVERAGE(B1978:B2027)</f>
        <v>19406.5378</v>
      </c>
      <c r="E2027" s="17" t="n">
        <f aca="false">AVERAGE(B1828:B2027)</f>
        <v>17510.07835</v>
      </c>
      <c r="F2027" s="17" t="n">
        <f aca="false">B2027*2/13+F2026*11/13</f>
        <v>19804.0198845636</v>
      </c>
      <c r="G2027" s="17" t="n">
        <f aca="false">B2027*2/27+G2026*25/27</f>
        <v>19767.3910004146</v>
      </c>
      <c r="H2027" s="17" t="n">
        <f aca="false">F2027-G2027</f>
        <v>36.6288841489695</v>
      </c>
      <c r="I2027" s="17" t="n">
        <f aca="false">H2027*2/10+I2026*8/10</f>
        <v>199.294782343216</v>
      </c>
      <c r="J2027" s="17" t="n">
        <f aca="false">H2027-I2027</f>
        <v>-162.665898194246</v>
      </c>
      <c r="K2027" s="17" t="n">
        <f aca="false">MAX(B2027-B2026,0)</f>
        <v>0</v>
      </c>
      <c r="L2027" s="17" t="n">
        <f aca="false">MAX(B2026-B2027,0)</f>
        <v>721.950000000001</v>
      </c>
      <c r="M2027" s="17" t="n">
        <f aca="false">(M2026*13+K2027)/14</f>
        <v>74.4509540517272</v>
      </c>
      <c r="N2027" s="17" t="n">
        <f aca="false">(N2026*13+L2027)/14</f>
        <v>130.05525507586</v>
      </c>
      <c r="O2027" s="17" t="n">
        <f aca="false">IF(N2027=0,100,100-100/(1+M2027/N2027))</f>
        <v>36.4052291465041</v>
      </c>
      <c r="P2027" s="17" t="n">
        <f aca="false">AVERAGE(B2008:B2027)+2*STDEV(B2008:B2027)</f>
        <v>20819.7496388827</v>
      </c>
      <c r="Q2027" s="17" t="n">
        <f aca="false">AVERAGE(B2008:B2027)-2*STDEV(B2008:B2027)</f>
        <v>19196.0903611173</v>
      </c>
      <c r="R2027" s="19" t="n">
        <f aca="false">B2027/B2007-1</f>
        <v>-0.0339442458376754</v>
      </c>
      <c r="S2027" s="17" t="n">
        <f aca="false">STDEV(C2008:C2027)*SQRT(252)*100</f>
        <v>21.6585717783907</v>
      </c>
      <c r="T2027" s="19" t="n">
        <f aca="false">B2006/B1776-1</f>
        <v>0.251468053686617</v>
      </c>
      <c r="U2027" s="19" t="n">
        <f aca="false">B2027/MAX(B1776:B2027)-1</f>
        <v>-0.0794660122329071</v>
      </c>
      <c r="V2027" s="17" t="n">
        <f aca="false">(B2027-AVERAGE(B2008:B2027))/STDEV(B2008:B2027)</f>
        <v>-2.40328747135321</v>
      </c>
    </row>
    <row r="2028" customFormat="false" ht="15" hidden="false" customHeight="false" outlineLevel="0" collapsed="false">
      <c r="A2028" s="17" t="s">
        <v>2592</v>
      </c>
      <c r="B2028" s="17" t="n">
        <v>18830.58</v>
      </c>
      <c r="C2028" s="19" t="n">
        <f aca="false">B2028/B2027-1</f>
        <v>-0.0106035027655486</v>
      </c>
      <c r="D2028" s="17" t="n">
        <f aca="false">AVERAGE(B1979:B2028)</f>
        <v>19419.1772</v>
      </c>
      <c r="E2028" s="17" t="n">
        <f aca="false">AVERAGE(B1829:B2028)</f>
        <v>17529.36505</v>
      </c>
      <c r="F2028" s="17" t="n">
        <f aca="false">B2028*2/13+F2027*11/13</f>
        <v>19654.259902323</v>
      </c>
      <c r="G2028" s="17" t="n">
        <f aca="false">B2028*2/27+G2027*25/27</f>
        <v>19697.9975929765</v>
      </c>
      <c r="H2028" s="17" t="n">
        <f aca="false">F2028-G2028</f>
        <v>-43.7376906534664</v>
      </c>
      <c r="I2028" s="17" t="n">
        <f aca="false">H2028*2/10+I2027*8/10</f>
        <v>150.688287743879</v>
      </c>
      <c r="J2028" s="17" t="n">
        <f aca="false">H2028-I2028</f>
        <v>-194.425978397346</v>
      </c>
      <c r="K2028" s="17" t="n">
        <f aca="false">MAX(B2028-B2027,0)</f>
        <v>0</v>
      </c>
      <c r="L2028" s="17" t="n">
        <f aca="false">MAX(B2027-B2028,0)</f>
        <v>201.809999999998</v>
      </c>
      <c r="M2028" s="17" t="n">
        <f aca="false">(M2027*13+K2028)/14</f>
        <v>69.1330287623181</v>
      </c>
      <c r="N2028" s="17" t="n">
        <f aca="false">(N2027*13+L2028)/14</f>
        <v>135.180593999013</v>
      </c>
      <c r="O2028" s="17" t="n">
        <f aca="false">IF(N2028=0,100,100-100/(1+M2028/N2028))</f>
        <v>33.8367201501174</v>
      </c>
      <c r="P2028" s="17" t="n">
        <f aca="false">AVERAGE(B2009:B2028)+2*STDEV(B2009:B2028)</f>
        <v>20925.2627472213</v>
      </c>
      <c r="Q2028" s="17" t="n">
        <f aca="false">AVERAGE(B2009:B2028)-2*STDEV(B2009:B2028)</f>
        <v>18998.5302527787</v>
      </c>
      <c r="R2028" s="19" t="n">
        <f aca="false">B2028/B2008-1</f>
        <v>-0.0466035982897111</v>
      </c>
      <c r="S2028" s="17" t="n">
        <f aca="false">STDEV(C2009:C2028)*SQRT(252)*100</f>
        <v>21.8245315618557</v>
      </c>
      <c r="T2028" s="19" t="n">
        <f aca="false">B2007/B1777-1</f>
        <v>0.271101329998981</v>
      </c>
      <c r="U2028" s="19" t="n">
        <f aca="false">B2028/MAX(B1777:B2028)-1</f>
        <v>-0.0892268969179768</v>
      </c>
      <c r="V2028" s="17" t="n">
        <f aca="false">(B2028-AVERAGE(B2009:B2028))/STDEV(B2009:B2028)</f>
        <v>-2.34867373288844</v>
      </c>
    </row>
    <row r="2029" customFormat="false" ht="15" hidden="false" customHeight="false" outlineLevel="0" collapsed="false">
      <c r="A2029" s="17" t="s">
        <v>2593</v>
      </c>
      <c r="B2029" s="17" t="n">
        <v>19023.66</v>
      </c>
      <c r="C2029" s="19" t="n">
        <f aca="false">B2029/B2028-1</f>
        <v>0.0102535344105172</v>
      </c>
      <c r="D2029" s="17" t="n">
        <f aca="false">AVERAGE(B1980:B2029)</f>
        <v>19433.195</v>
      </c>
      <c r="E2029" s="17" t="n">
        <f aca="false">AVERAGE(B1830:B2029)</f>
        <v>17549.2476</v>
      </c>
      <c r="F2029" s="17" t="n">
        <f aca="false">B2029*2/13+F2028*11/13</f>
        <v>19557.2445327349</v>
      </c>
      <c r="G2029" s="17" t="n">
        <f aca="false">B2029*2/27+G2028*25/27</f>
        <v>19648.0466601634</v>
      </c>
      <c r="H2029" s="17" t="n">
        <f aca="false">F2029-G2029</f>
        <v>-90.8021274285529</v>
      </c>
      <c r="I2029" s="17" t="n">
        <f aca="false">H2029*2/10+I2028*8/10</f>
        <v>102.390204709393</v>
      </c>
      <c r="J2029" s="17" t="n">
        <f aca="false">H2029-I2029</f>
        <v>-193.192332137946</v>
      </c>
      <c r="K2029" s="17" t="n">
        <f aca="false">MAX(B2029-B2028,0)</f>
        <v>193.079999999998</v>
      </c>
      <c r="L2029" s="17" t="n">
        <f aca="false">MAX(B2028-B2029,0)</f>
        <v>0</v>
      </c>
      <c r="M2029" s="17" t="n">
        <f aca="false">(M2028*13+K2029)/14</f>
        <v>77.9863838507238</v>
      </c>
      <c r="N2029" s="17" t="n">
        <f aca="false">(N2028*13+L2029)/14</f>
        <v>125.524837284798</v>
      </c>
      <c r="O2029" s="17" t="n">
        <f aca="false">IF(N2029=0,100,100-100/(1+M2029/N2029))</f>
        <v>38.3204343306413</v>
      </c>
      <c r="P2029" s="17" t="n">
        <f aca="false">AVERAGE(B2010:B2029)+2*STDEV(B2010:B2029)</f>
        <v>20972.8853153998</v>
      </c>
      <c r="Q2029" s="17" t="n">
        <f aca="false">AVERAGE(B2010:B2029)-2*STDEV(B2010:B2029)</f>
        <v>18874.3706846002</v>
      </c>
      <c r="R2029" s="19" t="n">
        <f aca="false">B2029/B2009-1</f>
        <v>-0.0386764788370122</v>
      </c>
      <c r="S2029" s="17" t="n">
        <f aca="false">STDEV(C2010:C2029)*SQRT(252)*100</f>
        <v>22.2344239151008</v>
      </c>
      <c r="T2029" s="19" t="n">
        <f aca="false">B2008/B1778-1</f>
        <v>0.277150947336975</v>
      </c>
      <c r="U2029" s="19" t="n">
        <f aca="false">B2029/MAX(B1778:B2029)-1</f>
        <v>-0.0798882535653517</v>
      </c>
      <c r="V2029" s="17" t="n">
        <f aca="false">(B2029-AVERAGE(B2010:B2029))/STDEV(B2010:B2029)</f>
        <v>-1.71543812331122</v>
      </c>
    </row>
    <row r="2030" customFormat="false" ht="15" hidden="false" customHeight="false" outlineLevel="0" collapsed="false">
      <c r="A2030" s="17" t="s">
        <v>2594</v>
      </c>
      <c r="B2030" s="17" t="n">
        <v>19059.49</v>
      </c>
      <c r="C2030" s="19" t="n">
        <f aca="false">B2030/B2029-1</f>
        <v>0.00188344409014896</v>
      </c>
      <c r="D2030" s="17" t="n">
        <f aca="false">AVERAGE(B1981:B2030)</f>
        <v>19442.4518</v>
      </c>
      <c r="E2030" s="17" t="n">
        <f aca="false">AVERAGE(B1831:B2030)</f>
        <v>17568.88745</v>
      </c>
      <c r="F2030" s="17" t="n">
        <f aca="false">B2030*2/13+F2029*11/13</f>
        <v>19480.6669123141</v>
      </c>
      <c r="G2030" s="17" t="n">
        <f aca="false">B2030*2/27+G2029*25/27</f>
        <v>19604.4498705217</v>
      </c>
      <c r="H2030" s="17" t="n">
        <f aca="false">F2030-G2030</f>
        <v>-123.782958207572</v>
      </c>
      <c r="I2030" s="17" t="n">
        <f aca="false">H2030*2/10+I2029*8/10</f>
        <v>57.1555721259999</v>
      </c>
      <c r="J2030" s="17" t="n">
        <f aca="false">H2030-I2030</f>
        <v>-180.938530333572</v>
      </c>
      <c r="K2030" s="17" t="n">
        <f aca="false">MAX(B2030-B2029,0)</f>
        <v>35.8300000000017</v>
      </c>
      <c r="L2030" s="17" t="n">
        <f aca="false">MAX(B2029-B2030,0)</f>
        <v>0</v>
      </c>
      <c r="M2030" s="17" t="n">
        <f aca="false">(M2029*13+K2030)/14</f>
        <v>74.9752135756723</v>
      </c>
      <c r="N2030" s="17" t="n">
        <f aca="false">(N2029*13+L2030)/14</f>
        <v>116.558777478741</v>
      </c>
      <c r="O2030" s="17" t="n">
        <f aca="false">IF(N2030=0,100,100-100/(1+M2030/N2030))</f>
        <v>39.1445994326785</v>
      </c>
      <c r="P2030" s="17" t="n">
        <f aca="false">AVERAGE(B2011:B2030)+2*STDEV(B2011:B2030)</f>
        <v>21006.8442946455</v>
      </c>
      <c r="Q2030" s="17" t="n">
        <f aca="false">AVERAGE(B2011:B2030)-2*STDEV(B2011:B2030)</f>
        <v>18778.0737053545</v>
      </c>
      <c r="R2030" s="19" t="n">
        <f aca="false">B2030/B2010-1</f>
        <v>-0.0316711942922957</v>
      </c>
      <c r="S2030" s="17" t="n">
        <f aca="false">STDEV(C2011:C2030)*SQRT(252)*100</f>
        <v>22.2324414990187</v>
      </c>
      <c r="T2030" s="19" t="n">
        <f aca="false">B2009/B1779-1</f>
        <v>0.256372163421461</v>
      </c>
      <c r="U2030" s="19" t="n">
        <f aca="false">B2030/MAX(B1779:B2030)-1</f>
        <v>-0.0781552745342528</v>
      </c>
      <c r="V2030" s="17" t="n">
        <f aca="false">(B2030-AVERAGE(B2011:B2030))/STDEV(B2011:B2030)</f>
        <v>-1.49493896590763</v>
      </c>
    </row>
    <row r="2031" customFormat="false" ht="15" hidden="false" customHeight="false" outlineLevel="0" collapsed="false">
      <c r="A2031" s="17" t="s">
        <v>2595</v>
      </c>
      <c r="B2031" s="17" t="n">
        <v>18796.27</v>
      </c>
      <c r="C2031" s="19" t="n">
        <f aca="false">B2031/B2030-1</f>
        <v>-0.0138104429866697</v>
      </c>
      <c r="D2031" s="17" t="n">
        <f aca="false">AVERAGE(B1982:B2031)</f>
        <v>19447.218</v>
      </c>
      <c r="E2031" s="17" t="n">
        <f aca="false">AVERAGE(B1832:B2031)</f>
        <v>17586.6632</v>
      </c>
      <c r="F2031" s="17" t="n">
        <f aca="false">B2031*2/13+F2030*11/13</f>
        <v>19375.3750796504</v>
      </c>
      <c r="G2031" s="17" t="n">
        <f aca="false">B2031*2/27+G2030*25/27</f>
        <v>19544.5846949275</v>
      </c>
      <c r="H2031" s="17" t="n">
        <f aca="false">F2031-G2031</f>
        <v>-169.209615277083</v>
      </c>
      <c r="I2031" s="17" t="n">
        <f aca="false">H2031*2/10+I2030*8/10</f>
        <v>11.8825346453834</v>
      </c>
      <c r="J2031" s="17" t="n">
        <f aca="false">H2031-I2031</f>
        <v>-181.092149922466</v>
      </c>
      <c r="K2031" s="17" t="n">
        <f aca="false">MAX(B2031-B2030,0)</f>
        <v>0</v>
      </c>
      <c r="L2031" s="17" t="n">
        <f aca="false">MAX(B2030-B2031,0)</f>
        <v>263.220000000001</v>
      </c>
      <c r="M2031" s="17" t="n">
        <f aca="false">(M2030*13+K2031)/14</f>
        <v>69.61984117741</v>
      </c>
      <c r="N2031" s="17" t="n">
        <f aca="false">(N2030*13+L2031)/14</f>
        <v>127.034579087402</v>
      </c>
      <c r="O2031" s="17" t="n">
        <f aca="false">IF(N2031=0,100,100-100/(1+M2031/N2031))</f>
        <v>35.4021237273288</v>
      </c>
      <c r="P2031" s="17" t="n">
        <f aca="false">AVERAGE(B2012:B2031)+2*STDEV(B2012:B2031)</f>
        <v>21059.2858984739</v>
      </c>
      <c r="Q2031" s="17" t="n">
        <f aca="false">AVERAGE(B2012:B2031)-2*STDEV(B2012:B2031)</f>
        <v>18624.0371015261</v>
      </c>
      <c r="R2031" s="19" t="n">
        <f aca="false">B2031/B2011-1</f>
        <v>-0.0512789581379574</v>
      </c>
      <c r="S2031" s="17" t="n">
        <f aca="false">STDEV(C2012:C2031)*SQRT(252)*100</f>
        <v>22.4257002016122</v>
      </c>
      <c r="T2031" s="19" t="n">
        <f aca="false">B2010/B1780-1</f>
        <v>0.249150853588881</v>
      </c>
      <c r="U2031" s="19" t="n">
        <f aca="false">B2031/MAX(B1780:B2031)-1</f>
        <v>-0.0908863585578597</v>
      </c>
      <c r="V2031" s="17" t="n">
        <f aca="false">(B2031-AVERAGE(B2012:B2031))/STDEV(B2012:B2031)</f>
        <v>-1.71710011939679</v>
      </c>
    </row>
    <row r="2032" customFormat="false" ht="15" hidden="false" customHeight="false" outlineLevel="0" collapsed="false">
      <c r="A2032" s="17" t="s">
        <v>2596</v>
      </c>
      <c r="B2032" s="17" t="n">
        <v>19362.43</v>
      </c>
      <c r="C2032" s="19" t="n">
        <f aca="false">B2032/B2031-1</f>
        <v>0.0301208697257487</v>
      </c>
      <c r="D2032" s="17" t="n">
        <f aca="false">AVERAGE(B1983:B2032)</f>
        <v>19463.542</v>
      </c>
      <c r="E2032" s="17" t="n">
        <f aca="false">AVERAGE(B1833:B2032)</f>
        <v>17607.55485</v>
      </c>
      <c r="F2032" s="17" t="n">
        <f aca="false">B2032*2/13+F2031*11/13</f>
        <v>19373.383528935</v>
      </c>
      <c r="G2032" s="17" t="n">
        <f aca="false">B2032*2/27+G2031*25/27</f>
        <v>19531.0917545625</v>
      </c>
      <c r="H2032" s="17" t="n">
        <f aca="false">F2032-G2032</f>
        <v>-157.708225627532</v>
      </c>
      <c r="I2032" s="17" t="n">
        <f aca="false">H2032*2/10+I2031*8/10</f>
        <v>-22.0356174091996</v>
      </c>
      <c r="J2032" s="17" t="n">
        <f aca="false">H2032-I2032</f>
        <v>-135.672608218332</v>
      </c>
      <c r="K2032" s="17" t="n">
        <f aca="false">MAX(B2032-B2031,0)</f>
        <v>566.16</v>
      </c>
      <c r="L2032" s="17" t="n">
        <f aca="false">MAX(B2031-B2032,0)</f>
        <v>0</v>
      </c>
      <c r="M2032" s="17" t="n">
        <f aca="false">(M2031*13+K2032)/14</f>
        <v>105.086995379024</v>
      </c>
      <c r="N2032" s="17" t="n">
        <f aca="false">(N2031*13+L2032)/14</f>
        <v>117.960680581159</v>
      </c>
      <c r="O2032" s="17" t="n">
        <f aca="false">IF(N2032=0,100,100-100/(1+M2032/N2032))</f>
        <v>47.1141404754126</v>
      </c>
      <c r="P2032" s="17" t="n">
        <f aca="false">AVERAGE(B2013:B2032)+2*STDEV(B2013:B2032)</f>
        <v>21042.2410885106</v>
      </c>
      <c r="Q2032" s="17" t="n">
        <f aca="false">AVERAGE(B2013:B2032)-2*STDEV(B2013:B2032)</f>
        <v>18576.1359114894</v>
      </c>
      <c r="R2032" s="19" t="n">
        <f aca="false">B2032/B2012-1</f>
        <v>-0.0324537062716215</v>
      </c>
      <c r="S2032" s="17" t="n">
        <f aca="false">STDEV(C2013:C2032)*SQRT(252)*100</f>
        <v>24.91132384779</v>
      </c>
      <c r="T2032" s="19" t="n">
        <f aca="false">B2011/B1781-1</f>
        <v>0.260478902863658</v>
      </c>
      <c r="U2032" s="19" t="n">
        <f aca="false">B2032/MAX(B1781:B2032)-1</f>
        <v>-0.0635030649980799</v>
      </c>
      <c r="V2032" s="17" t="n">
        <f aca="false">(B2032-AVERAGE(B2013:B2032))/STDEV(B2013:B2032)</f>
        <v>-0.724638193314442</v>
      </c>
    </row>
    <row r="2033" customFormat="false" ht="15" hidden="false" customHeight="false" outlineLevel="0" collapsed="false">
      <c r="A2033" s="17" t="s">
        <v>2597</v>
      </c>
      <c r="B2033" s="17" t="n">
        <v>18890.39</v>
      </c>
      <c r="C2033" s="19" t="n">
        <f aca="false">B2033/B2032-1</f>
        <v>-0.0243791714159846</v>
      </c>
      <c r="D2033" s="17" t="n">
        <f aca="false">AVERAGE(B1984:B2033)</f>
        <v>19467.866</v>
      </c>
      <c r="E2033" s="17" t="n">
        <f aca="false">AVERAGE(B1834:B2033)</f>
        <v>17627.0312</v>
      </c>
      <c r="F2033" s="17" t="n">
        <f aca="false">B2033*2/13+F2032*11/13</f>
        <v>19299.0768321757</v>
      </c>
      <c r="G2033" s="17" t="n">
        <f aca="false">B2033*2/27+G2032*25/27</f>
        <v>19483.6323653357</v>
      </c>
      <c r="H2033" s="17" t="n">
        <f aca="false">F2033-G2033</f>
        <v>-184.55553315991</v>
      </c>
      <c r="I2033" s="17" t="n">
        <f aca="false">H2033*2/10+I2032*8/10</f>
        <v>-54.5396005593417</v>
      </c>
      <c r="J2033" s="17" t="n">
        <f aca="false">H2033-I2033</f>
        <v>-130.015932600568</v>
      </c>
      <c r="K2033" s="17" t="n">
        <f aca="false">MAX(B2033-B2032,0)</f>
        <v>0</v>
      </c>
      <c r="L2033" s="17" t="n">
        <f aca="false">MAX(B2032-B2033,0)</f>
        <v>472.040000000001</v>
      </c>
      <c r="M2033" s="17" t="n">
        <f aca="false">(M2032*13+K2033)/14</f>
        <v>97.580781423379</v>
      </c>
      <c r="N2033" s="17" t="n">
        <f aca="false">(N2032*13+L2033)/14</f>
        <v>143.252060539648</v>
      </c>
      <c r="O2033" s="17" t="n">
        <f aca="false">IF(N2033=0,100,100-100/(1+M2033/N2033))</f>
        <v>40.5180541939374</v>
      </c>
      <c r="P2033" s="17" t="n">
        <f aca="false">AVERAGE(B2014:B2033)+2*STDEV(B2014:B2033)</f>
        <v>21029.080475688</v>
      </c>
      <c r="Q2033" s="17" t="n">
        <f aca="false">AVERAGE(B2014:B2033)-2*STDEV(B2014:B2033)</f>
        <v>18459.6725243121</v>
      </c>
      <c r="R2033" s="19" t="n">
        <f aca="false">B2033/B2013-1</f>
        <v>-0.0642127982729164</v>
      </c>
      <c r="S2033" s="17" t="n">
        <f aca="false">STDEV(C2014:C2033)*SQRT(252)*100</f>
        <v>25.8568649996118</v>
      </c>
      <c r="T2033" s="19" t="n">
        <f aca="false">B2012/B1782-1</f>
        <v>0.301947076067906</v>
      </c>
      <c r="U2033" s="19" t="n">
        <f aca="false">B2033/MAX(B1782:B2033)-1</f>
        <v>-0.0863340843070358</v>
      </c>
      <c r="V2033" s="17" t="n">
        <f aca="false">(B2033-AVERAGE(B2014:B2033))/STDEV(B2014:B2033)</f>
        <v>-1.32946813610147</v>
      </c>
    </row>
    <row r="2034" customFormat="false" ht="15" hidden="false" customHeight="false" outlineLevel="0" collapsed="false">
      <c r="A2034" s="17" t="s">
        <v>2598</v>
      </c>
      <c r="B2034" s="17" t="n">
        <v>18440.85</v>
      </c>
      <c r="C2034" s="19" t="n">
        <f aca="false">B2034/B2033-1</f>
        <v>-0.0237972852863282</v>
      </c>
      <c r="D2034" s="17" t="n">
        <f aca="false">AVERAGE(B1985:B2034)</f>
        <v>19462.407</v>
      </c>
      <c r="E2034" s="17" t="n">
        <f aca="false">AVERAGE(B1835:B2034)</f>
        <v>17643.3718</v>
      </c>
      <c r="F2034" s="17" t="n">
        <f aca="false">B2034*2/13+F2033*11/13</f>
        <v>19167.0419349179</v>
      </c>
      <c r="G2034" s="17" t="n">
        <f aca="false">B2034*2/27+G2033*25/27</f>
        <v>19406.3892271626</v>
      </c>
      <c r="H2034" s="17" t="n">
        <f aca="false">F2034-G2034</f>
        <v>-239.347292244704</v>
      </c>
      <c r="I2034" s="17" t="n">
        <f aca="false">H2034*2/10+I2033*8/10</f>
        <v>-91.5011388964141</v>
      </c>
      <c r="J2034" s="17" t="n">
        <f aca="false">H2034-I2034</f>
        <v>-147.84615334829</v>
      </c>
      <c r="K2034" s="17" t="n">
        <f aca="false">MAX(B2034-B2033,0)</f>
        <v>0</v>
      </c>
      <c r="L2034" s="17" t="n">
        <f aca="false">MAX(B2033-B2034,0)</f>
        <v>449.540000000001</v>
      </c>
      <c r="M2034" s="17" t="n">
        <f aca="false">(M2033*13+K2034)/14</f>
        <v>90.6107256074233</v>
      </c>
      <c r="N2034" s="17" t="n">
        <f aca="false">(N2033*13+L2034)/14</f>
        <v>165.129770501102</v>
      </c>
      <c r="O2034" s="17" t="n">
        <f aca="false">IF(N2034=0,100,100-100/(1+M2034/N2034))</f>
        <v>35.4307303638655</v>
      </c>
      <c r="P2034" s="17" t="n">
        <f aca="false">AVERAGE(B2015:B2034)+2*STDEV(B2015:B2034)</f>
        <v>21017.8873901257</v>
      </c>
      <c r="Q2034" s="17" t="n">
        <f aca="false">AVERAGE(B2015:B2034)-2*STDEV(B2015:B2034)</f>
        <v>18275.7536098743</v>
      </c>
      <c r="R2034" s="19" t="n">
        <f aca="false">B2034/B2014-1</f>
        <v>-0.0956807998442526</v>
      </c>
      <c r="S2034" s="17" t="n">
        <f aca="false">STDEV(C2015:C2034)*SQRT(252)*100</f>
        <v>26.3363526831135</v>
      </c>
      <c r="T2034" s="19" t="n">
        <f aca="false">B2013/B1783-1</f>
        <v>0.314786687630344</v>
      </c>
      <c r="U2034" s="19" t="n">
        <f aca="false">B2034/MAX(B1783:B2034)-1</f>
        <v>-0.108076852759176</v>
      </c>
      <c r="V2034" s="17" t="n">
        <f aca="false">(B2034-AVERAGE(B2015:B2034))/STDEV(B2015:B2034)</f>
        <v>-1.75917091818831</v>
      </c>
    </row>
    <row r="2035" customFormat="false" ht="15" hidden="false" customHeight="false" outlineLevel="0" collapsed="false">
      <c r="A2035" s="17" t="s">
        <v>2599</v>
      </c>
      <c r="B2035" s="17" t="n">
        <v>17895.16</v>
      </c>
      <c r="C2035" s="19" t="n">
        <f aca="false">B2035/B2034-1</f>
        <v>-0.0295913691613997</v>
      </c>
      <c r="D2035" s="17" t="n">
        <f aca="false">AVERAGE(B1986:B2035)</f>
        <v>19446.2062</v>
      </c>
      <c r="E2035" s="17" t="n">
        <f aca="false">AVERAGE(B1836:B2035)</f>
        <v>17657.23755</v>
      </c>
      <c r="F2035" s="17" t="n">
        <f aca="false">B2035*2/13+F2034*11/13</f>
        <v>18971.3677910844</v>
      </c>
      <c r="G2035" s="17" t="n">
        <f aca="false">B2035*2/27+G2034*25/27</f>
        <v>19294.4463214469</v>
      </c>
      <c r="H2035" s="17" t="n">
        <f aca="false">F2035-G2035</f>
        <v>-323.07853036248</v>
      </c>
      <c r="I2035" s="17" t="n">
        <f aca="false">H2035*2/10+I2034*8/10</f>
        <v>-137.816617189627</v>
      </c>
      <c r="J2035" s="17" t="n">
        <f aca="false">H2035-I2035</f>
        <v>-185.261913172853</v>
      </c>
      <c r="K2035" s="17" t="n">
        <f aca="false">MAX(B2035-B2034,0)</f>
        <v>0</v>
      </c>
      <c r="L2035" s="17" t="n">
        <f aca="false">MAX(B2034-B2035,0)</f>
        <v>545.689999999999</v>
      </c>
      <c r="M2035" s="17" t="n">
        <f aca="false">(M2034*13+K2035)/14</f>
        <v>84.1385309211788</v>
      </c>
      <c r="N2035" s="17" t="n">
        <f aca="false">(N2034*13+L2035)/14</f>
        <v>192.312644036737</v>
      </c>
      <c r="O2035" s="17" t="n">
        <f aca="false">IF(N2035=0,100,100-100/(1+M2035/N2035))</f>
        <v>30.4352227600361</v>
      </c>
      <c r="P2035" s="17" t="n">
        <f aca="false">AVERAGE(B2016:B2035)+2*STDEV(B2016:B2035)</f>
        <v>21044.5092835142</v>
      </c>
      <c r="Q2035" s="17" t="n">
        <f aca="false">AVERAGE(B2016:B2035)-2*STDEV(B2016:B2035)</f>
        <v>17994.6937164858</v>
      </c>
      <c r="R2035" s="19" t="n">
        <f aca="false">B2035/B2015-1</f>
        <v>-0.124483232010114</v>
      </c>
      <c r="S2035" s="17" t="n">
        <f aca="false">STDEV(C2016:C2035)*SQRT(252)*100</f>
        <v>27.5843861610063</v>
      </c>
      <c r="T2035" s="19" t="n">
        <f aca="false">B2014/B1784-1</f>
        <v>0.334996844500659</v>
      </c>
      <c r="U2035" s="19" t="n">
        <f aca="false">B2035/MAX(B1784:B2035)-1</f>
        <v>-0.134470079872776</v>
      </c>
      <c r="V2035" s="17" t="n">
        <f aca="false">(B2035-AVERAGE(B2016:B2035))/STDEV(B2016:B2035)</f>
        <v>-2.13054391558872</v>
      </c>
    </row>
    <row r="2036" customFormat="false" ht="15" hidden="false" customHeight="false" outlineLevel="0" collapsed="false">
      <c r="A2036" s="17" t="s">
        <v>2600</v>
      </c>
      <c r="B2036" s="17" t="n">
        <v>18077.92</v>
      </c>
      <c r="C2036" s="19" t="n">
        <f aca="false">B2036/B2035-1</f>
        <v>0.0102128173204374</v>
      </c>
      <c r="D2036" s="17" t="n">
        <f aca="false">AVERAGE(B1987:B2036)</f>
        <v>19435.2968</v>
      </c>
      <c r="E2036" s="17" t="n">
        <f aca="false">AVERAGE(B1837:B2036)</f>
        <v>17673.08085</v>
      </c>
      <c r="F2036" s="17" t="n">
        <f aca="false">B2036*2/13+F2035*11/13</f>
        <v>18833.9142847637</v>
      </c>
      <c r="G2036" s="17" t="n">
        <f aca="false">B2036*2/27+G2035*25/27</f>
        <v>19204.333260599</v>
      </c>
      <c r="H2036" s="17" t="n">
        <f aca="false">F2036-G2036</f>
        <v>-370.41897583524</v>
      </c>
      <c r="I2036" s="17" t="n">
        <f aca="false">H2036*2/10+I2035*8/10</f>
        <v>-184.33708891875</v>
      </c>
      <c r="J2036" s="17" t="n">
        <f aca="false">H2036-I2036</f>
        <v>-186.081886916491</v>
      </c>
      <c r="K2036" s="17" t="n">
        <f aca="false">MAX(B2036-B2035,0)</f>
        <v>182.759999999998</v>
      </c>
      <c r="L2036" s="17" t="n">
        <f aca="false">MAX(B2035-B2036,0)</f>
        <v>0</v>
      </c>
      <c r="M2036" s="17" t="n">
        <f aca="false">(M2035*13+K2036)/14</f>
        <v>91.1829215696659</v>
      </c>
      <c r="N2036" s="17" t="n">
        <f aca="false">(N2035*13+L2036)/14</f>
        <v>178.576026605542</v>
      </c>
      <c r="O2036" s="17" t="n">
        <f aca="false">IF(N2036=0,100,100-100/(1+M2036/N2036))</f>
        <v>33.8016300057794</v>
      </c>
      <c r="P2036" s="17" t="n">
        <f aca="false">AVERAGE(B2017:B2036)+2*STDEV(B2017:B2036)</f>
        <v>20988.3306568943</v>
      </c>
      <c r="Q2036" s="17" t="n">
        <f aca="false">AVERAGE(B2017:B2036)-2*STDEV(B2017:B2036)</f>
        <v>17813.3623431057</v>
      </c>
      <c r="R2036" s="19" t="n">
        <f aca="false">B2036/B2016-1</f>
        <v>-0.116124660319112</v>
      </c>
      <c r="S2036" s="17" t="n">
        <f aca="false">STDEV(C2017:C2036)*SQRT(252)*100</f>
        <v>28.11569277103</v>
      </c>
      <c r="T2036" s="19" t="n">
        <f aca="false">B2015/B1785-1</f>
        <v>0.326566652712741</v>
      </c>
      <c r="U2036" s="19" t="n">
        <f aca="false">B2036/MAX(B1785:B2036)-1</f>
        <v>-0.125630580913144</v>
      </c>
      <c r="V2036" s="17" t="n">
        <f aca="false">(B2036-AVERAGE(B2017:B2036))/STDEV(B2017:B2036)</f>
        <v>-1.66669568858955</v>
      </c>
    </row>
    <row r="2037" customFormat="false" ht="15" hidden="false" customHeight="false" outlineLevel="0" collapsed="false">
      <c r="A2037" s="17" t="s">
        <v>2601</v>
      </c>
      <c r="B2037" s="17" t="n">
        <v>17867.37</v>
      </c>
      <c r="C2037" s="19" t="n">
        <f aca="false">B2037/B2036-1</f>
        <v>-0.0116468044996326</v>
      </c>
      <c r="D2037" s="17" t="n">
        <f aca="false">AVERAGE(B1988:B2037)</f>
        <v>19416.4772</v>
      </c>
      <c r="E2037" s="17" t="n">
        <f aca="false">AVERAGE(B1838:B2037)</f>
        <v>17688.50205</v>
      </c>
      <c r="F2037" s="17" t="n">
        <f aca="false">B2037*2/13+F2036*11/13</f>
        <v>18685.2151640308</v>
      </c>
      <c r="G2037" s="17" t="n">
        <f aca="false">B2037*2/27+G2036*25/27</f>
        <v>19105.298944999</v>
      </c>
      <c r="H2037" s="17" t="n">
        <f aca="false">F2037-G2037</f>
        <v>-420.083780968202</v>
      </c>
      <c r="I2037" s="17" t="n">
        <f aca="false">H2037*2/10+I2036*8/10</f>
        <v>-231.48642732864</v>
      </c>
      <c r="J2037" s="17" t="n">
        <f aca="false">H2037-I2037</f>
        <v>-188.597353639561</v>
      </c>
      <c r="K2037" s="17" t="n">
        <f aca="false">MAX(B2037-B2036,0)</f>
        <v>0</v>
      </c>
      <c r="L2037" s="17" t="n">
        <f aca="false">MAX(B2036-B2037,0)</f>
        <v>210.549999999999</v>
      </c>
      <c r="M2037" s="17" t="n">
        <f aca="false">(M2036*13+K2037)/14</f>
        <v>84.6698557432612</v>
      </c>
      <c r="N2037" s="17" t="n">
        <f aca="false">(N2036*13+L2037)/14</f>
        <v>180.859881848003</v>
      </c>
      <c r="O2037" s="17" t="n">
        <f aca="false">IF(N2037=0,100,100-100/(1+M2037/N2037))</f>
        <v>31.8871462425785</v>
      </c>
      <c r="P2037" s="17" t="n">
        <f aca="false">AVERAGE(B2018:B2037)+2*STDEV(B2018:B2037)</f>
        <v>20869.8507137655</v>
      </c>
      <c r="Q2037" s="17" t="n">
        <f aca="false">AVERAGE(B2018:B2037)-2*STDEV(B2018:B2037)</f>
        <v>17651.0412862345</v>
      </c>
      <c r="R2037" s="19" t="n">
        <f aca="false">B2037/B2017-1</f>
        <v>-0.135814190597706</v>
      </c>
      <c r="S2037" s="17" t="n">
        <f aca="false">STDEV(C2018:C2037)*SQRT(252)*100</f>
        <v>27.4515205862521</v>
      </c>
      <c r="T2037" s="19" t="n">
        <f aca="false">B2016/B1786-1</f>
        <v>0.339157535659217</v>
      </c>
      <c r="U2037" s="19" t="n">
        <f aca="false">B2037/MAX(B1786:B2037)-1</f>
        <v>-0.135814190597706</v>
      </c>
      <c r="V2037" s="17" t="n">
        <f aca="false">(B2037-AVERAGE(B2018:B2037))/STDEV(B2018:B2037)</f>
        <v>-1.73116928027465</v>
      </c>
    </row>
    <row r="2038" customFormat="false" ht="15" hidden="false" customHeight="false" outlineLevel="0" collapsed="false">
      <c r="A2038" s="17" t="s">
        <v>2602</v>
      </c>
      <c r="B2038" s="17" t="n">
        <v>18413.82</v>
      </c>
      <c r="C2038" s="19" t="n">
        <f aca="false">B2038/B2037-1</f>
        <v>0.0305836841124352</v>
      </c>
      <c r="D2038" s="17" t="n">
        <f aca="false">AVERAGE(B1989:B2038)</f>
        <v>19407.3648</v>
      </c>
      <c r="E2038" s="17" t="n">
        <f aca="false">AVERAGE(B1839:B2038)</f>
        <v>17707.76675</v>
      </c>
      <c r="F2038" s="17" t="n">
        <f aca="false">B2038*2/13+F2037*11/13</f>
        <v>18643.4620618723</v>
      </c>
      <c r="G2038" s="17" t="n">
        <f aca="false">B2038*2/27+G2037*25/27</f>
        <v>19054.0782824065</v>
      </c>
      <c r="H2038" s="17" t="n">
        <f aca="false">F2038-G2038</f>
        <v>-410.616220534273</v>
      </c>
      <c r="I2038" s="17" t="n">
        <f aca="false">H2038*2/10+I2037*8/10</f>
        <v>-267.312385969767</v>
      </c>
      <c r="J2038" s="17" t="n">
        <f aca="false">H2038-I2038</f>
        <v>-143.303834564507</v>
      </c>
      <c r="K2038" s="17" t="n">
        <f aca="false">MAX(B2038-B2037,0)</f>
        <v>546.450000000001</v>
      </c>
      <c r="L2038" s="17" t="n">
        <f aca="false">MAX(B2037-B2038,0)</f>
        <v>0</v>
      </c>
      <c r="M2038" s="17" t="n">
        <f aca="false">(M2037*13+K2038)/14</f>
        <v>117.6541517616</v>
      </c>
      <c r="N2038" s="17" t="n">
        <f aca="false">(N2037*13+L2038)/14</f>
        <v>167.94131885886</v>
      </c>
      <c r="O2038" s="17" t="n">
        <f aca="false">IF(N2038=0,100,100-100/(1+M2038/N2038))</f>
        <v>41.1960846248698</v>
      </c>
      <c r="P2038" s="17" t="n">
        <f aca="false">AVERAGE(B2019:B2038)+2*STDEV(B2019:B2038)</f>
        <v>20756.9818636432</v>
      </c>
      <c r="Q2038" s="17" t="n">
        <f aca="false">AVERAGE(B2019:B2038)-2*STDEV(B2019:B2038)</f>
        <v>17584.1561363568</v>
      </c>
      <c r="R2038" s="19" t="n">
        <f aca="false">B2038/B2018-1</f>
        <v>-0.0889371125941055</v>
      </c>
      <c r="S2038" s="17" t="n">
        <f aca="false">STDEV(C2019:C2038)*SQRT(252)*100</f>
        <v>29.8742109851512</v>
      </c>
      <c r="T2038" s="19" t="n">
        <f aca="false">B2017/B1787-1</f>
        <v>0.369075422584595</v>
      </c>
      <c r="U2038" s="19" t="n">
        <f aca="false">B2038/MAX(B1787:B2038)-1</f>
        <v>-0.109384204788497</v>
      </c>
      <c r="V2038" s="17" t="n">
        <f aca="false">(B2038-AVERAGE(B2019:B2038))/STDEV(B2019:B2038)</f>
        <v>-0.954037901914287</v>
      </c>
    </row>
    <row r="2039" customFormat="false" ht="15" hidden="false" customHeight="false" outlineLevel="0" collapsed="false">
      <c r="A2039" s="17" t="s">
        <v>2603</v>
      </c>
      <c r="B2039" s="17" t="n">
        <v>18513.1</v>
      </c>
      <c r="C2039" s="19" t="n">
        <f aca="false">B2039/B2038-1</f>
        <v>0.00539160261151683</v>
      </c>
      <c r="D2039" s="17" t="n">
        <f aca="false">AVERAGE(B1990:B2039)</f>
        <v>19402.8918</v>
      </c>
      <c r="E2039" s="17" t="n">
        <f aca="false">AVERAGE(B1840:B2039)</f>
        <v>17727.308</v>
      </c>
      <c r="F2039" s="17" t="n">
        <f aca="false">B2039*2/13+F2038*11/13</f>
        <v>18623.4063600458</v>
      </c>
      <c r="G2039" s="17" t="n">
        <f aca="false">B2039*2/27+G2038*25/27</f>
        <v>19014.0058170431</v>
      </c>
      <c r="H2039" s="17" t="n">
        <f aca="false">F2039-G2039</f>
        <v>-390.599456997326</v>
      </c>
      <c r="I2039" s="17" t="n">
        <f aca="false">H2039*2/10+I2038*8/10</f>
        <v>-291.969800175279</v>
      </c>
      <c r="J2039" s="17" t="n">
        <f aca="false">H2039-I2039</f>
        <v>-98.6296568220477</v>
      </c>
      <c r="K2039" s="17" t="n">
        <f aca="false">MAX(B2039-B2038,0)</f>
        <v>99.2799999999988</v>
      </c>
      <c r="L2039" s="17" t="n">
        <f aca="false">MAX(B2038-B2039,0)</f>
        <v>0</v>
      </c>
      <c r="M2039" s="17" t="n">
        <f aca="false">(M2038*13+K2039)/14</f>
        <v>116.341712350057</v>
      </c>
      <c r="N2039" s="17" t="n">
        <f aca="false">(N2038*13+L2039)/14</f>
        <v>155.945510368941</v>
      </c>
      <c r="O2039" s="17" t="n">
        <f aca="false">IF(N2039=0,100,100-100/(1+M2039/N2039))</f>
        <v>42.727569508512</v>
      </c>
      <c r="P2039" s="17" t="n">
        <f aca="false">AVERAGE(B2020:B2039)+2*STDEV(B2020:B2039)</f>
        <v>20592.6495336936</v>
      </c>
      <c r="Q2039" s="17" t="n">
        <f aca="false">AVERAGE(B2020:B2039)-2*STDEV(B2020:B2039)</f>
        <v>17566.6494663064</v>
      </c>
      <c r="R2039" s="19" t="n">
        <f aca="false">B2039/B2019-1</f>
        <v>-0.0894371243819319</v>
      </c>
      <c r="S2039" s="17" t="n">
        <f aca="false">STDEV(C2020:C2039)*SQRT(252)*100</f>
        <v>29.8492999501407</v>
      </c>
      <c r="T2039" s="19" t="n">
        <f aca="false">B2018/B1788-1</f>
        <v>0.335949087967088</v>
      </c>
      <c r="U2039" s="19" t="n">
        <f aca="false">B2039/MAX(B1788:B2039)-1</f>
        <v>-0.104582358341177</v>
      </c>
      <c r="V2039" s="17" t="n">
        <f aca="false">(B2039-AVERAGE(B2020:B2039))/STDEV(B2020:B2039)</f>
        <v>-0.748908773804737</v>
      </c>
    </row>
    <row r="2040" customFormat="false" ht="15" hidden="false" customHeight="false" outlineLevel="0" collapsed="false">
      <c r="A2040" s="17" t="s">
        <v>2604</v>
      </c>
      <c r="B2040" s="17" t="n">
        <v>18542.03</v>
      </c>
      <c r="C2040" s="19" t="n">
        <f aca="false">B2040/B2039-1</f>
        <v>0.00156267723936021</v>
      </c>
      <c r="D2040" s="17" t="n">
        <f aca="false">AVERAGE(B1991:B2040)</f>
        <v>19402.9592</v>
      </c>
      <c r="E2040" s="17" t="n">
        <f aca="false">AVERAGE(B1841:B2040)</f>
        <v>17746.28885</v>
      </c>
      <c r="F2040" s="17" t="n">
        <f aca="false">B2040*2/13+F2039*11/13</f>
        <v>18610.8869200387</v>
      </c>
      <c r="G2040" s="17" t="n">
        <f aca="false">B2040*2/27+G2039*25/27</f>
        <v>18979.0446454103</v>
      </c>
      <c r="H2040" s="17" t="n">
        <f aca="false">F2040-G2040</f>
        <v>-368.157725371544</v>
      </c>
      <c r="I2040" s="17" t="n">
        <f aca="false">H2040*2/10+I2039*8/10</f>
        <v>-307.207385214532</v>
      </c>
      <c r="J2040" s="17" t="n">
        <f aca="false">H2040-I2040</f>
        <v>-60.9503401570123</v>
      </c>
      <c r="K2040" s="17" t="n">
        <f aca="false">MAX(B2040-B2039,0)</f>
        <v>28.9300000000003</v>
      </c>
      <c r="L2040" s="17" t="n">
        <f aca="false">MAX(B2039-B2040,0)</f>
        <v>0</v>
      </c>
      <c r="M2040" s="17" t="n">
        <f aca="false">(M2039*13+K2040)/14</f>
        <v>110.098018610767</v>
      </c>
      <c r="N2040" s="17" t="n">
        <f aca="false">(N2039*13+L2040)/14</f>
        <v>144.806545342588</v>
      </c>
      <c r="O2040" s="17" t="n">
        <f aca="false">IF(N2040=0,100,100-100/(1+M2040/N2040))</f>
        <v>43.1918585149043</v>
      </c>
      <c r="P2040" s="17" t="n">
        <f aca="false">AVERAGE(B2021:B2040)+2*STDEV(B2021:B2040)</f>
        <v>20385.4178278189</v>
      </c>
      <c r="Q2040" s="17" t="n">
        <f aca="false">AVERAGE(B2021:B2040)-2*STDEV(B2021:B2040)</f>
        <v>17589.3961721811</v>
      </c>
      <c r="R2040" s="19" t="n">
        <f aca="false">B2040/B2020-1</f>
        <v>-0.0904920223202375</v>
      </c>
      <c r="S2040" s="17" t="n">
        <f aca="false">STDEV(C2021:C2040)*SQRT(252)*100</f>
        <v>29.8148110815545</v>
      </c>
      <c r="T2040" s="19" t="n">
        <f aca="false">B2019/B1789-1</f>
        <v>0.352900938044606</v>
      </c>
      <c r="U2040" s="19" t="n">
        <f aca="false">B2040/MAX(B1789:B2040)-1</f>
        <v>-0.103183109572835</v>
      </c>
      <c r="V2040" s="17" t="n">
        <f aca="false">(B2040-AVERAGE(B2021:B2040))/STDEV(B2021:B2040)</f>
        <v>-0.637158155198048</v>
      </c>
    </row>
    <row r="2041" customFormat="false" ht="15" hidden="false" customHeight="false" outlineLevel="0" collapsed="false">
      <c r="A2041" s="17" t="s">
        <v>2605</v>
      </c>
      <c r="B2041" s="17" t="n">
        <v>19006.43</v>
      </c>
      <c r="C2041" s="19" t="n">
        <f aca="false">B2041/B2040-1</f>
        <v>0.0250458013496906</v>
      </c>
      <c r="D2041" s="17" t="n">
        <f aca="false">AVERAGE(B1992:B2041)</f>
        <v>19412.3548</v>
      </c>
      <c r="E2041" s="17" t="n">
        <f aca="false">AVERAGE(B1842:B2041)</f>
        <v>17769.4128</v>
      </c>
      <c r="F2041" s="17" t="n">
        <f aca="false">B2041*2/13+F2040*11/13</f>
        <v>18671.7397015712</v>
      </c>
      <c r="G2041" s="17" t="n">
        <f aca="false">B2041*2/27+G2040*25/27</f>
        <v>18981.0731901947</v>
      </c>
      <c r="H2041" s="17" t="n">
        <f aca="false">F2041-G2041</f>
        <v>-309.333488623463</v>
      </c>
      <c r="I2041" s="17" t="n">
        <f aca="false">H2041*2/10+I2040*8/10</f>
        <v>-307.632605896318</v>
      </c>
      <c r="J2041" s="17" t="n">
        <f aca="false">H2041-I2041</f>
        <v>-1.70088272714457</v>
      </c>
      <c r="K2041" s="17" t="n">
        <f aca="false">MAX(B2041-B2040,0)</f>
        <v>464.400000000001</v>
      </c>
      <c r="L2041" s="17" t="n">
        <f aca="false">MAX(B2040-B2041,0)</f>
        <v>0</v>
      </c>
      <c r="M2041" s="17" t="n">
        <f aca="false">(M2040*13+K2041)/14</f>
        <v>135.405302995712</v>
      </c>
      <c r="N2041" s="17" t="n">
        <f aca="false">(N2040*13+L2041)/14</f>
        <v>134.463220675261</v>
      </c>
      <c r="O2041" s="17" t="n">
        <f aca="false">IF(N2041=0,100,100-100/(1+M2041/N2041))</f>
        <v>50.1745446833956</v>
      </c>
      <c r="P2041" s="17" t="n">
        <f aca="false">AVERAGE(B2022:B2041)+2*STDEV(B2022:B2041)</f>
        <v>20148.5861131022</v>
      </c>
      <c r="Q2041" s="17" t="n">
        <f aca="false">AVERAGE(B2022:B2041)-2*STDEV(B2022:B2041)</f>
        <v>17687.0088868978</v>
      </c>
      <c r="R2041" s="19" t="n">
        <f aca="false">B2041/B2021-1</f>
        <v>-0.0682492247024553</v>
      </c>
      <c r="S2041" s="17" t="n">
        <f aca="false">STDEV(C2022:C2041)*SQRT(252)*100</f>
        <v>31.5868218328108</v>
      </c>
      <c r="T2041" s="19" t="n">
        <f aca="false">B2020/B1790-1</f>
        <v>0.340749027166983</v>
      </c>
      <c r="U2041" s="19" t="n">
        <f aca="false">B2041/MAX(B1790:B2041)-1</f>
        <v>-0.0807216118881491</v>
      </c>
      <c r="V2041" s="17" t="n">
        <f aca="false">(B2041-AVERAGE(B2022:B2041))/STDEV(B2022:B2041)</f>
        <v>0.144025544364762</v>
      </c>
    </row>
    <row r="2042" customFormat="false" ht="15" hidden="false" customHeight="false" outlineLevel="0" collapsed="false">
      <c r="A2042" s="17" t="s">
        <v>2606</v>
      </c>
      <c r="B2042" s="17" t="n">
        <v>19022.68</v>
      </c>
      <c r="C2042" s="19" t="n">
        <f aca="false">B2042/B2041-1</f>
        <v>0.000854973816755589</v>
      </c>
      <c r="D2042" s="17" t="n">
        <f aca="false">AVERAGE(B1993:B2042)</f>
        <v>19420.789</v>
      </c>
      <c r="E2042" s="17" t="n">
        <f aca="false">AVERAGE(B1843:B2042)</f>
        <v>17793.97835</v>
      </c>
      <c r="F2042" s="17" t="n">
        <f aca="false">B2042*2/13+F2041*11/13</f>
        <v>18725.7305167141</v>
      </c>
      <c r="G2042" s="17" t="n">
        <f aca="false">B2042*2/27+G2041*25/27</f>
        <v>18984.1551761062</v>
      </c>
      <c r="H2042" s="17" t="n">
        <f aca="false">F2042-G2042</f>
        <v>-258.42465939208</v>
      </c>
      <c r="I2042" s="17" t="n">
        <f aca="false">H2042*2/10+I2041*8/10</f>
        <v>-297.79101659547</v>
      </c>
      <c r="J2042" s="17" t="n">
        <f aca="false">H2042-I2042</f>
        <v>39.3663572033905</v>
      </c>
      <c r="K2042" s="17" t="n">
        <f aca="false">MAX(B2042-B2041,0)</f>
        <v>16.25</v>
      </c>
      <c r="L2042" s="17" t="n">
        <f aca="false">MAX(B2041-B2042,0)</f>
        <v>0</v>
      </c>
      <c r="M2042" s="17" t="n">
        <f aca="false">(M2041*13+K2042)/14</f>
        <v>126.89420992459</v>
      </c>
      <c r="N2042" s="17" t="n">
        <f aca="false">(N2041*13+L2042)/14</f>
        <v>124.858704912742</v>
      </c>
      <c r="O2042" s="17" t="n">
        <f aca="false">IF(N2042=0,100,100-100/(1+M2042/N2042))</f>
        <v>50.4042664239187</v>
      </c>
      <c r="P2042" s="17" t="n">
        <f aca="false">AVERAGE(B2023:B2042)+2*STDEV(B2023:B2042)</f>
        <v>20039.6987864146</v>
      </c>
      <c r="Q2042" s="17" t="n">
        <f aca="false">AVERAGE(B2023:B2042)-2*STDEV(B2023:B2042)</f>
        <v>17718.2502135854</v>
      </c>
      <c r="R2042" s="19" t="n">
        <f aca="false">B2042/B2022-1</f>
        <v>-0.0392168548734945</v>
      </c>
      <c r="S2042" s="17" t="n">
        <f aca="false">STDEV(C2023:C2042)*SQRT(252)*100</f>
        <v>30.0666302576825</v>
      </c>
      <c r="T2042" s="19" t="n">
        <f aca="false">B2021/B1791-1</f>
        <v>0.356503177025666</v>
      </c>
      <c r="U2042" s="19" t="n">
        <f aca="false">B2042/MAX(B1791:B2042)-1</f>
        <v>-0.0799356529360041</v>
      </c>
      <c r="V2042" s="17" t="n">
        <f aca="false">(B2042-AVERAGE(B2023:B2042))/STDEV(B2023:B2042)</f>
        <v>0.247613497334323</v>
      </c>
    </row>
    <row r="2043" customFormat="false" ht="15" hidden="false" customHeight="false" outlineLevel="0" collapsed="false">
      <c r="A2043" s="17" t="s">
        <v>2607</v>
      </c>
      <c r="B2043" s="17" t="n">
        <v>19490.15</v>
      </c>
      <c r="C2043" s="19" t="n">
        <f aca="false">B2043/B2042-1</f>
        <v>0.0245743501967126</v>
      </c>
      <c r="D2043" s="17" t="n">
        <f aca="false">AVERAGE(B1994:B2043)</f>
        <v>19437.4952</v>
      </c>
      <c r="E2043" s="17" t="n">
        <f aca="false">AVERAGE(B1844:B2043)</f>
        <v>17820.527</v>
      </c>
      <c r="F2043" s="17" t="n">
        <f aca="false">B2043*2/13+F2042*11/13</f>
        <v>18843.3335141427</v>
      </c>
      <c r="G2043" s="17" t="n">
        <f aca="false">B2043*2/27+G2042*25/27</f>
        <v>19021.6362741724</v>
      </c>
      <c r="H2043" s="17" t="n">
        <f aca="false">F2043-G2043</f>
        <v>-178.302760029688</v>
      </c>
      <c r="I2043" s="17" t="n">
        <f aca="false">H2043*2/10+I2042*8/10</f>
        <v>-273.893365282314</v>
      </c>
      <c r="J2043" s="17" t="n">
        <f aca="false">H2043-I2043</f>
        <v>95.5906052526257</v>
      </c>
      <c r="K2043" s="17" t="n">
        <f aca="false">MAX(B2043-B2042,0)</f>
        <v>467.470000000001</v>
      </c>
      <c r="L2043" s="17" t="n">
        <f aca="false">MAX(B2042-B2043,0)</f>
        <v>0</v>
      </c>
      <c r="M2043" s="17" t="n">
        <f aca="false">(M2042*13+K2043)/14</f>
        <v>151.221052072834</v>
      </c>
      <c r="N2043" s="17" t="n">
        <f aca="false">(N2042*13+L2043)/14</f>
        <v>115.940225990403</v>
      </c>
      <c r="O2043" s="17" t="n">
        <f aca="false">IF(N2043=0,100,100-100/(1+M2043/N2043))</f>
        <v>56.6029078649039</v>
      </c>
      <c r="P2043" s="17" t="n">
        <f aca="false">AVERAGE(B2024:B2043)+2*STDEV(B2024:B2043)</f>
        <v>20000.3743047243</v>
      </c>
      <c r="Q2043" s="17" t="n">
        <f aca="false">AVERAGE(B2024:B2043)-2*STDEV(B2024:B2043)</f>
        <v>17736.0806952757</v>
      </c>
      <c r="R2043" s="19" t="n">
        <f aca="false">B2043/B2023-1</f>
        <v>-0.0109078415779882</v>
      </c>
      <c r="S2043" s="17" t="n">
        <f aca="false">STDEV(C2024:C2043)*SQRT(252)*100</f>
        <v>31.4582224514209</v>
      </c>
      <c r="T2043" s="19" t="n">
        <f aca="false">B2022/B1792-1</f>
        <v>0.330903097307359</v>
      </c>
      <c r="U2043" s="19" t="n">
        <f aca="false">B2043/MAX(B1792:B2043)-1</f>
        <v>-0.0573256694677438</v>
      </c>
      <c r="V2043" s="17" t="n">
        <f aca="false">(B2043-AVERAGE(B2024:B2043))/STDEV(B2024:B2043)</f>
        <v>1.09866052247786</v>
      </c>
    </row>
    <row r="2044" customFormat="false" ht="15" hidden="false" customHeight="false" outlineLevel="0" collapsed="false">
      <c r="A2044" s="17" t="s">
        <v>2608</v>
      </c>
      <c r="B2044" s="17" t="n">
        <v>19508.52</v>
      </c>
      <c r="C2044" s="19" t="n">
        <f aca="false">B2044/B2043-1</f>
        <v>0.00094252737921452</v>
      </c>
      <c r="D2044" s="17" t="n">
        <f aca="false">AVERAGE(B1995:B2044)</f>
        <v>19446.9646</v>
      </c>
      <c r="E2044" s="17" t="n">
        <f aca="false">AVERAGE(B1845:B2044)</f>
        <v>17846.39205</v>
      </c>
      <c r="F2044" s="17" t="n">
        <f aca="false">B2044*2/13+F2043*11/13</f>
        <v>18945.6698965823</v>
      </c>
      <c r="G2044" s="17" t="n">
        <f aca="false">B2044*2/27+G2043*25/27</f>
        <v>19057.7017353448</v>
      </c>
      <c r="H2044" s="17" t="n">
        <f aca="false">F2044-G2044</f>
        <v>-112.031838762519</v>
      </c>
      <c r="I2044" s="17" t="n">
        <f aca="false">H2044*2/10+I2043*8/10</f>
        <v>-241.521059978355</v>
      </c>
      <c r="J2044" s="17" t="n">
        <f aca="false">H2044-I2044</f>
        <v>129.489221215836</v>
      </c>
      <c r="K2044" s="17" t="n">
        <f aca="false">MAX(B2044-B2043,0)</f>
        <v>18.369999999999</v>
      </c>
      <c r="L2044" s="17" t="n">
        <f aca="false">MAX(B2043-B2044,0)</f>
        <v>0</v>
      </c>
      <c r="M2044" s="17" t="n">
        <f aca="false">(M2043*13+K2044)/14</f>
        <v>141.731691210488</v>
      </c>
      <c r="N2044" s="17" t="n">
        <f aca="false">(N2043*13+L2044)/14</f>
        <v>107.658781276803</v>
      </c>
      <c r="O2044" s="17" t="n">
        <f aca="false">IF(N2044=0,100,100-100/(1+M2044/N2044))</f>
        <v>56.8312372950458</v>
      </c>
      <c r="P2044" s="17" t="n">
        <f aca="false">AVERAGE(B2025:B2044)+2*STDEV(B2025:B2044)</f>
        <v>19997.9698116868</v>
      </c>
      <c r="Q2044" s="17" t="n">
        <f aca="false">AVERAGE(B2025:B2044)-2*STDEV(B2025:B2044)</f>
        <v>17737.0751883132</v>
      </c>
      <c r="R2044" s="19" t="n">
        <f aca="false">B2044/B2024-1</f>
        <v>-0.000722239125691027</v>
      </c>
      <c r="S2044" s="17" t="n">
        <f aca="false">STDEV(C2025:C2044)*SQRT(252)*100</f>
        <v>31.2834225493812</v>
      </c>
      <c r="T2044" s="19" t="n">
        <f aca="false">B2023/B1793-1</f>
        <v>0.339042159419019</v>
      </c>
      <c r="U2044" s="19" t="n">
        <f aca="false">B2044/MAX(B1793:B2044)-1</f>
        <v>-0.0564371731015343</v>
      </c>
      <c r="V2044" s="17" t="n">
        <f aca="false">(B2044-AVERAGE(B2025:B2044))/STDEV(B2025:B2044)</f>
        <v>1.13405993074284</v>
      </c>
    </row>
    <row r="2045" customFormat="false" ht="15" hidden="false" customHeight="false" outlineLevel="0" collapsed="false">
      <c r="A2045" s="17" t="s">
        <v>2609</v>
      </c>
      <c r="B2045" s="17" t="n">
        <v>19766.49</v>
      </c>
      <c r="C2045" s="19" t="n">
        <f aca="false">B2045/B2044-1</f>
        <v>0.0132234531373985</v>
      </c>
      <c r="D2045" s="17" t="n">
        <f aca="false">AVERAGE(B1996:B2045)</f>
        <v>19461.8706</v>
      </c>
      <c r="E2045" s="17" t="n">
        <f aca="false">AVERAGE(B1846:B2045)</f>
        <v>17873.1756</v>
      </c>
      <c r="F2045" s="17" t="n">
        <f aca="false">B2045*2/13+F2044*11/13</f>
        <v>19071.9499124927</v>
      </c>
      <c r="G2045" s="17" t="n">
        <f aca="false">B2045*2/27+G2044*25/27</f>
        <v>19110.2045697637</v>
      </c>
      <c r="H2045" s="17" t="n">
        <f aca="false">F2045-G2045</f>
        <v>-38.2546572710016</v>
      </c>
      <c r="I2045" s="17" t="n">
        <f aca="false">H2045*2/10+I2044*8/10</f>
        <v>-200.867779436884</v>
      </c>
      <c r="J2045" s="17" t="n">
        <f aca="false">H2045-I2045</f>
        <v>162.613122165883</v>
      </c>
      <c r="K2045" s="17" t="n">
        <f aca="false">MAX(B2045-B2044,0)</f>
        <v>257.970000000001</v>
      </c>
      <c r="L2045" s="17" t="n">
        <f aca="false">MAX(B2044-B2045,0)</f>
        <v>0</v>
      </c>
      <c r="M2045" s="17" t="n">
        <f aca="false">(M2044*13+K2045)/14</f>
        <v>150.034427552596</v>
      </c>
      <c r="N2045" s="17" t="n">
        <f aca="false">(N2044*13+L2045)/14</f>
        <v>99.96886832846</v>
      </c>
      <c r="O2045" s="17" t="n">
        <f aca="false">IF(N2045=0,100,100-100/(1+M2045/N2045))</f>
        <v>60.012979838465</v>
      </c>
      <c r="P2045" s="17" t="n">
        <f aca="false">AVERAGE(B2026:B2045)+2*STDEV(B2026:B2045)</f>
        <v>19985.3586304299</v>
      </c>
      <c r="Q2045" s="17" t="n">
        <f aca="false">AVERAGE(B2026:B2045)-2*STDEV(B2026:B2045)</f>
        <v>17744.0483695701</v>
      </c>
      <c r="R2045" s="19" t="n">
        <f aca="false">B2045/B2025-1</f>
        <v>-0.00284418956488119</v>
      </c>
      <c r="S2045" s="17" t="n">
        <f aca="false">STDEV(C2026:C2045)*SQRT(252)*100</f>
        <v>31.1532831514312</v>
      </c>
      <c r="T2045" s="19" t="n">
        <f aca="false">B2024/B1794-1</f>
        <v>0.328535730909625</v>
      </c>
      <c r="U2045" s="19" t="n">
        <f aca="false">B2045/MAX(B1794:B2045)-1</f>
        <v>-0.0439600142778512</v>
      </c>
      <c r="V2045" s="17" t="n">
        <f aca="false">(B2045-AVERAGE(B2026:B2045))/STDEV(B2026:B2045)</f>
        <v>1.60939164157314</v>
      </c>
    </row>
    <row r="2046" customFormat="false" ht="15" hidden="false" customHeight="false" outlineLevel="0" collapsed="false">
      <c r="A2046" s="17" t="s">
        <v>2610</v>
      </c>
      <c r="B2046" s="17" t="n">
        <v>19719.82</v>
      </c>
      <c r="C2046" s="19" t="n">
        <f aca="false">B2046/B2045-1</f>
        <v>-0.00236106663347924</v>
      </c>
      <c r="D2046" s="17" t="n">
        <f aca="false">AVERAGE(B1997:B2046)</f>
        <v>19476.248</v>
      </c>
      <c r="E2046" s="17" t="n">
        <f aca="false">AVERAGE(B1847:B2046)</f>
        <v>17898.45015</v>
      </c>
      <c r="F2046" s="17" t="n">
        <f aca="false">B2046*2/13+F2045*11/13</f>
        <v>19171.6222336477</v>
      </c>
      <c r="G2046" s="17" t="n">
        <f aca="false">B2046*2/27+G2045*25/27</f>
        <v>19155.3612682997</v>
      </c>
      <c r="H2046" s="17" t="n">
        <f aca="false">F2046-G2046</f>
        <v>16.2609653479449</v>
      </c>
      <c r="I2046" s="17" t="n">
        <f aca="false">H2046*2/10+I2045*8/10</f>
        <v>-157.442030479919</v>
      </c>
      <c r="J2046" s="17" t="n">
        <f aca="false">H2046-I2046</f>
        <v>173.702995827863</v>
      </c>
      <c r="K2046" s="17" t="n">
        <f aca="false">MAX(B2046-B2045,0)</f>
        <v>0</v>
      </c>
      <c r="L2046" s="17" t="n">
        <f aca="false">MAX(B2045-B2046,0)</f>
        <v>46.6700000000019</v>
      </c>
      <c r="M2046" s="17" t="n">
        <f aca="false">(M2045*13+K2046)/14</f>
        <v>139.317682727411</v>
      </c>
      <c r="N2046" s="17" t="n">
        <f aca="false">(N2045*13+L2046)/14</f>
        <v>96.1618063049987</v>
      </c>
      <c r="O2046" s="17" t="n">
        <f aca="false">IF(N2046=0,100,100-100/(1+M2046/N2046))</f>
        <v>59.1634045495301</v>
      </c>
      <c r="P2046" s="17" t="n">
        <f aca="false">AVERAGE(B2027:B2046)+2*STDEV(B2027:B2046)</f>
        <v>19977.955354052</v>
      </c>
      <c r="Q2046" s="17" t="n">
        <f aca="false">AVERAGE(B2027:B2046)-2*STDEV(B2027:B2046)</f>
        <v>17747.999645948</v>
      </c>
      <c r="R2046" s="19" t="n">
        <f aca="false">B2046/B2026-1</f>
        <v>-0.00174746410155946</v>
      </c>
      <c r="S2046" s="17" t="n">
        <f aca="false">STDEV(C2027:C2046)*SQRT(252)*100</f>
        <v>31.1393866805785</v>
      </c>
      <c r="T2046" s="19" t="n">
        <f aca="false">B2025/B1795-1</f>
        <v>0.327126023235402</v>
      </c>
      <c r="U2046" s="19" t="n">
        <f aca="false">B2046/MAX(B1795:B2046)-1</f>
        <v>-0.0462172883884118</v>
      </c>
      <c r="V2046" s="17" t="n">
        <f aca="false">(B2046-AVERAGE(B2027:B2046))/STDEV(B2027:B2046)</f>
        <v>1.5369677467335</v>
      </c>
    </row>
    <row r="2047" customFormat="false" ht="15" hidden="false" customHeight="false" outlineLevel="0" collapsed="false">
      <c r="A2047" s="17" t="s">
        <v>2611</v>
      </c>
      <c r="B2047" s="17" t="n">
        <v>19824.84</v>
      </c>
      <c r="C2047" s="19" t="n">
        <f aca="false">B2047/B2046-1</f>
        <v>0.00532560642034263</v>
      </c>
      <c r="D2047" s="17" t="n">
        <f aca="false">AVERAGE(B1998:B2047)</f>
        <v>19491.2514</v>
      </c>
      <c r="E2047" s="17" t="n">
        <f aca="false">AVERAGE(B1848:B2047)</f>
        <v>17922.9766</v>
      </c>
      <c r="F2047" s="17" t="n">
        <f aca="false">B2047*2/13+F2046*11/13</f>
        <v>19272.117274625</v>
      </c>
      <c r="G2047" s="17" t="n">
        <f aca="false">B2047*2/27+G2046*25/27</f>
        <v>19204.9522854627</v>
      </c>
      <c r="H2047" s="17" t="n">
        <f aca="false">F2047-G2047</f>
        <v>67.1649891622401</v>
      </c>
      <c r="I2047" s="17" t="n">
        <f aca="false">H2047*2/10+I2046*8/10</f>
        <v>-112.520626551487</v>
      </c>
      <c r="J2047" s="17" t="n">
        <f aca="false">H2047-I2047</f>
        <v>179.685615713727</v>
      </c>
      <c r="K2047" s="17" t="n">
        <f aca="false">MAX(B2047-B2046,0)</f>
        <v>105.02</v>
      </c>
      <c r="L2047" s="17" t="n">
        <f aca="false">MAX(B2046-B2047,0)</f>
        <v>0</v>
      </c>
      <c r="M2047" s="17" t="n">
        <f aca="false">(M2046*13+K2047)/14</f>
        <v>136.867848246882</v>
      </c>
      <c r="N2047" s="17" t="n">
        <f aca="false">(N2046*13+L2047)/14</f>
        <v>89.2931058546416</v>
      </c>
      <c r="O2047" s="17" t="n">
        <f aca="false">IF(N2047=0,100,100-100/(1+M2047/N2047))</f>
        <v>60.5178947845444</v>
      </c>
      <c r="P2047" s="17" t="n">
        <f aca="false">AVERAGE(B2028:B2047)+2*STDEV(B2028:B2047)</f>
        <v>20096.4583355085</v>
      </c>
      <c r="Q2047" s="17" t="n">
        <f aca="false">AVERAGE(B2028:B2047)-2*STDEV(B2028:B2047)</f>
        <v>17708.7416644915</v>
      </c>
      <c r="R2047" s="19" t="n">
        <f aca="false">B2047/B2027-1</f>
        <v>0.041636914754269</v>
      </c>
      <c r="S2047" s="17" t="n">
        <f aca="false">STDEV(C2028:C2047)*SQRT(252)*100</f>
        <v>27.9925966376718</v>
      </c>
      <c r="T2047" s="19" t="n">
        <f aca="false">B2026/B1796-1</f>
        <v>0.324997853639691</v>
      </c>
      <c r="U2047" s="19" t="n">
        <f aca="false">B2047/MAX(B1796:B2047)-1</f>
        <v>-0.0411378170558413</v>
      </c>
      <c r="V2047" s="17" t="n">
        <f aca="false">(B2047-AVERAGE(B2028:B2047))/STDEV(B2028:B2047)</f>
        <v>1.54497392625262</v>
      </c>
    </row>
    <row r="2048" customFormat="false" ht="15" hidden="false" customHeight="false" outlineLevel="0" collapsed="false">
      <c r="A2048" s="17" t="s">
        <v>2612</v>
      </c>
      <c r="B2048" s="17" t="n">
        <v>19491.84</v>
      </c>
      <c r="C2048" s="19" t="n">
        <f aca="false">B2048/B2047-1</f>
        <v>-0.0167971090813344</v>
      </c>
      <c r="D2048" s="17" t="n">
        <f aca="false">AVERAGE(B1999:B2048)</f>
        <v>19496.8846</v>
      </c>
      <c r="E2048" s="17" t="n">
        <f aca="false">AVERAGE(B1849:B2048)</f>
        <v>17944.93835</v>
      </c>
      <c r="F2048" s="17" t="n">
        <f aca="false">B2048*2/13+F2047*11/13</f>
        <v>19305.9207708365</v>
      </c>
      <c r="G2048" s="17" t="n">
        <f aca="false">B2048*2/27+G2047*25/27</f>
        <v>19226.2032272803</v>
      </c>
      <c r="H2048" s="17" t="n">
        <f aca="false">F2048-G2048</f>
        <v>79.7175435562094</v>
      </c>
      <c r="I2048" s="17" t="n">
        <f aca="false">H2048*2/10+I2047*8/10</f>
        <v>-74.0729925299475</v>
      </c>
      <c r="J2048" s="17" t="n">
        <f aca="false">H2048-I2048</f>
        <v>153.790536086157</v>
      </c>
      <c r="K2048" s="17" t="n">
        <f aca="false">MAX(B2048-B2047,0)</f>
        <v>0</v>
      </c>
      <c r="L2048" s="17" t="n">
        <f aca="false">MAX(B2047-B2048,0)</f>
        <v>333</v>
      </c>
      <c r="M2048" s="17" t="n">
        <f aca="false">(M2047*13+K2048)/14</f>
        <v>127.091573372104</v>
      </c>
      <c r="N2048" s="17" t="n">
        <f aca="false">(N2047*13+L2048)/14</f>
        <v>106.700741150739</v>
      </c>
      <c r="O2048" s="17" t="n">
        <f aca="false">IF(N2048=0,100,100-100/(1+M2048/N2048))</f>
        <v>54.360885913419</v>
      </c>
      <c r="P2048" s="17" t="n">
        <f aca="false">AVERAGE(B2029:B2048)+2*STDEV(B2029:B2048)</f>
        <v>20157.4234083168</v>
      </c>
      <c r="Q2048" s="17" t="n">
        <f aca="false">AVERAGE(B2029:B2048)-2*STDEV(B2029:B2048)</f>
        <v>17713.9025916832</v>
      </c>
      <c r="R2048" s="19" t="n">
        <f aca="false">B2048/B2028-1</f>
        <v>0.035116284256778</v>
      </c>
      <c r="S2048" s="17" t="n">
        <f aca="false">STDEV(C2029:C2048)*SQRT(252)*100</f>
        <v>28.4506001371038</v>
      </c>
      <c r="T2048" s="19" t="n">
        <f aca="false">B2027/B1797-1</f>
        <v>0.256424254987107</v>
      </c>
      <c r="U2048" s="19" t="n">
        <f aca="false">B2048/MAX(B1797:B2048)-1</f>
        <v>-0.0572439297367208</v>
      </c>
      <c r="V2048" s="17" t="n">
        <f aca="false">(B2048-AVERAGE(B2029:B2048))/STDEV(B2029:B2048)</f>
        <v>0.910451830348993</v>
      </c>
    </row>
    <row r="2049" customFormat="false" ht="15" hidden="false" customHeight="false" outlineLevel="0" collapsed="false">
      <c r="A2049" s="17" t="s">
        <v>2613</v>
      </c>
      <c r="B2049" s="17" t="n">
        <v>19720.87</v>
      </c>
      <c r="C2049" s="19" t="n">
        <f aca="false">B2049/B2048-1</f>
        <v>0.0117500451470973</v>
      </c>
      <c r="D2049" s="17" t="n">
        <f aca="false">AVERAGE(B2000:B2049)</f>
        <v>19501.9984</v>
      </c>
      <c r="E2049" s="17" t="n">
        <f aca="false">AVERAGE(B1850:B2049)</f>
        <v>17967.76805</v>
      </c>
      <c r="F2049" s="17" t="n">
        <f aca="false">B2049*2/13+F2048*11/13</f>
        <v>19369.7591137847</v>
      </c>
      <c r="G2049" s="17" t="n">
        <f aca="false">B2049*2/27+G2048*25/27</f>
        <v>19262.8452104447</v>
      </c>
      <c r="H2049" s="17" t="n">
        <f aca="false">F2049-G2049</f>
        <v>106.913903340017</v>
      </c>
      <c r="I2049" s="17" t="n">
        <f aca="false">H2049*2/10+I2048*8/10</f>
        <v>-37.8756133559546</v>
      </c>
      <c r="J2049" s="17" t="n">
        <f aca="false">H2049-I2049</f>
        <v>144.789516695972</v>
      </c>
      <c r="K2049" s="17" t="n">
        <f aca="false">MAX(B2049-B2048,0)</f>
        <v>229.029999999999</v>
      </c>
      <c r="L2049" s="17" t="n">
        <f aca="false">MAX(B2048-B2049,0)</f>
        <v>0</v>
      </c>
      <c r="M2049" s="17" t="n">
        <f aca="false">(M2048*13+K2049)/14</f>
        <v>134.372889559811</v>
      </c>
      <c r="N2049" s="17" t="n">
        <f aca="false">(N2048*13+L2049)/14</f>
        <v>99.0792596399716</v>
      </c>
      <c r="O2049" s="17" t="n">
        <f aca="false">IF(N2049=0,100,100-100/(1+M2049/N2049))</f>
        <v>57.5590715358196</v>
      </c>
      <c r="P2049" s="17" t="n">
        <f aca="false">AVERAGE(B2030:B2049)+2*STDEV(B2030:B2049)</f>
        <v>20241.6456171577</v>
      </c>
      <c r="Q2049" s="17" t="n">
        <f aca="false">AVERAGE(B2030:B2049)-2*STDEV(B2030:B2049)</f>
        <v>17699.4013828423</v>
      </c>
      <c r="R2049" s="19" t="n">
        <f aca="false">B2049/B2029-1</f>
        <v>0.0366496247304671</v>
      </c>
      <c r="S2049" s="17" t="n">
        <f aca="false">STDEV(C2030:C2049)*SQRT(252)*100</f>
        <v>28.5139092839568</v>
      </c>
      <c r="T2049" s="19" t="n">
        <f aca="false">B2028/B1798-1</f>
        <v>0.270924729557168</v>
      </c>
      <c r="U2049" s="19" t="n">
        <f aca="false">B2049/MAX(B1798:B2049)-1</f>
        <v>-0.0461665033484271</v>
      </c>
      <c r="V2049" s="17" t="n">
        <f aca="false">(B2049-AVERAGE(B2030:B2049))/STDEV(B2030:B2049)</f>
        <v>1.18060489998843</v>
      </c>
    </row>
    <row r="2050" customFormat="false" ht="15" hidden="false" customHeight="false" outlineLevel="0" collapsed="false">
      <c r="A2050" s="17" t="s">
        <v>2614</v>
      </c>
      <c r="B2050" s="17" t="n">
        <v>19516.44</v>
      </c>
      <c r="C2050" s="19" t="n">
        <f aca="false">B2050/B2049-1</f>
        <v>-0.0103661755287673</v>
      </c>
      <c r="D2050" s="17" t="n">
        <f aca="false">AVERAGE(B2001:B2050)</f>
        <v>19500.7888</v>
      </c>
      <c r="E2050" s="17" t="n">
        <f aca="false">AVERAGE(B1851:B2050)</f>
        <v>17988.87015</v>
      </c>
      <c r="F2050" s="17" t="n">
        <f aca="false">B2050*2/13+F2049*11/13</f>
        <v>19392.3254039717</v>
      </c>
      <c r="G2050" s="17" t="n">
        <f aca="false">B2050*2/27+G2049*25/27</f>
        <v>19281.630009671</v>
      </c>
      <c r="H2050" s="17" t="n">
        <f aca="false">F2050-G2050</f>
        <v>110.695394300667</v>
      </c>
      <c r="I2050" s="17" t="n">
        <f aca="false">H2050*2/10+I2049*8/10</f>
        <v>-8.16141182463039</v>
      </c>
      <c r="J2050" s="17" t="n">
        <f aca="false">H2050-I2050</f>
        <v>118.856806125297</v>
      </c>
      <c r="K2050" s="17" t="n">
        <f aca="false">MAX(B2050-B2049,0)</f>
        <v>0</v>
      </c>
      <c r="L2050" s="17" t="n">
        <f aca="false">MAX(B2049-B2050,0)</f>
        <v>204.43</v>
      </c>
      <c r="M2050" s="17" t="n">
        <f aca="false">(M2049*13+K2050)/14</f>
        <v>124.774826019825</v>
      </c>
      <c r="N2050" s="17" t="n">
        <f aca="false">(N2049*13+L2050)/14</f>
        <v>106.604312522831</v>
      </c>
      <c r="O2050" s="17" t="n">
        <f aca="false">IF(N2050=0,100,100-100/(1+M2050/N2050))</f>
        <v>53.9265669349971</v>
      </c>
      <c r="P2050" s="17" t="n">
        <f aca="false">AVERAGE(B2031:B2050)+2*STDEV(B2031:B2050)</f>
        <v>20287.4456701127</v>
      </c>
      <c r="Q2050" s="17" t="n">
        <f aca="false">AVERAGE(B2031:B2050)-2*STDEV(B2031:B2050)</f>
        <v>17699.2963298873</v>
      </c>
      <c r="R2050" s="19" t="n">
        <f aca="false">B2050/B2030-1</f>
        <v>0.0239749332222423</v>
      </c>
      <c r="S2050" s="17" t="n">
        <f aca="false">STDEV(C2031:C2050)*SQRT(252)*100</f>
        <v>28.8475368737908</v>
      </c>
      <c r="T2050" s="19" t="n">
        <f aca="false">B2029/B1799-1</f>
        <v>0.273181397459347</v>
      </c>
      <c r="U2050" s="19" t="n">
        <f aca="false">B2050/MAX(B1799:B2050)-1</f>
        <v>-0.0560541087999351</v>
      </c>
      <c r="V2050" s="17" t="n">
        <f aca="false">(B2050-AVERAGE(B2031:B2050))/STDEV(B2031:B2050)</f>
        <v>0.808406210368732</v>
      </c>
    </row>
    <row r="2051" customFormat="false" ht="15" hidden="false" customHeight="false" outlineLevel="0" collapsed="false">
      <c r="A2051" s="17" t="s">
        <v>2615</v>
      </c>
      <c r="B2051" s="17" t="n">
        <v>19581.52</v>
      </c>
      <c r="C2051" s="19" t="n">
        <f aca="false">B2051/B2050-1</f>
        <v>0.00333462455242861</v>
      </c>
      <c r="D2051" s="17" t="n">
        <f aca="false">AVERAGE(B2002:B2051)</f>
        <v>19499.2232</v>
      </c>
      <c r="E2051" s="17" t="n">
        <f aca="false">AVERAGE(B1852:B2051)</f>
        <v>18010.21155</v>
      </c>
      <c r="F2051" s="17" t="n">
        <f aca="false">B2051*2/13+F2050*11/13</f>
        <v>19421.4322648991</v>
      </c>
      <c r="G2051" s="17" t="n">
        <f aca="false">B2051*2/27+G2050*25/27</f>
        <v>19303.8440830287</v>
      </c>
      <c r="H2051" s="17" t="n">
        <f aca="false">F2051-G2051</f>
        <v>117.588181870393</v>
      </c>
      <c r="I2051" s="17" t="n">
        <f aca="false">H2051*2/10+I2050*8/10</f>
        <v>16.9885069143743</v>
      </c>
      <c r="J2051" s="17" t="n">
        <f aca="false">H2051-I2051</f>
        <v>100.599674956019</v>
      </c>
      <c r="K2051" s="17" t="n">
        <f aca="false">MAX(B2051-B2050,0)</f>
        <v>65.0800000000018</v>
      </c>
      <c r="L2051" s="17" t="n">
        <f aca="false">MAX(B2050-B2051,0)</f>
        <v>0</v>
      </c>
      <c r="M2051" s="17" t="n">
        <f aca="false">(M2050*13+K2051)/14</f>
        <v>120.510909875552</v>
      </c>
      <c r="N2051" s="17" t="n">
        <f aca="false">(N2050*13+L2051)/14</f>
        <v>98.9897187712</v>
      </c>
      <c r="O2051" s="17" t="n">
        <f aca="false">IF(N2051=0,100,100-100/(1+M2051/N2051))</f>
        <v>54.9023073958905</v>
      </c>
      <c r="P2051" s="17" t="n">
        <f aca="false">AVERAGE(B2032:B2051)+2*STDEV(B2032:B2051)</f>
        <v>20348.9863970171</v>
      </c>
      <c r="Q2051" s="17" t="n">
        <f aca="false">AVERAGE(B2032:B2051)-2*STDEV(B2032:B2051)</f>
        <v>17716.2806029829</v>
      </c>
      <c r="R2051" s="19" t="n">
        <f aca="false">B2051/B2031-1</f>
        <v>0.0417769057371489</v>
      </c>
      <c r="S2051" s="17" t="n">
        <f aca="false">STDEV(C2032:C2051)*SQRT(252)*100</f>
        <v>28.2896820507989</v>
      </c>
      <c r="T2051" s="19" t="n">
        <f aca="false">B2030/B1800-1</f>
        <v>0.26620432806332</v>
      </c>
      <c r="U2051" s="19" t="n">
        <f aca="false">B2051/MAX(B1800:B2051)-1</f>
        <v>-0.0529064036549751</v>
      </c>
      <c r="V2051" s="17" t="n">
        <f aca="false">(B2051-AVERAGE(B2032:B2051))/STDEV(B2032:B2051)</f>
        <v>0.833950381001634</v>
      </c>
    </row>
    <row r="2052" customFormat="false" ht="15" hidden="false" customHeight="false" outlineLevel="0" collapsed="false">
      <c r="A2052" s="17" t="s">
        <v>2616</v>
      </c>
      <c r="B2052" s="17" t="n">
        <v>19350.78</v>
      </c>
      <c r="C2052" s="19" t="n">
        <f aca="false">B2052/B2051-1</f>
        <v>-0.0117835591925449</v>
      </c>
      <c r="D2052" s="17" t="n">
        <f aca="false">AVERAGE(B2003:B2052)</f>
        <v>19488.1838</v>
      </c>
      <c r="E2052" s="17" t="n">
        <f aca="false">AVERAGE(B1853:B2052)</f>
        <v>18031.02595</v>
      </c>
      <c r="F2052" s="17" t="n">
        <f aca="false">B2052*2/13+F2051*11/13</f>
        <v>19410.5626856839</v>
      </c>
      <c r="G2052" s="17" t="n">
        <f aca="false">B2052*2/27+G2051*25/27</f>
        <v>19307.3208176192</v>
      </c>
      <c r="H2052" s="17" t="n">
        <f aca="false">F2052-G2052</f>
        <v>103.241868064677</v>
      </c>
      <c r="I2052" s="17" t="n">
        <f aca="false">H2052*2/10+I2051*8/10</f>
        <v>34.2391791444348</v>
      </c>
      <c r="J2052" s="17" t="n">
        <f aca="false">H2052-I2052</f>
        <v>69.0026889202422</v>
      </c>
      <c r="K2052" s="17" t="n">
        <f aca="false">MAX(B2052-B2051,0)</f>
        <v>0</v>
      </c>
      <c r="L2052" s="17" t="n">
        <f aca="false">MAX(B2051-B2052,0)</f>
        <v>230.740000000002</v>
      </c>
      <c r="M2052" s="17" t="n">
        <f aca="false">(M2051*13+K2052)/14</f>
        <v>111.902987741584</v>
      </c>
      <c r="N2052" s="17" t="n">
        <f aca="false">(N2051*13+L2052)/14</f>
        <v>108.400453144686</v>
      </c>
      <c r="O2052" s="17" t="n">
        <f aca="false">IF(N2052=0,100,100-100/(1+M2052/N2052))</f>
        <v>50.7949341560003</v>
      </c>
      <c r="P2052" s="17" t="n">
        <f aca="false">AVERAGE(B2033:B2052)+2*STDEV(B2033:B2052)</f>
        <v>20347.7995912454</v>
      </c>
      <c r="Q2052" s="17" t="n">
        <f aca="false">AVERAGE(B2033:B2052)-2*STDEV(B2033:B2052)</f>
        <v>17716.3024087546</v>
      </c>
      <c r="R2052" s="19" t="n">
        <f aca="false">B2052/B2032-1</f>
        <v>-0.000601680677477012</v>
      </c>
      <c r="S2052" s="17" t="n">
        <f aca="false">STDEV(C2033:C2052)*SQRT(252)*100</f>
        <v>26.6681613447021</v>
      </c>
      <c r="T2052" s="19" t="n">
        <f aca="false">B2031/B1801-1</f>
        <v>0.222398392357193</v>
      </c>
      <c r="U2052" s="19" t="n">
        <f aca="false">B2052/MAX(B1801:B2052)-1</f>
        <v>-0.064066537108387</v>
      </c>
      <c r="V2052" s="17" t="n">
        <f aca="false">(B2052-AVERAGE(B2033:B2052))/STDEV(B2033:B2052)</f>
        <v>0.484483133207561</v>
      </c>
    </row>
    <row r="2053" customFormat="false" ht="15" hidden="false" customHeight="false" outlineLevel="0" collapsed="false">
      <c r="A2053" s="17" t="s">
        <v>2617</v>
      </c>
      <c r="B2053" s="17" t="n">
        <v>19325.45</v>
      </c>
      <c r="C2053" s="19" t="n">
        <f aca="false">B2053/B2052-1</f>
        <v>-0.00130899116211325</v>
      </c>
      <c r="D2053" s="17" t="n">
        <f aca="false">AVERAGE(B2004:B2053)</f>
        <v>19476.5156</v>
      </c>
      <c r="E2053" s="17" t="n">
        <f aca="false">AVERAGE(B1854:B2053)</f>
        <v>18050.0076</v>
      </c>
      <c r="F2053" s="17" t="n">
        <f aca="false">B2053*2/13+F2052*11/13</f>
        <v>19397.4684263479</v>
      </c>
      <c r="G2053" s="17" t="n">
        <f aca="false">B2053*2/27+G2052*25/27</f>
        <v>19308.6637200178</v>
      </c>
      <c r="H2053" s="17" t="n">
        <f aca="false">F2053-G2053</f>
        <v>88.8047063301201</v>
      </c>
      <c r="I2053" s="17" t="n">
        <f aca="false">H2053*2/10+I2052*8/10</f>
        <v>45.1522845815719</v>
      </c>
      <c r="J2053" s="17" t="n">
        <f aca="false">H2053-I2053</f>
        <v>43.6524217485482</v>
      </c>
      <c r="K2053" s="17" t="n">
        <f aca="false">MAX(B2053-B2052,0)</f>
        <v>0</v>
      </c>
      <c r="L2053" s="17" t="n">
        <f aca="false">MAX(B2052-B2053,0)</f>
        <v>25.3299999999981</v>
      </c>
      <c r="M2053" s="17" t="n">
        <f aca="false">(M2052*13+K2053)/14</f>
        <v>103.909917188613</v>
      </c>
      <c r="N2053" s="17" t="n">
        <f aca="false">(N2052*13+L2053)/14</f>
        <v>102.466849348637</v>
      </c>
      <c r="O2053" s="17" t="n">
        <f aca="false">IF(N2053=0,100,100-100/(1+M2053/N2053))</f>
        <v>50.3496197426167</v>
      </c>
      <c r="P2053" s="17" t="n">
        <f aca="false">AVERAGE(B2034:B2053)+2*STDEV(B2034:B2053)</f>
        <v>20374.069082002</v>
      </c>
      <c r="Q2053" s="17" t="n">
        <f aca="false">AVERAGE(B2034:B2053)-2*STDEV(B2034:B2053)</f>
        <v>17733.538917998</v>
      </c>
      <c r="R2053" s="19" t="n">
        <f aca="false">B2053/B2033-1</f>
        <v>0.0230307579674109</v>
      </c>
      <c r="S2053" s="17" t="n">
        <f aca="false">STDEV(C2034:C2053)*SQRT(252)*100</f>
        <v>25.0683750663605</v>
      </c>
      <c r="T2053" s="19" t="n">
        <f aca="false">B2032/B1802-1</f>
        <v>0.252224262292537</v>
      </c>
      <c r="U2053" s="19" t="n">
        <f aca="false">B2053/MAX(B1802:B2053)-1</f>
        <v>-0.0652916657396382</v>
      </c>
      <c r="V2053" s="17" t="n">
        <f aca="false">(B2053-AVERAGE(B2034:B2053))/STDEV(B2034:B2053)</f>
        <v>0.411502210734971</v>
      </c>
    </row>
    <row r="2054" customFormat="false" ht="15" hidden="false" customHeight="false" outlineLevel="0" collapsed="false">
      <c r="A2054" s="17" t="s">
        <v>2618</v>
      </c>
      <c r="B2054" s="17" t="n">
        <v>19574.64</v>
      </c>
      <c r="C2054" s="19" t="n">
        <f aca="false">B2054/B2053-1</f>
        <v>0.0128943957320526</v>
      </c>
      <c r="D2054" s="17" t="n">
        <f aca="false">AVERAGE(B2005:B2054)</f>
        <v>19472.9624</v>
      </c>
      <c r="E2054" s="17" t="n">
        <f aca="false">AVERAGE(B1855:B2054)</f>
        <v>18070.46685</v>
      </c>
      <c r="F2054" s="17" t="n">
        <f aca="false">B2054*2/13+F2053*11/13</f>
        <v>19424.7255915251</v>
      </c>
      <c r="G2054" s="17" t="n">
        <f aca="false">B2054*2/27+G2053*25/27</f>
        <v>19328.3656666831</v>
      </c>
      <c r="H2054" s="17" t="n">
        <f aca="false">F2054-G2054</f>
        <v>96.3599248420142</v>
      </c>
      <c r="I2054" s="17" t="n">
        <f aca="false">H2054*2/10+I2053*8/10</f>
        <v>55.3938126336603</v>
      </c>
      <c r="J2054" s="17" t="n">
        <f aca="false">H2054-I2054</f>
        <v>40.9661122083538</v>
      </c>
      <c r="K2054" s="17" t="n">
        <f aca="false">MAX(B2054-B2053,0)</f>
        <v>249.189999999999</v>
      </c>
      <c r="L2054" s="17" t="n">
        <f aca="false">MAX(B2053-B2054,0)</f>
        <v>0</v>
      </c>
      <c r="M2054" s="17" t="n">
        <f aca="false">(M2053*13+K2054)/14</f>
        <v>114.287065960855</v>
      </c>
      <c r="N2054" s="17" t="n">
        <f aca="false">(N2053*13+L2054)/14</f>
        <v>95.147788680877</v>
      </c>
      <c r="O2054" s="17" t="n">
        <f aca="false">IF(N2054=0,100,100-100/(1+M2054/N2054))</f>
        <v>54.5692674489923</v>
      </c>
      <c r="P2054" s="17" t="n">
        <f aca="false">AVERAGE(B2035:B2054)+2*STDEV(B2035:B2054)</f>
        <v>20417.2377875253</v>
      </c>
      <c r="Q2054" s="17" t="n">
        <f aca="false">AVERAGE(B2035:B2054)-2*STDEV(B2035:B2054)</f>
        <v>17803.7492124747</v>
      </c>
      <c r="R2054" s="19" t="n">
        <f aca="false">B2054/B2034-1</f>
        <v>0.0614825238532932</v>
      </c>
      <c r="S2054" s="17" t="n">
        <f aca="false">STDEV(C2035:C2054)*SQRT(252)*100</f>
        <v>23.541404673748</v>
      </c>
      <c r="T2054" s="19" t="n">
        <f aca="false">B2033/B1803-1</f>
        <v>0.218650712499202</v>
      </c>
      <c r="U2054" s="19" t="n">
        <f aca="false">B2054/MAX(B1803:B2054)-1</f>
        <v>-0.0532391665836373</v>
      </c>
      <c r="V2054" s="17" t="n">
        <f aca="false">(B2054-AVERAGE(B2035:B2054))/STDEV(B2035:B2054)</f>
        <v>0.710386116749736</v>
      </c>
    </row>
    <row r="2055" customFormat="false" ht="15" hidden="false" customHeight="false" outlineLevel="0" collapsed="false">
      <c r="A2055" s="17" t="s">
        <v>2619</v>
      </c>
      <c r="B2055" s="17" t="n">
        <v>18958.74</v>
      </c>
      <c r="C2055" s="19" t="n">
        <f aca="false">B2055/B2054-1</f>
        <v>-0.0314641801841565</v>
      </c>
      <c r="D2055" s="17" t="n">
        <f aca="false">AVERAGE(B2006:B2055)</f>
        <v>19458.1286</v>
      </c>
      <c r="E2055" s="17" t="n">
        <f aca="false">AVERAGE(B1856:B2055)</f>
        <v>18086.1982</v>
      </c>
      <c r="F2055" s="17" t="n">
        <f aca="false">B2055*2/13+F2054*11/13</f>
        <v>19353.0355005213</v>
      </c>
      <c r="G2055" s="17" t="n">
        <f aca="false">B2055*2/27+G2054*25/27</f>
        <v>19300.9859876696</v>
      </c>
      <c r="H2055" s="17" t="n">
        <f aca="false">F2055-G2055</f>
        <v>52.0495128517068</v>
      </c>
      <c r="I2055" s="17" t="n">
        <f aca="false">H2055*2/10+I2054*8/10</f>
        <v>54.7249526772696</v>
      </c>
      <c r="J2055" s="17" t="n">
        <f aca="false">H2055-I2055</f>
        <v>-2.6754398255628</v>
      </c>
      <c r="K2055" s="17" t="n">
        <f aca="false">MAX(B2055-B2054,0)</f>
        <v>0</v>
      </c>
      <c r="L2055" s="17" t="n">
        <f aca="false">MAX(B2054-B2055,0)</f>
        <v>615.899999999998</v>
      </c>
      <c r="M2055" s="17" t="n">
        <f aca="false">(M2054*13+K2055)/14</f>
        <v>106.123704106508</v>
      </c>
      <c r="N2055" s="17" t="n">
        <f aca="false">(N2054*13+L2055)/14</f>
        <v>132.344375203671</v>
      </c>
      <c r="O2055" s="17" t="n">
        <f aca="false">IF(N2055=0,100,100-100/(1+M2055/N2055))</f>
        <v>44.5022681498899</v>
      </c>
      <c r="P2055" s="17" t="n">
        <f aca="false">AVERAGE(B2036:B2055)+2*STDEV(B2036:B2055)</f>
        <v>20342.4713082768</v>
      </c>
      <c r="Q2055" s="17" t="n">
        <f aca="false">AVERAGE(B2036:B2055)-2*STDEV(B2036:B2055)</f>
        <v>17984.8736917232</v>
      </c>
      <c r="R2055" s="19" t="n">
        <f aca="false">B2055/B2035-1</f>
        <v>0.0594339475031238</v>
      </c>
      <c r="S2055" s="17" t="n">
        <f aca="false">STDEV(C2036:C2055)*SQRT(252)*100</f>
        <v>23.893019982476</v>
      </c>
      <c r="T2055" s="19" t="n">
        <f aca="false">B2034/B1804-1</f>
        <v>0.190434230249321</v>
      </c>
      <c r="U2055" s="19" t="n">
        <f aca="false">B2055/MAX(B1804:B2055)-1</f>
        <v>-0.0830282200375518</v>
      </c>
      <c r="V2055" s="17" t="n">
        <f aca="false">(B2055-AVERAGE(B2036:B2055))/STDEV(B2036:B2055)</f>
        <v>-0.347697161824552</v>
      </c>
    </row>
    <row r="2056" customFormat="false" ht="15" hidden="false" customHeight="false" outlineLevel="0" collapsed="false">
      <c r="A2056" s="17" t="s">
        <v>2620</v>
      </c>
      <c r="B2056" s="17" t="n">
        <v>18921.4</v>
      </c>
      <c r="C2056" s="19" t="n">
        <f aca="false">B2056/B2055-1</f>
        <v>-0.00196954016986362</v>
      </c>
      <c r="D2056" s="17" t="n">
        <f aca="false">AVERAGE(B2007:B2056)</f>
        <v>19447.0642</v>
      </c>
      <c r="E2056" s="17" t="n">
        <f aca="false">AVERAGE(B1857:B2056)</f>
        <v>18101.7193</v>
      </c>
      <c r="F2056" s="17" t="n">
        <f aca="false">B2056*2/13+F2055*11/13</f>
        <v>19286.6300389026</v>
      </c>
      <c r="G2056" s="17" t="n">
        <f aca="false">B2056*2/27+G2055*25/27</f>
        <v>19272.8685071015</v>
      </c>
      <c r="H2056" s="17" t="n">
        <f aca="false">F2056-G2056</f>
        <v>13.7615318011631</v>
      </c>
      <c r="I2056" s="17" t="n">
        <f aca="false">H2056*2/10+I2055*8/10</f>
        <v>46.5322685020483</v>
      </c>
      <c r="J2056" s="17" t="n">
        <f aca="false">H2056-I2056</f>
        <v>-32.7707367008852</v>
      </c>
      <c r="K2056" s="17" t="n">
        <f aca="false">MAX(B2056-B2055,0)</f>
        <v>0</v>
      </c>
      <c r="L2056" s="17" t="n">
        <f aca="false">MAX(B2055-B2056,0)</f>
        <v>37.3400000000001</v>
      </c>
      <c r="M2056" s="17" t="n">
        <f aca="false">(M2055*13+K2056)/14</f>
        <v>98.5434395274721</v>
      </c>
      <c r="N2056" s="17" t="n">
        <f aca="false">(N2055*13+L2056)/14</f>
        <v>125.558348403409</v>
      </c>
      <c r="O2056" s="17" t="n">
        <f aca="false">IF(N2056=0,100,100-100/(1+M2056/N2056))</f>
        <v>43.972625313398</v>
      </c>
      <c r="P2056" s="17" t="n">
        <f aca="false">AVERAGE(B2037:B2056)+2*STDEV(B2037:B2056)</f>
        <v>20276.4789782802</v>
      </c>
      <c r="Q2056" s="17" t="n">
        <f aca="false">AVERAGE(B2037:B2056)-2*STDEV(B2037:B2056)</f>
        <v>18135.2140217198</v>
      </c>
      <c r="R2056" s="19" t="n">
        <f aca="false">B2056/B2036-1</f>
        <v>0.0466580226043707</v>
      </c>
      <c r="S2056" s="17" t="n">
        <f aca="false">STDEV(C2037:C2056)*SQRT(252)*100</f>
        <v>23.7962715819549</v>
      </c>
      <c r="T2056" s="19" t="n">
        <f aca="false">B2035/B1805-1</f>
        <v>0.153913016564098</v>
      </c>
      <c r="U2056" s="19" t="n">
        <f aca="false">B2056/MAX(B1805:B2056)-1</f>
        <v>-0.0848342327928192</v>
      </c>
      <c r="V2056" s="17" t="n">
        <f aca="false">(B2056-AVERAGE(B2037:B2056))/STDEV(B2037:B2056)</f>
        <v>-0.531361612449706</v>
      </c>
    </row>
    <row r="2057" customFormat="false" ht="15" hidden="false" customHeight="false" outlineLevel="0" collapsed="false">
      <c r="A2057" s="17" t="s">
        <v>2621</v>
      </c>
      <c r="B2057" s="17" t="n">
        <v>18930.33</v>
      </c>
      <c r="C2057" s="19" t="n">
        <f aca="false">B2057/B2056-1</f>
        <v>0.000471952392529174</v>
      </c>
      <c r="D2057" s="17" t="n">
        <f aca="false">AVERAGE(B2008:B2057)</f>
        <v>19431.6482</v>
      </c>
      <c r="E2057" s="17" t="n">
        <f aca="false">AVERAGE(B1858:B2057)</f>
        <v>18117.2051</v>
      </c>
      <c r="F2057" s="17" t="n">
        <f aca="false">B2057*2/13+F2056*11/13</f>
        <v>19231.8146483022</v>
      </c>
      <c r="G2057" s="17" t="n">
        <f aca="false">B2057*2/27+G2056*25/27</f>
        <v>19247.4952843532</v>
      </c>
      <c r="H2057" s="17" t="n">
        <f aca="false">F2057-G2057</f>
        <v>-15.6806360509872</v>
      </c>
      <c r="I2057" s="17" t="n">
        <f aca="false">H2057*2/10+I2056*8/10</f>
        <v>34.0896875914412</v>
      </c>
      <c r="J2057" s="17" t="n">
        <f aca="false">H2057-I2057</f>
        <v>-49.7703236424284</v>
      </c>
      <c r="K2057" s="17" t="n">
        <f aca="false">MAX(B2057-B2056,0)</f>
        <v>8.93000000000029</v>
      </c>
      <c r="L2057" s="17" t="n">
        <f aca="false">MAX(B2056-B2057,0)</f>
        <v>0</v>
      </c>
      <c r="M2057" s="17" t="n">
        <f aca="false">(M2056*13+K2057)/14</f>
        <v>92.1424795612241</v>
      </c>
      <c r="N2057" s="17" t="n">
        <f aca="false">(N2056*13+L2057)/14</f>
        <v>116.589894946023</v>
      </c>
      <c r="O2057" s="17" t="n">
        <f aca="false">IF(N2057=0,100,100-100/(1+M2057/N2057))</f>
        <v>44.1438371880473</v>
      </c>
      <c r="P2057" s="17" t="n">
        <f aca="false">AVERAGE(B2038:B2057)+2*STDEV(B2038:B2057)</f>
        <v>20138.3006672041</v>
      </c>
      <c r="Q2057" s="17" t="n">
        <f aca="false">AVERAGE(B2038:B2057)-2*STDEV(B2038:B2057)</f>
        <v>18379.6883327959</v>
      </c>
      <c r="R2057" s="19" t="n">
        <f aca="false">B2057/B2037-1</f>
        <v>0.0594916879204943</v>
      </c>
      <c r="S2057" s="17" t="n">
        <f aca="false">STDEV(C2038:C2057)*SQRT(252)*100</f>
        <v>23.2302838677188</v>
      </c>
      <c r="T2057" s="19" t="n">
        <f aca="false">B2036/B1806-1</f>
        <v>0.176071988050566</v>
      </c>
      <c r="U2057" s="19" t="n">
        <f aca="false">B2057/MAX(B1806:B2057)-1</f>
        <v>-0.0844023181194251</v>
      </c>
      <c r="V2057" s="17" t="n">
        <f aca="false">(B2057-AVERAGE(B2038:B2057))/STDEV(B2038:B2057)</f>
        <v>-0.747554179097921</v>
      </c>
    </row>
    <row r="2058" customFormat="false" ht="15" hidden="false" customHeight="false" outlineLevel="0" collapsed="false">
      <c r="A2058" s="17" t="s">
        <v>2622</v>
      </c>
      <c r="B2058" s="17" t="n">
        <v>18421.31</v>
      </c>
      <c r="C2058" s="19" t="n">
        <f aca="false">B2058/B2057-1</f>
        <v>-0.0268891244896418</v>
      </c>
      <c r="D2058" s="17" t="n">
        <f aca="false">AVERAGE(B2009:B2058)</f>
        <v>19405.0534</v>
      </c>
      <c r="E2058" s="17" t="n">
        <f aca="false">AVERAGE(B1859:B2058)</f>
        <v>18130.1217</v>
      </c>
      <c r="F2058" s="17" t="n">
        <f aca="false">B2058*2/13+F2057*11/13</f>
        <v>19107.1216254865</v>
      </c>
      <c r="G2058" s="17" t="n">
        <f aca="false">B2058*2/27+G2057*25/27</f>
        <v>19186.2963744011</v>
      </c>
      <c r="H2058" s="17" t="n">
        <f aca="false">F2058-G2058</f>
        <v>-79.1747489146255</v>
      </c>
      <c r="I2058" s="17" t="n">
        <f aca="false">H2058*2/10+I2057*8/10</f>
        <v>11.4368002902279</v>
      </c>
      <c r="J2058" s="17" t="n">
        <f aca="false">H2058-I2058</f>
        <v>-90.6115492048534</v>
      </c>
      <c r="K2058" s="17" t="n">
        <f aca="false">MAX(B2058-B2057,0)</f>
        <v>0</v>
      </c>
      <c r="L2058" s="17" t="n">
        <f aca="false">MAX(B2057-B2058,0)</f>
        <v>509.02</v>
      </c>
      <c r="M2058" s="17" t="n">
        <f aca="false">(M2057*13+K2058)/14</f>
        <v>85.5608738782795</v>
      </c>
      <c r="N2058" s="17" t="n">
        <f aca="false">(N2057*13+L2058)/14</f>
        <v>144.620616735593</v>
      </c>
      <c r="O2058" s="17" t="n">
        <f aca="false">IF(N2058=0,100,100-100/(1+M2058/N2058))</f>
        <v>37.1710486582118</v>
      </c>
      <c r="P2058" s="17" t="n">
        <f aca="false">AVERAGE(B2039:B2058)+2*STDEV(B2039:B2058)</f>
        <v>20137.1646152929</v>
      </c>
      <c r="Q2058" s="17" t="n">
        <f aca="false">AVERAGE(B2039:B2058)-2*STDEV(B2039:B2058)</f>
        <v>18381.5733847071</v>
      </c>
      <c r="R2058" s="19" t="n">
        <f aca="false">B2058/B2038-1</f>
        <v>0.000406759705482207</v>
      </c>
      <c r="S2058" s="17" t="n">
        <f aca="false">STDEV(C2039:C2058)*SQRT(252)*100</f>
        <v>23.1353085988901</v>
      </c>
      <c r="T2058" s="19" t="n">
        <f aca="false">B2037/B1807-1</f>
        <v>0.170976608478411</v>
      </c>
      <c r="U2058" s="19" t="n">
        <f aca="false">B2058/MAX(B1807:B2058)-1</f>
        <v>-0.109021938169939</v>
      </c>
      <c r="V2058" s="17" t="n">
        <f aca="false">(B2058-AVERAGE(B2039:B2058))/STDEV(B2039:B2058)</f>
        <v>-1.90946271637594</v>
      </c>
    </row>
    <row r="2059" customFormat="false" ht="15" hidden="false" customHeight="false" outlineLevel="0" collapsed="false">
      <c r="A2059" s="17" t="s">
        <v>2623</v>
      </c>
      <c r="B2059" s="17" t="n">
        <v>18660.78</v>
      </c>
      <c r="C2059" s="19" t="n">
        <f aca="false">B2059/B2058-1</f>
        <v>0.0129996183767602</v>
      </c>
      <c r="D2059" s="17" t="n">
        <f aca="false">AVERAGE(B2010:B2059)</f>
        <v>19382.4884</v>
      </c>
      <c r="E2059" s="17" t="n">
        <f aca="false">AVERAGE(B1860:B2059)</f>
        <v>18143.2903</v>
      </c>
      <c r="F2059" s="17" t="n">
        <f aca="false">B2059*2/13+F2058*11/13</f>
        <v>19038.4536831039</v>
      </c>
      <c r="G2059" s="17" t="n">
        <f aca="false">B2059*2/27+G2058*25/27</f>
        <v>19147.3692355566</v>
      </c>
      <c r="H2059" s="17" t="n">
        <f aca="false">F2059-G2059</f>
        <v>-108.915552452636</v>
      </c>
      <c r="I2059" s="17" t="n">
        <f aca="false">H2059*2/10+I2058*8/10</f>
        <v>-12.6336702583449</v>
      </c>
      <c r="J2059" s="17" t="n">
        <f aca="false">H2059-I2059</f>
        <v>-96.281882194291</v>
      </c>
      <c r="K2059" s="17" t="n">
        <f aca="false">MAX(B2059-B2058,0)</f>
        <v>239.469999999998</v>
      </c>
      <c r="L2059" s="17" t="n">
        <f aca="false">MAX(B2058-B2059,0)</f>
        <v>0</v>
      </c>
      <c r="M2059" s="17" t="n">
        <f aca="false">(M2058*13+K2059)/14</f>
        <v>96.5543828869736</v>
      </c>
      <c r="N2059" s="17" t="n">
        <f aca="false">(N2058*13+L2059)/14</f>
        <v>134.29057268305</v>
      </c>
      <c r="O2059" s="17" t="n">
        <f aca="false">IF(N2059=0,100,100-100/(1+M2059/N2059))</f>
        <v>41.8265076005462</v>
      </c>
      <c r="P2059" s="17" t="n">
        <f aca="false">AVERAGE(B2040:B2059)+2*STDEV(B2040:B2059)</f>
        <v>20120.2652885706</v>
      </c>
      <c r="Q2059" s="17" t="n">
        <f aca="false">AVERAGE(B2040:B2059)-2*STDEV(B2040:B2059)</f>
        <v>18413.2407114294</v>
      </c>
      <c r="R2059" s="19" t="n">
        <f aca="false">B2059/B2039-1</f>
        <v>0.00797705408602556</v>
      </c>
      <c r="S2059" s="17" t="n">
        <f aca="false">STDEV(C2040:C2059)*SQRT(252)*100</f>
        <v>23.5195903039794</v>
      </c>
      <c r="T2059" s="19" t="n">
        <f aca="false">B2038/B1808-1</f>
        <v>0.205074792722361</v>
      </c>
      <c r="U2059" s="19" t="n">
        <f aca="false">B2059/MAX(B1808:B2059)-1</f>
        <v>-0.097439563384083</v>
      </c>
      <c r="V2059" s="17" t="n">
        <f aca="false">(B2059-AVERAGE(B2040:B2059))/STDEV(B2040:B2059)</f>
        <v>-1.41995143623492</v>
      </c>
    </row>
    <row r="2060" customFormat="false" ht="15" hidden="false" customHeight="false" outlineLevel="0" collapsed="false">
      <c r="A2060" s="17" t="s">
        <v>2624</v>
      </c>
      <c r="B2060" s="17" t="n">
        <v>18829.14</v>
      </c>
      <c r="C2060" s="19" t="n">
        <f aca="false">B2060/B2059-1</f>
        <v>0.0090221309077112</v>
      </c>
      <c r="D2060" s="17" t="n">
        <f aca="false">AVERAGE(B2011:B2060)</f>
        <v>19365.4138</v>
      </c>
      <c r="E2060" s="17" t="n">
        <f aca="false">AVERAGE(B1861:B2060)</f>
        <v>18157.7679</v>
      </c>
      <c r="F2060" s="17" t="n">
        <f aca="false">B2060*2/13+F2059*11/13</f>
        <v>19006.251578011</v>
      </c>
      <c r="G2060" s="17" t="n">
        <f aca="false">B2060*2/27+G2059*25/27</f>
        <v>19123.7966995894</v>
      </c>
      <c r="H2060" s="17" t="n">
        <f aca="false">F2060-G2060</f>
        <v>-117.545121578398</v>
      </c>
      <c r="I2060" s="17" t="n">
        <f aca="false">H2060*2/10+I2059*8/10</f>
        <v>-33.6159605223555</v>
      </c>
      <c r="J2060" s="17" t="n">
        <f aca="false">H2060-I2060</f>
        <v>-83.9291610560424</v>
      </c>
      <c r="K2060" s="17" t="n">
        <f aca="false">MAX(B2060-B2059,0)</f>
        <v>168.360000000001</v>
      </c>
      <c r="L2060" s="17" t="n">
        <f aca="false">MAX(B2059-B2060,0)</f>
        <v>0</v>
      </c>
      <c r="M2060" s="17" t="n">
        <f aca="false">(M2059*13+K2060)/14</f>
        <v>101.683355537904</v>
      </c>
      <c r="N2060" s="17" t="n">
        <f aca="false">(N2059*13+L2060)/14</f>
        <v>124.698388919975</v>
      </c>
      <c r="O2060" s="17" t="n">
        <f aca="false">IF(N2060=0,100,100-100/(1+M2060/N2060))</f>
        <v>44.9167647247384</v>
      </c>
      <c r="P2060" s="17" t="n">
        <f aca="false">AVERAGE(B2041:B2060)+2*STDEV(B2041:B2060)</f>
        <v>20091.8853114534</v>
      </c>
      <c r="Q2060" s="17" t="n">
        <f aca="false">AVERAGE(B2041:B2060)-2*STDEV(B2041:B2060)</f>
        <v>18470.3316885466</v>
      </c>
      <c r="R2060" s="19" t="n">
        <f aca="false">B2060/B2040-1</f>
        <v>0.0154842808473505</v>
      </c>
      <c r="S2060" s="17" t="n">
        <f aca="false">STDEV(C2041:C2060)*SQRT(252)*100</f>
        <v>23.7124641572422</v>
      </c>
      <c r="T2060" s="19" t="n">
        <f aca="false">B2039/B1809-1</f>
        <v>0.197339002332835</v>
      </c>
      <c r="U2060" s="19" t="n">
        <f aca="false">B2060/MAX(B1809:B2060)-1</f>
        <v>-0.0892965449728131</v>
      </c>
      <c r="V2060" s="17" t="n">
        <f aca="false">(B2060-AVERAGE(B2041:B2060))/STDEV(B2041:B2060)</f>
        <v>-1.11490238402306</v>
      </c>
    </row>
    <row r="2061" customFormat="false" ht="15" hidden="false" customHeight="false" outlineLevel="0" collapsed="false">
      <c r="A2061" s="17" t="s">
        <v>2625</v>
      </c>
      <c r="B2061" s="17" t="n">
        <v>19237.3</v>
      </c>
      <c r="C2061" s="19" t="n">
        <f aca="false">B2061/B2060-1</f>
        <v>0.0216770388875966</v>
      </c>
      <c r="D2061" s="17" t="n">
        <f aca="false">AVERAGE(B2012:B2061)</f>
        <v>19353.9154</v>
      </c>
      <c r="E2061" s="17" t="n">
        <f aca="false">AVERAGE(B1862:B2061)</f>
        <v>18173.94745</v>
      </c>
      <c r="F2061" s="17" t="n">
        <f aca="false">B2061*2/13+F2060*11/13</f>
        <v>19041.7974890863</v>
      </c>
      <c r="G2061" s="17" t="n">
        <f aca="false">B2061*2/27+G2060*25/27</f>
        <v>19132.2043514717</v>
      </c>
      <c r="H2061" s="17" t="n">
        <f aca="false">F2061-G2061</f>
        <v>-90.4068623854328</v>
      </c>
      <c r="I2061" s="17" t="n">
        <f aca="false">H2061*2/10+I2060*8/10</f>
        <v>-44.9741408949709</v>
      </c>
      <c r="J2061" s="17" t="n">
        <f aca="false">H2061-I2061</f>
        <v>-45.4327214904618</v>
      </c>
      <c r="K2061" s="17" t="n">
        <f aca="false">MAX(B2061-B2060,0)</f>
        <v>408.16</v>
      </c>
      <c r="L2061" s="17" t="n">
        <f aca="false">MAX(B2060-B2061,0)</f>
        <v>0</v>
      </c>
      <c r="M2061" s="17" t="n">
        <f aca="false">(M2060*13+K2061)/14</f>
        <v>123.574544428054</v>
      </c>
      <c r="N2061" s="17" t="n">
        <f aca="false">(N2060*13+L2061)/14</f>
        <v>115.791361139977</v>
      </c>
      <c r="O2061" s="17" t="n">
        <f aca="false">IF(N2061=0,100,100-100/(1+M2061/N2061))</f>
        <v>51.6257919584677</v>
      </c>
      <c r="P2061" s="17" t="n">
        <f aca="false">AVERAGE(B2042:B2061)+2*STDEV(B2042:B2061)</f>
        <v>20093.4754300321</v>
      </c>
      <c r="Q2061" s="17" t="n">
        <f aca="false">AVERAGE(B2042:B2061)-2*STDEV(B2042:B2061)</f>
        <v>18491.8285699679</v>
      </c>
      <c r="R2061" s="19" t="n">
        <f aca="false">B2061/B2041-1</f>
        <v>0.0121469418507316</v>
      </c>
      <c r="S2061" s="17" t="n">
        <f aca="false">STDEV(C2042:C2061)*SQRT(252)*100</f>
        <v>23.2832907446636</v>
      </c>
      <c r="T2061" s="19" t="n">
        <f aca="false">B2040/B1810-1</f>
        <v>0.212710615092212</v>
      </c>
      <c r="U2061" s="19" t="n">
        <f aca="false">B2061/MAX(B1810:B2061)-1</f>
        <v>-0.0695551907631202</v>
      </c>
      <c r="V2061" s="17" t="n">
        <f aca="false">(B2061-AVERAGE(B2042:B2061))/STDEV(B2042:B2061)</f>
        <v>-0.138237713643764</v>
      </c>
    </row>
    <row r="2062" customFormat="false" ht="15" hidden="false" customHeight="false" outlineLevel="0" collapsed="false">
      <c r="A2062" s="17" t="s">
        <v>2626</v>
      </c>
      <c r="B2062" s="17" t="n">
        <v>19423.07</v>
      </c>
      <c r="C2062" s="19" t="n">
        <f aca="false">B2062/B2061-1</f>
        <v>0.00965676056411247</v>
      </c>
      <c r="D2062" s="17" t="n">
        <f aca="false">AVERAGE(B2013:B2062)</f>
        <v>19342.139</v>
      </c>
      <c r="E2062" s="17" t="n">
        <f aca="false">AVERAGE(B1863:B2062)</f>
        <v>18191.15275</v>
      </c>
      <c r="F2062" s="17" t="n">
        <f aca="false">B2062*2/13+F2061*11/13</f>
        <v>19100.4547984576</v>
      </c>
      <c r="G2062" s="17" t="n">
        <f aca="false">B2062*2/27+G2061*25/27</f>
        <v>19153.7499550664</v>
      </c>
      <c r="H2062" s="17" t="n">
        <f aca="false">F2062-G2062</f>
        <v>-53.2951566087759</v>
      </c>
      <c r="I2062" s="17" t="n">
        <f aca="false">H2062*2/10+I2061*8/10</f>
        <v>-46.6383440377319</v>
      </c>
      <c r="J2062" s="17" t="n">
        <f aca="false">H2062-I2062</f>
        <v>-6.65681257104395</v>
      </c>
      <c r="K2062" s="17" t="n">
        <f aca="false">MAX(B2062-B2061,0)</f>
        <v>185.77</v>
      </c>
      <c r="L2062" s="17" t="n">
        <f aca="false">MAX(B2061-B2062,0)</f>
        <v>0</v>
      </c>
      <c r="M2062" s="17" t="n">
        <f aca="false">(M2061*13+K2062)/14</f>
        <v>128.017076968907</v>
      </c>
      <c r="N2062" s="17" t="n">
        <f aca="false">(N2061*13+L2062)/14</f>
        <v>107.520549629979</v>
      </c>
      <c r="O2062" s="17" t="n">
        <f aca="false">IF(N2062=0,100,100-100/(1+M2062/N2062))</f>
        <v>54.3510091433997</v>
      </c>
      <c r="P2062" s="17" t="n">
        <f aca="false">AVERAGE(B2043:B2062)+2*STDEV(B2043:B2062)</f>
        <v>20105.052277053</v>
      </c>
      <c r="Q2062" s="17" t="n">
        <f aca="false">AVERAGE(B2043:B2062)-2*STDEV(B2043:B2062)</f>
        <v>18520.290722947</v>
      </c>
      <c r="R2062" s="19" t="n">
        <f aca="false">B2062/B2042-1</f>
        <v>0.0210480331898555</v>
      </c>
      <c r="S2062" s="17" t="n">
        <f aca="false">STDEV(C2043:C2062)*SQRT(252)*100</f>
        <v>23.4993525962455</v>
      </c>
      <c r="T2062" s="19" t="n">
        <f aca="false">B2041/B1811-1</f>
        <v>0.238322497333621</v>
      </c>
      <c r="U2062" s="19" t="n">
        <f aca="false">B2062/MAX(B1811:B2062)-1</f>
        <v>-0.0605701080221984</v>
      </c>
      <c r="V2062" s="17" t="n">
        <f aca="false">(B2062-AVERAGE(B2043:B2062))/STDEV(B2043:B2062)</f>
        <v>0.278650121752289</v>
      </c>
    </row>
    <row r="2063" customFormat="false" ht="15" hidden="false" customHeight="false" outlineLevel="0" collapsed="false">
      <c r="A2063" s="17" t="s">
        <v>2627</v>
      </c>
      <c r="B2063" s="17" t="n">
        <v>19514.59</v>
      </c>
      <c r="C2063" s="19" t="n">
        <f aca="false">B2063/B2062-1</f>
        <v>0.00471192247157637</v>
      </c>
      <c r="D2063" s="17" t="n">
        <f aca="false">AVERAGE(B2014:B2063)</f>
        <v>19328.6982</v>
      </c>
      <c r="E2063" s="17" t="n">
        <f aca="false">AVERAGE(B1864:B2063)</f>
        <v>18208.9158</v>
      </c>
      <c r="F2063" s="17" t="n">
        <f aca="false">B2063*2/13+F2062*11/13</f>
        <v>19164.1679063872</v>
      </c>
      <c r="G2063" s="17" t="n">
        <f aca="false">B2063*2/27+G2062*25/27</f>
        <v>19180.4788472837</v>
      </c>
      <c r="H2063" s="17" t="n">
        <f aca="false">F2063-G2063</f>
        <v>-16.3109408964847</v>
      </c>
      <c r="I2063" s="17" t="n">
        <f aca="false">H2063*2/10+I2062*8/10</f>
        <v>-40.5728634094825</v>
      </c>
      <c r="J2063" s="17" t="n">
        <f aca="false">H2063-I2063</f>
        <v>24.2619225129978</v>
      </c>
      <c r="K2063" s="17" t="n">
        <f aca="false">MAX(B2063-B2062,0)</f>
        <v>91.5200000000004</v>
      </c>
      <c r="L2063" s="17" t="n">
        <f aca="false">MAX(B2062-B2063,0)</f>
        <v>0</v>
      </c>
      <c r="M2063" s="17" t="n">
        <f aca="false">(M2062*13+K2063)/14</f>
        <v>125.4101428997</v>
      </c>
      <c r="N2063" s="17" t="n">
        <f aca="false">(N2062*13+L2063)/14</f>
        <v>99.8405103706945</v>
      </c>
      <c r="O2063" s="17" t="n">
        <f aca="false">IF(N2063=0,100,100-100/(1+M2063/N2063))</f>
        <v>55.6758176186754</v>
      </c>
      <c r="P2063" s="17" t="n">
        <f aca="false">AVERAGE(B2044:B2063)+2*STDEV(B2044:B2063)</f>
        <v>20107.5011522677</v>
      </c>
      <c r="Q2063" s="17" t="n">
        <f aca="false">AVERAGE(B2044:B2063)-2*STDEV(B2044:B2063)</f>
        <v>18520.2858477323</v>
      </c>
      <c r="R2063" s="19" t="n">
        <f aca="false">B2063/B2043-1</f>
        <v>0.00125396674730571</v>
      </c>
      <c r="S2063" s="17" t="n">
        <f aca="false">STDEV(C2044:C2063)*SQRT(252)*100</f>
        <v>21.8744910314313</v>
      </c>
      <c r="T2063" s="19" t="n">
        <f aca="false">B2042/B1812-1</f>
        <v>0.229340521355651</v>
      </c>
      <c r="U2063" s="19" t="n">
        <f aca="false">B2063/MAX(B1812:B2063)-1</f>
        <v>-0.0561435872037177</v>
      </c>
      <c r="V2063" s="17" t="n">
        <f aca="false">(B2063-AVERAGE(B2044:B2063))/STDEV(B2044:B2063)</f>
        <v>0.505782673406722</v>
      </c>
    </row>
    <row r="2064" customFormat="false" ht="15" hidden="false" customHeight="false" outlineLevel="0" collapsed="false">
      <c r="A2064" s="17" t="s">
        <v>2628</v>
      </c>
      <c r="B2064" s="17" t="n">
        <v>19423.06</v>
      </c>
      <c r="C2064" s="19" t="n">
        <f aca="false">B2064/B2063-1</f>
        <v>-0.00469033681978448</v>
      </c>
      <c r="D2064" s="17" t="n">
        <f aca="false">AVERAGE(B2015:B2064)</f>
        <v>19309.32</v>
      </c>
      <c r="E2064" s="17" t="n">
        <f aca="false">AVERAGE(B1865:B2064)</f>
        <v>18225.97895</v>
      </c>
      <c r="F2064" s="17" t="n">
        <f aca="false">B2064*2/13+F2063*11/13</f>
        <v>19203.9974592507</v>
      </c>
      <c r="G2064" s="17" t="n">
        <f aca="false">B2064*2/27+G2063*25/27</f>
        <v>19198.447821559</v>
      </c>
      <c r="H2064" s="17" t="n">
        <f aca="false">F2064-G2064</f>
        <v>5.54963769173992</v>
      </c>
      <c r="I2064" s="17" t="n">
        <f aca="false">H2064*2/10+I2063*8/10</f>
        <v>-31.348363189238</v>
      </c>
      <c r="J2064" s="17" t="n">
        <f aca="false">H2064-I2064</f>
        <v>36.8980008809779</v>
      </c>
      <c r="K2064" s="17" t="n">
        <f aca="false">MAX(B2064-B2063,0)</f>
        <v>0</v>
      </c>
      <c r="L2064" s="17" t="n">
        <f aca="false">MAX(B2063-B2064,0)</f>
        <v>91.5299999999988</v>
      </c>
      <c r="M2064" s="17" t="n">
        <f aca="false">(M2063*13+K2064)/14</f>
        <v>116.452275549721</v>
      </c>
      <c r="N2064" s="17" t="n">
        <f aca="false">(N2063*13+L2064)/14</f>
        <v>99.2469024870733</v>
      </c>
      <c r="O2064" s="17" t="n">
        <f aca="false">IF(N2064=0,100,100-100/(1+M2064/N2064))</f>
        <v>53.9882797002854</v>
      </c>
      <c r="P2064" s="17" t="n">
        <f aca="false">AVERAGE(B2045:B2064)+2*STDEV(B2045:B2064)</f>
        <v>20099.7284116032</v>
      </c>
      <c r="Q2064" s="17" t="n">
        <f aca="false">AVERAGE(B2045:B2064)-2*STDEV(B2045:B2064)</f>
        <v>18519.5125883969</v>
      </c>
      <c r="R2064" s="19" t="n">
        <f aca="false">B2064/B2044-1</f>
        <v>-0.00438065009544542</v>
      </c>
      <c r="S2064" s="17" t="n">
        <f aca="false">STDEV(C2045:C2064)*SQRT(252)*100</f>
        <v>21.9388308409152</v>
      </c>
      <c r="T2064" s="19" t="n">
        <f aca="false">B2043/B1813-1</f>
        <v>0.282044282481714</v>
      </c>
      <c r="U2064" s="19" t="n">
        <f aca="false">B2064/MAX(B1813:B2064)-1</f>
        <v>-0.0605705916892458</v>
      </c>
      <c r="V2064" s="17" t="n">
        <f aca="false">(B2064-AVERAGE(B2045:B2064))/STDEV(B2045:B2064)</f>
        <v>0.287149383860309</v>
      </c>
    </row>
    <row r="2065" customFormat="false" ht="15" hidden="false" customHeight="false" outlineLevel="0" collapsed="false">
      <c r="A2065" s="17" t="s">
        <v>2629</v>
      </c>
      <c r="B2065" s="17" t="n">
        <v>19432.4</v>
      </c>
      <c r="C2065" s="19" t="n">
        <f aca="false">B2065/B2064-1</f>
        <v>0.000480871706106001</v>
      </c>
      <c r="D2065" s="17" t="n">
        <f aca="false">AVERAGE(B2016:B2065)</f>
        <v>19289.1772</v>
      </c>
      <c r="E2065" s="17" t="n">
        <f aca="false">AVERAGE(B1866:B2065)</f>
        <v>18243.20295</v>
      </c>
      <c r="F2065" s="17" t="n">
        <f aca="false">B2065*2/13+F2064*11/13</f>
        <v>19239.1363116737</v>
      </c>
      <c r="G2065" s="17" t="n">
        <f aca="false">B2065*2/27+G2064*25/27</f>
        <v>19215.7776125546</v>
      </c>
      <c r="H2065" s="17" t="n">
        <f aca="false">F2065-G2065</f>
        <v>23.3586991190714</v>
      </c>
      <c r="I2065" s="17" t="n">
        <f aca="false">H2065*2/10+I2064*8/10</f>
        <v>-20.4069507275761</v>
      </c>
      <c r="J2065" s="17" t="n">
        <f aca="false">H2065-I2065</f>
        <v>43.7656498466475</v>
      </c>
      <c r="K2065" s="17" t="n">
        <f aca="false">MAX(B2065-B2064,0)</f>
        <v>9.34000000000015</v>
      </c>
      <c r="L2065" s="17" t="n">
        <f aca="false">MAX(B2064-B2065,0)</f>
        <v>0</v>
      </c>
      <c r="M2065" s="17" t="n">
        <f aca="false">(M2064*13+K2065)/14</f>
        <v>108.801398724741</v>
      </c>
      <c r="N2065" s="17" t="n">
        <f aca="false">(N2064*13+L2065)/14</f>
        <v>92.157838023711</v>
      </c>
      <c r="O2065" s="17" t="n">
        <f aca="false">IF(N2065=0,100,100-100/(1+M2065/N2065))</f>
        <v>54.1410290391039</v>
      </c>
      <c r="P2065" s="17" t="n">
        <f aca="false">AVERAGE(B2046:B2065)+2*STDEV(B2046:B2065)</f>
        <v>20056.0189717479</v>
      </c>
      <c r="Q2065" s="17" t="n">
        <f aca="false">AVERAGE(B2046:B2065)-2*STDEV(B2046:B2065)</f>
        <v>18529.8130282521</v>
      </c>
      <c r="R2065" s="19" t="n">
        <f aca="false">B2065/B2045-1</f>
        <v>-0.016901837402594</v>
      </c>
      <c r="S2065" s="17" t="n">
        <f aca="false">STDEV(C2046:C2065)*SQRT(252)*100</f>
        <v>21.369164007965</v>
      </c>
      <c r="T2065" s="19" t="n">
        <f aca="false">B2044/B1814-1</f>
        <v>0.281316644521611</v>
      </c>
      <c r="U2065" s="19" t="n">
        <f aca="false">B2065/MAX(B1814:B2065)-1</f>
        <v>-0.0601188466669053</v>
      </c>
      <c r="V2065" s="17" t="n">
        <f aca="false">(B2065-AVERAGE(B2046:B2065))/STDEV(B2046:B2065)</f>
        <v>0.36557058526585</v>
      </c>
    </row>
    <row r="2066" customFormat="false" ht="15" hidden="false" customHeight="false" outlineLevel="0" collapsed="false">
      <c r="A2066" s="17" t="s">
        <v>2630</v>
      </c>
      <c r="B2066" s="17" t="n">
        <v>19344.49</v>
      </c>
      <c r="C2066" s="19" t="n">
        <f aca="false">B2066/B2065-1</f>
        <v>-0.00452388793972947</v>
      </c>
      <c r="D2066" s="17" t="n">
        <f aca="false">AVERAGE(B2017:B2066)</f>
        <v>19267.0066</v>
      </c>
      <c r="E2066" s="17" t="n">
        <f aca="false">AVERAGE(B1867:B2066)</f>
        <v>18260.18605</v>
      </c>
      <c r="F2066" s="17" t="n">
        <f aca="false">B2066*2/13+F2065*11/13</f>
        <v>19255.3445714162</v>
      </c>
      <c r="G2066" s="17" t="n">
        <f aca="false">B2066*2/27+G2065*25/27</f>
        <v>19225.3118634765</v>
      </c>
      <c r="H2066" s="17" t="n">
        <f aca="false">F2066-G2066</f>
        <v>30.032707939703</v>
      </c>
      <c r="I2066" s="17" t="n">
        <f aca="false">H2066*2/10+I2065*8/10</f>
        <v>-10.3190189941203</v>
      </c>
      <c r="J2066" s="17" t="n">
        <f aca="false">H2066-I2066</f>
        <v>40.3517269338233</v>
      </c>
      <c r="K2066" s="17" t="n">
        <f aca="false">MAX(B2066-B2065,0)</f>
        <v>0</v>
      </c>
      <c r="L2066" s="17" t="n">
        <f aca="false">MAX(B2065-B2066,0)</f>
        <v>87.9099999999999</v>
      </c>
      <c r="M2066" s="17" t="n">
        <f aca="false">(M2065*13+K2066)/14</f>
        <v>101.029870244402</v>
      </c>
      <c r="N2066" s="17" t="n">
        <f aca="false">(N2065*13+L2066)/14</f>
        <v>91.8544210220173</v>
      </c>
      <c r="O2066" s="17" t="n">
        <f aca="false">IF(N2066=0,100,100-100/(1+M2066/N2066))</f>
        <v>52.3784853505026</v>
      </c>
      <c r="P2066" s="17" t="n">
        <f aca="false">AVERAGE(B2047:B2066)+2*STDEV(B2047:B2066)</f>
        <v>20011.0588942584</v>
      </c>
      <c r="Q2066" s="17" t="n">
        <f aca="false">AVERAGE(B2047:B2066)-2*STDEV(B2047:B2066)</f>
        <v>18537.2401057416</v>
      </c>
      <c r="R2066" s="19" t="n">
        <f aca="false">B2066/B2046-1</f>
        <v>-0.0190331351908891</v>
      </c>
      <c r="S2066" s="17" t="n">
        <f aca="false">STDEV(C2047:C2066)*SQRT(252)*100</f>
        <v>21.404348067458</v>
      </c>
      <c r="T2066" s="19" t="n">
        <f aca="false">B2045/B1815-1</f>
        <v>0.301177718986547</v>
      </c>
      <c r="U2066" s="19" t="n">
        <f aca="false">B2066/MAX(B1815:B2066)-1</f>
        <v>-0.0643707636812479</v>
      </c>
      <c r="V2066" s="17" t="n">
        <f aca="false">(B2066-AVERAGE(B2047:B2066))/STDEV(B2047:B2066)</f>
        <v>0.190906780529751</v>
      </c>
    </row>
    <row r="2067" customFormat="false" ht="15" hidden="false" customHeight="false" outlineLevel="0" collapsed="false">
      <c r="A2067" s="17" t="s">
        <v>2631</v>
      </c>
      <c r="B2067" s="17" t="n">
        <v>19839.83</v>
      </c>
      <c r="C2067" s="19" t="n">
        <f aca="false">B2067/B2066-1</f>
        <v>0.0256062579059981</v>
      </c>
      <c r="D2067" s="17" t="n">
        <f aca="false">AVERAGE(B2018:B2067)</f>
        <v>19250.2956</v>
      </c>
      <c r="E2067" s="17" t="n">
        <f aca="false">AVERAGE(B1868:B2067)</f>
        <v>18279.3973</v>
      </c>
      <c r="F2067" s="17" t="n">
        <f aca="false">B2067*2/13+F2066*11/13</f>
        <v>19345.2654065829</v>
      </c>
      <c r="G2067" s="17" t="n">
        <f aca="false">B2067*2/27+G2066*25/27</f>
        <v>19270.8317254412</v>
      </c>
      <c r="H2067" s="17" t="n">
        <f aca="false">F2067-G2067</f>
        <v>74.4336811417379</v>
      </c>
      <c r="I2067" s="17" t="n">
        <f aca="false">H2067*2/10+I2066*8/10</f>
        <v>6.63152103305134</v>
      </c>
      <c r="J2067" s="17" t="n">
        <f aca="false">H2067-I2067</f>
        <v>67.8021601086866</v>
      </c>
      <c r="K2067" s="17" t="n">
        <f aca="false">MAX(B2067-B2066,0)</f>
        <v>495.34</v>
      </c>
      <c r="L2067" s="17" t="n">
        <f aca="false">MAX(B2066-B2067,0)</f>
        <v>0</v>
      </c>
      <c r="M2067" s="17" t="n">
        <f aca="false">(M2066*13+K2067)/14</f>
        <v>129.194879512659</v>
      </c>
      <c r="N2067" s="17" t="n">
        <f aca="false">(N2066*13+L2067)/14</f>
        <v>85.2933909490161</v>
      </c>
      <c r="O2067" s="17" t="n">
        <f aca="false">IF(N2067=0,100,100-100/(1+M2067/N2067))</f>
        <v>60.2340068454903</v>
      </c>
      <c r="P2067" s="17" t="n">
        <f aca="false">AVERAGE(B2048:B2067)+2*STDEV(B2048:B2067)</f>
        <v>20014.1933405252</v>
      </c>
      <c r="Q2067" s="17" t="n">
        <f aca="false">AVERAGE(B2048:B2067)-2*STDEV(B2048:B2067)</f>
        <v>18535.6046594748</v>
      </c>
      <c r="R2067" s="19" t="n">
        <f aca="false">B2067/B2047-1</f>
        <v>0.000756122117505198</v>
      </c>
      <c r="S2067" s="17" t="n">
        <f aca="false">STDEV(C2048:C2067)*SQRT(252)*100</f>
        <v>23.3092119551875</v>
      </c>
      <c r="T2067" s="19" t="n">
        <f aca="false">B2046/B1816-1</f>
        <v>0.317296284816485</v>
      </c>
      <c r="U2067" s="19" t="n">
        <f aca="false">B2067/MAX(B1816:B2067)-1</f>
        <v>-0.0404128001516779</v>
      </c>
      <c r="V2067" s="17" t="n">
        <f aca="false">(B2067-AVERAGE(B2048:B2067))/STDEV(B2048:B2067)</f>
        <v>1.52829791608753</v>
      </c>
    </row>
    <row r="2068" customFormat="false" ht="15" hidden="false" customHeight="false" outlineLevel="0" collapsed="false">
      <c r="A2068" s="17" t="s">
        <v>2632</v>
      </c>
      <c r="B2068" s="17" t="n">
        <v>19791.49</v>
      </c>
      <c r="C2068" s="19" t="n">
        <f aca="false">B2068/B2067-1</f>
        <v>-0.00243651281286184</v>
      </c>
      <c r="D2068" s="17" t="n">
        <f aca="false">AVERAGE(B2019:B2068)</f>
        <v>19241.8982</v>
      </c>
      <c r="E2068" s="17" t="n">
        <f aca="false">AVERAGE(B1869:B2068)</f>
        <v>18299.1564</v>
      </c>
      <c r="F2068" s="17" t="n">
        <f aca="false">B2068*2/13+F2067*11/13</f>
        <v>19413.9153440317</v>
      </c>
      <c r="G2068" s="17" t="n">
        <f aca="false">B2068*2/27+G2067*25/27</f>
        <v>19309.3990050381</v>
      </c>
      <c r="H2068" s="17" t="n">
        <f aca="false">F2068-G2068</f>
        <v>104.51633899357</v>
      </c>
      <c r="I2068" s="17" t="n">
        <f aca="false">H2068*2/10+I2067*8/10</f>
        <v>26.208484625155</v>
      </c>
      <c r="J2068" s="17" t="n">
        <f aca="false">H2068-I2068</f>
        <v>78.3078543684147</v>
      </c>
      <c r="K2068" s="17" t="n">
        <f aca="false">MAX(B2068-B2067,0)</f>
        <v>0</v>
      </c>
      <c r="L2068" s="17" t="n">
        <f aca="false">MAX(B2067-B2068,0)</f>
        <v>48.3400000000001</v>
      </c>
      <c r="M2068" s="17" t="n">
        <f aca="false">(M2067*13+K2068)/14</f>
        <v>119.966673833184</v>
      </c>
      <c r="N2068" s="17" t="n">
        <f aca="false">(N2067*13+L2068)/14</f>
        <v>82.6538630240864</v>
      </c>
      <c r="O2068" s="17" t="n">
        <f aca="false">IF(N2068=0,100,100-100/(1+M2068/N2068))</f>
        <v>59.2075589641195</v>
      </c>
      <c r="P2068" s="17" t="n">
        <f aca="false">AVERAGE(B2049:B2068)+2*STDEV(B2049:B2068)</f>
        <v>20059.2222891593</v>
      </c>
      <c r="Q2068" s="17" t="n">
        <f aca="false">AVERAGE(B2049:B2068)-2*STDEV(B2049:B2068)</f>
        <v>18520.5407108407</v>
      </c>
      <c r="R2068" s="19" t="n">
        <f aca="false">B2068/B2048-1</f>
        <v>0.0153730997176256</v>
      </c>
      <c r="S2068" s="17" t="n">
        <f aca="false">STDEV(C2049:C2068)*SQRT(252)*100</f>
        <v>22.4673618719169</v>
      </c>
      <c r="T2068" s="19" t="n">
        <f aca="false">B2047/B1817-1</f>
        <v>0.349157220788554</v>
      </c>
      <c r="U2068" s="19" t="n">
        <f aca="false">B2068/MAX(B1817:B2068)-1</f>
        <v>-0.0427508466591666</v>
      </c>
      <c r="V2068" s="17" t="n">
        <f aca="false">(B2068-AVERAGE(B2049:B2068))/STDEV(B2049:B2068)</f>
        <v>1.30399559484726</v>
      </c>
    </row>
    <row r="2069" customFormat="false" ht="15" hidden="false" customHeight="false" outlineLevel="0" collapsed="false">
      <c r="A2069" s="17" t="s">
        <v>2633</v>
      </c>
      <c r="B2069" s="17" t="n">
        <v>19852.2</v>
      </c>
      <c r="C2069" s="19" t="n">
        <f aca="false">B2069/B2068-1</f>
        <v>0.00306748001287427</v>
      </c>
      <c r="D2069" s="17" t="n">
        <f aca="false">AVERAGE(B2020:B2069)</f>
        <v>19232.3124</v>
      </c>
      <c r="E2069" s="17" t="n">
        <f aca="false">AVERAGE(B1870:B2069)</f>
        <v>18319.02885</v>
      </c>
      <c r="F2069" s="17" t="n">
        <f aca="false">B2069*2/13+F2068*11/13</f>
        <v>19481.3437526422</v>
      </c>
      <c r="G2069" s="17" t="n">
        <f aca="false">B2069*2/27+G2068*25/27</f>
        <v>19349.6064861464</v>
      </c>
      <c r="H2069" s="17" t="n">
        <f aca="false">F2069-G2069</f>
        <v>131.737266495791</v>
      </c>
      <c r="I2069" s="17" t="n">
        <f aca="false">H2069*2/10+I2068*8/10</f>
        <v>47.3142409992822</v>
      </c>
      <c r="J2069" s="17" t="n">
        <f aca="false">H2069-I2069</f>
        <v>84.4230254965089</v>
      </c>
      <c r="K2069" s="17" t="n">
        <f aca="false">MAX(B2069-B2068,0)</f>
        <v>60.7099999999991</v>
      </c>
      <c r="L2069" s="17" t="n">
        <f aca="false">MAX(B2068-B2069,0)</f>
        <v>0</v>
      </c>
      <c r="M2069" s="17" t="n">
        <f aca="false">(M2068*13+K2069)/14</f>
        <v>115.73405427367</v>
      </c>
      <c r="N2069" s="17" t="n">
        <f aca="false">(N2068*13+L2069)/14</f>
        <v>76.7500156652231</v>
      </c>
      <c r="O2069" s="17" t="n">
        <f aca="false">IF(N2069=0,100,100-100/(1+M2069/N2069))</f>
        <v>60.1265623230077</v>
      </c>
      <c r="P2069" s="17" t="n">
        <f aca="false">AVERAGE(B2050:B2069)+2*STDEV(B2050:B2069)</f>
        <v>20083.3196964524</v>
      </c>
      <c r="Q2069" s="17" t="n">
        <f aca="false">AVERAGE(B2050:B2069)-2*STDEV(B2050:B2069)</f>
        <v>18509.5763035476</v>
      </c>
      <c r="R2069" s="19" t="n">
        <f aca="false">B2069/B2049-1</f>
        <v>0.00665944250938222</v>
      </c>
      <c r="S2069" s="17" t="n">
        <f aca="false">STDEV(C2050:C2069)*SQRT(252)*100</f>
        <v>22.1177861250537</v>
      </c>
      <c r="T2069" s="19" t="n">
        <f aca="false">B2048/B1818-1</f>
        <v>0.325876294971125</v>
      </c>
      <c r="U2069" s="19" t="n">
        <f aca="false">B2069/MAX(B1818:B2069)-1</f>
        <v>-0.0398145040139528</v>
      </c>
      <c r="V2069" s="17" t="n">
        <f aca="false">(B2069-AVERAGE(B2050:B2069))/STDEV(B2050:B2069)</f>
        <v>1.41256065634485</v>
      </c>
    </row>
    <row r="2070" customFormat="false" ht="15" hidden="false" customHeight="false" outlineLevel="0" collapsed="false">
      <c r="A2070" s="17" t="s">
        <v>2634</v>
      </c>
      <c r="B2070" s="17" t="n">
        <v>19944.84</v>
      </c>
      <c r="C2070" s="19" t="n">
        <f aca="false">B2070/B2069-1</f>
        <v>0.00466648532656322</v>
      </c>
      <c r="D2070" s="17" t="n">
        <f aca="false">AVERAGE(B2021:B2070)</f>
        <v>19223.4716</v>
      </c>
      <c r="E2070" s="17" t="n">
        <f aca="false">AVERAGE(B1871:B2070)</f>
        <v>18339.8128</v>
      </c>
      <c r="F2070" s="17" t="n">
        <f aca="false">B2070*2/13+F2069*11/13</f>
        <v>19552.6508676203</v>
      </c>
      <c r="G2070" s="17" t="n">
        <f aca="false">B2070*2/27+G2069*25/27</f>
        <v>19393.697857543</v>
      </c>
      <c r="H2070" s="17" t="n">
        <f aca="false">F2070-G2070</f>
        <v>158.953010077352</v>
      </c>
      <c r="I2070" s="17" t="n">
        <f aca="false">H2070*2/10+I2069*8/10</f>
        <v>69.6419948148962</v>
      </c>
      <c r="J2070" s="17" t="n">
        <f aca="false">H2070-I2070</f>
        <v>89.3110152624556</v>
      </c>
      <c r="K2070" s="17" t="n">
        <f aca="false">MAX(B2070-B2069,0)</f>
        <v>92.6399999999994</v>
      </c>
      <c r="L2070" s="17" t="n">
        <f aca="false">MAX(B2069-B2070,0)</f>
        <v>0</v>
      </c>
      <c r="M2070" s="17" t="n">
        <f aca="false">(M2069*13+K2070)/14</f>
        <v>114.084478968408</v>
      </c>
      <c r="N2070" s="17" t="n">
        <f aca="false">(N2069*13+L2070)/14</f>
        <v>71.2678716891357</v>
      </c>
      <c r="O2070" s="17" t="n">
        <f aca="false">IF(N2070=0,100,100-100/(1+M2070/N2070))</f>
        <v>61.5500578027144</v>
      </c>
      <c r="P2070" s="17" t="n">
        <f aca="false">AVERAGE(B2051:B2070)+2*STDEV(B2051:B2070)</f>
        <v>20151.8669832532</v>
      </c>
      <c r="Q2070" s="17" t="n">
        <f aca="false">AVERAGE(B2051:B2070)-2*STDEV(B2051:B2070)</f>
        <v>18483.8690167468</v>
      </c>
      <c r="R2070" s="19" t="n">
        <f aca="false">B2070/B2050-1</f>
        <v>0.0219507246198589</v>
      </c>
      <c r="S2070" s="17" t="n">
        <f aca="false">STDEV(C2051:C2070)*SQRT(252)*100</f>
        <v>21.7862546007086</v>
      </c>
      <c r="T2070" s="19" t="n">
        <f aca="false">B2049/B1819-1</f>
        <v>0.335297144675636</v>
      </c>
      <c r="U2070" s="19" t="n">
        <f aca="false">B2070/MAX(B1819:B2070)-1</f>
        <v>-0.0353338124861551</v>
      </c>
      <c r="V2070" s="17" t="n">
        <f aca="false">(B2070-AVERAGE(B2051:B2070))/STDEV(B2051:B2070)</f>
        <v>1.50353180900619</v>
      </c>
    </row>
    <row r="2071" customFormat="false" ht="15" hidden="false" customHeight="false" outlineLevel="0" collapsed="false">
      <c r="A2071" s="17" t="s">
        <v>2635</v>
      </c>
      <c r="B2071" s="17" t="n">
        <v>19972.61</v>
      </c>
      <c r="C2071" s="19" t="n">
        <f aca="false">B2071/B2070-1</f>
        <v>0.00139234007392397</v>
      </c>
      <c r="D2071" s="17" t="n">
        <f aca="false">AVERAGE(B2022:B2071)</f>
        <v>19214.9514</v>
      </c>
      <c r="E2071" s="17" t="n">
        <f aca="false">AVERAGE(B1872:B2071)</f>
        <v>18359.5634</v>
      </c>
      <c r="F2071" s="17" t="n">
        <f aca="false">B2071*2/13+F2070*11/13</f>
        <v>19617.2599649095</v>
      </c>
      <c r="G2071" s="17" t="n">
        <f aca="false">B2071*2/27+G2070*25/27</f>
        <v>19436.5802384657</v>
      </c>
      <c r="H2071" s="17" t="n">
        <f aca="false">F2071-G2071</f>
        <v>180.679726443788</v>
      </c>
      <c r="I2071" s="17" t="n">
        <f aca="false">H2071*2/10+I2070*8/10</f>
        <v>91.8495411406746</v>
      </c>
      <c r="J2071" s="17" t="n">
        <f aca="false">H2071-I2071</f>
        <v>88.8301853031137</v>
      </c>
      <c r="K2071" s="17" t="n">
        <f aca="false">MAX(B2071-B2070,0)</f>
        <v>27.7700000000004</v>
      </c>
      <c r="L2071" s="17" t="n">
        <f aca="false">MAX(B2070-B2071,0)</f>
        <v>0</v>
      </c>
      <c r="M2071" s="17" t="n">
        <f aca="false">(M2070*13+K2071)/14</f>
        <v>107.919159042093</v>
      </c>
      <c r="N2071" s="17" t="n">
        <f aca="false">(N2070*13+L2071)/14</f>
        <v>66.177309425626</v>
      </c>
      <c r="O2071" s="17" t="n">
        <f aca="false">IF(N2071=0,100,100-100/(1+M2071/N2071))</f>
        <v>61.9881379512897</v>
      </c>
      <c r="P2071" s="17" t="n">
        <f aca="false">AVERAGE(B2052:B2071)+2*STDEV(B2052:B2071)</f>
        <v>20214.668199769</v>
      </c>
      <c r="Q2071" s="17" t="n">
        <f aca="false">AVERAGE(B2052:B2071)-2*STDEV(B2052:B2071)</f>
        <v>18460.176800231</v>
      </c>
      <c r="R2071" s="19" t="n">
        <f aca="false">B2071/B2051-1</f>
        <v>0.0199724025509767</v>
      </c>
      <c r="S2071" s="17" t="n">
        <f aca="false">STDEV(C2052:C2071)*SQRT(252)*100</f>
        <v>21.7716363497511</v>
      </c>
      <c r="T2071" s="19" t="n">
        <f aca="false">B2050/B1820-1</f>
        <v>0.341720616836578</v>
      </c>
      <c r="U2071" s="19" t="n">
        <f aca="false">B2071/MAX(B1820:B2071)-1</f>
        <v>-0.0339906690953201</v>
      </c>
      <c r="V2071" s="17" t="n">
        <f aca="false">(B2071-AVERAGE(B2052:B2071))/STDEV(B2052:B2071)</f>
        <v>1.44814047003543</v>
      </c>
    </row>
    <row r="2072" customFormat="false" ht="15" hidden="false" customHeight="false" outlineLevel="0" collapsed="false">
      <c r="A2072" s="17" t="s">
        <v>2636</v>
      </c>
      <c r="B2072" s="17" t="n">
        <v>20115.54</v>
      </c>
      <c r="C2072" s="19" t="n">
        <f aca="false">B2072/B2071-1</f>
        <v>0.00715630055360816</v>
      </c>
      <c r="D2072" s="17" t="n">
        <f aca="false">AVERAGE(B2023:B2072)</f>
        <v>19221.2794</v>
      </c>
      <c r="E2072" s="17" t="n">
        <f aca="false">AVERAGE(B1873:B2072)</f>
        <v>18379.71765</v>
      </c>
      <c r="F2072" s="17" t="n">
        <f aca="false">B2072*2/13+F2071*11/13</f>
        <v>19693.9184318465</v>
      </c>
      <c r="G2072" s="17" t="n">
        <f aca="false">B2072*2/27+G2071*25/27</f>
        <v>19486.8735541349</v>
      </c>
      <c r="H2072" s="17" t="n">
        <f aca="false">F2072-G2072</f>
        <v>207.044877711578</v>
      </c>
      <c r="I2072" s="17" t="n">
        <f aca="false">H2072*2/10+I2071*8/10</f>
        <v>114.888608454855</v>
      </c>
      <c r="J2072" s="17" t="n">
        <f aca="false">H2072-I2072</f>
        <v>92.1562692567228</v>
      </c>
      <c r="K2072" s="17" t="n">
        <f aca="false">MAX(B2072-B2071,0)</f>
        <v>142.93</v>
      </c>
      <c r="L2072" s="17" t="n">
        <f aca="false">MAX(B2071-B2072,0)</f>
        <v>0</v>
      </c>
      <c r="M2072" s="17" t="n">
        <f aca="false">(M2071*13+K2072)/14</f>
        <v>110.41993339623</v>
      </c>
      <c r="N2072" s="17" t="n">
        <f aca="false">(N2071*13+L2072)/14</f>
        <v>61.450358752367</v>
      </c>
      <c r="O2072" s="17" t="n">
        <f aca="false">IF(N2072=0,100,100-100/(1+M2072/N2072))</f>
        <v>64.2460846582853</v>
      </c>
      <c r="P2072" s="17" t="n">
        <f aca="false">AVERAGE(B2053:B2072)+2*STDEV(B2053:B2072)</f>
        <v>20319.4998722055</v>
      </c>
      <c r="Q2072" s="17" t="n">
        <f aca="false">AVERAGE(B2053:B2072)-2*STDEV(B2053:B2072)</f>
        <v>18431.8211277945</v>
      </c>
      <c r="R2072" s="19" t="n">
        <f aca="false">B2072/B2052-1</f>
        <v>0.0395208875301152</v>
      </c>
      <c r="S2072" s="17" t="n">
        <f aca="false">STDEV(C2053:C2072)*SQRT(252)*100</f>
        <v>21.3208881096193</v>
      </c>
      <c r="T2072" s="19" t="n">
        <f aca="false">B2051/B1821-1</f>
        <v>0.343025042249193</v>
      </c>
      <c r="U2072" s="19" t="n">
        <f aca="false">B2072/MAX(B1821:B2072)-1</f>
        <v>-0.0270776159857763</v>
      </c>
      <c r="V2072" s="17" t="n">
        <f aca="false">(B2072-AVERAGE(B2053:B2072))/STDEV(B2053:B2072)</f>
        <v>1.56780808639314</v>
      </c>
    </row>
    <row r="2073" customFormat="false" ht="15" hidden="false" customHeight="false" outlineLevel="0" collapsed="false">
      <c r="A2073" s="17" t="s">
        <v>2637</v>
      </c>
      <c r="B2073" s="17" t="n">
        <v>20008.62</v>
      </c>
      <c r="C2073" s="19" t="n">
        <f aca="false">B2073/B2072-1</f>
        <v>-0.0053152935491666</v>
      </c>
      <c r="D2073" s="17" t="n">
        <f aca="false">AVERAGE(B2024:B2073)</f>
        <v>19227.35</v>
      </c>
      <c r="E2073" s="17" t="n">
        <f aca="false">AVERAGE(B1874:B2073)</f>
        <v>18398.6521</v>
      </c>
      <c r="F2073" s="17" t="n">
        <f aca="false">B2073*2/13+F2072*11/13</f>
        <v>19742.3340577163</v>
      </c>
      <c r="G2073" s="17" t="n">
        <f aca="false">B2073*2/27+G2072*25/27</f>
        <v>19525.5214390138</v>
      </c>
      <c r="H2073" s="17" t="n">
        <f aca="false">F2073-G2073</f>
        <v>216.812618702454</v>
      </c>
      <c r="I2073" s="17" t="n">
        <f aca="false">H2073*2/10+I2072*8/10</f>
        <v>135.273410504375</v>
      </c>
      <c r="J2073" s="17" t="n">
        <f aca="false">H2073-I2073</f>
        <v>81.5392081980787</v>
      </c>
      <c r="K2073" s="17" t="n">
        <f aca="false">MAX(B2073-B2072,0)</f>
        <v>0</v>
      </c>
      <c r="L2073" s="17" t="n">
        <f aca="false">MAX(B2072-B2073,0)</f>
        <v>106.920000000002</v>
      </c>
      <c r="M2073" s="17" t="n">
        <f aca="false">(M2072*13+K2073)/14</f>
        <v>102.532795296499</v>
      </c>
      <c r="N2073" s="17" t="n">
        <f aca="false">(N2072*13+L2073)/14</f>
        <v>64.6981902700552</v>
      </c>
      <c r="O2073" s="17" t="n">
        <f aca="false">IF(N2073=0,100,100-100/(1+M2073/N2073))</f>
        <v>61.3120797854134</v>
      </c>
      <c r="P2073" s="17" t="n">
        <f aca="false">AVERAGE(B2054:B2073)+2*STDEV(B2054:B2073)</f>
        <v>20394.5696961428</v>
      </c>
      <c r="Q2073" s="17" t="n">
        <f aca="false">AVERAGE(B2054:B2073)-2*STDEV(B2054:B2073)</f>
        <v>18425.0683038572</v>
      </c>
      <c r="R2073" s="19" t="n">
        <f aca="false">B2073/B2053-1</f>
        <v>0.0353507939013062</v>
      </c>
      <c r="S2073" s="17" t="n">
        <f aca="false">STDEV(C2054:C2073)*SQRT(252)*100</f>
        <v>21.4510339213637</v>
      </c>
      <c r="T2073" s="19" t="n">
        <f aca="false">B2052/B1822-1</f>
        <v>0.31613158608888</v>
      </c>
      <c r="U2073" s="19" t="n">
        <f aca="false">B2073/MAX(B1822:B2073)-1</f>
        <v>-0.0322489840573669</v>
      </c>
      <c r="V2073" s="17" t="n">
        <f aca="false">(B2073-AVERAGE(B2054:B2073))/STDEV(B2054:B2073)</f>
        <v>1.21614740125694</v>
      </c>
    </row>
    <row r="2074" customFormat="false" ht="15" hidden="false" customHeight="false" outlineLevel="0" collapsed="false">
      <c r="A2074" s="17" t="s">
        <v>2638</v>
      </c>
      <c r="B2074" s="17" t="n">
        <v>20060.69</v>
      </c>
      <c r="C2074" s="19" t="n">
        <f aca="false">B2074/B2073-1</f>
        <v>0.0026023783749205</v>
      </c>
      <c r="D2074" s="17" t="n">
        <f aca="false">AVERAGE(B2025:B2074)</f>
        <v>19238.1114</v>
      </c>
      <c r="E2074" s="17" t="n">
        <f aca="false">AVERAGE(B1875:B2074)</f>
        <v>18417.1843</v>
      </c>
      <c r="F2074" s="17" t="n">
        <f aca="false">B2074*2/13+F2073*11/13</f>
        <v>19791.3118949907</v>
      </c>
      <c r="G2074" s="17" t="n">
        <f aca="false">B2074*2/27+G2073*25/27</f>
        <v>19565.1635546424</v>
      </c>
      <c r="H2074" s="17" t="n">
        <f aca="false">F2074-G2074</f>
        <v>226.148340348263</v>
      </c>
      <c r="I2074" s="17" t="n">
        <f aca="false">H2074*2/10+I2073*8/10</f>
        <v>153.448396473153</v>
      </c>
      <c r="J2074" s="17" t="n">
        <f aca="false">H2074-I2074</f>
        <v>72.6999438751108</v>
      </c>
      <c r="K2074" s="17" t="n">
        <f aca="false">MAX(B2074-B2073,0)</f>
        <v>52.0699999999997</v>
      </c>
      <c r="L2074" s="17" t="n">
        <f aca="false">MAX(B2073-B2074,0)</f>
        <v>0</v>
      </c>
      <c r="M2074" s="17" t="n">
        <f aca="false">(M2073*13+K2074)/14</f>
        <v>98.9283099181775</v>
      </c>
      <c r="N2074" s="17" t="n">
        <f aca="false">(N2073*13+L2074)/14</f>
        <v>60.0768909650513</v>
      </c>
      <c r="O2074" s="17" t="n">
        <f aca="false">IF(N2074=0,100,100-100/(1+M2074/N2074))</f>
        <v>62.2170277252938</v>
      </c>
      <c r="P2074" s="17" t="n">
        <f aca="false">AVERAGE(B2055:B2074)+2*STDEV(B2055:B2074)</f>
        <v>20459.1648675914</v>
      </c>
      <c r="Q2074" s="17" t="n">
        <f aca="false">AVERAGE(B2055:B2074)-2*STDEV(B2055:B2074)</f>
        <v>18409.0781324086</v>
      </c>
      <c r="R2074" s="19" t="n">
        <f aca="false">B2074/B2054-1</f>
        <v>0.0248305971399729</v>
      </c>
      <c r="S2074" s="17" t="n">
        <f aca="false">STDEV(C2055:C2074)*SQRT(252)*100</f>
        <v>21.0540971841403</v>
      </c>
      <c r="T2074" s="19" t="n">
        <f aca="false">B2053/B1823-1</f>
        <v>0.31329492417385</v>
      </c>
      <c r="U2074" s="19" t="n">
        <f aca="false">B2074/MAX(B1823:B2074)-1</f>
        <v>-0.0297305297411705</v>
      </c>
      <c r="V2074" s="17" t="n">
        <f aca="false">(B2074-AVERAGE(B2055:B2074))/STDEV(B2055:B2074)</f>
        <v>1.22252095825422</v>
      </c>
    </row>
    <row r="2075" customFormat="false" ht="15" hidden="false" customHeight="false" outlineLevel="0" collapsed="false">
      <c r="A2075" s="17" t="s">
        <v>2639</v>
      </c>
      <c r="B2075" s="17" t="n">
        <v>19773.3</v>
      </c>
      <c r="C2075" s="19" t="n">
        <f aca="false">B2075/B2074-1</f>
        <v>-0.0143260276690382</v>
      </c>
      <c r="D2075" s="17" t="n">
        <f aca="false">AVERAGE(B2026:B2075)</f>
        <v>19237.12</v>
      </c>
      <c r="E2075" s="17" t="n">
        <f aca="false">AVERAGE(B1876:B2075)</f>
        <v>18433.23895</v>
      </c>
      <c r="F2075" s="17" t="n">
        <f aca="false">B2075*2/13+F2074*11/13</f>
        <v>19788.5408342229</v>
      </c>
      <c r="G2075" s="17" t="n">
        <f aca="false">B2075*2/27+G2074*25/27</f>
        <v>19580.5810691134</v>
      </c>
      <c r="H2075" s="17" t="n">
        <f aca="false">F2075-G2075</f>
        <v>207.959765109536</v>
      </c>
      <c r="I2075" s="17" t="n">
        <f aca="false">H2075*2/10+I2074*8/10</f>
        <v>164.350670200429</v>
      </c>
      <c r="J2075" s="17" t="n">
        <f aca="false">H2075-I2075</f>
        <v>43.6090949091063</v>
      </c>
      <c r="K2075" s="17" t="n">
        <f aca="false">MAX(B2075-B2074,0)</f>
        <v>0</v>
      </c>
      <c r="L2075" s="17" t="n">
        <f aca="false">MAX(B2074-B2075,0)</f>
        <v>287.389999999999</v>
      </c>
      <c r="M2075" s="17" t="n">
        <f aca="false">(M2074*13+K2075)/14</f>
        <v>91.8620020668791</v>
      </c>
      <c r="N2075" s="17" t="n">
        <f aca="false">(N2074*13+L2075)/14</f>
        <v>76.3135416104047</v>
      </c>
      <c r="O2075" s="17" t="n">
        <f aca="false">IF(N2075=0,100,100-100/(1+M2075/N2075))</f>
        <v>54.6226877334527</v>
      </c>
      <c r="P2075" s="17" t="n">
        <f aca="false">AVERAGE(B2056:B2075)+2*STDEV(B2056:B2075)</f>
        <v>20484.9844712312</v>
      </c>
      <c r="Q2075" s="17" t="n">
        <f aca="false">AVERAGE(B2056:B2075)-2*STDEV(B2056:B2075)</f>
        <v>18464.7145287688</v>
      </c>
      <c r="R2075" s="19" t="n">
        <f aca="false">B2075/B2055-1</f>
        <v>0.0429648805775067</v>
      </c>
      <c r="S2075" s="17" t="n">
        <f aca="false">STDEV(C2056:C2075)*SQRT(252)*100</f>
        <v>18.2011740380735</v>
      </c>
      <c r="T2075" s="19" t="n">
        <f aca="false">B2054/B1824-1</f>
        <v>0.319261846784885</v>
      </c>
      <c r="U2075" s="19" t="n">
        <f aca="false">B2075/MAX(B1824:B2075)-1</f>
        <v>-0.0436306370185217</v>
      </c>
      <c r="V2075" s="17" t="n">
        <f aca="false">(B2075-AVERAGE(B2056:B2075))/STDEV(B2056:B2075)</f>
        <v>0.590912122636919</v>
      </c>
    </row>
    <row r="2076" customFormat="false" ht="15" hidden="false" customHeight="false" outlineLevel="0" collapsed="false">
      <c r="A2076" s="17" t="s">
        <v>2640</v>
      </c>
      <c r="B2076" s="17" t="n">
        <v>19802.59</v>
      </c>
      <c r="C2076" s="19" t="n">
        <f aca="false">B2076/B2075-1</f>
        <v>0.00148129042699008</v>
      </c>
      <c r="D2076" s="17" t="n">
        <f aca="false">AVERAGE(B2027:B2076)</f>
        <v>19238.085</v>
      </c>
      <c r="E2076" s="17" t="n">
        <f aca="false">AVERAGE(B1877:B2076)</f>
        <v>18449.56275</v>
      </c>
      <c r="F2076" s="17" t="n">
        <f aca="false">B2076*2/13+F2075*11/13</f>
        <v>19790.7022443425</v>
      </c>
      <c r="G2076" s="17" t="n">
        <f aca="false">B2076*2/27+G2075*25/27</f>
        <v>19597.026175105</v>
      </c>
      <c r="H2076" s="17" t="n">
        <f aca="false">F2076-G2076</f>
        <v>193.676069237488</v>
      </c>
      <c r="I2076" s="17" t="n">
        <f aca="false">H2076*2/10+I2075*8/10</f>
        <v>170.215750007841</v>
      </c>
      <c r="J2076" s="17" t="n">
        <f aca="false">H2076-I2076</f>
        <v>23.4603192296473</v>
      </c>
      <c r="K2076" s="17" t="n">
        <f aca="false">MAX(B2076-B2075,0)</f>
        <v>29.2900000000009</v>
      </c>
      <c r="L2076" s="17" t="n">
        <f aca="false">MAX(B2075-B2076,0)</f>
        <v>0</v>
      </c>
      <c r="M2076" s="17" t="n">
        <f aca="false">(M2075*13+K2076)/14</f>
        <v>87.3925733478164</v>
      </c>
      <c r="N2076" s="17" t="n">
        <f aca="false">(N2075*13+L2076)/14</f>
        <v>70.8625743525187</v>
      </c>
      <c r="O2076" s="17" t="n">
        <f aca="false">IF(N2076=0,100,100-100/(1+M2076/N2076))</f>
        <v>55.2225786129239</v>
      </c>
      <c r="P2076" s="17" t="n">
        <f aca="false">AVERAGE(B2057:B2076)+2*STDEV(B2057:B2076)</f>
        <v>20503.9607305123</v>
      </c>
      <c r="Q2076" s="17" t="n">
        <f aca="false">AVERAGE(B2057:B2076)-2*STDEV(B2057:B2076)</f>
        <v>18533.8572694877</v>
      </c>
      <c r="R2076" s="19" t="n">
        <f aca="false">B2076/B2056-1</f>
        <v>0.0465710782500237</v>
      </c>
      <c r="S2076" s="17" t="n">
        <f aca="false">STDEV(C2057:C2076)*SQRT(252)*100</f>
        <v>18.1382392240651</v>
      </c>
      <c r="T2076" s="19" t="n">
        <f aca="false">B2055/B1825-1</f>
        <v>0.301608857020848</v>
      </c>
      <c r="U2076" s="19" t="n">
        <f aca="false">B2076/MAX(B1825:B2076)-1</f>
        <v>-0.0422139762364707</v>
      </c>
      <c r="V2076" s="17" t="n">
        <f aca="false">(B2076-AVERAGE(B2057:B2076))/STDEV(B2057:B2076)</f>
        <v>0.575971781405769</v>
      </c>
    </row>
    <row r="2077" customFormat="false" ht="15" hidden="false" customHeight="false" outlineLevel="0" collapsed="false">
      <c r="A2077" s="17" t="s">
        <v>2641</v>
      </c>
      <c r="B2077" s="17" t="n">
        <v>19793.34</v>
      </c>
      <c r="C2077" s="19" t="n">
        <f aca="false">B2077/B2076-1</f>
        <v>-0.000467110615328559</v>
      </c>
      <c r="D2077" s="17" t="n">
        <f aca="false">AVERAGE(B2028:B2077)</f>
        <v>19253.304</v>
      </c>
      <c r="E2077" s="17" t="n">
        <f aca="false">AVERAGE(B1878:B2077)</f>
        <v>18465.4122</v>
      </c>
      <c r="F2077" s="17" t="n">
        <f aca="false">B2077*2/13+F2076*11/13</f>
        <v>19791.1080529052</v>
      </c>
      <c r="G2077" s="17" t="n">
        <f aca="false">B2077*2/27+G2076*25/27</f>
        <v>19611.567939912</v>
      </c>
      <c r="H2077" s="17" t="n">
        <f aca="false">F2077-G2077</f>
        <v>179.540112993149</v>
      </c>
      <c r="I2077" s="17" t="n">
        <f aca="false">H2077*2/10+I2076*8/10</f>
        <v>172.080622604903</v>
      </c>
      <c r="J2077" s="17" t="n">
        <f aca="false">H2077-I2077</f>
        <v>7.45949038824625</v>
      </c>
      <c r="K2077" s="17" t="n">
        <f aca="false">MAX(B2077-B2076,0)</f>
        <v>0</v>
      </c>
      <c r="L2077" s="17" t="n">
        <f aca="false">MAX(B2076-B2077,0)</f>
        <v>9.25</v>
      </c>
      <c r="M2077" s="17" t="n">
        <f aca="false">(M2076*13+K2077)/14</f>
        <v>81.1502466801152</v>
      </c>
      <c r="N2077" s="17" t="n">
        <f aca="false">(N2076*13+L2077)/14</f>
        <v>66.4616761844816</v>
      </c>
      <c r="O2077" s="17" t="n">
        <f aca="false">IF(N2077=0,100,100-100/(1+M2077/N2077))</f>
        <v>54.9754011094034</v>
      </c>
      <c r="P2077" s="17" t="n">
        <f aca="false">AVERAGE(B2058:B2077)+2*STDEV(B2058:B2077)</f>
        <v>20513.590195082</v>
      </c>
      <c r="Q2077" s="17" t="n">
        <f aca="false">AVERAGE(B2058:B2077)-2*STDEV(B2058:B2077)</f>
        <v>18610.528804918</v>
      </c>
      <c r="R2077" s="19" t="n">
        <f aca="false">B2077/B2057-1</f>
        <v>0.0455887456795523</v>
      </c>
      <c r="S2077" s="17" t="n">
        <f aca="false">STDEV(C2058:C2077)*SQRT(252)*100</f>
        <v>18.1541264563217</v>
      </c>
      <c r="T2077" s="19" t="n">
        <f aca="false">B2056/B1826-1</f>
        <v>0.280527874122325</v>
      </c>
      <c r="U2077" s="19" t="n">
        <f aca="false">B2077/MAX(B1826:B2077)-1</f>
        <v>-0.042661368255384</v>
      </c>
      <c r="V2077" s="17" t="n">
        <f aca="false">(B2077-AVERAGE(B2058:B2077))/STDEV(B2058:B2077)</f>
        <v>0.48612304615161</v>
      </c>
    </row>
    <row r="2078" customFormat="false" ht="15" hidden="false" customHeight="false" outlineLevel="0" collapsed="false">
      <c r="A2078" s="17" t="s">
        <v>2642</v>
      </c>
      <c r="B2078" s="17" t="n">
        <v>20035.02</v>
      </c>
      <c r="C2078" s="19" t="n">
        <f aca="false">B2078/B2077-1</f>
        <v>0.0122101676624562</v>
      </c>
      <c r="D2078" s="17" t="n">
        <f aca="false">AVERAGE(B2029:B2078)</f>
        <v>19277.3928</v>
      </c>
      <c r="E2078" s="17" t="n">
        <f aca="false">AVERAGE(B1879:B2078)</f>
        <v>18481.9383</v>
      </c>
      <c r="F2078" s="17" t="n">
        <f aca="false">B2078*2/13+F2077*11/13</f>
        <v>19828.6329678428</v>
      </c>
      <c r="G2078" s="17" t="n">
        <f aca="false">B2078*2/27+G2077*25/27</f>
        <v>19642.9347591778</v>
      </c>
      <c r="H2078" s="17" t="n">
        <f aca="false">F2078-G2078</f>
        <v>185.698208665042</v>
      </c>
      <c r="I2078" s="17" t="n">
        <f aca="false">H2078*2/10+I2077*8/10</f>
        <v>174.804139816931</v>
      </c>
      <c r="J2078" s="17" t="n">
        <f aca="false">H2078-I2078</f>
        <v>10.8940688481118</v>
      </c>
      <c r="K2078" s="17" t="n">
        <f aca="false">MAX(B2078-B2077,0)</f>
        <v>241.68</v>
      </c>
      <c r="L2078" s="17" t="n">
        <f aca="false">MAX(B2077-B2078,0)</f>
        <v>0</v>
      </c>
      <c r="M2078" s="17" t="n">
        <f aca="false">(M2077*13+K2078)/14</f>
        <v>92.6166576315356</v>
      </c>
      <c r="N2078" s="17" t="n">
        <f aca="false">(N2077*13+L2078)/14</f>
        <v>61.7144135998758</v>
      </c>
      <c r="O2078" s="17" t="n">
        <f aca="false">IF(N2078=0,100,100-100/(1+M2078/N2078))</f>
        <v>60.0116728877374</v>
      </c>
      <c r="P2078" s="17" t="n">
        <f aca="false">AVERAGE(B2059:B2078)+2*STDEV(B2059:B2078)</f>
        <v>20449.6728800488</v>
      </c>
      <c r="Q2078" s="17" t="n">
        <f aca="false">AVERAGE(B2059:B2078)-2*STDEV(B2059:B2078)</f>
        <v>18835.8171199512</v>
      </c>
      <c r="R2078" s="19" t="n">
        <f aca="false">B2078/B2058-1</f>
        <v>0.0876001761003966</v>
      </c>
      <c r="S2078" s="17" t="n">
        <f aca="false">STDEV(C2059:C2078)*SQRT(252)*100</f>
        <v>14.8163253231451</v>
      </c>
      <c r="T2078" s="19" t="n">
        <f aca="false">B2057/B1827-1</f>
        <v>0.285746596192953</v>
      </c>
      <c r="U2078" s="19" t="n">
        <f aca="false">B2078/MAX(B1827:B2078)-1</f>
        <v>-0.0309721030520358</v>
      </c>
      <c r="V2078" s="17" t="n">
        <f aca="false">(B2078-AVERAGE(B2059:B2078))/STDEV(B2059:B2078)</f>
        <v>0.972267806575947</v>
      </c>
    </row>
    <row r="2079" customFormat="false" ht="15" hidden="false" customHeight="false" outlineLevel="0" collapsed="false">
      <c r="A2079" s="17" t="s">
        <v>2643</v>
      </c>
      <c r="B2079" s="17" t="n">
        <v>19800.74</v>
      </c>
      <c r="C2079" s="19" t="n">
        <f aca="false">B2079/B2078-1</f>
        <v>-0.0116935246383582</v>
      </c>
      <c r="D2079" s="17" t="n">
        <f aca="false">AVERAGE(B2030:B2079)</f>
        <v>19292.9344</v>
      </c>
      <c r="E2079" s="17" t="n">
        <f aca="false">AVERAGE(B1880:B2079)</f>
        <v>18496.88275</v>
      </c>
      <c r="F2079" s="17" t="n">
        <f aca="false">B2079*2/13+F2078*11/13</f>
        <v>19824.3417420209</v>
      </c>
      <c r="G2079" s="17" t="n">
        <f aca="false">B2079*2/27+G2078*25/27</f>
        <v>19654.6240362757</v>
      </c>
      <c r="H2079" s="17" t="n">
        <f aca="false">F2079-G2079</f>
        <v>169.717705745126</v>
      </c>
      <c r="I2079" s="17" t="n">
        <f aca="false">H2079*2/10+I2078*8/10</f>
        <v>173.78685300257</v>
      </c>
      <c r="J2079" s="17" t="n">
        <f aca="false">H2079-I2079</f>
        <v>-4.06914725744338</v>
      </c>
      <c r="K2079" s="17" t="n">
        <f aca="false">MAX(B2079-B2078,0)</f>
        <v>0</v>
      </c>
      <c r="L2079" s="17" t="n">
        <f aca="false">MAX(B2078-B2079,0)</f>
        <v>234.279999999999</v>
      </c>
      <c r="M2079" s="17" t="n">
        <f aca="false">(M2078*13+K2079)/14</f>
        <v>86.0011820864259</v>
      </c>
      <c r="N2079" s="17" t="n">
        <f aca="false">(N2078*13+L2079)/14</f>
        <v>74.0405269141703</v>
      </c>
      <c r="O2079" s="17" t="n">
        <f aca="false">IF(N2079=0,100,100-100/(1+M2079/N2079))</f>
        <v>53.7367306457003</v>
      </c>
      <c r="P2079" s="17" t="n">
        <f aca="false">AVERAGE(B2060:B2079)+2*STDEV(B2060:B2079)</f>
        <v>20362.8475937693</v>
      </c>
      <c r="Q2079" s="17" t="n">
        <f aca="false">AVERAGE(B2060:B2079)-2*STDEV(B2060:B2079)</f>
        <v>19036.6384062307</v>
      </c>
      <c r="R2079" s="19" t="n">
        <f aca="false">B2079/B2059-1</f>
        <v>0.0610885504250092</v>
      </c>
      <c r="S2079" s="17" t="n">
        <f aca="false">STDEV(C2060:C2079)*SQRT(252)*100</f>
        <v>15.4606392152027</v>
      </c>
      <c r="T2079" s="19" t="n">
        <f aca="false">B2058/B1828-1</f>
        <v>0.230282156700888</v>
      </c>
      <c r="U2079" s="19" t="n">
        <f aca="false">B2079/MAX(B1828:B2079)-1</f>
        <v>-0.0423034546402532</v>
      </c>
      <c r="V2079" s="17" t="n">
        <f aca="false">(B2079-AVERAGE(B2060:B2079))/STDEV(B2060:B2079)</f>
        <v>0.304618610545011</v>
      </c>
    </row>
    <row r="2080" customFormat="false" ht="15" hidden="false" customHeight="false" outlineLevel="0" collapsed="false">
      <c r="A2080" s="17" t="s">
        <v>2644</v>
      </c>
      <c r="B2080" s="17" t="n">
        <v>20107.78</v>
      </c>
      <c r="C2080" s="19" t="n">
        <f aca="false">B2080/B2079-1</f>
        <v>0.0155064911715419</v>
      </c>
      <c r="D2080" s="17" t="n">
        <f aca="false">AVERAGE(B2031:B2080)</f>
        <v>19313.9002</v>
      </c>
      <c r="E2080" s="17" t="n">
        <f aca="false">AVERAGE(B1881:B2080)</f>
        <v>18514.65085</v>
      </c>
      <c r="F2080" s="17" t="n">
        <f aca="false">B2080*2/13+F2079*11/13</f>
        <v>19867.9476278638</v>
      </c>
      <c r="G2080" s="17" t="n">
        <f aca="false">B2080*2/27+G2079*25/27</f>
        <v>19688.1911446997</v>
      </c>
      <c r="H2080" s="17" t="n">
        <f aca="false">F2080-G2080</f>
        <v>179.756483164052</v>
      </c>
      <c r="I2080" s="17" t="n">
        <f aca="false">H2080*2/10+I2079*8/10</f>
        <v>174.980779034866</v>
      </c>
      <c r="J2080" s="17" t="n">
        <f aca="false">H2080-I2080</f>
        <v>4.7757041291859</v>
      </c>
      <c r="K2080" s="17" t="n">
        <f aca="false">MAX(B2080-B2079,0)</f>
        <v>307.039999999997</v>
      </c>
      <c r="L2080" s="17" t="n">
        <f aca="false">MAX(B2079-B2080,0)</f>
        <v>0</v>
      </c>
      <c r="M2080" s="17" t="n">
        <f aca="false">(M2079*13+K2080)/14</f>
        <v>101.789669080252</v>
      </c>
      <c r="N2080" s="17" t="n">
        <f aca="false">(N2079*13+L2080)/14</f>
        <v>68.7519178488724</v>
      </c>
      <c r="O2080" s="17" t="n">
        <f aca="false">IF(N2080=0,100,100-100/(1+M2080/N2080))</f>
        <v>59.686127538238</v>
      </c>
      <c r="P2080" s="17" t="n">
        <f aca="false">AVERAGE(B2061:B2080)+2*STDEV(B2061:B2080)</f>
        <v>20309.5514431435</v>
      </c>
      <c r="Q2080" s="17" t="n">
        <f aca="false">AVERAGE(B2061:B2080)-2*STDEV(B2061:B2080)</f>
        <v>19217.7985568565</v>
      </c>
      <c r="R2080" s="19" t="n">
        <f aca="false">B2080/B2060-1</f>
        <v>0.0679075093180039</v>
      </c>
      <c r="S2080" s="17" t="n">
        <f aca="false">STDEV(C2061:C2080)*SQRT(252)*100</f>
        <v>15.958187364942</v>
      </c>
      <c r="T2080" s="19" t="n">
        <f aca="false">B2059/B1829-1</f>
        <v>0.240153783274573</v>
      </c>
      <c r="U2080" s="19" t="n">
        <f aca="false">B2080/MAX(B1829:B2080)-1</f>
        <v>-0.0274529416146161</v>
      </c>
      <c r="V2080" s="17" t="n">
        <f aca="false">(B2080-AVERAGE(B2061:B2080))/STDEV(B2061:B2080)</f>
        <v>1.26074317484175</v>
      </c>
    </row>
    <row r="2081" customFormat="false" ht="15" hidden="false" customHeight="false" outlineLevel="0" collapsed="false">
      <c r="A2081" s="17" t="s">
        <v>2645</v>
      </c>
      <c r="B2081" s="17" t="n">
        <v>20268.86</v>
      </c>
      <c r="C2081" s="19" t="n">
        <f aca="false">B2081/B2080-1</f>
        <v>0.00801082963907507</v>
      </c>
      <c r="D2081" s="17" t="n">
        <f aca="false">AVERAGE(B2032:B2081)</f>
        <v>19343.352</v>
      </c>
      <c r="E2081" s="17" t="n">
        <f aca="false">AVERAGE(B1882:B2081)</f>
        <v>18532.2081</v>
      </c>
      <c r="F2081" s="17" t="n">
        <f aca="false">B2081*2/13+F2080*11/13</f>
        <v>19929.6264543463</v>
      </c>
      <c r="G2081" s="17" t="n">
        <f aca="false">B2081*2/27+G2080*25/27</f>
        <v>19731.2036524998</v>
      </c>
      <c r="H2081" s="17" t="n">
        <f aca="false">F2081-G2081</f>
        <v>198.422801846526</v>
      </c>
      <c r="I2081" s="17" t="n">
        <f aca="false">H2081*2/10+I2080*8/10</f>
        <v>179.669183597198</v>
      </c>
      <c r="J2081" s="17" t="n">
        <f aca="false">H2081-I2081</f>
        <v>18.7536182493275</v>
      </c>
      <c r="K2081" s="17" t="n">
        <f aca="false">MAX(B2081-B2080,0)</f>
        <v>161.080000000002</v>
      </c>
      <c r="L2081" s="17" t="n">
        <f aca="false">MAX(B2080-B2081,0)</f>
        <v>0</v>
      </c>
      <c r="M2081" s="17" t="n">
        <f aca="false">(M2080*13+K2081)/14</f>
        <v>106.024692717377</v>
      </c>
      <c r="N2081" s="17" t="n">
        <f aca="false">(N2080*13+L2081)/14</f>
        <v>63.841066573953</v>
      </c>
      <c r="O2081" s="17" t="n">
        <f aca="false">IF(N2081=0,100,100-100/(1+M2081/N2081))</f>
        <v>62.4167537705692</v>
      </c>
      <c r="P2081" s="17" t="n">
        <f aca="false">AVERAGE(B2062:B2081)+2*STDEV(B2062:B2081)</f>
        <v>20346.4573169252</v>
      </c>
      <c r="Q2081" s="17" t="n">
        <f aca="false">AVERAGE(B2062:B2081)-2*STDEV(B2062:B2081)</f>
        <v>19284.0486830748</v>
      </c>
      <c r="R2081" s="19" t="n">
        <f aca="false">B2081/B2061-1</f>
        <v>0.0536229096598795</v>
      </c>
      <c r="S2081" s="17" t="n">
        <f aca="false">STDEV(C2062:C2081)*SQRT(252)*100</f>
        <v>14.5504333988416</v>
      </c>
      <c r="T2081" s="19" t="n">
        <f aca="false">B2060/B1830-1</f>
        <v>0.244365404136531</v>
      </c>
      <c r="U2081" s="19" t="n">
        <f aca="false">B2081/MAX(B1830:B2081)-1</f>
        <v>-0.0196620328139072</v>
      </c>
      <c r="V2081" s="17" t="n">
        <f aca="false">(B2081-AVERAGE(B2062:B2081))/STDEV(B2062:B2081)</f>
        <v>1.70784380151733</v>
      </c>
    </row>
    <row r="2082" customFormat="false" ht="15" hidden="false" customHeight="false" outlineLevel="0" collapsed="false">
      <c r="A2082" s="17" t="s">
        <v>2646</v>
      </c>
      <c r="B2082" s="17" t="n">
        <v>20241.76</v>
      </c>
      <c r="C2082" s="19" t="n">
        <f aca="false">B2082/B2081-1</f>
        <v>-0.00133702635471367</v>
      </c>
      <c r="D2082" s="17" t="n">
        <f aca="false">AVERAGE(B2033:B2082)</f>
        <v>19360.9386</v>
      </c>
      <c r="E2082" s="17" t="n">
        <f aca="false">AVERAGE(B1883:B2082)</f>
        <v>18549.5299</v>
      </c>
      <c r="F2082" s="17" t="n">
        <f aca="false">B2082*2/13+F2081*11/13</f>
        <v>19977.6469998315</v>
      </c>
      <c r="G2082" s="17" t="n">
        <f aca="false">B2082*2/27+G2081*25/27</f>
        <v>19769.0226412035</v>
      </c>
      <c r="H2082" s="17" t="n">
        <f aca="false">F2082-G2082</f>
        <v>208.624358627992</v>
      </c>
      <c r="I2082" s="17" t="n">
        <f aca="false">H2082*2/10+I2081*8/10</f>
        <v>185.460218603357</v>
      </c>
      <c r="J2082" s="17" t="n">
        <f aca="false">H2082-I2082</f>
        <v>23.1641400246356</v>
      </c>
      <c r="K2082" s="17" t="n">
        <f aca="false">MAX(B2082-B2081,0)</f>
        <v>0</v>
      </c>
      <c r="L2082" s="17" t="n">
        <f aca="false">MAX(B2081-B2082,0)</f>
        <v>27.1000000000022</v>
      </c>
      <c r="M2082" s="17" t="n">
        <f aca="false">(M2081*13+K2082)/14</f>
        <v>98.4515003804218</v>
      </c>
      <c r="N2082" s="17" t="n">
        <f aca="false">(N2081*13+L2082)/14</f>
        <v>61.2167046758136</v>
      </c>
      <c r="O2082" s="17" t="n">
        <f aca="false">IF(N2082=0,100,100-100/(1+M2082/N2082))</f>
        <v>61.6600533247975</v>
      </c>
      <c r="P2082" s="17" t="n">
        <f aca="false">AVERAGE(B2063:B2082)+2*STDEV(B2063:B2082)</f>
        <v>20386.3183030795</v>
      </c>
      <c r="Q2082" s="17" t="n">
        <f aca="false">AVERAGE(B2063:B2082)-2*STDEV(B2063:B2082)</f>
        <v>19326.0566969205</v>
      </c>
      <c r="R2082" s="19" t="n">
        <f aca="false">B2082/B2062-1</f>
        <v>0.0421503912615255</v>
      </c>
      <c r="S2082" s="17" t="n">
        <f aca="false">STDEV(C2063:C2082)*SQRT(252)*100</f>
        <v>14.370963048637</v>
      </c>
      <c r="T2082" s="19" t="n">
        <f aca="false">B2061/B1831-1</f>
        <v>0.262197266342631</v>
      </c>
      <c r="U2082" s="19" t="n">
        <f aca="false">B2082/MAX(B1831:B2082)-1</f>
        <v>-0.0209727705125614</v>
      </c>
      <c r="V2082" s="17" t="n">
        <f aca="false">(B2082-AVERAGE(B2063:B2082))/STDEV(B2063:B2082)</f>
        <v>1.45463156549384</v>
      </c>
    </row>
    <row r="2083" customFormat="false" ht="15" hidden="false" customHeight="false" outlineLevel="0" collapsed="false">
      <c r="A2083" s="17" t="s">
        <v>2647</v>
      </c>
      <c r="B2083" s="17" t="n">
        <v>20271.97</v>
      </c>
      <c r="C2083" s="19" t="n">
        <f aca="false">B2083/B2082-1</f>
        <v>0.00149245915374951</v>
      </c>
      <c r="D2083" s="17" t="n">
        <f aca="false">AVERAGE(B2034:B2083)</f>
        <v>19388.5702</v>
      </c>
      <c r="E2083" s="17" t="n">
        <f aca="false">AVERAGE(B1884:B2083)</f>
        <v>18566.49745</v>
      </c>
      <c r="F2083" s="17" t="n">
        <f aca="false">B2083*2/13+F2082*11/13</f>
        <v>20022.9274613959</v>
      </c>
      <c r="G2083" s="17" t="n">
        <f aca="false">B2083*2/27+G2082*25/27</f>
        <v>19806.2780011143</v>
      </c>
      <c r="H2083" s="17" t="n">
        <f aca="false">F2083-G2083</f>
        <v>216.649460281529</v>
      </c>
      <c r="I2083" s="17" t="n">
        <f aca="false">H2083*2/10+I2082*8/10</f>
        <v>191.698066938991</v>
      </c>
      <c r="J2083" s="17" t="n">
        <f aca="false">H2083-I2083</f>
        <v>24.9513933425378</v>
      </c>
      <c r="K2083" s="17" t="n">
        <f aca="false">MAX(B2083-B2082,0)</f>
        <v>30.2100000000028</v>
      </c>
      <c r="L2083" s="17" t="n">
        <f aca="false">MAX(B2082-B2083,0)</f>
        <v>0</v>
      </c>
      <c r="M2083" s="17" t="n">
        <f aca="false">(M2082*13+K2083)/14</f>
        <v>93.5771074961062</v>
      </c>
      <c r="N2083" s="17" t="n">
        <f aca="false">(N2082*13+L2083)/14</f>
        <v>56.8440829132555</v>
      </c>
      <c r="O2083" s="17" t="n">
        <f aca="false">IF(N2083=0,100,100-100/(1+M2083/N2083))</f>
        <v>62.2100564697315</v>
      </c>
      <c r="P2083" s="17" t="n">
        <f aca="false">AVERAGE(B2064:B2083)+2*STDEV(B2064:B2083)</f>
        <v>20429.6208726319</v>
      </c>
      <c r="Q2083" s="17" t="n">
        <f aca="false">AVERAGE(B2064:B2083)-2*STDEV(B2064:B2083)</f>
        <v>19358.4921273681</v>
      </c>
      <c r="R2083" s="19" t="n">
        <f aca="false">B2083/B2063-1</f>
        <v>0.0388109614396204</v>
      </c>
      <c r="S2083" s="17" t="n">
        <f aca="false">STDEV(C2064:C2083)*SQRT(252)*100</f>
        <v>14.3389110189124</v>
      </c>
      <c r="T2083" s="19" t="n">
        <f aca="false">B2062/B1832-1</f>
        <v>0.279171633485027</v>
      </c>
      <c r="U2083" s="19" t="n">
        <f aca="false">B2083/MAX(B1832:B2083)-1</f>
        <v>-0.0195116123621428</v>
      </c>
      <c r="V2083" s="17" t="n">
        <f aca="false">(B2083-AVERAGE(B2064:B2083))/STDEV(B2064:B2083)</f>
        <v>1.41127199385134</v>
      </c>
    </row>
    <row r="2084" customFormat="false" ht="15" hidden="false" customHeight="false" outlineLevel="0" collapsed="false">
      <c r="A2084" s="17" t="s">
        <v>2648</v>
      </c>
      <c r="B2084" s="17" t="n">
        <v>20439.05</v>
      </c>
      <c r="C2084" s="19" t="n">
        <f aca="false">B2084/B2083-1</f>
        <v>0.00824192222068199</v>
      </c>
      <c r="D2084" s="17" t="n">
        <f aca="false">AVERAGE(B2035:B2084)</f>
        <v>19428.5342</v>
      </c>
      <c r="E2084" s="17" t="n">
        <f aca="false">AVERAGE(B1885:B2084)</f>
        <v>18584.1587</v>
      </c>
      <c r="F2084" s="17" t="n">
        <f aca="false">B2084*2/13+F2083*11/13</f>
        <v>20086.9463134888</v>
      </c>
      <c r="G2084" s="17" t="n">
        <f aca="false">B2084*2/27+G2083*25/27</f>
        <v>19853.1500010318</v>
      </c>
      <c r="H2084" s="17" t="n">
        <f aca="false">F2084-G2084</f>
        <v>233.796312457016</v>
      </c>
      <c r="I2084" s="17" t="n">
        <f aca="false">H2084*2/10+I2083*8/10</f>
        <v>200.117716042596</v>
      </c>
      <c r="J2084" s="17" t="n">
        <f aca="false">H2084-I2084</f>
        <v>33.6785964144197</v>
      </c>
      <c r="K2084" s="17" t="n">
        <f aca="false">MAX(B2084-B2083,0)</f>
        <v>167.079999999998</v>
      </c>
      <c r="L2084" s="17" t="n">
        <f aca="false">MAX(B2083-B2084,0)</f>
        <v>0</v>
      </c>
      <c r="M2084" s="17" t="n">
        <f aca="false">(M2083*13+K2084)/14</f>
        <v>98.8273141035271</v>
      </c>
      <c r="N2084" s="17" t="n">
        <f aca="false">(N2083*13+L2084)/14</f>
        <v>52.7837912765944</v>
      </c>
      <c r="O2084" s="17" t="n">
        <f aca="false">IF(N2084=0,100,100-100/(1+M2084/N2084))</f>
        <v>65.1847461013795</v>
      </c>
      <c r="P2084" s="17" t="n">
        <f aca="false">AVERAGE(B2065:B2084)+2*STDEV(B2065:B2084)</f>
        <v>20485.032796571</v>
      </c>
      <c r="Q2084" s="17" t="n">
        <f aca="false">AVERAGE(B2065:B2084)-2*STDEV(B2065:B2084)</f>
        <v>19404.679203429</v>
      </c>
      <c r="R2084" s="19" t="n">
        <f aca="false">B2084/B2064-1</f>
        <v>0.0523084416152757</v>
      </c>
      <c r="S2084" s="17" t="n">
        <f aca="false">STDEV(C2065:C2084)*SQRT(252)*100</f>
        <v>14.2799731076054</v>
      </c>
      <c r="T2084" s="19" t="n">
        <f aca="false">B2063/B1833-1</f>
        <v>0.301396054182961</v>
      </c>
      <c r="U2084" s="19" t="n">
        <f aca="false">B2084/MAX(B1833:B2084)-1</f>
        <v>-0.0114305033329497</v>
      </c>
      <c r="V2084" s="17" t="n">
        <f aca="false">(B2084-AVERAGE(B2065:B2084))/STDEV(B2065:B2084)</f>
        <v>1.82974908636256</v>
      </c>
    </row>
    <row r="2085" customFormat="false" ht="15" hidden="false" customHeight="false" outlineLevel="0" collapsed="false">
      <c r="A2085" s="17" t="s">
        <v>2649</v>
      </c>
      <c r="B2085" s="17" t="n">
        <v>20159.83</v>
      </c>
      <c r="C2085" s="19" t="n">
        <f aca="false">B2085/B2084-1</f>
        <v>-0.0136611046012411</v>
      </c>
      <c r="D2085" s="17" t="n">
        <f aca="false">AVERAGE(B2036:B2085)</f>
        <v>19473.8276</v>
      </c>
      <c r="E2085" s="17" t="n">
        <f aca="false">AVERAGE(B1886:B2085)</f>
        <v>18600.4655</v>
      </c>
      <c r="F2085" s="17" t="n">
        <f aca="false">B2085*2/13+F2084*11/13</f>
        <v>20098.1591883367</v>
      </c>
      <c r="G2085" s="17" t="n">
        <f aca="false">B2085*2/27+G2084*25/27</f>
        <v>19875.8670379924</v>
      </c>
      <c r="H2085" s="17" t="n">
        <f aca="false">F2085-G2085</f>
        <v>222.292150344281</v>
      </c>
      <c r="I2085" s="17" t="n">
        <f aca="false">H2085*2/10+I2084*8/10</f>
        <v>204.552602902933</v>
      </c>
      <c r="J2085" s="17" t="n">
        <f aca="false">H2085-I2085</f>
        <v>17.739547441348</v>
      </c>
      <c r="K2085" s="17" t="n">
        <f aca="false">MAX(B2085-B2084,0)</f>
        <v>0</v>
      </c>
      <c r="L2085" s="17" t="n">
        <f aca="false">MAX(B2084-B2085,0)</f>
        <v>279.219999999998</v>
      </c>
      <c r="M2085" s="17" t="n">
        <f aca="false">(M2084*13+K2085)/14</f>
        <v>91.7682202389894</v>
      </c>
      <c r="N2085" s="17" t="n">
        <f aca="false">(N2084*13+L2085)/14</f>
        <v>68.9578061854089</v>
      </c>
      <c r="O2085" s="17" t="n">
        <f aca="false">IF(N2085=0,100,100-100/(1+M2085/N2085))</f>
        <v>57.0960548708364</v>
      </c>
      <c r="P2085" s="17" t="n">
        <f aca="false">AVERAGE(B2066:B2085)+2*STDEV(B2066:B2085)</f>
        <v>20471.8022570855</v>
      </c>
      <c r="Q2085" s="17" t="n">
        <f aca="false">AVERAGE(B2066:B2085)-2*STDEV(B2066:B2085)</f>
        <v>19490.6527429145</v>
      </c>
      <c r="R2085" s="19" t="n">
        <f aca="false">B2085/B2065-1</f>
        <v>0.0374338733249624</v>
      </c>
      <c r="S2085" s="17" t="n">
        <f aca="false">STDEV(C2066:C2085)*SQRT(252)*100</f>
        <v>15.3958472728267</v>
      </c>
      <c r="T2085" s="19" t="n">
        <f aca="false">B2064/B1834-1</f>
        <v>0.280129548209189</v>
      </c>
      <c r="U2085" s="19" t="n">
        <f aca="false">B2085/MAX(B1834:B2085)-1</f>
        <v>-0.0249354546325146</v>
      </c>
      <c r="V2085" s="17" t="n">
        <f aca="false">(B2085-AVERAGE(B2066:B2085))/STDEV(B2066:B2085)</f>
        <v>0.728135711919161</v>
      </c>
    </row>
    <row r="2086" customFormat="false" ht="15" hidden="false" customHeight="false" outlineLevel="0" collapsed="false">
      <c r="A2086" s="17" t="s">
        <v>2650</v>
      </c>
      <c r="B2086" s="17" t="n">
        <v>20174.05</v>
      </c>
      <c r="C2086" s="19" t="n">
        <f aca="false">B2086/B2085-1</f>
        <v>0.000705363090859335</v>
      </c>
      <c r="D2086" s="17" t="n">
        <f aca="false">AVERAGE(B2037:B2086)</f>
        <v>19515.7502</v>
      </c>
      <c r="E2086" s="17" t="n">
        <f aca="false">AVERAGE(B1887:B2086)</f>
        <v>18617.2061</v>
      </c>
      <c r="F2086" s="17" t="n">
        <f aca="false">B2086*2/13+F2085*11/13</f>
        <v>20109.8346978233</v>
      </c>
      <c r="G2086" s="17" t="n">
        <f aca="false">B2086*2/27+G2085*25/27</f>
        <v>19897.9546648078</v>
      </c>
      <c r="H2086" s="17" t="n">
        <f aca="false">F2086-G2086</f>
        <v>211.880033015565</v>
      </c>
      <c r="I2086" s="17" t="n">
        <f aca="false">H2086*2/10+I2085*8/10</f>
        <v>206.01808892546</v>
      </c>
      <c r="J2086" s="17" t="n">
        <f aca="false">H2086-I2086</f>
        <v>5.861944090105</v>
      </c>
      <c r="K2086" s="17" t="n">
        <f aca="false">MAX(B2086-B2085,0)</f>
        <v>14.2199999999975</v>
      </c>
      <c r="L2086" s="17" t="n">
        <f aca="false">MAX(B2085-B2086,0)</f>
        <v>0</v>
      </c>
      <c r="M2086" s="17" t="n">
        <f aca="false">(M2085*13+K2086)/14</f>
        <v>86.22906165049</v>
      </c>
      <c r="N2086" s="17" t="n">
        <f aca="false">(N2085*13+L2086)/14</f>
        <v>64.0322486007368</v>
      </c>
      <c r="O2086" s="17" t="n">
        <f aca="false">IF(N2086=0,100,100-100/(1+M2086/N2086))</f>
        <v>57.386070643415</v>
      </c>
      <c r="P2086" s="17" t="n">
        <f aca="false">AVERAGE(B2067:B2086)+2*STDEV(B2067:B2086)</f>
        <v>20417.5377618651</v>
      </c>
      <c r="Q2086" s="17" t="n">
        <f aca="false">AVERAGE(B2067:B2086)-2*STDEV(B2067:B2086)</f>
        <v>19627.8732381349</v>
      </c>
      <c r="R2086" s="19" t="n">
        <f aca="false">B2086/B2066-1</f>
        <v>0.0428835291082885</v>
      </c>
      <c r="S2086" s="17" t="n">
        <f aca="false">STDEV(C2067:C2086)*SQRT(252)*100</f>
        <v>15.2180634510322</v>
      </c>
      <c r="T2086" s="19" t="n">
        <f aca="false">B2065/B1835-1</f>
        <v>0.285040811373621</v>
      </c>
      <c r="U2086" s="19" t="n">
        <f aca="false">B2086/MAX(B1835:B2086)-1</f>
        <v>-0.0242476800910069</v>
      </c>
      <c r="V2086" s="17" t="n">
        <f aca="false">(B2086-AVERAGE(B2067:B2086))/STDEV(B2067:B2086)</f>
        <v>0.76662681658839</v>
      </c>
    </row>
    <row r="2087" customFormat="false" ht="15" hidden="false" customHeight="false" outlineLevel="0" collapsed="false">
      <c r="A2087" s="17" t="s">
        <v>2651</v>
      </c>
      <c r="B2087" s="17" t="n">
        <v>20190.42</v>
      </c>
      <c r="C2087" s="19" t="n">
        <f aca="false">B2087/B2086-1</f>
        <v>0.000811438456829405</v>
      </c>
      <c r="D2087" s="17" t="n">
        <f aca="false">AVERAGE(B2038:B2087)</f>
        <v>19562.2112</v>
      </c>
      <c r="E2087" s="17" t="n">
        <f aca="false">AVERAGE(B1888:B2087)</f>
        <v>18635.4385</v>
      </c>
      <c r="F2087" s="17" t="n">
        <f aca="false">B2087*2/13+F2086*11/13</f>
        <v>20122.2324366198</v>
      </c>
      <c r="G2087" s="17" t="n">
        <f aca="false">B2087*2/27+G2086*25/27</f>
        <v>19919.6187637109</v>
      </c>
      <c r="H2087" s="17" t="n">
        <f aca="false">F2087-G2087</f>
        <v>202.613672908847</v>
      </c>
      <c r="I2087" s="17" t="n">
        <f aca="false">H2087*2/10+I2086*8/10</f>
        <v>205.337205722137</v>
      </c>
      <c r="J2087" s="17" t="n">
        <f aca="false">H2087-I2087</f>
        <v>-2.72353281329032</v>
      </c>
      <c r="K2087" s="17" t="n">
        <f aca="false">MAX(B2087-B2086,0)</f>
        <v>16.369999999999</v>
      </c>
      <c r="L2087" s="17" t="n">
        <f aca="false">MAX(B2086-B2087,0)</f>
        <v>0</v>
      </c>
      <c r="M2087" s="17" t="n">
        <f aca="false">(M2086*13+K2087)/14</f>
        <v>81.2391286754549</v>
      </c>
      <c r="N2087" s="17" t="n">
        <f aca="false">(N2086*13+L2087)/14</f>
        <v>59.4585165578271</v>
      </c>
      <c r="O2087" s="17" t="n">
        <f aca="false">IF(N2087=0,100,100-100/(1+M2087/N2087))</f>
        <v>57.7402191349808</v>
      </c>
      <c r="P2087" s="17" t="n">
        <f aca="false">AVERAGE(B2068:B2087)+2*STDEV(B2068:B2087)</f>
        <v>20431.9998284635</v>
      </c>
      <c r="Q2087" s="17" t="n">
        <f aca="false">AVERAGE(B2068:B2087)-2*STDEV(B2068:B2087)</f>
        <v>19648.4701715365</v>
      </c>
      <c r="R2087" s="19" t="n">
        <f aca="false">B2087/B2067-1</f>
        <v>0.0176710183504596</v>
      </c>
      <c r="S2087" s="17" t="n">
        <f aca="false">STDEV(C2068:C2087)*SQRT(252)*100</f>
        <v>12.4396503692685</v>
      </c>
      <c r="T2087" s="19" t="n">
        <f aca="false">B2066/B1836-1</f>
        <v>0.297481565148103</v>
      </c>
      <c r="U2087" s="19" t="n">
        <f aca="false">B2087/MAX(B1836:B2087)-1</f>
        <v>-0.0234559171342922</v>
      </c>
      <c r="V2087" s="17" t="n">
        <f aca="false">(B2087-AVERAGE(B2068:B2087))/STDEV(B2068:B2087)</f>
        <v>0.766709970310579</v>
      </c>
    </row>
    <row r="2088" customFormat="false" ht="15" hidden="false" customHeight="false" outlineLevel="0" collapsed="false">
      <c r="A2088" s="17" t="s">
        <v>2652</v>
      </c>
      <c r="B2088" s="17" t="n">
        <v>20324.04</v>
      </c>
      <c r="C2088" s="19" t="n">
        <f aca="false">B2088/B2087-1</f>
        <v>0.00661799011610476</v>
      </c>
      <c r="D2088" s="17" t="n">
        <f aca="false">AVERAGE(B2039:B2088)</f>
        <v>19600.4156</v>
      </c>
      <c r="E2088" s="17" t="n">
        <f aca="false">AVERAGE(B1889:B2088)</f>
        <v>18655.21625</v>
      </c>
      <c r="F2088" s="17" t="n">
        <f aca="false">B2088*2/13+F2087*11/13</f>
        <v>20153.2797540629</v>
      </c>
      <c r="G2088" s="17" t="n">
        <f aca="false">B2088*2/27+G2087*25/27</f>
        <v>19949.5758923249</v>
      </c>
      <c r="H2088" s="17" t="n">
        <f aca="false">F2088-G2088</f>
        <v>203.703861737951</v>
      </c>
      <c r="I2088" s="17" t="n">
        <f aca="false">H2088*2/10+I2087*8/10</f>
        <v>205.0105369253</v>
      </c>
      <c r="J2088" s="17" t="n">
        <f aca="false">H2088-I2088</f>
        <v>-1.30667518734859</v>
      </c>
      <c r="K2088" s="17" t="n">
        <f aca="false">MAX(B2088-B2087,0)</f>
        <v>133.620000000003</v>
      </c>
      <c r="L2088" s="17" t="n">
        <f aca="false">MAX(B2087-B2088,0)</f>
        <v>0</v>
      </c>
      <c r="M2088" s="17" t="n">
        <f aca="false">(M2087*13+K2088)/14</f>
        <v>84.9806194843512</v>
      </c>
      <c r="N2088" s="17" t="n">
        <f aca="false">(N2087*13+L2088)/14</f>
        <v>55.2114796608394</v>
      </c>
      <c r="O2088" s="17" t="n">
        <f aca="false">IF(N2088=0,100,100-100/(1+M2088/N2088))</f>
        <v>60.6172673085811</v>
      </c>
      <c r="P2088" s="17" t="n">
        <f aca="false">AVERAGE(B2069:B2088)+2*STDEV(B2069:B2088)</f>
        <v>20459.8320881564</v>
      </c>
      <c r="Q2088" s="17" t="n">
        <f aca="false">AVERAGE(B2069:B2088)-2*STDEV(B2069:B2088)</f>
        <v>19673.8929118436</v>
      </c>
      <c r="R2088" s="19" t="n">
        <f aca="false">B2088/B2068-1</f>
        <v>0.0269080296632542</v>
      </c>
      <c r="S2088" s="17" t="n">
        <f aca="false">STDEV(C2069:C2088)*SQRT(252)*100</f>
        <v>12.5318854720344</v>
      </c>
      <c r="T2088" s="19" t="n">
        <f aca="false">B2067/B1837-1</f>
        <v>0.342058819749268</v>
      </c>
      <c r="U2088" s="19" t="n">
        <f aca="false">B2088/MAX(B1837:B2088)-1</f>
        <v>-0.0169931580459465</v>
      </c>
      <c r="V2088" s="17" t="n">
        <f aca="false">(B2088-AVERAGE(B2069:B2088))/STDEV(B2069:B2088)</f>
        <v>1.30889263572052</v>
      </c>
    </row>
    <row r="2089" customFormat="false" ht="15" hidden="false" customHeight="false" outlineLevel="0" collapsed="false">
      <c r="A2089" s="17" t="s">
        <v>2653</v>
      </c>
      <c r="B2089" s="17" t="n">
        <v>20361.47</v>
      </c>
      <c r="C2089" s="19" t="n">
        <f aca="false">B2089/B2088-1</f>
        <v>0.0018416614019654</v>
      </c>
      <c r="D2089" s="17" t="n">
        <f aca="false">AVERAGE(B2040:B2089)</f>
        <v>19637.383</v>
      </c>
      <c r="E2089" s="17" t="n">
        <f aca="false">AVERAGE(B1890:B2089)</f>
        <v>18675.61355</v>
      </c>
      <c r="F2089" s="17" t="n">
        <f aca="false">B2089*2/13+F2088*11/13</f>
        <v>20185.3090226686</v>
      </c>
      <c r="G2089" s="17" t="n">
        <f aca="false">B2089*2/27+G2088*25/27</f>
        <v>19980.0865669675</v>
      </c>
      <c r="H2089" s="17" t="n">
        <f aca="false">F2089-G2089</f>
        <v>205.222455701063</v>
      </c>
      <c r="I2089" s="17" t="n">
        <f aca="false">H2089*2/10+I2088*8/10</f>
        <v>205.052920680452</v>
      </c>
      <c r="J2089" s="17" t="n">
        <f aca="false">H2089-I2089</f>
        <v>0.169535020610681</v>
      </c>
      <c r="K2089" s="17" t="n">
        <f aca="false">MAX(B2089-B2088,0)</f>
        <v>37.4300000000003</v>
      </c>
      <c r="L2089" s="17" t="n">
        <f aca="false">MAX(B2088-B2089,0)</f>
        <v>0</v>
      </c>
      <c r="M2089" s="17" t="n">
        <f aca="false">(M2088*13+K2089)/14</f>
        <v>81.5841466640404</v>
      </c>
      <c r="N2089" s="17" t="n">
        <f aca="false">(N2088*13+L2089)/14</f>
        <v>51.267802542208</v>
      </c>
      <c r="O2089" s="17" t="n">
        <f aca="false">IF(N2089=0,100,100-100/(1+M2089/N2089))</f>
        <v>61.4098228527935</v>
      </c>
      <c r="P2089" s="17" t="n">
        <f aca="false">AVERAGE(B2070:B2089)+2*STDEV(B2070:B2089)</f>
        <v>20492.6587577167</v>
      </c>
      <c r="Q2089" s="17" t="n">
        <f aca="false">AVERAGE(B2070:B2089)-2*STDEV(B2070:B2089)</f>
        <v>19691.9932422833</v>
      </c>
      <c r="R2089" s="19" t="n">
        <f aca="false">B2089/B2069-1</f>
        <v>0.0256530762333647</v>
      </c>
      <c r="S2089" s="17" t="n">
        <f aca="false">STDEV(C2070:C2089)*SQRT(252)*100</f>
        <v>12.5172548548213</v>
      </c>
      <c r="T2089" s="19" t="n">
        <f aca="false">B2068/B1838-1</f>
        <v>0.359223480998401</v>
      </c>
      <c r="U2089" s="19" t="n">
        <f aca="false">B2089/MAX(B1838:B2089)-1</f>
        <v>-0.0151827922872518</v>
      </c>
      <c r="V2089" s="17" t="n">
        <f aca="false">(B2089-AVERAGE(B2070:B2089))/STDEV(B2070:B2089)</f>
        <v>1.34460143374261</v>
      </c>
    </row>
    <row r="2090" customFormat="false" ht="15" hidden="false" customHeight="false" outlineLevel="0" collapsed="false">
      <c r="A2090" s="17" t="s">
        <v>2654</v>
      </c>
      <c r="B2090" s="17" t="n">
        <v>20390.46</v>
      </c>
      <c r="C2090" s="19" t="n">
        <f aca="false">B2090/B2089-1</f>
        <v>0.00142376753741247</v>
      </c>
      <c r="D2090" s="17" t="n">
        <f aca="false">AVERAGE(B2041:B2090)</f>
        <v>19674.3516</v>
      </c>
      <c r="E2090" s="17" t="n">
        <f aca="false">AVERAGE(B1891:B2090)</f>
        <v>18696.03595</v>
      </c>
      <c r="F2090" s="17" t="n">
        <f aca="false">B2090*2/13+F2089*11/13</f>
        <v>20216.8707114888</v>
      </c>
      <c r="G2090" s="17" t="n">
        <f aca="false">B2090*2/27+G2089*25/27</f>
        <v>20010.484599044</v>
      </c>
      <c r="H2090" s="17" t="n">
        <f aca="false">F2090-G2090</f>
        <v>206.386112444801</v>
      </c>
      <c r="I2090" s="17" t="n">
        <f aca="false">H2090*2/10+I2089*8/10</f>
        <v>205.319559033322</v>
      </c>
      <c r="J2090" s="17" t="n">
        <f aca="false">H2090-I2090</f>
        <v>1.06655341147905</v>
      </c>
      <c r="K2090" s="17" t="n">
        <f aca="false">MAX(B2090-B2089,0)</f>
        <v>28.989999999998</v>
      </c>
      <c r="L2090" s="17" t="n">
        <f aca="false">MAX(B2089-B2090,0)</f>
        <v>0</v>
      </c>
      <c r="M2090" s="17" t="n">
        <f aca="false">(M2089*13+K2090)/14</f>
        <v>77.8274219023231</v>
      </c>
      <c r="N2090" s="17" t="n">
        <f aca="false">(N2089*13+L2090)/14</f>
        <v>47.605816646336</v>
      </c>
      <c r="O2090" s="17" t="n">
        <f aca="false">IF(N2090=0,100,100-100/(1+M2090/N2090))</f>
        <v>62.0468886898201</v>
      </c>
      <c r="P2090" s="17" t="n">
        <f aca="false">AVERAGE(B2071:B2090)+2*STDEV(B2071:B2090)</f>
        <v>20529.7082325027</v>
      </c>
      <c r="Q2090" s="17" t="n">
        <f aca="false">AVERAGE(B2071:B2090)-2*STDEV(B2071:B2090)</f>
        <v>19699.5057674973</v>
      </c>
      <c r="R2090" s="19" t="n">
        <f aca="false">B2090/B2070-1</f>
        <v>0.0223426209485762</v>
      </c>
      <c r="S2090" s="17" t="n">
        <f aca="false">STDEV(C2071:C2090)*SQRT(252)*100</f>
        <v>12.454240913622</v>
      </c>
      <c r="T2090" s="19" t="n">
        <f aca="false">B2069/B1839-1</f>
        <v>0.35928818166568</v>
      </c>
      <c r="U2090" s="19" t="n">
        <f aca="false">B2090/MAX(B1839:B2090)-1</f>
        <v>-0.0137806415166252</v>
      </c>
      <c r="V2090" s="17" t="n">
        <f aca="false">(B2090-AVERAGE(B2071:B2090))/STDEV(B2071:B2090)</f>
        <v>1.32908783882352</v>
      </c>
    </row>
    <row r="2091" customFormat="false" ht="15" hidden="false" customHeight="false" outlineLevel="0" collapsed="false">
      <c r="A2091" s="17" t="s">
        <v>2655</v>
      </c>
      <c r="B2091" s="17" t="n">
        <v>20066.96</v>
      </c>
      <c r="C2091" s="19" t="n">
        <f aca="false">B2091/B2090-1</f>
        <v>-0.0158652624805914</v>
      </c>
      <c r="D2091" s="17" t="n">
        <f aca="false">AVERAGE(B2042:B2091)</f>
        <v>19695.5622</v>
      </c>
      <c r="E2091" s="17" t="n">
        <f aca="false">AVERAGE(B1892:B2091)</f>
        <v>18713.1214</v>
      </c>
      <c r="F2091" s="17" t="n">
        <f aca="false">B2091*2/13+F2090*11/13</f>
        <v>20193.8075251059</v>
      </c>
      <c r="G2091" s="17" t="n">
        <f aca="false">B2091*2/27+G2090*25/27</f>
        <v>20014.6679620778</v>
      </c>
      <c r="H2091" s="17" t="n">
        <f aca="false">F2091-G2091</f>
        <v>179.139563028137</v>
      </c>
      <c r="I2091" s="17" t="n">
        <f aca="false">H2091*2/10+I2090*8/10</f>
        <v>200.083559832285</v>
      </c>
      <c r="J2091" s="17" t="n">
        <f aca="false">H2091-I2091</f>
        <v>-20.9439968041484</v>
      </c>
      <c r="K2091" s="17" t="n">
        <f aca="false">MAX(B2091-B2090,0)</f>
        <v>0</v>
      </c>
      <c r="L2091" s="17" t="n">
        <f aca="false">MAX(B2090-B2091,0)</f>
        <v>323.5</v>
      </c>
      <c r="M2091" s="17" t="n">
        <f aca="false">(M2090*13+K2091)/14</f>
        <v>72.2683203378714</v>
      </c>
      <c r="N2091" s="17" t="n">
        <f aca="false">(N2090*13+L2091)/14</f>
        <v>67.3125440287406</v>
      </c>
      <c r="O2091" s="17" t="n">
        <f aca="false">IF(N2091=0,100,100-100/(1+M2091/N2091))</f>
        <v>51.7752348545838</v>
      </c>
      <c r="P2091" s="17" t="n">
        <f aca="false">AVERAGE(B2072:B2091)+2*STDEV(B2072:B2091)</f>
        <v>20529.7491582043</v>
      </c>
      <c r="Q2091" s="17" t="n">
        <f aca="false">AVERAGE(B2072:B2091)-2*STDEV(B2072:B2091)</f>
        <v>19708.8998417957</v>
      </c>
      <c r="R2091" s="19" t="n">
        <f aca="false">B2091/B2071-1</f>
        <v>0.00472396947619758</v>
      </c>
      <c r="S2091" s="17" t="n">
        <f aca="false">STDEV(C2072:C2091)*SQRT(252)*100</f>
        <v>13.8367153806001</v>
      </c>
      <c r="T2091" s="19" t="n">
        <f aca="false">B2070/B1840-1</f>
        <v>0.352572179581252</v>
      </c>
      <c r="U2091" s="19" t="n">
        <f aca="false">B2091/MAX(B1840:B2091)-1</f>
        <v>-0.0294272705024043</v>
      </c>
      <c r="V2091" s="17" t="n">
        <f aca="false">(B2091-AVERAGE(B2072:B2091))/STDEV(B2072:B2091)</f>
        <v>-0.255172290227921</v>
      </c>
    </row>
    <row r="2092" customFormat="false" ht="15" hidden="false" customHeight="false" outlineLevel="0" collapsed="false">
      <c r="A2092" s="17" t="s">
        <v>2656</v>
      </c>
      <c r="B2092" s="17" t="n">
        <v>20232.87</v>
      </c>
      <c r="C2092" s="19" t="n">
        <f aca="false">B2092/B2091-1</f>
        <v>0.00826781934084675</v>
      </c>
      <c r="D2092" s="17" t="n">
        <f aca="false">AVERAGE(B2043:B2092)</f>
        <v>19719.766</v>
      </c>
      <c r="E2092" s="17" t="n">
        <f aca="false">AVERAGE(B1893:B2092)</f>
        <v>18730.89225</v>
      </c>
      <c r="F2092" s="17" t="n">
        <f aca="false">B2092*2/13+F2091*11/13</f>
        <v>20199.8171366281</v>
      </c>
      <c r="G2092" s="17" t="n">
        <f aca="false">B2092*2/27+G2091*25/27</f>
        <v>20030.8310759979</v>
      </c>
      <c r="H2092" s="17" t="n">
        <f aca="false">F2092-G2092</f>
        <v>168.986060630141</v>
      </c>
      <c r="I2092" s="17" t="n">
        <f aca="false">H2092*2/10+I2091*8/10</f>
        <v>193.864059991856</v>
      </c>
      <c r="J2092" s="17" t="n">
        <f aca="false">H2092-I2092</f>
        <v>-24.8779993617154</v>
      </c>
      <c r="K2092" s="17" t="n">
        <f aca="false">MAX(B2092-B2091,0)</f>
        <v>165.91</v>
      </c>
      <c r="L2092" s="17" t="n">
        <f aca="false">MAX(B2091-B2092,0)</f>
        <v>0</v>
      </c>
      <c r="M2092" s="17" t="n">
        <f aca="false">(M2091*13+K2092)/14</f>
        <v>78.9570117423092</v>
      </c>
      <c r="N2092" s="17" t="n">
        <f aca="false">(N2091*13+L2092)/14</f>
        <v>62.5045051695448</v>
      </c>
      <c r="O2092" s="17" t="n">
        <f aca="false">IF(N2092=0,100,100-100/(1+M2092/N2092))</f>
        <v>55.8151880921141</v>
      </c>
      <c r="P2092" s="17" t="n">
        <f aca="false">AVERAGE(B2073:B2092)+2*STDEV(B2073:B2092)</f>
        <v>20538.730240671</v>
      </c>
      <c r="Q2092" s="17" t="n">
        <f aca="false">AVERAGE(B2073:B2092)-2*STDEV(B2073:B2092)</f>
        <v>19711.651759329</v>
      </c>
      <c r="R2092" s="19" t="n">
        <f aca="false">B2092/B2072-1</f>
        <v>0.00583280389191621</v>
      </c>
      <c r="S2092" s="17" t="n">
        <f aca="false">STDEV(C2073:C2092)*SQRT(252)*100</f>
        <v>13.9154666553666</v>
      </c>
      <c r="T2092" s="19" t="n">
        <f aca="false">B2071/B1841-1</f>
        <v>0.388757471331503</v>
      </c>
      <c r="U2092" s="19" t="n">
        <f aca="false">B2092/MAX(B1841:B2092)-1</f>
        <v>-0.0214027505177656</v>
      </c>
      <c r="V2092" s="17" t="n">
        <f aca="false">(B2092-AVERAGE(B2073:B2092))/STDEV(B2073:B2092)</f>
        <v>0.520767992054567</v>
      </c>
    </row>
    <row r="2093" customFormat="false" ht="15" hidden="false" customHeight="false" outlineLevel="0" collapsed="false">
      <c r="A2093" s="17" t="s">
        <v>2657</v>
      </c>
      <c r="B2093" s="17" t="n">
        <v>20352.02</v>
      </c>
      <c r="C2093" s="19" t="n">
        <f aca="false">B2093/B2092-1</f>
        <v>0.00588893221772291</v>
      </c>
      <c r="D2093" s="17" t="n">
        <f aca="false">AVERAGE(B2044:B2093)</f>
        <v>19737.0034</v>
      </c>
      <c r="E2093" s="17" t="n">
        <f aca="false">AVERAGE(B1894:B2093)</f>
        <v>18748.6871</v>
      </c>
      <c r="F2093" s="17" t="n">
        <f aca="false">B2093*2/13+F2092*11/13</f>
        <v>20223.2329617622</v>
      </c>
      <c r="G2093" s="17" t="n">
        <f aca="false">B2093*2/27+G2092*25/27</f>
        <v>20054.6228481462</v>
      </c>
      <c r="H2093" s="17" t="n">
        <f aca="false">F2093-G2093</f>
        <v>168.610113615981</v>
      </c>
      <c r="I2093" s="17" t="n">
        <f aca="false">H2093*2/10+I2092*8/10</f>
        <v>188.813270716681</v>
      </c>
      <c r="J2093" s="17" t="n">
        <f aca="false">H2093-I2093</f>
        <v>-20.2031571006999</v>
      </c>
      <c r="K2093" s="17" t="n">
        <f aca="false">MAX(B2093-B2092,0)</f>
        <v>119.150000000001</v>
      </c>
      <c r="L2093" s="17" t="n">
        <f aca="false">MAX(B2092-B2093,0)</f>
        <v>0</v>
      </c>
      <c r="M2093" s="17" t="n">
        <f aca="false">(M2092*13+K2093)/14</f>
        <v>81.8279394750015</v>
      </c>
      <c r="N2093" s="17" t="n">
        <f aca="false">(N2092*13+L2093)/14</f>
        <v>58.0398976574345</v>
      </c>
      <c r="O2093" s="17" t="n">
        <f aca="false">IF(N2093=0,100,100-100/(1+M2093/N2093))</f>
        <v>58.5037569412913</v>
      </c>
      <c r="P2093" s="17" t="n">
        <f aca="false">AVERAGE(B2074:B2093)+2*STDEV(B2074:B2093)</f>
        <v>20563.9585285007</v>
      </c>
      <c r="Q2093" s="17" t="n">
        <f aca="false">AVERAGE(B2074:B2093)-2*STDEV(B2074:B2093)</f>
        <v>19720.7634714993</v>
      </c>
      <c r="R2093" s="19" t="n">
        <f aca="false">B2093/B2073-1</f>
        <v>0.0171626029181424</v>
      </c>
      <c r="S2093" s="17" t="n">
        <f aca="false">STDEV(C2074:C2093)*SQRT(252)*100</f>
        <v>13.8811770622877</v>
      </c>
      <c r="T2093" s="19" t="n">
        <f aca="false">B2072/B1842-1</f>
        <v>0.425666409394475</v>
      </c>
      <c r="U2093" s="19" t="n">
        <f aca="false">B2093/MAX(B1842:B2093)-1</f>
        <v>-0.0156398576471146</v>
      </c>
      <c r="V2093" s="17" t="n">
        <f aca="false">(B2093-AVERAGE(B2074:B2093))/STDEV(B2074:B2093)</f>
        <v>0.994593117021356</v>
      </c>
    </row>
    <row r="2094" customFormat="false" ht="15" hidden="false" customHeight="false" outlineLevel="0" collapsed="false">
      <c r="A2094" s="17" t="s">
        <v>2658</v>
      </c>
      <c r="B2094" s="17" t="n">
        <v>20351.07</v>
      </c>
      <c r="C2094" s="19" t="n">
        <f aca="false">B2094/B2093-1</f>
        <v>-4.66784132484577E-005</v>
      </c>
      <c r="D2094" s="17" t="n">
        <f aca="false">AVERAGE(B2045:B2094)</f>
        <v>19753.8544</v>
      </c>
      <c r="E2094" s="17" t="n">
        <f aca="false">AVERAGE(B1895:B2094)</f>
        <v>18766.33795</v>
      </c>
      <c r="F2094" s="17" t="n">
        <f aca="false">B2094*2/13+F2093*11/13</f>
        <v>20242.9001984142</v>
      </c>
      <c r="G2094" s="17" t="n">
        <f aca="false">B2094*2/27+G2093*25/27</f>
        <v>20076.5818964317</v>
      </c>
      <c r="H2094" s="17" t="n">
        <f aca="false">F2094-G2094</f>
        <v>166.318301982483</v>
      </c>
      <c r="I2094" s="17" t="n">
        <f aca="false">H2094*2/10+I2093*8/10</f>
        <v>184.314276969842</v>
      </c>
      <c r="J2094" s="17" t="n">
        <f aca="false">H2094-I2094</f>
        <v>-17.9959749873588</v>
      </c>
      <c r="K2094" s="17" t="n">
        <f aca="false">MAX(B2094-B2093,0)</f>
        <v>0</v>
      </c>
      <c r="L2094" s="17" t="n">
        <f aca="false">MAX(B2093-B2094,0)</f>
        <v>0.950000000000728</v>
      </c>
      <c r="M2094" s="17" t="n">
        <f aca="false">(M2093*13+K2094)/14</f>
        <v>75.9830866553585</v>
      </c>
      <c r="N2094" s="17" t="n">
        <f aca="false">(N2093*13+L2094)/14</f>
        <v>53.9620478247606</v>
      </c>
      <c r="O2094" s="17" t="n">
        <f aca="false">IF(N2094=0,100,100-100/(1+M2094/N2094))</f>
        <v>58.4732063723275</v>
      </c>
      <c r="P2094" s="17" t="n">
        <f aca="false">AVERAGE(B2075:B2094)+2*STDEV(B2075:B2094)</f>
        <v>20586.5578544567</v>
      </c>
      <c r="Q2094" s="17" t="n">
        <f aca="false">AVERAGE(B2075:B2094)-2*STDEV(B2075:B2094)</f>
        <v>19727.2021455433</v>
      </c>
      <c r="R2094" s="19" t="n">
        <f aca="false">B2094/B2074-1</f>
        <v>0.0144750753837481</v>
      </c>
      <c r="S2094" s="17" t="n">
        <f aca="false">STDEV(C2075:C2094)*SQRT(252)*100</f>
        <v>13.8696188818322</v>
      </c>
      <c r="T2094" s="19" t="n">
        <f aca="false">B2073/B1843-1</f>
        <v>0.411003341226847</v>
      </c>
      <c r="U2094" s="19" t="n">
        <f aca="false">B2094/MAX(B1843:B2094)-1</f>
        <v>-0.0156858060166246</v>
      </c>
      <c r="V2094" s="17" t="n">
        <f aca="false">(B2094-AVERAGE(B2075:B2094))/STDEV(B2075:B2094)</f>
        <v>0.903886472089823</v>
      </c>
    </row>
    <row r="2095" customFormat="false" ht="15" hidden="false" customHeight="false" outlineLevel="0" collapsed="false">
      <c r="A2095" s="17" t="s">
        <v>2659</v>
      </c>
      <c r="B2095" s="17" t="n">
        <v>20550.65</v>
      </c>
      <c r="C2095" s="19" t="n">
        <f aca="false">B2095/B2094-1</f>
        <v>0.00980685536436177</v>
      </c>
      <c r="D2095" s="17" t="n">
        <f aca="false">AVERAGE(B2046:B2095)</f>
        <v>19769.5376</v>
      </c>
      <c r="E2095" s="17" t="n">
        <f aca="false">AVERAGE(B1896:B2095)</f>
        <v>18784.9266</v>
      </c>
      <c r="F2095" s="17" t="n">
        <f aca="false">B2095*2/13+F2094*11/13</f>
        <v>20290.2463217351</v>
      </c>
      <c r="G2095" s="17" t="n">
        <f aca="false">B2095*2/27+G2094*25/27</f>
        <v>20111.6980522516</v>
      </c>
      <c r="H2095" s="17" t="n">
        <f aca="false">F2095-G2095</f>
        <v>178.548269483508</v>
      </c>
      <c r="I2095" s="17" t="n">
        <f aca="false">H2095*2/10+I2094*8/10</f>
        <v>183.161075472575</v>
      </c>
      <c r="J2095" s="17" t="n">
        <f aca="false">H2095-I2095</f>
        <v>-4.61280598906674</v>
      </c>
      <c r="K2095" s="17" t="n">
        <f aca="false">MAX(B2095-B2094,0)</f>
        <v>199.580000000002</v>
      </c>
      <c r="L2095" s="17" t="n">
        <f aca="false">MAX(B2094-B2095,0)</f>
        <v>0</v>
      </c>
      <c r="M2095" s="17" t="n">
        <f aca="false">(M2094*13+K2095)/14</f>
        <v>84.8114376085473</v>
      </c>
      <c r="N2095" s="17" t="n">
        <f aca="false">(N2094*13+L2095)/14</f>
        <v>50.1076158372778</v>
      </c>
      <c r="O2095" s="17" t="n">
        <f aca="false">IF(N2095=0,100,100-100/(1+M2095/N2095))</f>
        <v>62.8609788183863</v>
      </c>
      <c r="P2095" s="17" t="n">
        <f aca="false">AVERAGE(B2076:B2095)+2*STDEV(B2076:B2095)</f>
        <v>20619.9289591285</v>
      </c>
      <c r="Q2095" s="17" t="n">
        <f aca="false">AVERAGE(B2076:B2095)-2*STDEV(B2076:B2095)</f>
        <v>19771.5660408715</v>
      </c>
      <c r="R2095" s="19" t="n">
        <f aca="false">B2095/B2075-1</f>
        <v>0.0393131141488776</v>
      </c>
      <c r="S2095" s="17" t="n">
        <f aca="false">STDEV(C2076:C2095)*SQRT(252)*100</f>
        <v>13.0078809412397</v>
      </c>
      <c r="T2095" s="19" t="n">
        <f aca="false">B2074/B1844-1</f>
        <v>0.399370514198658</v>
      </c>
      <c r="U2095" s="19" t="n">
        <f aca="false">B2095/MAX(B1844:B2095)-1</f>
        <v>-0.00603277908314137</v>
      </c>
      <c r="V2095" s="17" t="n">
        <f aca="false">(B2095-AVERAGE(B2076:B2095))/STDEV(B2076:B2095)</f>
        <v>1.67335225226075</v>
      </c>
    </row>
    <row r="2096" customFormat="false" ht="15" hidden="false" customHeight="false" outlineLevel="0" collapsed="false">
      <c r="A2096" s="17" t="s">
        <v>2660</v>
      </c>
      <c r="B2096" s="17" t="n">
        <v>20387.7</v>
      </c>
      <c r="C2096" s="19" t="n">
        <f aca="false">B2096/B2095-1</f>
        <v>-0.0079291895876773</v>
      </c>
      <c r="D2096" s="17" t="n">
        <f aca="false">AVERAGE(B2047:B2096)</f>
        <v>19782.8952</v>
      </c>
      <c r="E2096" s="17" t="n">
        <f aca="false">AVERAGE(B1897:B2096)</f>
        <v>18802.71155</v>
      </c>
      <c r="F2096" s="17" t="n">
        <f aca="false">B2096*2/13+F2095*11/13</f>
        <v>20305.2391953143</v>
      </c>
      <c r="G2096" s="17" t="n">
        <f aca="false">B2096*2/27+G2095*25/27</f>
        <v>20132.1426409737</v>
      </c>
      <c r="H2096" s="17" t="n">
        <f aca="false">F2096-G2096</f>
        <v>173.096554340616</v>
      </c>
      <c r="I2096" s="17" t="n">
        <f aca="false">H2096*2/10+I2095*8/10</f>
        <v>181.148171246183</v>
      </c>
      <c r="J2096" s="17" t="n">
        <f aca="false">H2096-I2096</f>
        <v>-8.05161690556682</v>
      </c>
      <c r="K2096" s="17" t="n">
        <f aca="false">MAX(B2096-B2095,0)</f>
        <v>0</v>
      </c>
      <c r="L2096" s="17" t="n">
        <f aca="false">MAX(B2095-B2096,0)</f>
        <v>162.950000000001</v>
      </c>
      <c r="M2096" s="17" t="n">
        <f aca="false">(M2095*13+K2096)/14</f>
        <v>78.7534777793654</v>
      </c>
      <c r="N2096" s="17" t="n">
        <f aca="false">(N2095*13+L2096)/14</f>
        <v>58.1677861346151</v>
      </c>
      <c r="O2096" s="17" t="n">
        <f aca="false">IF(N2096=0,100,100-100/(1+M2096/N2096))</f>
        <v>57.5173464866944</v>
      </c>
      <c r="P2096" s="17" t="n">
        <f aca="false">AVERAGE(B2077:B2096)+2*STDEV(B2077:B2096)</f>
        <v>20614.2863714512</v>
      </c>
      <c r="Q2096" s="17" t="n">
        <f aca="false">AVERAGE(B2077:B2096)-2*STDEV(B2077:B2096)</f>
        <v>19835.7196285488</v>
      </c>
      <c r="R2096" s="19" t="n">
        <f aca="false">B2096/B2076-1</f>
        <v>0.0295471450956668</v>
      </c>
      <c r="S2096" s="17" t="n">
        <f aca="false">STDEV(C2077:C2096)*SQRT(252)*100</f>
        <v>13.4745194454943</v>
      </c>
      <c r="T2096" s="19" t="n">
        <f aca="false">B2075/B1845-1</f>
        <v>0.372213871412332</v>
      </c>
      <c r="U2096" s="19" t="n">
        <f aca="false">B2096/MAX(B1845:B2096)-1</f>
        <v>-0.0139141336217279</v>
      </c>
      <c r="V2096" s="17" t="n">
        <f aca="false">(B2096-AVERAGE(B2077:B2096))/STDEV(B2077:B2096)</f>
        <v>0.835879525978629</v>
      </c>
    </row>
    <row r="2097" customFormat="false" ht="15" hidden="false" customHeight="false" outlineLevel="0" collapsed="false">
      <c r="A2097" s="17" t="s">
        <v>2661</v>
      </c>
      <c r="B2097" s="17" t="n">
        <v>19890.42</v>
      </c>
      <c r="C2097" s="19" t="n">
        <f aca="false">B2097/B2096-1</f>
        <v>-0.0243911770332114</v>
      </c>
      <c r="D2097" s="17" t="n">
        <f aca="false">AVERAGE(B2048:B2097)</f>
        <v>19784.2068</v>
      </c>
      <c r="E2097" s="17" t="n">
        <f aca="false">AVERAGE(B1898:B2097)</f>
        <v>18818.48225</v>
      </c>
      <c r="F2097" s="17" t="n">
        <f aca="false">B2097*2/13+F2096*11/13</f>
        <v>20241.4208575736</v>
      </c>
      <c r="G2097" s="17" t="n">
        <f aca="false">B2097*2/27+G2096*25/27</f>
        <v>20114.2372601608</v>
      </c>
      <c r="H2097" s="17" t="n">
        <f aca="false">F2097-G2097</f>
        <v>127.183597412819</v>
      </c>
      <c r="I2097" s="17" t="n">
        <f aca="false">H2097*2/10+I2096*8/10</f>
        <v>170.35525647951</v>
      </c>
      <c r="J2097" s="17" t="n">
        <f aca="false">H2097-I2097</f>
        <v>-43.1716590666914</v>
      </c>
      <c r="K2097" s="17" t="n">
        <f aca="false">MAX(B2097-B2096,0)</f>
        <v>0</v>
      </c>
      <c r="L2097" s="17" t="n">
        <f aca="false">MAX(B2096-B2097,0)</f>
        <v>497.280000000003</v>
      </c>
      <c r="M2097" s="17" t="n">
        <f aca="false">(M2096*13+K2097)/14</f>
        <v>73.1282293665536</v>
      </c>
      <c r="N2097" s="17" t="n">
        <f aca="false">(N2096*13+L2097)/14</f>
        <v>89.5329442678571</v>
      </c>
      <c r="O2097" s="17" t="n">
        <f aca="false">IF(N2097=0,100,100-100/(1+M2097/N2097))</f>
        <v>44.957396859138</v>
      </c>
      <c r="P2097" s="17" t="n">
        <f aca="false">AVERAGE(B2078:B2097)+2*STDEV(B2078:B2097)</f>
        <v>20598.3429327801</v>
      </c>
      <c r="Q2097" s="17" t="n">
        <f aca="false">AVERAGE(B2078:B2097)-2*STDEV(B2078:B2097)</f>
        <v>19861.3710672199</v>
      </c>
      <c r="R2097" s="19" t="n">
        <f aca="false">B2097/B2077-1</f>
        <v>0.00490468005904998</v>
      </c>
      <c r="S2097" s="17" t="n">
        <f aca="false">STDEV(C2078:C2097)*SQRT(252)*100</f>
        <v>16.3128325133936</v>
      </c>
      <c r="T2097" s="19" t="n">
        <f aca="false">B2076/B1846-1</f>
        <v>0.350338324612971</v>
      </c>
      <c r="U2097" s="19" t="n">
        <f aca="false">B2097/MAX(B1846:B2097)-1</f>
        <v>-0.0379659285585079</v>
      </c>
      <c r="V2097" s="17" t="n">
        <f aca="false">(B2097-AVERAGE(B2078:B2097))/STDEV(B2078:B2097)</f>
        <v>-1.8423335590536</v>
      </c>
    </row>
    <row r="2098" customFormat="false" ht="15" hidden="false" customHeight="false" outlineLevel="0" collapsed="false">
      <c r="A2098" s="17" t="s">
        <v>2662</v>
      </c>
      <c r="B2098" s="17" t="n">
        <v>20033.14</v>
      </c>
      <c r="C2098" s="19" t="n">
        <f aca="false">B2098/B2097-1</f>
        <v>0.00717531354290157</v>
      </c>
      <c r="D2098" s="17" t="n">
        <f aca="false">AVERAGE(B2049:B2098)</f>
        <v>19795.0328</v>
      </c>
      <c r="E2098" s="17" t="n">
        <f aca="false">AVERAGE(B1899:B2098)</f>
        <v>18833.7365</v>
      </c>
      <c r="F2098" s="17" t="n">
        <f aca="false">B2098*2/13+F2097*11/13</f>
        <v>20209.3776487162</v>
      </c>
      <c r="G2098" s="17" t="n">
        <f aca="false">B2098*2/27+G2097*25/27</f>
        <v>20108.2300557045</v>
      </c>
      <c r="H2098" s="17" t="n">
        <f aca="false">F2098-G2098</f>
        <v>101.147593011698</v>
      </c>
      <c r="I2098" s="17" t="n">
        <f aca="false">H2098*2/10+I2097*8/10</f>
        <v>156.513723785948</v>
      </c>
      <c r="J2098" s="17" t="n">
        <f aca="false">H2098-I2098</f>
        <v>-55.3661307742502</v>
      </c>
      <c r="K2098" s="17" t="n">
        <f aca="false">MAX(B2098-B2097,0)</f>
        <v>142.720000000001</v>
      </c>
      <c r="L2098" s="17" t="n">
        <f aca="false">MAX(B2097-B2098,0)</f>
        <v>0</v>
      </c>
      <c r="M2098" s="17" t="n">
        <f aca="false">(M2097*13+K2098)/14</f>
        <v>78.0990701260855</v>
      </c>
      <c r="N2098" s="17" t="n">
        <f aca="false">(N2097*13+L2098)/14</f>
        <v>83.1377339630101</v>
      </c>
      <c r="O2098" s="17" t="n">
        <f aca="false">IF(N2098=0,100,100-100/(1+M2098/N2098))</f>
        <v>48.4374957487559</v>
      </c>
      <c r="P2098" s="17" t="n">
        <f aca="false">AVERAGE(B2079:B2098)+2*STDEV(B2079:B2098)</f>
        <v>20598.4591057622</v>
      </c>
      <c r="Q2098" s="17" t="n">
        <f aca="false">AVERAGE(B2079:B2098)-2*STDEV(B2079:B2098)</f>
        <v>19861.0668942378</v>
      </c>
      <c r="R2098" s="19" t="n">
        <f aca="false">B2098/B2078-1</f>
        <v>-9.38356937003615E-005</v>
      </c>
      <c r="S2098" s="17" t="n">
        <f aca="false">STDEV(C2079:C2098)*SQRT(252)*100</f>
        <v>15.9182050754882</v>
      </c>
      <c r="T2098" s="19" t="n">
        <f aca="false">B2077/B1847-1</f>
        <v>0.326671380839235</v>
      </c>
      <c r="U2098" s="19" t="n">
        <f aca="false">B2098/MAX(B1847:B2098)-1</f>
        <v>-0.031063032456961</v>
      </c>
      <c r="V2098" s="17" t="n">
        <f aca="false">(B2098-AVERAGE(B2079:B2098))/STDEV(B2079:B2098)</f>
        <v>-1.06658571613348</v>
      </c>
    </row>
    <row r="2099" customFormat="false" ht="15" hidden="false" customHeight="false" outlineLevel="0" collapsed="false">
      <c r="A2099" s="17" t="s">
        <v>2663</v>
      </c>
      <c r="B2099" s="17" t="n">
        <v>19963.6</v>
      </c>
      <c r="C2099" s="19" t="n">
        <f aca="false">B2099/B2098-1</f>
        <v>-0.00347124814182909</v>
      </c>
      <c r="D2099" s="17" t="n">
        <f aca="false">AVERAGE(B2050:B2099)</f>
        <v>19799.8874</v>
      </c>
      <c r="E2099" s="17" t="n">
        <f aca="false">AVERAGE(B1900:B2099)</f>
        <v>18846.9845</v>
      </c>
      <c r="F2099" s="17" t="n">
        <f aca="false">B2099*2/13+F2098*11/13</f>
        <v>20171.5657027598</v>
      </c>
      <c r="G2099" s="17" t="n">
        <f aca="false">B2099*2/27+G2098*25/27</f>
        <v>20097.5167182449</v>
      </c>
      <c r="H2099" s="17" t="n">
        <f aca="false">F2099-G2099</f>
        <v>74.0489845149568</v>
      </c>
      <c r="I2099" s="17" t="n">
        <f aca="false">H2099*2/10+I2098*8/10</f>
        <v>140.02077593175</v>
      </c>
      <c r="J2099" s="17" t="n">
        <f aca="false">H2099-I2099</f>
        <v>-65.9717914167928</v>
      </c>
      <c r="K2099" s="17" t="n">
        <f aca="false">MAX(B2099-B2098,0)</f>
        <v>0</v>
      </c>
      <c r="L2099" s="17" t="n">
        <f aca="false">MAX(B2098-B2099,0)</f>
        <v>69.5400000000009</v>
      </c>
      <c r="M2099" s="17" t="n">
        <f aca="false">(M2098*13+K2099)/14</f>
        <v>72.5205651170794</v>
      </c>
      <c r="N2099" s="17" t="n">
        <f aca="false">(N2098*13+L2099)/14</f>
        <v>82.1664672513666</v>
      </c>
      <c r="O2099" s="17" t="n">
        <f aca="false">IF(N2099=0,100,100-100/(1+M2099/N2099))</f>
        <v>46.8821232178946</v>
      </c>
      <c r="P2099" s="17" t="n">
        <f aca="false">AVERAGE(B2080:B2099)+2*STDEV(B2080:B2099)</f>
        <v>20572.3043525772</v>
      </c>
      <c r="Q2099" s="17" t="n">
        <f aca="false">AVERAGE(B2080:B2099)-2*STDEV(B2080:B2099)</f>
        <v>19903.5076474228</v>
      </c>
      <c r="R2099" s="19" t="n">
        <f aca="false">B2099/B2079-1</f>
        <v>0.00822494512831318</v>
      </c>
      <c r="S2099" s="17" t="n">
        <f aca="false">STDEV(C2080:C2099)*SQRT(252)*100</f>
        <v>15.3723352254256</v>
      </c>
      <c r="T2099" s="19" t="n">
        <f aca="false">B2078/B1848-1</f>
        <v>0.326867331280725</v>
      </c>
      <c r="U2099" s="19" t="n">
        <f aca="false">B2099/MAX(B1848:B2099)-1</f>
        <v>-0.0344264531050942</v>
      </c>
      <c r="V2099" s="17" t="n">
        <f aca="false">(B2099-AVERAGE(B2080:B2099))/STDEV(B2080:B2099)</f>
        <v>-1.64059420679537</v>
      </c>
    </row>
    <row r="2100" customFormat="false" ht="15" hidden="false" customHeight="false" outlineLevel="0" collapsed="false">
      <c r="A2100" s="17" t="s">
        <v>2664</v>
      </c>
      <c r="B2100" s="17" t="n">
        <v>20227.46</v>
      </c>
      <c r="C2100" s="19" t="n">
        <f aca="false">B2100/B2099-1</f>
        <v>0.0132170550401731</v>
      </c>
      <c r="D2100" s="17" t="n">
        <f aca="false">AVERAGE(B2051:B2100)</f>
        <v>19814.1078</v>
      </c>
      <c r="E2100" s="17" t="n">
        <f aca="false">AVERAGE(B1901:B2100)</f>
        <v>18861.4699</v>
      </c>
      <c r="F2100" s="17" t="n">
        <f aca="false">B2100*2/13+F2099*11/13</f>
        <v>20180.1648254122</v>
      </c>
      <c r="G2100" s="17" t="n">
        <f aca="false">B2100*2/27+G2099*25/27</f>
        <v>20107.142146523</v>
      </c>
      <c r="H2100" s="17" t="n">
        <f aca="false">F2100-G2100</f>
        <v>73.0226788891305</v>
      </c>
      <c r="I2100" s="17" t="n">
        <f aca="false">H2100*2/10+I2099*8/10</f>
        <v>126.621156523226</v>
      </c>
      <c r="J2100" s="17" t="n">
        <f aca="false">H2100-I2100</f>
        <v>-53.5984776340953</v>
      </c>
      <c r="K2100" s="17" t="n">
        <f aca="false">MAX(B2100-B2099,0)</f>
        <v>263.860000000001</v>
      </c>
      <c r="L2100" s="17" t="n">
        <f aca="false">MAX(B2099-B2100,0)</f>
        <v>0</v>
      </c>
      <c r="M2100" s="17" t="n">
        <f aca="false">(M2099*13+K2100)/14</f>
        <v>86.1876676087167</v>
      </c>
      <c r="N2100" s="17" t="n">
        <f aca="false">(N2099*13+L2100)/14</f>
        <v>76.297433876269</v>
      </c>
      <c r="O2100" s="17" t="n">
        <f aca="false">IF(N2100=0,100,100-100/(1+M2100/N2100))</f>
        <v>53.043427871866</v>
      </c>
      <c r="P2100" s="17" t="n">
        <f aca="false">AVERAGE(B2081:B2100)+2*STDEV(B2081:B2100)</f>
        <v>20572.7207529478</v>
      </c>
      <c r="Q2100" s="17" t="n">
        <f aca="false">AVERAGE(B2081:B2100)-2*STDEV(B2081:B2100)</f>
        <v>19915.0592470522</v>
      </c>
      <c r="R2100" s="19" t="n">
        <f aca="false">B2100/B2080-1</f>
        <v>0.0059519250757667</v>
      </c>
      <c r="S2100" s="17" t="n">
        <f aca="false">STDEV(C2081:C2100)*SQRT(252)*100</f>
        <v>15.0939715002169</v>
      </c>
      <c r="T2100" s="19" t="n">
        <f aca="false">B2079/B1849-1</f>
        <v>0.306554368776365</v>
      </c>
      <c r="U2100" s="19" t="n">
        <f aca="false">B2100/MAX(B1849:B2100)-1</f>
        <v>-0.021664414390449</v>
      </c>
      <c r="V2100" s="17" t="n">
        <f aca="false">(B2100-AVERAGE(B2081:B2100))/STDEV(B2081:B2100)</f>
        <v>-0.0999298262264959</v>
      </c>
    </row>
    <row r="2101" customFormat="false" ht="15" hidden="false" customHeight="false" outlineLevel="0" collapsed="false">
      <c r="A2101" s="17" t="s">
        <v>2665</v>
      </c>
      <c r="B2101" s="17" t="n">
        <v>20781.33</v>
      </c>
      <c r="C2101" s="19" t="n">
        <f aca="false">B2101/B2100-1</f>
        <v>0.0273820835636309</v>
      </c>
      <c r="D2101" s="17" t="n">
        <f aca="false">AVERAGE(B2052:B2101)</f>
        <v>19838.104</v>
      </c>
      <c r="E2101" s="17" t="n">
        <f aca="false">AVERAGE(B1902:B2101)</f>
        <v>18878.3555</v>
      </c>
      <c r="F2101" s="17" t="n">
        <f aca="false">B2101*2/13+F2100*11/13</f>
        <v>20272.6517753487</v>
      </c>
      <c r="G2101" s="17" t="n">
        <f aca="false">B2101*2/27+G2100*25/27</f>
        <v>20157.0819875213</v>
      </c>
      <c r="H2101" s="17" t="n">
        <f aca="false">F2101-G2101</f>
        <v>115.56978782743</v>
      </c>
      <c r="I2101" s="17" t="n">
        <f aca="false">H2101*2/10+I2100*8/10</f>
        <v>124.410882784067</v>
      </c>
      <c r="J2101" s="17" t="n">
        <f aca="false">H2101-I2101</f>
        <v>-8.84109495663699</v>
      </c>
      <c r="K2101" s="17" t="n">
        <f aca="false">MAX(B2101-B2100,0)</f>
        <v>553.870000000003</v>
      </c>
      <c r="L2101" s="17" t="n">
        <f aca="false">MAX(B2100-B2101,0)</f>
        <v>0</v>
      </c>
      <c r="M2101" s="17" t="n">
        <f aca="false">(M2100*13+K2101)/14</f>
        <v>119.593548493809</v>
      </c>
      <c r="N2101" s="17" t="n">
        <f aca="false">(N2100*13+L2101)/14</f>
        <v>70.8476171708212</v>
      </c>
      <c r="O2101" s="17" t="n">
        <f aca="false">IF(N2101=0,100,100-100/(1+M2101/N2101))</f>
        <v>62.7981603013368</v>
      </c>
      <c r="P2101" s="17" t="n">
        <f aca="false">AVERAGE(B2082:B2101)+2*STDEV(B2082:B2101)</f>
        <v>20676.9968886327</v>
      </c>
      <c r="Q2101" s="17" t="n">
        <f aca="false">AVERAGE(B2082:B2101)-2*STDEV(B2082:B2101)</f>
        <v>19862.0301113673</v>
      </c>
      <c r="R2101" s="19" t="n">
        <f aca="false">B2101/B2081-1</f>
        <v>0.0252836123985267</v>
      </c>
      <c r="S2101" s="17" t="n">
        <f aca="false">STDEV(C2082:C2101)*SQRT(252)*100</f>
        <v>17.7348634716114</v>
      </c>
      <c r="T2101" s="19" t="n">
        <f aca="false">B2080/B1850-1</f>
        <v>0.314575948514712</v>
      </c>
      <c r="U2101" s="19" t="n">
        <f aca="false">B2101/MAX(B1850:B2101)-1</f>
        <v>0</v>
      </c>
      <c r="V2101" s="17" t="n">
        <f aca="false">(B2101-AVERAGE(B2082:B2101))/STDEV(B2082:B2101)</f>
        <v>2.512085224958</v>
      </c>
    </row>
    <row r="2102" customFormat="false" ht="15" hidden="false" customHeight="false" outlineLevel="0" collapsed="false">
      <c r="A2102" s="17" t="s">
        <v>2666</v>
      </c>
      <c r="B2102" s="17" t="n">
        <v>21101.57</v>
      </c>
      <c r="C2102" s="19" t="n">
        <f aca="false">B2102/B2101-1</f>
        <v>0.0154099857901298</v>
      </c>
      <c r="D2102" s="17" t="n">
        <f aca="false">AVERAGE(B2053:B2102)</f>
        <v>19873.1198</v>
      </c>
      <c r="E2102" s="17" t="n">
        <f aca="false">AVERAGE(B1903:B2102)</f>
        <v>18896.36685</v>
      </c>
      <c r="F2102" s="17" t="n">
        <f aca="false">B2102*2/13+F2101*11/13</f>
        <v>20400.1776560643</v>
      </c>
      <c r="G2102" s="17" t="n">
        <f aca="false">B2102*2/27+G2101*25/27</f>
        <v>20227.0440625197</v>
      </c>
      <c r="H2102" s="17" t="n">
        <f aca="false">F2102-G2102</f>
        <v>173.133593544586</v>
      </c>
      <c r="I2102" s="17" t="n">
        <f aca="false">H2102*2/10+I2101*8/10</f>
        <v>134.15542493617</v>
      </c>
      <c r="J2102" s="17" t="n">
        <f aca="false">H2102-I2102</f>
        <v>38.9781686084155</v>
      </c>
      <c r="K2102" s="17" t="n">
        <f aca="false">MAX(B2102-B2101,0)</f>
        <v>320.239999999998</v>
      </c>
      <c r="L2102" s="17" t="n">
        <f aca="false">MAX(B2101-B2102,0)</f>
        <v>0</v>
      </c>
      <c r="M2102" s="17" t="n">
        <f aca="false">(M2101*13+K2102)/14</f>
        <v>133.925437887108</v>
      </c>
      <c r="N2102" s="17" t="n">
        <f aca="false">(N2101*13+L2102)/14</f>
        <v>65.7870730871911</v>
      </c>
      <c r="O2102" s="17" t="n">
        <f aca="false">IF(N2102=0,100,100-100/(1+M2102/N2102))</f>
        <v>67.0591127384817</v>
      </c>
      <c r="P2102" s="17" t="n">
        <f aca="false">AVERAGE(B2083:B2102)+2*STDEV(B2083:B2102)</f>
        <v>20863.7298077145</v>
      </c>
      <c r="Q2102" s="17" t="n">
        <f aca="false">AVERAGE(B2083:B2102)-2*STDEV(B2083:B2102)</f>
        <v>19761.2781922855</v>
      </c>
      <c r="R2102" s="19" t="n">
        <f aca="false">B2102/B2082-1</f>
        <v>0.0424770375698556</v>
      </c>
      <c r="S2102" s="17" t="n">
        <f aca="false">STDEV(C2083:C2102)*SQRT(252)*100</f>
        <v>18.387795837341</v>
      </c>
      <c r="T2102" s="19" t="n">
        <f aca="false">B2081/B1851-1</f>
        <v>0.323616687258869</v>
      </c>
      <c r="U2102" s="19" t="n">
        <f aca="false">B2102/MAX(B1851:B2102)-1</f>
        <v>0</v>
      </c>
      <c r="V2102" s="17" t="n">
        <f aca="false">(B2102-AVERAGE(B2083:B2102))/STDEV(B2083:B2102)</f>
        <v>2.86295013389015</v>
      </c>
    </row>
    <row r="2103" customFormat="false" ht="15" hidden="false" customHeight="false" outlineLevel="0" collapsed="false">
      <c r="A2103" s="17" t="s">
        <v>2667</v>
      </c>
      <c r="B2103" s="17" t="n">
        <v>21117.18</v>
      </c>
      <c r="C2103" s="19" t="n">
        <f aca="false">B2103/B2102-1</f>
        <v>0.000739755383130314</v>
      </c>
      <c r="D2103" s="17" t="n">
        <f aca="false">AVERAGE(B2054:B2103)</f>
        <v>19908.9544</v>
      </c>
      <c r="E2103" s="17" t="n">
        <f aca="false">AVERAGE(B1904:B2103)</f>
        <v>18914.3678</v>
      </c>
      <c r="F2103" s="17" t="n">
        <f aca="false">B2103*2/13+F2102*11/13</f>
        <v>20510.4857089775</v>
      </c>
      <c r="G2103" s="17" t="n">
        <f aca="false">B2103*2/27+G2102*25/27</f>
        <v>20292.9800578886</v>
      </c>
      <c r="H2103" s="17" t="n">
        <f aca="false">F2103-G2103</f>
        <v>217.505651088857</v>
      </c>
      <c r="I2103" s="17" t="n">
        <f aca="false">H2103*2/10+I2102*8/10</f>
        <v>150.825470166708</v>
      </c>
      <c r="J2103" s="17" t="n">
        <f aca="false">H2103-I2103</f>
        <v>66.6801809221494</v>
      </c>
      <c r="K2103" s="17" t="n">
        <f aca="false">MAX(B2103-B2102,0)</f>
        <v>15.6100000000006</v>
      </c>
      <c r="L2103" s="17" t="n">
        <f aca="false">MAX(B2102-B2103,0)</f>
        <v>0</v>
      </c>
      <c r="M2103" s="17" t="n">
        <f aca="false">(M2102*13+K2103)/14</f>
        <v>125.474335180886</v>
      </c>
      <c r="N2103" s="17" t="n">
        <f aca="false">(N2102*13+L2103)/14</f>
        <v>61.087996438106</v>
      </c>
      <c r="O2103" s="17" t="n">
        <f aca="false">IF(N2103=0,100,100-100/(1+M2103/N2103))</f>
        <v>67.2559857566192</v>
      </c>
      <c r="P2103" s="17" t="n">
        <f aca="false">AVERAGE(B2084:B2103)+2*STDEV(B2084:B2103)</f>
        <v>21012.260298713</v>
      </c>
      <c r="Q2103" s="17" t="n">
        <f aca="false">AVERAGE(B2084:B2103)-2*STDEV(B2084:B2103)</f>
        <v>19697.268701287</v>
      </c>
      <c r="R2103" s="19" t="n">
        <f aca="false">B2103/B2083-1</f>
        <v>0.0416935305251536</v>
      </c>
      <c r="S2103" s="17" t="n">
        <f aca="false">STDEV(C2084:C2103)*SQRT(252)*100</f>
        <v>18.3932838706708</v>
      </c>
      <c r="T2103" s="19" t="n">
        <f aca="false">B2082/B1852-1</f>
        <v>0.332755680508826</v>
      </c>
      <c r="U2103" s="19" t="n">
        <f aca="false">B2103/MAX(B1852:B2103)-1</f>
        <v>0</v>
      </c>
      <c r="V2103" s="17" t="n">
        <f aca="false">(B2103-AVERAGE(B2084:B2103))/STDEV(B2084:B2103)</f>
        <v>2.31914941963845</v>
      </c>
    </row>
    <row r="2104" customFormat="false" ht="15" hidden="false" customHeight="false" outlineLevel="0" collapsed="false">
      <c r="A2104" s="17" t="s">
        <v>2668</v>
      </c>
      <c r="B2104" s="17" t="n">
        <v>21106.59</v>
      </c>
      <c r="C2104" s="19" t="n">
        <f aca="false">B2104/B2103-1</f>
        <v>-0.000501487414512725</v>
      </c>
      <c r="D2104" s="17" t="n">
        <f aca="false">AVERAGE(B2055:B2104)</f>
        <v>19939.5934</v>
      </c>
      <c r="E2104" s="17" t="n">
        <f aca="false">AVERAGE(B1905:B2104)</f>
        <v>18932.7957</v>
      </c>
      <c r="F2104" s="17" t="n">
        <f aca="false">B2104*2/13+F2103*11/13</f>
        <v>20602.1940614425</v>
      </c>
      <c r="G2104" s="17" t="n">
        <f aca="false">B2104*2/27+G2103*25/27</f>
        <v>20353.247461008</v>
      </c>
      <c r="H2104" s="17" t="n">
        <f aca="false">F2104-G2104</f>
        <v>248.946600434501</v>
      </c>
      <c r="I2104" s="17" t="n">
        <f aca="false">H2104*2/10+I2103*8/10</f>
        <v>170.449696220266</v>
      </c>
      <c r="J2104" s="17" t="n">
        <f aca="false">H2104-I2104</f>
        <v>78.4969042142349</v>
      </c>
      <c r="K2104" s="17" t="n">
        <f aca="false">MAX(B2104-B2103,0)</f>
        <v>0</v>
      </c>
      <c r="L2104" s="17" t="n">
        <f aca="false">MAX(B2103-B2104,0)</f>
        <v>10.5900000000001</v>
      </c>
      <c r="M2104" s="17" t="n">
        <f aca="false">(M2103*13+K2104)/14</f>
        <v>116.511882667965</v>
      </c>
      <c r="N2104" s="17" t="n">
        <f aca="false">(N2103*13+L2104)/14</f>
        <v>57.480996692527</v>
      </c>
      <c r="O2104" s="17" t="n">
        <f aca="false">IF(N2104=0,100,100-100/(1+M2104/N2104))</f>
        <v>66.9635924735556</v>
      </c>
      <c r="P2104" s="17" t="n">
        <f aca="false">AVERAGE(B2085:B2104)+2*STDEV(B2085:B2104)</f>
        <v>21126.4590040384</v>
      </c>
      <c r="Q2104" s="17" t="n">
        <f aca="false">AVERAGE(B2085:B2104)-2*STDEV(B2085:B2104)</f>
        <v>19649.8239959616</v>
      </c>
      <c r="R2104" s="19" t="n">
        <f aca="false">B2104/B2084-1</f>
        <v>0.0326600306765725</v>
      </c>
      <c r="S2104" s="17" t="n">
        <f aca="false">STDEV(C2085:C2104)*SQRT(252)*100</f>
        <v>18.2679889364235</v>
      </c>
      <c r="T2104" s="19" t="n">
        <f aca="false">B2083/B1853-1</f>
        <v>0.305416533583358</v>
      </c>
      <c r="U2104" s="19" t="n">
        <f aca="false">B2104/MAX(B1853:B2104)-1</f>
        <v>-0.000501487414512725</v>
      </c>
      <c r="V2104" s="17" t="n">
        <f aca="false">(B2104-AVERAGE(B2085:B2104))/STDEV(B2085:B2104)</f>
        <v>1.94617761618894</v>
      </c>
    </row>
    <row r="2105" customFormat="false" ht="15" hidden="false" customHeight="false" outlineLevel="0" collapsed="false">
      <c r="A2105" s="17" t="s">
        <v>2669</v>
      </c>
      <c r="B2105" s="17" t="n">
        <v>21070.79</v>
      </c>
      <c r="C2105" s="19" t="n">
        <f aca="false">B2105/B2104-1</f>
        <v>-0.00169615271817947</v>
      </c>
      <c r="D2105" s="17" t="n">
        <f aca="false">AVERAGE(B2056:B2105)</f>
        <v>19981.8344</v>
      </c>
      <c r="E2105" s="17" t="n">
        <f aca="false">AVERAGE(B1906:B2105)</f>
        <v>18950.1683</v>
      </c>
      <c r="F2105" s="17" t="n">
        <f aca="false">B2105*2/13+F2104*11/13</f>
        <v>20674.2857442975</v>
      </c>
      <c r="G2105" s="17" t="n">
        <f aca="false">B2105*2/27+G2104*25/27</f>
        <v>20406.3987601926</v>
      </c>
      <c r="H2105" s="17" t="n">
        <f aca="false">F2105-G2105</f>
        <v>267.886984104905</v>
      </c>
      <c r="I2105" s="17" t="n">
        <f aca="false">H2105*2/10+I2104*8/10</f>
        <v>189.937153797194</v>
      </c>
      <c r="J2105" s="17" t="n">
        <f aca="false">H2105-I2105</f>
        <v>77.9498303077112</v>
      </c>
      <c r="K2105" s="17" t="n">
        <f aca="false">MAX(B2105-B2104,0)</f>
        <v>0</v>
      </c>
      <c r="L2105" s="17" t="n">
        <f aca="false">MAX(B2104-B2105,0)</f>
        <v>35.7999999999993</v>
      </c>
      <c r="M2105" s="17" t="n">
        <f aca="false">(M2104*13+K2105)/14</f>
        <v>108.189605334539</v>
      </c>
      <c r="N2105" s="17" t="n">
        <f aca="false">(N2104*13+L2105)/14</f>
        <v>55.9323540716322</v>
      </c>
      <c r="O2105" s="17" t="n">
        <f aca="false">IF(N2105=0,100,100-100/(1+M2105/N2105))</f>
        <v>65.9202496277723</v>
      </c>
      <c r="P2105" s="17" t="n">
        <f aca="false">AVERAGE(B2086:B2105)+2*STDEV(B2086:B2105)</f>
        <v>21223.3164508405</v>
      </c>
      <c r="Q2105" s="17" t="n">
        <f aca="false">AVERAGE(B2086:B2105)-2*STDEV(B2086:B2105)</f>
        <v>19644.0625491595</v>
      </c>
      <c r="R2105" s="19" t="n">
        <f aca="false">B2105/B2085-1</f>
        <v>0.0451868889767424</v>
      </c>
      <c r="S2105" s="17" t="n">
        <f aca="false">STDEV(C2086:C2105)*SQRT(252)*100</f>
        <v>17.4096330853609</v>
      </c>
      <c r="T2105" s="19" t="n">
        <f aca="false">B2084/B1854-1</f>
        <v>0.32011413963504</v>
      </c>
      <c r="U2105" s="19" t="n">
        <f aca="false">B2105/MAX(B1854:B2105)-1</f>
        <v>-0.00219678953345093</v>
      </c>
      <c r="V2105" s="17" t="n">
        <f aca="false">(B2105-AVERAGE(B2086:B2105))/STDEV(B2086:B2105)</f>
        <v>1.61367465819611</v>
      </c>
    </row>
    <row r="2106" customFormat="false" ht="15" hidden="false" customHeight="false" outlineLevel="0" collapsed="false">
      <c r="A2106" s="17" t="s">
        <v>2670</v>
      </c>
      <c r="B2106" s="17" t="n">
        <v>21036.16</v>
      </c>
      <c r="C2106" s="19" t="n">
        <f aca="false">B2106/B2105-1</f>
        <v>-0.00164350743375075</v>
      </c>
      <c r="D2106" s="17" t="n">
        <f aca="false">AVERAGE(B2057:B2106)</f>
        <v>20024.1296</v>
      </c>
      <c r="E2106" s="17" t="n">
        <f aca="false">AVERAGE(B1907:B2106)</f>
        <v>18967.96555</v>
      </c>
      <c r="F2106" s="17" t="n">
        <f aca="false">B2106*2/13+F2105*11/13</f>
        <v>20729.9587067133</v>
      </c>
      <c r="G2106" s="17" t="n">
        <f aca="false">B2106*2/27+G2105*25/27</f>
        <v>20453.0477409191</v>
      </c>
      <c r="H2106" s="17" t="n">
        <f aca="false">F2106-G2106</f>
        <v>276.910965794199</v>
      </c>
      <c r="I2106" s="17" t="n">
        <f aca="false">H2106*2/10+I2105*8/10</f>
        <v>207.331916196595</v>
      </c>
      <c r="J2106" s="17" t="n">
        <f aca="false">H2106-I2106</f>
        <v>69.5790495976038</v>
      </c>
      <c r="K2106" s="17" t="n">
        <f aca="false">MAX(B2106-B2105,0)</f>
        <v>0</v>
      </c>
      <c r="L2106" s="17" t="n">
        <f aca="false">MAX(B2105-B2106,0)</f>
        <v>34.630000000001</v>
      </c>
      <c r="M2106" s="17" t="n">
        <f aca="false">(M2105*13+K2106)/14</f>
        <v>100.461776382072</v>
      </c>
      <c r="N2106" s="17" t="n">
        <f aca="false">(N2105*13+L2106)/14</f>
        <v>54.41075735223</v>
      </c>
      <c r="O2106" s="17" t="n">
        <f aca="false">IF(N2106=0,100,100-100/(1+M2106/N2106))</f>
        <v>64.8673938236353</v>
      </c>
      <c r="P2106" s="17" t="n">
        <f aca="false">AVERAGE(B2087:B2106)+2*STDEV(B2087:B2106)</f>
        <v>21300.1478728571</v>
      </c>
      <c r="Q2106" s="17" t="n">
        <f aca="false">AVERAGE(B2087:B2106)-2*STDEV(B2087:B2106)</f>
        <v>19653.4421271429</v>
      </c>
      <c r="R2106" s="19" t="n">
        <f aca="false">B2106/B2086-1</f>
        <v>0.042733610752427</v>
      </c>
      <c r="S2106" s="17" t="n">
        <f aca="false">STDEV(C2087:C2106)*SQRT(252)*100</f>
        <v>17.457518622903</v>
      </c>
      <c r="T2106" s="19" t="n">
        <f aca="false">B2085/B1855-1</f>
        <v>0.274932379318348</v>
      </c>
      <c r="U2106" s="19" t="n">
        <f aca="false">B2106/MAX(B1855:B2106)-1</f>
        <v>-0.00383668652727309</v>
      </c>
      <c r="V2106" s="17" t="n">
        <f aca="false">(B2106-AVERAGE(B2087:B2106))/STDEV(B2087:B2106)</f>
        <v>1.35874913039152</v>
      </c>
    </row>
    <row r="2107" customFormat="false" ht="15" hidden="false" customHeight="false" outlineLevel="0" collapsed="false">
      <c r="A2107" s="17" t="s">
        <v>2671</v>
      </c>
      <c r="B2107" s="17" t="n">
        <v>20896.67</v>
      </c>
      <c r="C2107" s="19" t="n">
        <f aca="false">B2107/B2106-1</f>
        <v>-0.00663096306550248</v>
      </c>
      <c r="D2107" s="17" t="n">
        <f aca="false">AVERAGE(B2058:B2107)</f>
        <v>20063.4564</v>
      </c>
      <c r="E2107" s="17" t="n">
        <f aca="false">AVERAGE(B1908:B2107)</f>
        <v>18986.7627</v>
      </c>
      <c r="F2107" s="17" t="n">
        <f aca="false">B2107*2/13+F2106*11/13</f>
        <v>20755.6065979882</v>
      </c>
      <c r="G2107" s="17" t="n">
        <f aca="false">B2107*2/27+G2106*25/27</f>
        <v>20485.9086489991</v>
      </c>
      <c r="H2107" s="17" t="n">
        <f aca="false">F2107-G2107</f>
        <v>269.697948989015</v>
      </c>
      <c r="I2107" s="17" t="n">
        <f aca="false">H2107*2/10+I2106*8/10</f>
        <v>219.805122755079</v>
      </c>
      <c r="J2107" s="17" t="n">
        <f aca="false">H2107-I2107</f>
        <v>49.8928262339355</v>
      </c>
      <c r="K2107" s="17" t="n">
        <f aca="false">MAX(B2107-B2106,0)</f>
        <v>0</v>
      </c>
      <c r="L2107" s="17" t="n">
        <f aca="false">MAX(B2106-B2107,0)</f>
        <v>139.490000000002</v>
      </c>
      <c r="M2107" s="17" t="n">
        <f aca="false">(M2106*13+K2107)/14</f>
        <v>93.2859352119242</v>
      </c>
      <c r="N2107" s="17" t="n">
        <f aca="false">(N2106*13+L2107)/14</f>
        <v>60.4878461127851</v>
      </c>
      <c r="O2107" s="17" t="n">
        <f aca="false">IF(N2107=0,100,100-100/(1+M2107/N2107))</f>
        <v>60.6643957170704</v>
      </c>
      <c r="P2107" s="17" t="n">
        <f aca="false">AVERAGE(B2088:B2107)+2*STDEV(B2088:B2107)</f>
        <v>21344.2786868138</v>
      </c>
      <c r="Q2107" s="17" t="n">
        <f aca="false">AVERAGE(B2088:B2107)-2*STDEV(B2088:B2107)</f>
        <v>19679.9363131862</v>
      </c>
      <c r="R2107" s="19" t="n">
        <f aca="false">B2107/B2087-1</f>
        <v>0.0349794605560458</v>
      </c>
      <c r="S2107" s="17" t="n">
        <f aca="false">STDEV(C2088:C2107)*SQRT(252)*100</f>
        <v>17.7310558415547</v>
      </c>
      <c r="T2107" s="19" t="n">
        <f aca="false">B2086/B1856-1</f>
        <v>0.275451755622684</v>
      </c>
      <c r="U2107" s="19" t="n">
        <f aca="false">B2107/MAX(B1856:B2107)-1</f>
        <v>-0.0104422086661193</v>
      </c>
      <c r="V2107" s="17" t="n">
        <f aca="false">(B2107-AVERAGE(B2088:B2107))/STDEV(B2088:B2107)</f>
        <v>0.924238921254608</v>
      </c>
    </row>
    <row r="2108" customFormat="false" ht="15" hidden="false" customHeight="false" outlineLevel="0" collapsed="false">
      <c r="A2108" s="17" t="s">
        <v>2672</v>
      </c>
      <c r="B2108" s="17" t="n">
        <v>20394.13</v>
      </c>
      <c r="C2108" s="19" t="n">
        <f aca="false">B2108/B2107-1</f>
        <v>-0.0240488077765499</v>
      </c>
      <c r="D2108" s="17" t="n">
        <f aca="false">AVERAGE(B2059:B2108)</f>
        <v>20102.9128</v>
      </c>
      <c r="E2108" s="17" t="n">
        <f aca="false">AVERAGE(B1909:B2108)</f>
        <v>19002.0098</v>
      </c>
      <c r="F2108" s="17" t="n">
        <f aca="false">B2108*2/13+F2107*11/13</f>
        <v>20699.9948136823</v>
      </c>
      <c r="G2108" s="17" t="n">
        <f aca="false">B2108*2/27+G2107*25/27</f>
        <v>20479.1102305548</v>
      </c>
      <c r="H2108" s="17" t="n">
        <f aca="false">F2108-G2108</f>
        <v>220.884583127525</v>
      </c>
      <c r="I2108" s="17" t="n">
        <f aca="false">H2108*2/10+I2107*8/10</f>
        <v>220.021014829568</v>
      </c>
      <c r="J2108" s="17" t="n">
        <f aca="false">H2108-I2108</f>
        <v>0.86356829795659</v>
      </c>
      <c r="K2108" s="17" t="n">
        <f aca="false">MAX(B2108-B2107,0)</f>
        <v>0</v>
      </c>
      <c r="L2108" s="17" t="n">
        <f aca="false">MAX(B2107-B2108,0)</f>
        <v>502.539999999997</v>
      </c>
      <c r="M2108" s="17" t="n">
        <f aca="false">(M2107*13+K2108)/14</f>
        <v>86.6226541253582</v>
      </c>
      <c r="N2108" s="17" t="n">
        <f aca="false">(N2107*13+L2108)/14</f>
        <v>92.0629999618717</v>
      </c>
      <c r="O2108" s="17" t="n">
        <f aca="false">IF(N2108=0,100,100-100/(1+M2108/N2108))</f>
        <v>48.4776769393424</v>
      </c>
      <c r="P2108" s="17" t="n">
        <f aca="false">AVERAGE(B2089:B2108)+2*STDEV(B2089:B2108)</f>
        <v>21345.0342307784</v>
      </c>
      <c r="Q2108" s="17" t="n">
        <f aca="false">AVERAGE(B2089:B2108)-2*STDEV(B2089:B2108)</f>
        <v>19686.1897692216</v>
      </c>
      <c r="R2108" s="19" t="n">
        <f aca="false">B2108/B2088-1</f>
        <v>0.00344862537172719</v>
      </c>
      <c r="S2108" s="17" t="n">
        <f aca="false">STDEV(C2089:C2108)*SQRT(252)*100</f>
        <v>19.8375805420829</v>
      </c>
      <c r="T2108" s="19" t="n">
        <f aca="false">B2087/B1857-1</f>
        <v>0.27519757572236</v>
      </c>
      <c r="U2108" s="19" t="n">
        <f aca="false">B2108/MAX(B1857:B2108)-1</f>
        <v>-0.0342398937736951</v>
      </c>
      <c r="V2108" s="17" t="n">
        <f aca="false">(B2108-AVERAGE(B2089:B2108))/STDEV(B2089:B2108)</f>
        <v>-0.292931622741739</v>
      </c>
    </row>
    <row r="2109" customFormat="false" ht="15" hidden="false" customHeight="false" outlineLevel="0" collapsed="false">
      <c r="A2109" s="17" t="s">
        <v>2673</v>
      </c>
      <c r="B2109" s="17" t="n">
        <v>20539.19</v>
      </c>
      <c r="C2109" s="19" t="n">
        <f aca="false">B2109/B2108-1</f>
        <v>0.00711283099597759</v>
      </c>
      <c r="D2109" s="17" t="n">
        <f aca="false">AVERAGE(B2060:B2109)</f>
        <v>20140.481</v>
      </c>
      <c r="E2109" s="17" t="n">
        <f aca="false">AVERAGE(B1910:B2109)</f>
        <v>19016.4921</v>
      </c>
      <c r="F2109" s="17" t="n">
        <f aca="false">B2109*2/13+F2108*11/13</f>
        <v>20675.2556115773</v>
      </c>
      <c r="G2109" s="17" t="n">
        <f aca="false">B2109*2/27+G2108*25/27</f>
        <v>20483.560583847</v>
      </c>
      <c r="H2109" s="17" t="n">
        <f aca="false">F2109-G2109</f>
        <v>191.695027730319</v>
      </c>
      <c r="I2109" s="17" t="n">
        <f aca="false">H2109*2/10+I2108*8/10</f>
        <v>214.355817409718</v>
      </c>
      <c r="J2109" s="17" t="n">
        <f aca="false">H2109-I2109</f>
        <v>-22.6607896793998</v>
      </c>
      <c r="K2109" s="17" t="n">
        <f aca="false">MAX(B2109-B2108,0)</f>
        <v>145.059999999998</v>
      </c>
      <c r="L2109" s="17" t="n">
        <f aca="false">MAX(B2108-B2109,0)</f>
        <v>0</v>
      </c>
      <c r="M2109" s="17" t="n">
        <f aca="false">(M2108*13+K2109)/14</f>
        <v>90.796750259261</v>
      </c>
      <c r="N2109" s="17" t="n">
        <f aca="false">(N2108*13+L2109)/14</f>
        <v>85.4870713931665</v>
      </c>
      <c r="O2109" s="17" t="n">
        <f aca="false">IF(N2109=0,100,100-100/(1+M2109/N2109))</f>
        <v>51.5060028811275</v>
      </c>
      <c r="P2109" s="17" t="n">
        <f aca="false">AVERAGE(B2090:B2109)+2*STDEV(B2090:B2109)</f>
        <v>21350.7689917798</v>
      </c>
      <c r="Q2109" s="17" t="n">
        <f aca="false">AVERAGE(B2090:B2109)-2*STDEV(B2090:B2109)</f>
        <v>19698.2270082202</v>
      </c>
      <c r="R2109" s="19" t="n">
        <f aca="false">B2109/B2089-1</f>
        <v>0.00872824997409305</v>
      </c>
      <c r="S2109" s="17" t="n">
        <f aca="false">STDEV(C2090:C2109)*SQRT(252)*100</f>
        <v>19.9815178960049</v>
      </c>
      <c r="T2109" s="19" t="n">
        <f aca="false">B2088/B1858-1</f>
        <v>0.283246169494993</v>
      </c>
      <c r="U2109" s="19" t="n">
        <f aca="false">B2109/MAX(B1858:B2109)-1</f>
        <v>-0.02737060535545</v>
      </c>
      <c r="V2109" s="17" t="n">
        <f aca="false">(B2109-AVERAGE(B2090:B2109))/STDEV(B2090:B2109)</f>
        <v>0.0355621827370499</v>
      </c>
    </row>
    <row r="2110" customFormat="false" ht="15" hidden="false" customHeight="false" outlineLevel="0" collapsed="false">
      <c r="A2110" s="17" t="s">
        <v>2674</v>
      </c>
      <c r="B2110" s="17" t="n">
        <v>20684.59</v>
      </c>
      <c r="C2110" s="19" t="n">
        <f aca="false">B2110/B2109-1</f>
        <v>0.00707914966461676</v>
      </c>
      <c r="D2110" s="17" t="n">
        <f aca="false">AVERAGE(B2061:B2110)</f>
        <v>20177.59</v>
      </c>
      <c r="E2110" s="17" t="n">
        <f aca="false">AVERAGE(B1911:B2110)</f>
        <v>19031.84985</v>
      </c>
      <c r="F2110" s="17" t="n">
        <f aca="false">B2110*2/13+F2109*11/13</f>
        <v>20676.6916713347</v>
      </c>
      <c r="G2110" s="17" t="n">
        <f aca="false">B2110*2/27+G2109*25/27</f>
        <v>20498.4516517102</v>
      </c>
      <c r="H2110" s="17" t="n">
        <f aca="false">F2110-G2110</f>
        <v>178.240019624471</v>
      </c>
      <c r="I2110" s="17" t="n">
        <f aca="false">H2110*2/10+I2109*8/10</f>
        <v>207.132657852669</v>
      </c>
      <c r="J2110" s="17" t="n">
        <f aca="false">H2110-I2110</f>
        <v>-28.8926382281981</v>
      </c>
      <c r="K2110" s="17" t="n">
        <f aca="false">MAX(B2110-B2109,0)</f>
        <v>145.400000000001</v>
      </c>
      <c r="L2110" s="17" t="n">
        <f aca="false">MAX(B2109-B2110,0)</f>
        <v>0</v>
      </c>
      <c r="M2110" s="17" t="n">
        <f aca="false">(M2109*13+K2110)/14</f>
        <v>94.6969823835996</v>
      </c>
      <c r="N2110" s="17" t="n">
        <f aca="false">(N2109*13+L2110)/14</f>
        <v>79.3808520079404</v>
      </c>
      <c r="O2110" s="17" t="n">
        <f aca="false">IF(N2110=0,100,100-100/(1+M2110/N2110))</f>
        <v>54.3992190129186</v>
      </c>
      <c r="P2110" s="17" t="n">
        <f aca="false">AVERAGE(B2091:B2110)+2*STDEV(B2091:B2110)</f>
        <v>21365.9005825759</v>
      </c>
      <c r="Q2110" s="17" t="n">
        <f aca="false">AVERAGE(B2091:B2110)-2*STDEV(B2091:B2110)</f>
        <v>19712.5084174241</v>
      </c>
      <c r="R2110" s="19" t="n">
        <f aca="false">B2110/B2090-1</f>
        <v>0.014424883009015</v>
      </c>
      <c r="S2110" s="17" t="n">
        <f aca="false">STDEV(C2091:C2110)*SQRT(252)*100</f>
        <v>20.1162065618587</v>
      </c>
      <c r="T2110" s="19" t="n">
        <f aca="false">B2089/B1859-1</f>
        <v>0.270443237873946</v>
      </c>
      <c r="U2110" s="19" t="n">
        <f aca="false">B2110/MAX(B1859:B2110)-1</f>
        <v>-0.0204852163025555</v>
      </c>
      <c r="V2110" s="17" t="n">
        <f aca="false">(B2110-AVERAGE(B2091:B2110))/STDEV(B2091:B2110)</f>
        <v>0.351726597148003</v>
      </c>
    </row>
    <row r="2111" customFormat="false" ht="15" hidden="false" customHeight="false" outlineLevel="0" collapsed="false">
      <c r="A2111" s="17" t="s">
        <v>2675</v>
      </c>
      <c r="B2111" s="17" t="n">
        <v>20667.1</v>
      </c>
      <c r="C2111" s="19" t="n">
        <f aca="false">B2111/B2110-1</f>
        <v>-0.000845557006447839</v>
      </c>
      <c r="D2111" s="17" t="n">
        <f aca="false">AVERAGE(B2062:B2111)</f>
        <v>20206.186</v>
      </c>
      <c r="E2111" s="17" t="n">
        <f aca="false">AVERAGE(B1912:B2111)</f>
        <v>19047.3217</v>
      </c>
      <c r="F2111" s="17" t="n">
        <f aca="false">B2111*2/13+F2110*11/13</f>
        <v>20675.2160295909</v>
      </c>
      <c r="G2111" s="17" t="n">
        <f aca="false">B2111*2/27+G2110*25/27</f>
        <v>20510.9441219539</v>
      </c>
      <c r="H2111" s="17" t="n">
        <f aca="false">F2111-G2111</f>
        <v>164.271907636987</v>
      </c>
      <c r="I2111" s="17" t="n">
        <f aca="false">H2111*2/10+I2110*8/10</f>
        <v>198.560507809532</v>
      </c>
      <c r="J2111" s="17" t="n">
        <f aca="false">H2111-I2111</f>
        <v>-34.2886001725456</v>
      </c>
      <c r="K2111" s="17" t="n">
        <f aca="false">MAX(B2111-B2110,0)</f>
        <v>0</v>
      </c>
      <c r="L2111" s="17" t="n">
        <f aca="false">MAX(B2110-B2111,0)</f>
        <v>17.4900000000016</v>
      </c>
      <c r="M2111" s="17" t="n">
        <f aca="false">(M2110*13+K2111)/14</f>
        <v>87.9329122133425</v>
      </c>
      <c r="N2111" s="17" t="n">
        <f aca="false">(N2110*13+L2111)/14</f>
        <v>74.9600768645162</v>
      </c>
      <c r="O2111" s="17" t="n">
        <f aca="false">IF(N2111=0,100,100-100/(1+M2111/N2111))</f>
        <v>53.9820115716047</v>
      </c>
      <c r="P2111" s="17" t="n">
        <f aca="false">AVERAGE(B2092:B2111)+2*STDEV(B2092:B2111)</f>
        <v>21366.7880202233</v>
      </c>
      <c r="Q2111" s="17" t="n">
        <f aca="false">AVERAGE(B2092:B2111)-2*STDEV(B2092:B2111)</f>
        <v>19771.6349797767</v>
      </c>
      <c r="R2111" s="19" t="n">
        <f aca="false">B2111/B2091-1</f>
        <v>0.0299068717932363</v>
      </c>
      <c r="S2111" s="17" t="n">
        <f aca="false">STDEV(C2092:C2111)*SQRT(252)*100</f>
        <v>19.149877605582</v>
      </c>
      <c r="T2111" s="19" t="n">
        <f aca="false">B2090/B1860-1</f>
        <v>0.279712959139229</v>
      </c>
      <c r="U2111" s="19" t="n">
        <f aca="false">B2111/MAX(B1860:B2111)-1</f>
        <v>-0.0213134518908302</v>
      </c>
      <c r="V2111" s="17" t="n">
        <f aca="false">(B2111-AVERAGE(B2092:B2111))/STDEV(B2092:B2111)</f>
        <v>0.245464848871402</v>
      </c>
    </row>
    <row r="2112" customFormat="false" ht="15" hidden="false" customHeight="false" outlineLevel="0" collapsed="false">
      <c r="A2112" s="17" t="s">
        <v>2676</v>
      </c>
      <c r="B2112" s="17" t="n">
        <v>20740.78</v>
      </c>
      <c r="C2112" s="19" t="n">
        <f aca="false">B2112/B2111-1</f>
        <v>0.00356508653850818</v>
      </c>
      <c r="D2112" s="17" t="n">
        <f aca="false">AVERAGE(B2063:B2112)</f>
        <v>20232.5402</v>
      </c>
      <c r="E2112" s="17" t="n">
        <f aca="false">AVERAGE(B1913:B2112)</f>
        <v>19062.25025</v>
      </c>
      <c r="F2112" s="17" t="n">
        <f aca="false">B2112*2/13+F2111*11/13</f>
        <v>20685.3027942692</v>
      </c>
      <c r="G2112" s="17" t="n">
        <f aca="false">B2112*2/27+G2111*25/27</f>
        <v>20527.9690018091</v>
      </c>
      <c r="H2112" s="17" t="n">
        <f aca="false">F2112-G2112</f>
        <v>157.333792460046</v>
      </c>
      <c r="I2112" s="17" t="n">
        <f aca="false">H2112*2/10+I2111*8/10</f>
        <v>190.315164739635</v>
      </c>
      <c r="J2112" s="17" t="n">
        <f aca="false">H2112-I2112</f>
        <v>-32.9813722795895</v>
      </c>
      <c r="K2112" s="17" t="n">
        <f aca="false">MAX(B2112-B2111,0)</f>
        <v>73.6800000000003</v>
      </c>
      <c r="L2112" s="17" t="n">
        <f aca="false">MAX(B2111-B2112,0)</f>
        <v>0</v>
      </c>
      <c r="M2112" s="17" t="n">
        <f aca="false">(M2111*13+K2112)/14</f>
        <v>86.9148470552467</v>
      </c>
      <c r="N2112" s="17" t="n">
        <f aca="false">(N2111*13+L2112)/14</f>
        <v>69.6057856599079</v>
      </c>
      <c r="O2112" s="17" t="n">
        <f aca="false">IF(N2112=0,100,100-100/(1+M2112/N2112))</f>
        <v>55.5293225867668</v>
      </c>
      <c r="P2112" s="17" t="n">
        <f aca="false">AVERAGE(B2093:B2112)+2*STDEV(B2093:B2112)</f>
        <v>21379.3323584361</v>
      </c>
      <c r="Q2112" s="17" t="n">
        <f aca="false">AVERAGE(B2093:B2112)-2*STDEV(B2093:B2112)</f>
        <v>19809.8816415639</v>
      </c>
      <c r="R2112" s="19" t="n">
        <f aca="false">B2112/B2092-1</f>
        <v>0.0251032107654525</v>
      </c>
      <c r="S2112" s="17" t="n">
        <f aca="false">STDEV(C2093:C2112)*SQRT(252)*100</f>
        <v>19.0030621589169</v>
      </c>
      <c r="T2112" s="19" t="n">
        <f aca="false">B2091/B1861-1</f>
        <v>0.25407605214297</v>
      </c>
      <c r="U2112" s="19" t="n">
        <f aca="false">B2112/MAX(B1861:B2112)-1</f>
        <v>-0.0178243496527473</v>
      </c>
      <c r="V2112" s="17" t="n">
        <f aca="false">(B2112-AVERAGE(B2093:B2112))/STDEV(B2093:B2112)</f>
        <v>0.372545626131708</v>
      </c>
    </row>
    <row r="2113" customFormat="false" ht="15" hidden="false" customHeight="false" outlineLevel="0" collapsed="false">
      <c r="A2113" s="17" t="s">
        <v>2677</v>
      </c>
      <c r="B2113" s="17" t="n">
        <v>20776.23</v>
      </c>
      <c r="C2113" s="19" t="n">
        <f aca="false">B2113/B2112-1</f>
        <v>0.00170919319331286</v>
      </c>
      <c r="D2113" s="17" t="n">
        <f aca="false">AVERAGE(B2064:B2113)</f>
        <v>20257.773</v>
      </c>
      <c r="E2113" s="17" t="n">
        <f aca="false">AVERAGE(B1914:B2113)</f>
        <v>19077.21555</v>
      </c>
      <c r="F2113" s="17" t="n">
        <f aca="false">B2113*2/13+F2112*11/13</f>
        <v>20699.2915951509</v>
      </c>
      <c r="G2113" s="17" t="n">
        <f aca="false">B2113*2/27+G2112*25/27</f>
        <v>20546.3587053788</v>
      </c>
      <c r="H2113" s="17" t="n">
        <f aca="false">F2113-G2113</f>
        <v>152.932889772015</v>
      </c>
      <c r="I2113" s="17" t="n">
        <f aca="false">H2113*2/10+I2112*8/10</f>
        <v>182.838709746111</v>
      </c>
      <c r="J2113" s="17" t="n">
        <f aca="false">H2113-I2113</f>
        <v>-29.9058199740958</v>
      </c>
      <c r="K2113" s="17" t="n">
        <f aca="false">MAX(B2113-B2112,0)</f>
        <v>35.4500000000007</v>
      </c>
      <c r="L2113" s="17" t="n">
        <f aca="false">MAX(B2112-B2113,0)</f>
        <v>0</v>
      </c>
      <c r="M2113" s="17" t="n">
        <f aca="false">(M2112*13+K2113)/14</f>
        <v>83.2387865513005</v>
      </c>
      <c r="N2113" s="17" t="n">
        <f aca="false">(N2112*13+L2113)/14</f>
        <v>64.6339438270573</v>
      </c>
      <c r="O2113" s="17" t="n">
        <f aca="false">IF(N2113=0,100,100-100/(1+M2113/N2113))</f>
        <v>56.2908295115129</v>
      </c>
      <c r="P2113" s="17" t="n">
        <f aca="false">AVERAGE(B2094:B2113)+2*STDEV(B2094:B2113)</f>
        <v>21395.8528196018</v>
      </c>
      <c r="Q2113" s="17" t="n">
        <f aca="false">AVERAGE(B2094:B2113)-2*STDEV(B2094:B2113)</f>
        <v>19835.7821803982</v>
      </c>
      <c r="R2113" s="19" t="n">
        <f aca="false">B2113/B2093-1</f>
        <v>0.0208436312464315</v>
      </c>
      <c r="S2113" s="17" t="n">
        <f aca="false">STDEV(C2094:C2113)*SQRT(252)*100</f>
        <v>18.9272100199338</v>
      </c>
      <c r="T2113" s="19" t="n">
        <f aca="false">B2092/B1862-1</f>
        <v>0.265977808798768</v>
      </c>
      <c r="U2113" s="19" t="n">
        <f aca="false">B2113/MAX(B1862:B2113)-1</f>
        <v>-0.016145621716536</v>
      </c>
      <c r="V2113" s="17" t="n">
        <f aca="false">(B2113-AVERAGE(B2094:B2113))/STDEV(B2094:B2113)</f>
        <v>0.41129547847112</v>
      </c>
    </row>
    <row r="2114" customFormat="false" ht="15" hidden="false" customHeight="false" outlineLevel="0" collapsed="false">
      <c r="A2114" s="17" t="s">
        <v>2678</v>
      </c>
      <c r="B2114" s="17" t="n">
        <v>20804.89</v>
      </c>
      <c r="C2114" s="19" t="n">
        <f aca="false">B2114/B2113-1</f>
        <v>0.00137946104755282</v>
      </c>
      <c r="D2114" s="17" t="n">
        <f aca="false">AVERAGE(B2065:B2114)</f>
        <v>20285.4096</v>
      </c>
      <c r="E2114" s="17" t="n">
        <f aca="false">AVERAGE(B1915:B2114)</f>
        <v>19091.42795</v>
      </c>
      <c r="F2114" s="17" t="n">
        <f aca="false">B2114*2/13+F2113*11/13</f>
        <v>20715.5375035892</v>
      </c>
      <c r="G2114" s="17" t="n">
        <f aca="false">B2114*2/27+G2113*25/27</f>
        <v>20565.5091716471</v>
      </c>
      <c r="H2114" s="17" t="n">
        <f aca="false">F2114-G2114</f>
        <v>150.028331942111</v>
      </c>
      <c r="I2114" s="17" t="n">
        <f aca="false">H2114*2/10+I2113*8/10</f>
        <v>176.276634185311</v>
      </c>
      <c r="J2114" s="17" t="n">
        <f aca="false">H2114-I2114</f>
        <v>-26.2483022432004</v>
      </c>
      <c r="K2114" s="17" t="n">
        <f aca="false">MAX(B2114-B2113,0)</f>
        <v>28.6599999999999</v>
      </c>
      <c r="L2114" s="17" t="n">
        <f aca="false">MAX(B2113-B2114,0)</f>
        <v>0</v>
      </c>
      <c r="M2114" s="17" t="n">
        <f aca="false">(M2113*13+K2114)/14</f>
        <v>79.3403017976362</v>
      </c>
      <c r="N2114" s="17" t="n">
        <f aca="false">(N2113*13+L2114)/14</f>
        <v>60.0172335536961</v>
      </c>
      <c r="O2114" s="17" t="n">
        <f aca="false">IF(N2114=0,100,100-100/(1+M2114/N2114))</f>
        <v>56.9329111609304</v>
      </c>
      <c r="P2114" s="17" t="n">
        <f aca="false">AVERAGE(B2095:B2114)+2*STDEV(B2095:B2114)</f>
        <v>21412.4962961849</v>
      </c>
      <c r="Q2114" s="17" t="n">
        <f aca="false">AVERAGE(B2095:B2114)-2*STDEV(B2095:B2114)</f>
        <v>19864.5207038151</v>
      </c>
      <c r="R2114" s="19" t="n">
        <f aca="false">B2114/B2094-1</f>
        <v>0.0222995645929183</v>
      </c>
      <c r="S2114" s="17" t="n">
        <f aca="false">STDEV(C2095:C2114)*SQRT(252)*100</f>
        <v>18.9225235446663</v>
      </c>
      <c r="T2114" s="19" t="n">
        <f aca="false">B2093/B1863-1</f>
        <v>0.275031042514776</v>
      </c>
      <c r="U2114" s="19" t="n">
        <f aca="false">B2114/MAX(B1863:B2114)-1</f>
        <v>-0.0147884329252297</v>
      </c>
      <c r="V2114" s="17" t="n">
        <f aca="false">(B2114-AVERAGE(B2095:B2114))/STDEV(B2095:B2114)</f>
        <v>0.429933135432156</v>
      </c>
    </row>
    <row r="2115" customFormat="false" ht="15" hidden="false" customHeight="false" outlineLevel="0" collapsed="false">
      <c r="A2115" s="17" t="s">
        <v>2679</v>
      </c>
      <c r="B2115" s="17" t="n">
        <v>20922.9</v>
      </c>
      <c r="C2115" s="19" t="n">
        <f aca="false">B2115/B2114-1</f>
        <v>0.00567222417422064</v>
      </c>
      <c r="D2115" s="17" t="n">
        <f aca="false">AVERAGE(B2066:B2115)</f>
        <v>20315.2196</v>
      </c>
      <c r="E2115" s="17" t="n">
        <f aca="false">AVERAGE(B1916:B2115)</f>
        <v>19106.62915</v>
      </c>
      <c r="F2115" s="17" t="n">
        <f aca="false">B2115*2/13+F2114*11/13</f>
        <v>20747.4394261139</v>
      </c>
      <c r="G2115" s="17" t="n">
        <f aca="false">B2115*2/27+G2114*25/27</f>
        <v>20591.9825663399</v>
      </c>
      <c r="H2115" s="17" t="n">
        <f aca="false">F2115-G2115</f>
        <v>155.456859774044</v>
      </c>
      <c r="I2115" s="17" t="n">
        <f aca="false">H2115*2/10+I2114*8/10</f>
        <v>172.112679303057</v>
      </c>
      <c r="J2115" s="17" t="n">
        <f aca="false">H2115-I2115</f>
        <v>-16.6558195290139</v>
      </c>
      <c r="K2115" s="17" t="n">
        <f aca="false">MAX(B2115-B2114,0)</f>
        <v>118.010000000002</v>
      </c>
      <c r="L2115" s="17" t="n">
        <f aca="false">MAX(B2114-B2115,0)</f>
        <v>0</v>
      </c>
      <c r="M2115" s="17" t="n">
        <f aca="false">(M2114*13+K2115)/14</f>
        <v>82.1024230978052</v>
      </c>
      <c r="N2115" s="17" t="n">
        <f aca="false">(N2114*13+L2115)/14</f>
        <v>55.7302882998606</v>
      </c>
      <c r="O2115" s="17" t="n">
        <f aca="false">IF(N2115=0,100,100-100/(1+M2115/N2115))</f>
        <v>59.5667184264617</v>
      </c>
      <c r="P2115" s="17" t="n">
        <f aca="false">AVERAGE(B2096:B2115)+2*STDEV(B2096:B2115)</f>
        <v>21440.0644572822</v>
      </c>
      <c r="Q2115" s="17" t="n">
        <f aca="false">AVERAGE(B2096:B2115)-2*STDEV(B2096:B2115)</f>
        <v>19874.1775427178</v>
      </c>
      <c r="R2115" s="19" t="n">
        <f aca="false">B2115/B2095-1</f>
        <v>0.0181137822891246</v>
      </c>
      <c r="S2115" s="17" t="n">
        <f aca="false">STDEV(C2096:C2115)*SQRT(252)*100</f>
        <v>18.7281688972243</v>
      </c>
      <c r="T2115" s="19" t="n">
        <f aca="false">B2094/B1864-1</f>
        <v>0.271113268038397</v>
      </c>
      <c r="U2115" s="19" t="n">
        <f aca="false">B2115/MAX(B1864:B2115)-1</f>
        <v>-0.0092000920577463</v>
      </c>
      <c r="V2115" s="17" t="n">
        <f aca="false">(B2115-AVERAGE(B2096:B2115))/STDEV(B2096:B2115)</f>
        <v>0.67892259020231</v>
      </c>
    </row>
    <row r="2116" customFormat="false" ht="15" hidden="false" customHeight="false" outlineLevel="0" collapsed="false">
      <c r="A2116" s="17" t="s">
        <v>2680</v>
      </c>
      <c r="B2116" s="17" t="n">
        <v>20744.49</v>
      </c>
      <c r="C2116" s="19" t="n">
        <f aca="false">B2116/B2115-1</f>
        <v>-0.00852702063289501</v>
      </c>
      <c r="D2116" s="17" t="n">
        <f aca="false">AVERAGE(B2067:B2116)</f>
        <v>20343.2196</v>
      </c>
      <c r="E2116" s="17" t="n">
        <f aca="false">AVERAGE(B1917:B2116)</f>
        <v>19122.3495</v>
      </c>
      <c r="F2116" s="17" t="n">
        <f aca="false">B2116*2/13+F2115*11/13</f>
        <v>20746.9856682502</v>
      </c>
      <c r="G2116" s="17" t="n">
        <f aca="false">B2116*2/27+G2115*25/27</f>
        <v>20603.2794132777</v>
      </c>
      <c r="H2116" s="17" t="n">
        <f aca="false">F2116-G2116</f>
        <v>143.706254972574</v>
      </c>
      <c r="I2116" s="17" t="n">
        <f aca="false">H2116*2/10+I2115*8/10</f>
        <v>166.431394436961</v>
      </c>
      <c r="J2116" s="17" t="n">
        <f aca="false">H2116-I2116</f>
        <v>-22.7251394643866</v>
      </c>
      <c r="K2116" s="17" t="n">
        <f aca="false">MAX(B2116-B2115,0)</f>
        <v>0</v>
      </c>
      <c r="L2116" s="17" t="n">
        <f aca="false">MAX(B2115-B2116,0)</f>
        <v>178.41</v>
      </c>
      <c r="M2116" s="17" t="n">
        <f aca="false">(M2115*13+K2116)/14</f>
        <v>76.2379643051048</v>
      </c>
      <c r="N2116" s="17" t="n">
        <f aca="false">(N2115*13+L2116)/14</f>
        <v>64.4931248498706</v>
      </c>
      <c r="O2116" s="17" t="n">
        <f aca="false">IF(N2116=0,100,100-100/(1+M2116/N2116))</f>
        <v>54.1727949118267</v>
      </c>
      <c r="P2116" s="17" t="n">
        <f aca="false">AVERAGE(B2097:B2116)+2*STDEV(B2097:B2116)</f>
        <v>21448.2559611878</v>
      </c>
      <c r="Q2116" s="17" t="n">
        <f aca="false">AVERAGE(B2097:B2116)-2*STDEV(B2097:B2116)</f>
        <v>19901.6650388122</v>
      </c>
      <c r="R2116" s="19" t="n">
        <f aca="false">B2116/B2096-1</f>
        <v>0.0175002575082035</v>
      </c>
      <c r="S2116" s="17" t="n">
        <f aca="false">STDEV(C2097:C2116)*SQRT(252)*100</f>
        <v>18.7669837662763</v>
      </c>
      <c r="T2116" s="19" t="n">
        <f aca="false">B2095/B1865-1</f>
        <v>0.285411819159849</v>
      </c>
      <c r="U2116" s="19" t="n">
        <f aca="false">B2116/MAX(B1865:B2116)-1</f>
        <v>-0.0176486633158404</v>
      </c>
      <c r="V2116" s="17" t="n">
        <f aca="false">(B2116-AVERAGE(B2097:B2116))/STDEV(B2097:B2116)</f>
        <v>0.179826478984371</v>
      </c>
    </row>
    <row r="2117" customFormat="false" ht="15" hidden="false" customHeight="false" outlineLevel="0" collapsed="false">
      <c r="A2117" s="17" t="s">
        <v>2681</v>
      </c>
      <c r="B2117" s="17" t="n">
        <v>20930.37</v>
      </c>
      <c r="C2117" s="19" t="n">
        <f aca="false">B2117/B2116-1</f>
        <v>0.00896045166692439</v>
      </c>
      <c r="D2117" s="17" t="n">
        <f aca="false">AVERAGE(B2068:B2117)</f>
        <v>20365.0304</v>
      </c>
      <c r="E2117" s="17" t="n">
        <f aca="false">AVERAGE(B1918:B2117)</f>
        <v>19137.9632</v>
      </c>
      <c r="F2117" s="17" t="n">
        <f aca="false">B2117*2/13+F2116*11/13</f>
        <v>20775.1986423656</v>
      </c>
      <c r="G2117" s="17" t="n">
        <f aca="false">B2117*2/27+G2116*25/27</f>
        <v>20627.5083456275</v>
      </c>
      <c r="H2117" s="17" t="n">
        <f aca="false">F2117-G2117</f>
        <v>147.690296738117</v>
      </c>
      <c r="I2117" s="17" t="n">
        <f aca="false">H2117*2/10+I2116*8/10</f>
        <v>162.683174897192</v>
      </c>
      <c r="J2117" s="17" t="n">
        <f aca="false">H2117-I2117</f>
        <v>-14.9928781590747</v>
      </c>
      <c r="K2117" s="17" t="n">
        <f aca="false">MAX(B2117-B2116,0)</f>
        <v>185.879999999997</v>
      </c>
      <c r="L2117" s="17" t="n">
        <f aca="false">MAX(B2116-B2117,0)</f>
        <v>0</v>
      </c>
      <c r="M2117" s="17" t="n">
        <f aca="false">(M2116*13+K2117)/14</f>
        <v>84.0695382833114</v>
      </c>
      <c r="N2117" s="17" t="n">
        <f aca="false">(N2116*13+L2117)/14</f>
        <v>59.8864730748798</v>
      </c>
      <c r="O2117" s="17" t="n">
        <f aca="false">IF(N2117=0,100,100-100/(1+M2117/N2117))</f>
        <v>58.3994634820283</v>
      </c>
      <c r="P2117" s="17" t="n">
        <f aca="false">AVERAGE(B2098:B2117)+2*STDEV(B2098:B2117)</f>
        <v>21413.0741939834</v>
      </c>
      <c r="Q2117" s="17" t="n">
        <f aca="false">AVERAGE(B2098:B2117)-2*STDEV(B2098:B2117)</f>
        <v>20040.8418060166</v>
      </c>
      <c r="R2117" s="19" t="n">
        <f aca="false">B2117/B2097-1</f>
        <v>0.0522839638378678</v>
      </c>
      <c r="S2117" s="17" t="n">
        <f aca="false">STDEV(C2098:C2117)*SQRT(252)*100</f>
        <v>16.3798616029109</v>
      </c>
      <c r="T2117" s="19" t="n">
        <f aca="false">B2096/B1866-1</f>
        <v>0.278396425353354</v>
      </c>
      <c r="U2117" s="19" t="n">
        <f aca="false">B2117/MAX(B1866:B2117)-1</f>
        <v>-0.00884635164354342</v>
      </c>
      <c r="V2117" s="17" t="n">
        <f aca="false">(B2117-AVERAGE(B2098:B2117))/STDEV(B2098:B2117)</f>
        <v>0.592937469728082</v>
      </c>
    </row>
    <row r="2118" customFormat="false" ht="15" hidden="false" customHeight="false" outlineLevel="0" collapsed="false">
      <c r="A2118" s="17" t="s">
        <v>2682</v>
      </c>
      <c r="B2118" s="17" t="n">
        <v>21164.6</v>
      </c>
      <c r="C2118" s="19" t="n">
        <f aca="false">B2118/B2117-1</f>
        <v>0.0111909154018777</v>
      </c>
      <c r="D2118" s="17" t="n">
        <f aca="false">AVERAGE(B2069:B2118)</f>
        <v>20392.4926</v>
      </c>
      <c r="E2118" s="17" t="n">
        <f aca="false">AVERAGE(B1919:B2118)</f>
        <v>19154.5576</v>
      </c>
      <c r="F2118" s="17" t="n">
        <f aca="false">B2118*2/13+F2117*11/13</f>
        <v>20835.1065435401</v>
      </c>
      <c r="G2118" s="17" t="n">
        <f aca="false">B2118*2/27+G2117*25/27</f>
        <v>20667.292912618</v>
      </c>
      <c r="H2118" s="17" t="n">
        <f aca="false">F2118-G2118</f>
        <v>167.813630922083</v>
      </c>
      <c r="I2118" s="17" t="n">
        <f aca="false">H2118*2/10+I2117*8/10</f>
        <v>163.70926610217</v>
      </c>
      <c r="J2118" s="17" t="n">
        <f aca="false">H2118-I2118</f>
        <v>4.10436481991243</v>
      </c>
      <c r="K2118" s="17" t="n">
        <f aca="false">MAX(B2118-B2117,0)</f>
        <v>234.23</v>
      </c>
      <c r="L2118" s="17" t="n">
        <f aca="false">MAX(B2117-B2118,0)</f>
        <v>0</v>
      </c>
      <c r="M2118" s="17" t="n">
        <f aca="false">(M2117*13+K2118)/14</f>
        <v>94.7952855487892</v>
      </c>
      <c r="N2118" s="17" t="n">
        <f aca="false">(N2117*13+L2118)/14</f>
        <v>55.6088678552456</v>
      </c>
      <c r="O2118" s="17" t="n">
        <f aca="false">IF(N2118=0,100,100-100/(1+M2118/N2118))</f>
        <v>63.0270397481232</v>
      </c>
      <c r="P2118" s="17" t="n">
        <f aca="false">AVERAGE(B2099:B2118)+2*STDEV(B2099:B2118)</f>
        <v>21413.0212393424</v>
      </c>
      <c r="Q2118" s="17" t="n">
        <f aca="false">AVERAGE(B2099:B2118)-2*STDEV(B2099:B2118)</f>
        <v>20154.0407606576</v>
      </c>
      <c r="R2118" s="19" t="n">
        <f aca="false">B2118/B2098-1</f>
        <v>0.0564794136116455</v>
      </c>
      <c r="S2118" s="17" t="n">
        <f aca="false">STDEV(C2099:C2118)*SQRT(252)*100</f>
        <v>16.5892492793367</v>
      </c>
      <c r="T2118" s="19" t="n">
        <f aca="false">B2097/B1867-1</f>
        <v>0.243339305069892</v>
      </c>
      <c r="U2118" s="19" t="n">
        <f aca="false">B2118/MAX(B1867:B2118)-1</f>
        <v>0</v>
      </c>
      <c r="V2118" s="17" t="n">
        <f aca="false">(B2118-AVERAGE(B2099:B2118))/STDEV(B2099:B2118)</f>
        <v>1.2107225058742</v>
      </c>
    </row>
    <row r="2119" customFormat="false" ht="15" hidden="false" customHeight="false" outlineLevel="0" collapsed="false">
      <c r="A2119" s="17" t="s">
        <v>2683</v>
      </c>
      <c r="B2119" s="17" t="n">
        <v>21229.32</v>
      </c>
      <c r="C2119" s="19" t="n">
        <f aca="false">B2119/B2118-1</f>
        <v>0.00305793636544038</v>
      </c>
      <c r="D2119" s="17" t="n">
        <f aca="false">AVERAGE(B2070:B2119)</f>
        <v>20420.035</v>
      </c>
      <c r="E2119" s="17" t="n">
        <f aca="false">AVERAGE(B1920:B2119)</f>
        <v>19172.2743</v>
      </c>
      <c r="F2119" s="17" t="n">
        <f aca="false">B2119*2/13+F2118*11/13</f>
        <v>20895.7547676109</v>
      </c>
      <c r="G2119" s="17" t="n">
        <f aca="false">B2119*2/27+G2118*25/27</f>
        <v>20708.9245487204</v>
      </c>
      <c r="H2119" s="17" t="n">
        <f aca="false">F2119-G2119</f>
        <v>186.830218890464</v>
      </c>
      <c r="I2119" s="17" t="n">
        <f aca="false">H2119*2/10+I2118*8/10</f>
        <v>168.333456659829</v>
      </c>
      <c r="J2119" s="17" t="n">
        <f aca="false">H2119-I2119</f>
        <v>18.4967622306347</v>
      </c>
      <c r="K2119" s="17" t="n">
        <f aca="false">MAX(B2119-B2118,0)</f>
        <v>64.7200000000012</v>
      </c>
      <c r="L2119" s="17" t="n">
        <f aca="false">MAX(B2118-B2119,0)</f>
        <v>0</v>
      </c>
      <c r="M2119" s="17" t="n">
        <f aca="false">(M2118*13+K2119)/14</f>
        <v>92.6470508667329</v>
      </c>
      <c r="N2119" s="17" t="n">
        <f aca="false">(N2118*13+L2119)/14</f>
        <v>51.6368058655852</v>
      </c>
      <c r="O2119" s="17" t="n">
        <f aca="false">IF(N2119=0,100,100-100/(1+M2119/N2119))</f>
        <v>64.2116540027176</v>
      </c>
      <c r="P2119" s="17" t="n">
        <f aca="false">AVERAGE(B2100:B2119)+2*STDEV(B2100:B2119)</f>
        <v>21375.6815132675</v>
      </c>
      <c r="Q2119" s="17" t="n">
        <f aca="false">AVERAGE(B2100:B2119)-2*STDEV(B2100:B2119)</f>
        <v>20317.9524867325</v>
      </c>
      <c r="R2119" s="19" t="n">
        <f aca="false">B2119/B2099-1</f>
        <v>0.063401390530766</v>
      </c>
      <c r="S2119" s="17" t="n">
        <f aca="false">STDEV(C2100:C2119)*SQRT(252)*100</f>
        <v>16.4228034545563</v>
      </c>
      <c r="T2119" s="19" t="n">
        <f aca="false">B2098/B1868-1</f>
        <v>0.264744783193084</v>
      </c>
      <c r="U2119" s="19" t="n">
        <f aca="false">B2119/MAX(B1868:B2119)-1</f>
        <v>0</v>
      </c>
      <c r="V2119" s="17" t="n">
        <f aca="false">(B2119-AVERAGE(B2100:B2119))/STDEV(B2100:B2119)</f>
        <v>1.44650658308216</v>
      </c>
    </row>
    <row r="2120" customFormat="false" ht="15" hidden="false" customHeight="false" outlineLevel="0" collapsed="false">
      <c r="A2120" s="17" t="s">
        <v>2684</v>
      </c>
      <c r="B2120" s="17" t="n">
        <v>21492.36</v>
      </c>
      <c r="C2120" s="19" t="n">
        <f aca="false">B2120/B2119-1</f>
        <v>0.0123904109976203</v>
      </c>
      <c r="D2120" s="17" t="n">
        <f aca="false">AVERAGE(B2071:B2120)</f>
        <v>20450.9854</v>
      </c>
      <c r="E2120" s="17" t="n">
        <f aca="false">AVERAGE(B1921:B2120)</f>
        <v>19192.0056</v>
      </c>
      <c r="F2120" s="17" t="n">
        <f aca="false">B2120*2/13+F2119*11/13</f>
        <v>20987.5401879784</v>
      </c>
      <c r="G2120" s="17" t="n">
        <f aca="false">B2120*2/27+G2119*25/27</f>
        <v>20766.9568043707</v>
      </c>
      <c r="H2120" s="17" t="n">
        <f aca="false">F2120-G2120</f>
        <v>220.583383607685</v>
      </c>
      <c r="I2120" s="17" t="n">
        <f aca="false">H2120*2/10+I2119*8/10</f>
        <v>178.7834420494</v>
      </c>
      <c r="J2120" s="17" t="n">
        <f aca="false">H2120-I2120</f>
        <v>41.7999415582852</v>
      </c>
      <c r="K2120" s="17" t="n">
        <f aca="false">MAX(B2120-B2119,0)</f>
        <v>263.040000000001</v>
      </c>
      <c r="L2120" s="17" t="n">
        <f aca="false">MAX(B2119-B2120,0)</f>
        <v>0</v>
      </c>
      <c r="M2120" s="17" t="n">
        <f aca="false">(M2119*13+K2120)/14</f>
        <v>104.817975804823</v>
      </c>
      <c r="N2120" s="17" t="n">
        <f aca="false">(N2119*13+L2120)/14</f>
        <v>47.9484625894719</v>
      </c>
      <c r="O2120" s="17" t="n">
        <f aca="false">IF(N2120=0,100,100-100/(1+M2120/N2120))</f>
        <v>68.6132221884264</v>
      </c>
      <c r="P2120" s="17" t="n">
        <f aca="false">AVERAGE(B2101:B2120)+2*STDEV(B2101:B2120)</f>
        <v>21429.5127259992</v>
      </c>
      <c r="Q2120" s="17" t="n">
        <f aca="false">AVERAGE(B2101:B2120)-2*STDEV(B2101:B2120)</f>
        <v>20390.6112740008</v>
      </c>
      <c r="R2120" s="19" t="n">
        <f aca="false">B2120/B2100-1</f>
        <v>0.0625338030578235</v>
      </c>
      <c r="S2120" s="17" t="n">
        <f aca="false">STDEV(C2101:C2120)*SQRT(252)*100</f>
        <v>16.3579495174728</v>
      </c>
      <c r="T2120" s="19" t="n">
        <f aca="false">B2099/B1869-1</f>
        <v>0.257334968329816</v>
      </c>
      <c r="U2120" s="19" t="n">
        <f aca="false">B2120/MAX(B1869:B2120)-1</f>
        <v>0</v>
      </c>
      <c r="V2120" s="17" t="n">
        <f aca="false">(B2120-AVERAGE(B2101:B2120))/STDEV(B2101:B2120)</f>
        <v>2.24197588281336</v>
      </c>
    </row>
    <row r="2121" customFormat="false" ht="15" hidden="false" customHeight="false" outlineLevel="0" collapsed="false">
      <c r="A2121" s="17" t="s">
        <v>2685</v>
      </c>
      <c r="B2121" s="17" t="n">
        <v>21425.22</v>
      </c>
      <c r="C2121" s="19" t="n">
        <f aca="false">B2121/B2120-1</f>
        <v>-0.00312390077218139</v>
      </c>
      <c r="D2121" s="17" t="n">
        <f aca="false">AVERAGE(B2072:B2121)</f>
        <v>20480.0376</v>
      </c>
      <c r="E2121" s="17" t="n">
        <f aca="false">AVERAGE(B1922:B2121)</f>
        <v>19211.73715</v>
      </c>
      <c r="F2121" s="17" t="n">
        <f aca="false">B2121*2/13+F2120*11/13</f>
        <v>21054.8755436741</v>
      </c>
      <c r="G2121" s="17" t="n">
        <f aca="false">B2121*2/27+G2120*25/27</f>
        <v>20815.717041084</v>
      </c>
      <c r="H2121" s="17" t="n">
        <f aca="false">F2121-G2121</f>
        <v>239.158502590035</v>
      </c>
      <c r="I2121" s="17" t="n">
        <f aca="false">H2121*2/10+I2120*8/10</f>
        <v>190.858454157527</v>
      </c>
      <c r="J2121" s="17" t="n">
        <f aca="false">H2121-I2121</f>
        <v>48.3000484325078</v>
      </c>
      <c r="K2121" s="17" t="n">
        <f aca="false">MAX(B2121-B2120,0)</f>
        <v>0</v>
      </c>
      <c r="L2121" s="17" t="n">
        <f aca="false">MAX(B2120-B2121,0)</f>
        <v>67.1399999999994</v>
      </c>
      <c r="M2121" s="17" t="n">
        <f aca="false">(M2120*13+K2121)/14</f>
        <v>97.3309775330503</v>
      </c>
      <c r="N2121" s="17" t="n">
        <f aca="false">(N2120*13+L2121)/14</f>
        <v>49.3192866902239</v>
      </c>
      <c r="O2121" s="17" t="n">
        <f aca="false">IF(N2121=0,100,100-100/(1+M2121/N2121))</f>
        <v>66.369452553365</v>
      </c>
      <c r="P2121" s="17" t="n">
        <f aca="false">AVERAGE(B2102:B2121)+2*STDEV(B2102:B2121)</f>
        <v>21506.0358782855</v>
      </c>
      <c r="Q2121" s="17" t="n">
        <f aca="false">AVERAGE(B2102:B2121)-2*STDEV(B2102:B2121)</f>
        <v>20378.4771217145</v>
      </c>
      <c r="R2121" s="19" t="n">
        <f aca="false">B2121/B2101-1</f>
        <v>0.0309840611741403</v>
      </c>
      <c r="S2121" s="17" t="n">
        <f aca="false">STDEV(C2102:C2121)*SQRT(252)*100</f>
        <v>13.720346284137</v>
      </c>
      <c r="T2121" s="19" t="n">
        <f aca="false">B2100/B1870-1</f>
        <v>0.281187987116838</v>
      </c>
      <c r="U2121" s="19" t="n">
        <f aca="false">B2121/MAX(B1870:B2121)-1</f>
        <v>-0.00312390077218139</v>
      </c>
      <c r="V2121" s="17" t="n">
        <f aca="false">(B2121-AVERAGE(B2102:B2121))/STDEV(B2102:B2121)</f>
        <v>1.71330672458692</v>
      </c>
    </row>
    <row r="2122" customFormat="false" ht="15" hidden="false" customHeight="false" outlineLevel="0" collapsed="false">
      <c r="A2122" s="17" t="s">
        <v>2686</v>
      </c>
      <c r="B2122" s="17" t="n">
        <v>21622.25</v>
      </c>
      <c r="C2122" s="19" t="n">
        <f aca="false">B2122/B2121-1</f>
        <v>0.00919617161457387</v>
      </c>
      <c r="D2122" s="17" t="n">
        <f aca="false">AVERAGE(B2073:B2122)</f>
        <v>20510.1718</v>
      </c>
      <c r="E2122" s="17" t="n">
        <f aca="false">AVERAGE(B1923:B2122)</f>
        <v>19229.8249</v>
      </c>
      <c r="F2122" s="17" t="n">
        <f aca="false">B2122*2/13+F2121*11/13</f>
        <v>21142.1639215704</v>
      </c>
      <c r="G2122" s="17" t="n">
        <f aca="false">B2122*2/27+G2121*25/27</f>
        <v>20875.4602232259</v>
      </c>
      <c r="H2122" s="17" t="n">
        <f aca="false">F2122-G2122</f>
        <v>266.703698344409</v>
      </c>
      <c r="I2122" s="17" t="n">
        <f aca="false">H2122*2/10+I2121*8/10</f>
        <v>206.027502994903</v>
      </c>
      <c r="J2122" s="17" t="n">
        <f aca="false">H2122-I2122</f>
        <v>60.6761953495052</v>
      </c>
      <c r="K2122" s="17" t="n">
        <f aca="false">MAX(B2122-B2121,0)</f>
        <v>197.029999999999</v>
      </c>
      <c r="L2122" s="17" t="n">
        <f aca="false">MAX(B2121-B2122,0)</f>
        <v>0</v>
      </c>
      <c r="M2122" s="17" t="n">
        <f aca="false">(M2121*13+K2122)/14</f>
        <v>104.45233628069</v>
      </c>
      <c r="N2122" s="17" t="n">
        <f aca="false">(N2121*13+L2122)/14</f>
        <v>45.796480498065</v>
      </c>
      <c r="O2122" s="17" t="n">
        <f aca="false">IF(N2122=0,100,100-100/(1+M2122/N2122))</f>
        <v>69.5195732785692</v>
      </c>
      <c r="P2122" s="17" t="n">
        <f aca="false">AVERAGE(B2103:B2122)+2*STDEV(B2103:B2122)</f>
        <v>21606.2525720775</v>
      </c>
      <c r="Q2122" s="17" t="n">
        <f aca="false">AVERAGE(B2103:B2122)-2*STDEV(B2103:B2122)</f>
        <v>20330.3284279225</v>
      </c>
      <c r="R2122" s="19" t="n">
        <f aca="false">B2122/B2102-1</f>
        <v>0.0246749412484475</v>
      </c>
      <c r="S2122" s="17" t="n">
        <f aca="false">STDEV(C2103:C2122)*SQRT(252)*100</f>
        <v>13.0494518964805</v>
      </c>
      <c r="T2122" s="19" t="n">
        <f aca="false">B2101/B1871-1</f>
        <v>0.297010015297248</v>
      </c>
      <c r="U2122" s="19" t="n">
        <f aca="false">B2122/MAX(B1871:B2122)-1</f>
        <v>0</v>
      </c>
      <c r="V2122" s="17" t="n">
        <f aca="false">(B2122-AVERAGE(B2103:B2122))/STDEV(B2103:B2122)</f>
        <v>2.05015165829643</v>
      </c>
    </row>
    <row r="2123" customFormat="false" ht="15" hidden="false" customHeight="false" outlineLevel="0" collapsed="false">
      <c r="A2123" s="17" t="s">
        <v>2687</v>
      </c>
      <c r="B2123" s="17" t="n">
        <v>21440.82</v>
      </c>
      <c r="C2123" s="19" t="n">
        <f aca="false">B2123/B2122-1</f>
        <v>-0.00839089363965362</v>
      </c>
      <c r="D2123" s="17" t="n">
        <f aca="false">AVERAGE(B2074:B2123)</f>
        <v>20538.8158</v>
      </c>
      <c r="E2123" s="17" t="n">
        <f aca="false">AVERAGE(B1924:B2123)</f>
        <v>19247.34095</v>
      </c>
      <c r="F2123" s="17" t="n">
        <f aca="false">B2123*2/13+F2122*11/13</f>
        <v>21188.1110105595</v>
      </c>
      <c r="G2123" s="17" t="n">
        <f aca="false">B2123*2/27+G2122*25/27</f>
        <v>20917.3387252092</v>
      </c>
      <c r="H2123" s="17" t="n">
        <f aca="false">F2123-G2123</f>
        <v>270.772285350318</v>
      </c>
      <c r="I2123" s="17" t="n">
        <f aca="false">H2123*2/10+I2122*8/10</f>
        <v>218.976459465986</v>
      </c>
      <c r="J2123" s="17" t="n">
        <f aca="false">H2123-I2123</f>
        <v>51.7958258843319</v>
      </c>
      <c r="K2123" s="17" t="n">
        <f aca="false">MAX(B2123-B2122,0)</f>
        <v>0</v>
      </c>
      <c r="L2123" s="17" t="n">
        <f aca="false">MAX(B2122-B2123,0)</f>
        <v>181.43</v>
      </c>
      <c r="M2123" s="17" t="n">
        <f aca="false">(M2122*13+K2123)/14</f>
        <v>96.9914551177831</v>
      </c>
      <c r="N2123" s="17" t="n">
        <f aca="false">(N2122*13+L2123)/14</f>
        <v>55.4845890339176</v>
      </c>
      <c r="O2123" s="17" t="n">
        <f aca="false">IF(N2123=0,100,100-100/(1+M2123/N2123))</f>
        <v>63.6109466620769</v>
      </c>
      <c r="P2123" s="17" t="n">
        <f aca="false">AVERAGE(B2104:B2123)+2*STDEV(B2104:B2123)</f>
        <v>21653.9747547621</v>
      </c>
      <c r="Q2123" s="17" t="n">
        <f aca="false">AVERAGE(B2104:B2123)-2*STDEV(B2104:B2123)</f>
        <v>20314.9702452379</v>
      </c>
      <c r="R2123" s="19" t="n">
        <f aca="false">B2123/B2103-1</f>
        <v>0.0153259099936638</v>
      </c>
      <c r="S2123" s="17" t="n">
        <f aca="false">STDEV(C2104:C2123)*SQRT(252)*100</f>
        <v>13.4919555769731</v>
      </c>
      <c r="T2123" s="19" t="n">
        <f aca="false">B2102/B1872-1</f>
        <v>0.311904052860204</v>
      </c>
      <c r="U2123" s="19" t="n">
        <f aca="false">B2123/MAX(B1872:B2123)-1</f>
        <v>-0.00839089363965362</v>
      </c>
      <c r="V2123" s="17" t="n">
        <f aca="false">(B2123-AVERAGE(B2104:B2123))/STDEV(B2104:B2123)</f>
        <v>1.36324410188024</v>
      </c>
    </row>
    <row r="2124" customFormat="false" ht="15" hidden="false" customHeight="false" outlineLevel="0" collapsed="false">
      <c r="A2124" s="17" t="s">
        <v>2688</v>
      </c>
      <c r="B2124" s="17" t="n">
        <v>21368.18</v>
      </c>
      <c r="C2124" s="19" t="n">
        <f aca="false">B2124/B2123-1</f>
        <v>-0.00338793012580674</v>
      </c>
      <c r="D2124" s="17" t="n">
        <f aca="false">AVERAGE(B2075:B2124)</f>
        <v>20564.9656</v>
      </c>
      <c r="E2124" s="17" t="n">
        <f aca="false">AVERAGE(B1925:B2124)</f>
        <v>19264.5152</v>
      </c>
      <c r="F2124" s="17" t="n">
        <f aca="false">B2124*2/13+F2123*11/13</f>
        <v>21215.8139320119</v>
      </c>
      <c r="G2124" s="17" t="n">
        <f aca="false">B2124*2/27+G2123*25/27</f>
        <v>20950.7343751937</v>
      </c>
      <c r="H2124" s="17" t="n">
        <f aca="false">F2124-G2124</f>
        <v>265.079556818193</v>
      </c>
      <c r="I2124" s="17" t="n">
        <f aca="false">H2124*2/10+I2123*8/10</f>
        <v>228.197078936428</v>
      </c>
      <c r="J2124" s="17" t="n">
        <f aca="false">H2124-I2124</f>
        <v>36.8824778817652</v>
      </c>
      <c r="K2124" s="17" t="n">
        <f aca="false">MAX(B2124-B2123,0)</f>
        <v>0</v>
      </c>
      <c r="L2124" s="17" t="n">
        <f aca="false">MAX(B2123-B2124,0)</f>
        <v>72.6399999999994</v>
      </c>
      <c r="M2124" s="17" t="n">
        <f aca="false">(M2123*13+K2124)/14</f>
        <v>90.0634940379415</v>
      </c>
      <c r="N2124" s="17" t="n">
        <f aca="false">(N2123*13+L2124)/14</f>
        <v>56.7099755314948</v>
      </c>
      <c r="O2124" s="17" t="n">
        <f aca="false">IF(N2124=0,100,100-100/(1+M2124/N2124))</f>
        <v>61.362243668522</v>
      </c>
      <c r="P2124" s="17" t="n">
        <f aca="false">AVERAGE(B2105:B2124)+2*STDEV(B2105:B2124)</f>
        <v>21687.022479307</v>
      </c>
      <c r="Q2124" s="17" t="n">
        <f aca="false">AVERAGE(B2105:B2124)-2*STDEV(B2105:B2124)</f>
        <v>20308.081520693</v>
      </c>
      <c r="R2124" s="19" t="n">
        <f aca="false">B2124/B2104-1</f>
        <v>0.0123937594845971</v>
      </c>
      <c r="S2124" s="17" t="n">
        <f aca="false">STDEV(C2105:C2124)*SQRT(252)*100</f>
        <v>13.5674437691763</v>
      </c>
      <c r="T2124" s="19" t="n">
        <f aca="false">B2103/B1873-1</f>
        <v>0.301783471923155</v>
      </c>
      <c r="U2124" s="19" t="n">
        <f aca="false">B2124/MAX(B1873:B2124)-1</f>
        <v>-0.0117503960041161</v>
      </c>
      <c r="V2124" s="17" t="n">
        <f aca="false">(B2124-AVERAGE(B2105:B2124))/STDEV(B2105:B2124)</f>
        <v>1.07510911960303</v>
      </c>
    </row>
    <row r="2125" customFormat="false" ht="15" hidden="false" customHeight="false" outlineLevel="0" collapsed="false">
      <c r="A2125" s="17" t="s">
        <v>2689</v>
      </c>
      <c r="B2125" s="17" t="n">
        <v>21763.98</v>
      </c>
      <c r="C2125" s="19" t="n">
        <f aca="false">B2125/B2124-1</f>
        <v>0.0185228690510844</v>
      </c>
      <c r="D2125" s="17" t="n">
        <f aca="false">AVERAGE(B2076:B2125)</f>
        <v>20604.7792</v>
      </c>
      <c r="E2125" s="17" t="n">
        <f aca="false">AVERAGE(B1926:B2125)</f>
        <v>19283.47985</v>
      </c>
      <c r="F2125" s="17" t="n">
        <f aca="false">B2125*2/13+F2124*11/13</f>
        <v>21300.1471732408</v>
      </c>
      <c r="G2125" s="17" t="n">
        <f aca="false">B2125*2/27+G2124*25/27</f>
        <v>21010.974791846</v>
      </c>
      <c r="H2125" s="17" t="n">
        <f aca="false">F2125-G2125</f>
        <v>289.172381394812</v>
      </c>
      <c r="I2125" s="17" t="n">
        <f aca="false">H2125*2/10+I2124*8/10</f>
        <v>240.392139428105</v>
      </c>
      <c r="J2125" s="17" t="n">
        <f aca="false">H2125-I2125</f>
        <v>48.7802419667074</v>
      </c>
      <c r="K2125" s="17" t="n">
        <f aca="false">MAX(B2125-B2124,0)</f>
        <v>395.799999999999</v>
      </c>
      <c r="L2125" s="17" t="n">
        <f aca="false">MAX(B2124-B2125,0)</f>
        <v>0</v>
      </c>
      <c r="M2125" s="17" t="n">
        <f aca="false">(M2124*13+K2125)/14</f>
        <v>111.901815892374</v>
      </c>
      <c r="N2125" s="17" t="n">
        <f aca="false">(N2124*13+L2125)/14</f>
        <v>52.6592629935309</v>
      </c>
      <c r="O2125" s="17" t="n">
        <f aca="false">IF(N2125=0,100,100-100/(1+M2125/N2125))</f>
        <v>68.0001715168378</v>
      </c>
      <c r="P2125" s="17" t="n">
        <f aca="false">AVERAGE(B2106:B2125)+2*STDEV(B2106:B2125)</f>
        <v>21802.1777028748</v>
      </c>
      <c r="Q2125" s="17" t="n">
        <f aca="false">AVERAGE(B2106:B2125)-2*STDEV(B2106:B2125)</f>
        <v>20262.2452971252</v>
      </c>
      <c r="R2125" s="19" t="n">
        <f aca="false">B2125/B2105-1</f>
        <v>0.0328981495235821</v>
      </c>
      <c r="S2125" s="17" t="n">
        <f aca="false">STDEV(C2106:C2125)*SQRT(252)*100</f>
        <v>14.9330860011236</v>
      </c>
      <c r="T2125" s="19" t="n">
        <f aca="false">B2104/B1874-1</f>
        <v>0.290587461974716</v>
      </c>
      <c r="U2125" s="19" t="n">
        <f aca="false">B2125/MAX(B1874:B2125)-1</f>
        <v>0</v>
      </c>
      <c r="V2125" s="17" t="n">
        <f aca="false">(B2125-AVERAGE(B2106:B2125))/STDEV(B2106:B2125)</f>
        <v>1.90078083237367</v>
      </c>
    </row>
    <row r="2126" customFormat="false" ht="15" hidden="false" customHeight="false" outlineLevel="0" collapsed="false">
      <c r="A2126" s="17" t="s">
        <v>2690</v>
      </c>
      <c r="B2126" s="17" t="n">
        <v>21615.27</v>
      </c>
      <c r="C2126" s="19" t="n">
        <f aca="false">B2126/B2125-1</f>
        <v>-0.00683284950638619</v>
      </c>
      <c r="D2126" s="17" t="n">
        <f aca="false">AVERAGE(B2077:B2126)</f>
        <v>20641.0328</v>
      </c>
      <c r="E2126" s="17" t="n">
        <f aca="false">AVERAGE(B1927:B2126)</f>
        <v>19302.1837</v>
      </c>
      <c r="F2126" s="17" t="n">
        <f aca="false">B2126*2/13+F2125*11/13</f>
        <v>21348.6276081269</v>
      </c>
      <c r="G2126" s="17" t="n">
        <f aca="false">B2126*2/27+G2125*25/27</f>
        <v>21055.7373998574</v>
      </c>
      <c r="H2126" s="17" t="n">
        <f aca="false">F2126-G2126</f>
        <v>292.890208269433</v>
      </c>
      <c r="I2126" s="17" t="n">
        <f aca="false">H2126*2/10+I2125*8/10</f>
        <v>250.89175319637</v>
      </c>
      <c r="J2126" s="17" t="n">
        <f aca="false">H2126-I2126</f>
        <v>41.9984550730628</v>
      </c>
      <c r="K2126" s="17" t="n">
        <f aca="false">MAX(B2126-B2125,0)</f>
        <v>0</v>
      </c>
      <c r="L2126" s="17" t="n">
        <f aca="false">MAX(B2125-B2126,0)</f>
        <v>148.709999999999</v>
      </c>
      <c r="M2126" s="17" t="n">
        <f aca="false">(M2125*13+K2126)/14</f>
        <v>103.908829042919</v>
      </c>
      <c r="N2126" s="17" t="n">
        <f aca="false">(N2125*13+L2126)/14</f>
        <v>59.5200299225644</v>
      </c>
      <c r="O2126" s="17" t="n">
        <f aca="false">IF(N2126=0,100,100-100/(1+M2126/N2126))</f>
        <v>63.5804653478397</v>
      </c>
      <c r="P2126" s="17" t="n">
        <f aca="false">AVERAGE(B2107:B2126)+2*STDEV(B2107:B2126)</f>
        <v>21874.1149796421</v>
      </c>
      <c r="Q2126" s="17" t="n">
        <f aca="false">AVERAGE(B2107:B2126)-2*STDEV(B2107:B2126)</f>
        <v>20248.2190203579</v>
      </c>
      <c r="R2126" s="19" t="n">
        <f aca="false">B2126/B2106-1</f>
        <v>0.0275292638960722</v>
      </c>
      <c r="S2126" s="17" t="n">
        <f aca="false">STDEV(C2107:C2126)*SQRT(252)*100</f>
        <v>15.196716214059</v>
      </c>
      <c r="T2126" s="19" t="n">
        <f aca="false">B2105/B1875-1</f>
        <v>0.27220862714696</v>
      </c>
      <c r="U2126" s="19" t="n">
        <f aca="false">B2126/MAX(B1875:B2126)-1</f>
        <v>-0.00683284950638619</v>
      </c>
      <c r="V2126" s="17" t="n">
        <f aca="false">(B2126-AVERAGE(B2107:B2126))/STDEV(B2107:B2126)</f>
        <v>1.36319423598034</v>
      </c>
    </row>
    <row r="2127" customFormat="false" ht="15" hidden="false" customHeight="false" outlineLevel="0" collapsed="false">
      <c r="A2127" s="17" t="s">
        <v>2691</v>
      </c>
      <c r="B2127" s="17" t="n">
        <v>21780.25</v>
      </c>
      <c r="C2127" s="19" t="n">
        <f aca="false">B2127/B2126-1</f>
        <v>0.007632567162011</v>
      </c>
      <c r="D2127" s="17" t="n">
        <f aca="false">AVERAGE(B2078:B2127)</f>
        <v>20680.771</v>
      </c>
      <c r="E2127" s="17" t="n">
        <f aca="false">AVERAGE(B1928:B2127)</f>
        <v>19320.8657</v>
      </c>
      <c r="F2127" s="17" t="n">
        <f aca="false">B2127*2/13+F2126*11/13</f>
        <v>21415.0310530304</v>
      </c>
      <c r="G2127" s="17" t="n">
        <f aca="false">B2127*2/27+G2126*25/27</f>
        <v>21109.404999868</v>
      </c>
      <c r="H2127" s="17" t="n">
        <f aca="false">F2127-G2127</f>
        <v>305.626053162432</v>
      </c>
      <c r="I2127" s="17" t="n">
        <f aca="false">H2127*2/10+I2126*8/10</f>
        <v>261.838613189583</v>
      </c>
      <c r="J2127" s="17" t="n">
        <f aca="false">H2127-I2127</f>
        <v>43.7874399728495</v>
      </c>
      <c r="K2127" s="17" t="n">
        <f aca="false">MAX(B2127-B2126,0)</f>
        <v>164.98</v>
      </c>
      <c r="L2127" s="17" t="n">
        <f aca="false">MAX(B2126-B2127,0)</f>
        <v>0</v>
      </c>
      <c r="M2127" s="17" t="n">
        <f aca="false">(M2126*13+K2127)/14</f>
        <v>108.271055539853</v>
      </c>
      <c r="N2127" s="17" t="n">
        <f aca="false">(N2126*13+L2127)/14</f>
        <v>55.2685992138098</v>
      </c>
      <c r="O2127" s="17" t="n">
        <f aca="false">IF(N2127=0,100,100-100/(1+M2127/N2127))</f>
        <v>66.2047719881396</v>
      </c>
      <c r="P2127" s="17" t="n">
        <f aca="false">AVERAGE(B2108:B2127)+2*STDEV(B2108:B2127)</f>
        <v>21974.7301014952</v>
      </c>
      <c r="Q2127" s="17" t="n">
        <f aca="false">AVERAGE(B2108:B2127)-2*STDEV(B2108:B2127)</f>
        <v>20235.9618985048</v>
      </c>
      <c r="R2127" s="19" t="n">
        <f aca="false">B2127/B2107-1</f>
        <v>0.0422832920269116</v>
      </c>
      <c r="S2127" s="17" t="n">
        <f aca="false">STDEV(C2108:C2127)*SQRT(252)*100</f>
        <v>15.0392678309223</v>
      </c>
      <c r="T2127" s="19" t="n">
        <f aca="false">B2106/B1876-1</f>
        <v>0.272002433209194</v>
      </c>
      <c r="U2127" s="19" t="n">
        <f aca="false">B2127/MAX(B1876:B2127)-1</f>
        <v>0</v>
      </c>
      <c r="V2127" s="17" t="n">
        <f aca="false">(B2127-AVERAGE(B2108:B2127))/STDEV(B2108:B2127)</f>
        <v>1.55260258115894</v>
      </c>
    </row>
    <row r="2128" customFormat="false" ht="15" hidden="false" customHeight="false" outlineLevel="0" collapsed="false">
      <c r="A2128" s="17" t="s">
        <v>2692</v>
      </c>
      <c r="B2128" s="17" t="n">
        <v>22096.66</v>
      </c>
      <c r="C2128" s="19" t="n">
        <f aca="false">B2128/B2127-1</f>
        <v>0.0145273814579723</v>
      </c>
      <c r="D2128" s="17" t="n">
        <f aca="false">AVERAGE(B2079:B2128)</f>
        <v>20722.0038</v>
      </c>
      <c r="E2128" s="17" t="n">
        <f aca="false">AVERAGE(B1929:B2128)</f>
        <v>19339.83445</v>
      </c>
      <c r="F2128" s="17" t="n">
        <f aca="false">B2128*2/13+F2127*11/13</f>
        <v>21519.8970448719</v>
      </c>
      <c r="G2128" s="17" t="n">
        <f aca="false">B2128*2/27+G2127*25/27</f>
        <v>21182.5349998778</v>
      </c>
      <c r="H2128" s="17" t="n">
        <f aca="false">F2128-G2128</f>
        <v>337.362044994123</v>
      </c>
      <c r="I2128" s="17" t="n">
        <f aca="false">H2128*2/10+I2127*8/10</f>
        <v>276.943299550491</v>
      </c>
      <c r="J2128" s="17" t="n">
        <f aca="false">H2128-I2128</f>
        <v>60.4187454436321</v>
      </c>
      <c r="K2128" s="17" t="n">
        <f aca="false">MAX(B2128-B2127,0)</f>
        <v>316.41</v>
      </c>
      <c r="L2128" s="17" t="n">
        <f aca="false">MAX(B2127-B2128,0)</f>
        <v>0</v>
      </c>
      <c r="M2128" s="17" t="n">
        <f aca="false">(M2127*13+K2128)/14</f>
        <v>123.138123001292</v>
      </c>
      <c r="N2128" s="17" t="n">
        <f aca="false">(N2127*13+L2128)/14</f>
        <v>51.3208421271091</v>
      </c>
      <c r="O2128" s="17" t="n">
        <f aca="false">IF(N2128=0,100,100-100/(1+M2128/N2128))</f>
        <v>70.5828576425768</v>
      </c>
      <c r="P2128" s="17" t="n">
        <f aca="false">AVERAGE(B2109:B2128)+2*STDEV(B2109:B2128)</f>
        <v>22099.1593754388</v>
      </c>
      <c r="Q2128" s="17" t="n">
        <f aca="false">AVERAGE(B2109:B2128)-2*STDEV(B2109:B2128)</f>
        <v>20281.7856245612</v>
      </c>
      <c r="R2128" s="19" t="n">
        <f aca="false">B2128/B2108-1</f>
        <v>0.0834813742974081</v>
      </c>
      <c r="S2128" s="17" t="n">
        <f aca="false">STDEV(C2109:C2128)*SQRT(252)*100</f>
        <v>12.0808357953159</v>
      </c>
      <c r="T2128" s="19" t="n">
        <f aca="false">B2107/B1877-1</f>
        <v>0.257059755947171</v>
      </c>
      <c r="U2128" s="19" t="n">
        <f aca="false">B2128/MAX(B1877:B2128)-1</f>
        <v>0</v>
      </c>
      <c r="V2128" s="17" t="n">
        <f aca="false">(B2128-AVERAGE(B2109:B2128))/STDEV(B2109:B2128)</f>
        <v>1.99449892915511</v>
      </c>
    </row>
    <row r="2129" customFormat="false" ht="15" hidden="false" customHeight="false" outlineLevel="0" collapsed="false">
      <c r="A2129" s="17" t="s">
        <v>2693</v>
      </c>
      <c r="B2129" s="17" t="n">
        <v>22001.08</v>
      </c>
      <c r="C2129" s="19" t="n">
        <f aca="false">B2129/B2128-1</f>
        <v>-0.0043255406020638</v>
      </c>
      <c r="D2129" s="17" t="n">
        <f aca="false">AVERAGE(B2080:B2129)</f>
        <v>20766.0106</v>
      </c>
      <c r="E2129" s="17" t="n">
        <f aca="false">AVERAGE(B1930:B2129)</f>
        <v>19358.70745</v>
      </c>
      <c r="F2129" s="17" t="n">
        <f aca="false">B2129*2/13+F2128*11/13</f>
        <v>21593.9251918147</v>
      </c>
      <c r="G2129" s="17" t="n">
        <f aca="false">B2129*2/27+G2128*25/27</f>
        <v>21243.1679628498</v>
      </c>
      <c r="H2129" s="17" t="n">
        <f aca="false">F2129-G2129</f>
        <v>350.757228964892</v>
      </c>
      <c r="I2129" s="17" t="n">
        <f aca="false">H2129*2/10+I2128*8/10</f>
        <v>291.706085433371</v>
      </c>
      <c r="J2129" s="17" t="n">
        <f aca="false">H2129-I2129</f>
        <v>59.0511435315215</v>
      </c>
      <c r="K2129" s="17" t="n">
        <f aca="false">MAX(B2129-B2128,0)</f>
        <v>0</v>
      </c>
      <c r="L2129" s="17" t="n">
        <f aca="false">MAX(B2128-B2129,0)</f>
        <v>95.5799999999981</v>
      </c>
      <c r="M2129" s="17" t="n">
        <f aca="false">(M2128*13+K2129)/14</f>
        <v>114.342542786914</v>
      </c>
      <c r="N2129" s="17" t="n">
        <f aca="false">(N2128*13+L2129)/14</f>
        <v>54.4822105466011</v>
      </c>
      <c r="O2129" s="17" t="n">
        <f aca="false">IF(N2129=0,100,100-100/(1+M2129/N2129))</f>
        <v>67.7285413004746</v>
      </c>
      <c r="P2129" s="17" t="n">
        <f aca="false">AVERAGE(B2110:B2129)+2*STDEV(B2110:B2129)</f>
        <v>22186.7412418896</v>
      </c>
      <c r="Q2129" s="17" t="n">
        <f aca="false">AVERAGE(B2110:B2129)-2*STDEV(B2110:B2129)</f>
        <v>20340.3927581104</v>
      </c>
      <c r="R2129" s="19" t="n">
        <f aca="false">B2129/B2109-1</f>
        <v>0.0711756403246673</v>
      </c>
      <c r="S2129" s="17" t="n">
        <f aca="false">STDEV(C2110:C2129)*SQRT(252)*100</f>
        <v>12.3742426387371</v>
      </c>
      <c r="T2129" s="19" t="n">
        <f aca="false">B2108/B1878-1</f>
        <v>0.219030113928439</v>
      </c>
      <c r="U2129" s="19" t="n">
        <f aca="false">B2129/MAX(B1878:B2129)-1</f>
        <v>-0.0043255406020638</v>
      </c>
      <c r="V2129" s="17" t="n">
        <f aca="false">(B2129-AVERAGE(B2110:B2129))/STDEV(B2110:B2129)</f>
        <v>1.59777638182458</v>
      </c>
    </row>
    <row r="2130" customFormat="false" ht="15" hidden="false" customHeight="false" outlineLevel="0" collapsed="false">
      <c r="A2130" s="17" t="s">
        <v>2694</v>
      </c>
      <c r="B2130" s="17" t="n">
        <v>21209.32</v>
      </c>
      <c r="C2130" s="19" t="n">
        <f aca="false">B2130/B2129-1</f>
        <v>-0.0359873242586274</v>
      </c>
      <c r="D2130" s="17" t="n">
        <f aca="false">AVERAGE(B2081:B2130)</f>
        <v>20788.0414</v>
      </c>
      <c r="E2130" s="17" t="n">
        <f aca="false">AVERAGE(B1931:B2130)</f>
        <v>19375.2647</v>
      </c>
      <c r="F2130" s="17" t="n">
        <f aca="false">B2130*2/13+F2129*11/13</f>
        <v>21534.7551623047</v>
      </c>
      <c r="G2130" s="17" t="n">
        <f aca="false">B2130*2/27+G2129*25/27</f>
        <v>21240.6607063424</v>
      </c>
      <c r="H2130" s="17" t="n">
        <f aca="false">F2130-G2130</f>
        <v>294.094455962331</v>
      </c>
      <c r="I2130" s="17" t="n">
        <f aca="false">H2130*2/10+I2129*8/10</f>
        <v>292.183759539163</v>
      </c>
      <c r="J2130" s="17" t="n">
        <f aca="false">H2130-I2130</f>
        <v>1.91069642316825</v>
      </c>
      <c r="K2130" s="17" t="n">
        <f aca="false">MAX(B2130-B2129,0)</f>
        <v>0</v>
      </c>
      <c r="L2130" s="17" t="n">
        <f aca="false">MAX(B2129-B2130,0)</f>
        <v>791.760000000002</v>
      </c>
      <c r="M2130" s="17" t="n">
        <f aca="false">(M2129*13+K2130)/14</f>
        <v>106.175218302135</v>
      </c>
      <c r="N2130" s="17" t="n">
        <f aca="false">(N2129*13+L2130)/14</f>
        <v>107.144909793273</v>
      </c>
      <c r="O2130" s="17" t="n">
        <f aca="false">IF(N2130=0,100,100-100/(1+M2130/N2130))</f>
        <v>49.772714487893</v>
      </c>
      <c r="P2130" s="17" t="n">
        <f aca="false">AVERAGE(B2111:B2130)+2*STDEV(B2111:B2130)</f>
        <v>22172.6400797462</v>
      </c>
      <c r="Q2130" s="17" t="n">
        <f aca="false">AVERAGE(B2111:B2130)-2*STDEV(B2111:B2130)</f>
        <v>20406.9669202538</v>
      </c>
      <c r="R2130" s="19" t="n">
        <f aca="false">B2130/B2110-1</f>
        <v>0.025368160548505</v>
      </c>
      <c r="S2130" s="17" t="n">
        <f aca="false">STDEV(C2111:C2130)*SQRT(252)*100</f>
        <v>18.5907138031875</v>
      </c>
      <c r="T2130" s="19" t="n">
        <f aca="false">B2109/B1879-1</f>
        <v>0.221709092098728</v>
      </c>
      <c r="U2130" s="19" t="n">
        <f aca="false">B2130/MAX(B1879:B2130)-1</f>
        <v>-0.0401572002284508</v>
      </c>
      <c r="V2130" s="17" t="n">
        <f aca="false">(B2130-AVERAGE(B2111:B2130))/STDEV(B2111:B2130)</f>
        <v>-0.182329327638743</v>
      </c>
    </row>
    <row r="2131" customFormat="false" ht="15" hidden="false" customHeight="false" outlineLevel="0" collapsed="false">
      <c r="A2131" s="17" t="s">
        <v>2695</v>
      </c>
      <c r="B2131" s="17" t="n">
        <v>21110.51</v>
      </c>
      <c r="C2131" s="19" t="n">
        <f aca="false">B2131/B2130-1</f>
        <v>-0.00465880094222737</v>
      </c>
      <c r="D2131" s="17" t="n">
        <f aca="false">AVERAGE(B2082:B2131)</f>
        <v>20804.8744</v>
      </c>
      <c r="E2131" s="17" t="n">
        <f aca="false">AVERAGE(B1932:B2131)</f>
        <v>19390.7294</v>
      </c>
      <c r="F2131" s="17" t="n">
        <f aca="false">B2131*2/13+F2130*11/13</f>
        <v>21469.4866757963</v>
      </c>
      <c r="G2131" s="17" t="n">
        <f aca="false">B2131*2/27+G2130*25/27</f>
        <v>21231.01991328</v>
      </c>
      <c r="H2131" s="17" t="n">
        <f aca="false">F2131-G2131</f>
        <v>238.466762516313</v>
      </c>
      <c r="I2131" s="17" t="n">
        <f aca="false">H2131*2/10+I2130*8/10</f>
        <v>281.440360134593</v>
      </c>
      <c r="J2131" s="17" t="n">
        <f aca="false">H2131-I2131</f>
        <v>-42.9735976182801</v>
      </c>
      <c r="K2131" s="17" t="n">
        <f aca="false">MAX(B2131-B2130,0)</f>
        <v>0</v>
      </c>
      <c r="L2131" s="17" t="n">
        <f aca="false">MAX(B2130-B2131,0)</f>
        <v>98.8100000000013</v>
      </c>
      <c r="M2131" s="17" t="n">
        <f aca="false">(M2130*13+K2131)/14</f>
        <v>98.5912741376965</v>
      </c>
      <c r="N2131" s="17" t="n">
        <f aca="false">(N2130*13+L2131)/14</f>
        <v>106.549559093753</v>
      </c>
      <c r="O2131" s="17" t="n">
        <f aca="false">IF(N2131=0,100,100-100/(1+M2131/N2131))</f>
        <v>48.0602874545513</v>
      </c>
      <c r="P2131" s="17" t="n">
        <f aca="false">AVERAGE(B2112:B2131)+2*STDEV(B2112:B2131)</f>
        <v>22150.1057463175</v>
      </c>
      <c r="Q2131" s="17" t="n">
        <f aca="false">AVERAGE(B2112:B2131)-2*STDEV(B2112:B2131)</f>
        <v>20473.8422536825</v>
      </c>
      <c r="R2131" s="19" t="n">
        <f aca="false">B2131/B2111-1</f>
        <v>0.0214548727204107</v>
      </c>
      <c r="S2131" s="17" t="n">
        <f aca="false">STDEV(C2112:C2131)*SQRT(252)*100</f>
        <v>18.6985680399089</v>
      </c>
      <c r="T2131" s="19" t="n">
        <f aca="false">B2110/B1880-1</f>
        <v>0.249510092931324</v>
      </c>
      <c r="U2131" s="19" t="n">
        <f aca="false">B2131/MAX(B1880:B2131)-1</f>
        <v>-0.0446289167684166</v>
      </c>
      <c r="V2131" s="17" t="n">
        <f aca="false">(B2131-AVERAGE(B2112:B2131))/STDEV(B2112:B2131)</f>
        <v>-0.480745421910497</v>
      </c>
    </row>
    <row r="2132" customFormat="false" ht="15" hidden="false" customHeight="false" outlineLevel="0" collapsed="false">
      <c r="A2132" s="17" t="s">
        <v>2696</v>
      </c>
      <c r="B2132" s="17" t="n">
        <v>21289.15</v>
      </c>
      <c r="C2132" s="19" t="n">
        <f aca="false">B2132/B2131-1</f>
        <v>0.00846213568502141</v>
      </c>
      <c r="D2132" s="17" t="n">
        <f aca="false">AVERAGE(B2083:B2132)</f>
        <v>20825.8222</v>
      </c>
      <c r="E2132" s="17" t="n">
        <f aca="false">AVERAGE(B1933:B2132)</f>
        <v>19405.6852</v>
      </c>
      <c r="F2132" s="17" t="n">
        <f aca="false">B2132*2/13+F2131*11/13</f>
        <v>21441.7425718277</v>
      </c>
      <c r="G2132" s="17" t="n">
        <f aca="false">B2132*2/27+G2131*25/27</f>
        <v>21235.3258456296</v>
      </c>
      <c r="H2132" s="17" t="n">
        <f aca="false">F2132-G2132</f>
        <v>206.416726198018</v>
      </c>
      <c r="I2132" s="17" t="n">
        <f aca="false">H2132*2/10+I2131*8/10</f>
        <v>266.435633347278</v>
      </c>
      <c r="J2132" s="17" t="n">
        <f aca="false">H2132-I2132</f>
        <v>-60.0189071492597</v>
      </c>
      <c r="K2132" s="17" t="n">
        <f aca="false">MAX(B2132-B2131,0)</f>
        <v>178.640000000003</v>
      </c>
      <c r="L2132" s="17" t="n">
        <f aca="false">MAX(B2131-B2132,0)</f>
        <v>0</v>
      </c>
      <c r="M2132" s="17" t="n">
        <f aca="false">(M2131*13+K2132)/14</f>
        <v>104.309040270718</v>
      </c>
      <c r="N2132" s="17" t="n">
        <f aca="false">(N2131*13+L2132)/14</f>
        <v>98.9388763013423</v>
      </c>
      <c r="O2132" s="17" t="n">
        <f aca="false">IF(N2132=0,100,100-100/(1+M2132/N2132))</f>
        <v>51.321087089095</v>
      </c>
      <c r="P2132" s="17" t="n">
        <f aca="false">AVERAGE(B2113:B2132)+2*STDEV(B2113:B2132)</f>
        <v>22133.5727501719</v>
      </c>
      <c r="Q2132" s="17" t="n">
        <f aca="false">AVERAGE(B2113:B2132)-2*STDEV(B2113:B2132)</f>
        <v>20545.2122498281</v>
      </c>
      <c r="R2132" s="19" t="n">
        <f aca="false">B2132/B2112-1</f>
        <v>0.0264392178114807</v>
      </c>
      <c r="S2132" s="17" t="n">
        <f aca="false">STDEV(C2113:C2132)*SQRT(252)*100</f>
        <v>18.863275958962</v>
      </c>
      <c r="T2132" s="19" t="n">
        <f aca="false">B2111/B1881-1</f>
        <v>0.233311114307044</v>
      </c>
      <c r="U2132" s="19" t="n">
        <f aca="false">B2132/MAX(B1881:B2132)-1</f>
        <v>-0.0365444370325651</v>
      </c>
      <c r="V2132" s="17" t="n">
        <f aca="false">(B2132-AVERAGE(B2113:B2132))/STDEV(B2113:B2132)</f>
        <v>-0.126526692118368</v>
      </c>
    </row>
    <row r="2133" customFormat="false" ht="15" hidden="false" customHeight="false" outlineLevel="0" collapsed="false">
      <c r="A2133" s="17" t="s">
        <v>2697</v>
      </c>
      <c r="B2133" s="17" t="n">
        <v>21503.17</v>
      </c>
      <c r="C2133" s="19" t="n">
        <f aca="false">B2133/B2132-1</f>
        <v>0.0100530082224981</v>
      </c>
      <c r="D2133" s="17" t="n">
        <f aca="false">AVERAGE(B2084:B2133)</f>
        <v>20850.4462</v>
      </c>
      <c r="E2133" s="17" t="n">
        <f aca="false">AVERAGE(B1934:B2133)</f>
        <v>19423.1088</v>
      </c>
      <c r="F2133" s="17" t="n">
        <f aca="false">B2133*2/13+F2132*11/13</f>
        <v>21451.1929453926</v>
      </c>
      <c r="G2133" s="17" t="n">
        <f aca="false">B2133*2/27+G2132*25/27</f>
        <v>21255.1661533608</v>
      </c>
      <c r="H2133" s="17" t="n">
        <f aca="false">F2133-G2133</f>
        <v>196.026792031855</v>
      </c>
      <c r="I2133" s="17" t="n">
        <f aca="false">H2133*2/10+I2132*8/10</f>
        <v>252.353865084193</v>
      </c>
      <c r="J2133" s="17" t="n">
        <f aca="false">H2133-I2133</f>
        <v>-56.3270730523387</v>
      </c>
      <c r="K2133" s="17" t="n">
        <f aca="false">MAX(B2133-B2132,0)</f>
        <v>214.019999999997</v>
      </c>
      <c r="L2133" s="17" t="n">
        <f aca="false">MAX(B2132-B2133,0)</f>
        <v>0</v>
      </c>
      <c r="M2133" s="17" t="n">
        <f aca="false">(M2132*13+K2133)/14</f>
        <v>112.145537394238</v>
      </c>
      <c r="N2133" s="17" t="n">
        <f aca="false">(N2132*13+L2133)/14</f>
        <v>91.8718137083893</v>
      </c>
      <c r="O2133" s="17" t="n">
        <f aca="false">IF(N2133=0,100,100-100/(1+M2133/N2133))</f>
        <v>54.9686273192643</v>
      </c>
      <c r="P2133" s="17" t="n">
        <f aca="false">AVERAGE(B2114:B2133)+2*STDEV(B2114:B2133)</f>
        <v>22126.7640298811</v>
      </c>
      <c r="Q2133" s="17" t="n">
        <f aca="false">AVERAGE(B2114:B2133)-2*STDEV(B2114:B2133)</f>
        <v>20624.7149701189</v>
      </c>
      <c r="R2133" s="19" t="n">
        <f aca="false">B2133/B2113-1</f>
        <v>0.0349890235138906</v>
      </c>
      <c r="S2133" s="17" t="n">
        <f aca="false">STDEV(C2114:C2133)*SQRT(252)*100</f>
        <v>19.1138295141169</v>
      </c>
      <c r="T2133" s="19" t="n">
        <f aca="false">B2112/B1882-1</f>
        <v>0.236233266179503</v>
      </c>
      <c r="U2133" s="19" t="n">
        <f aca="false">B2133/MAX(B1882:B2133)-1</f>
        <v>-0.0268588103360418</v>
      </c>
      <c r="V2133" s="17" t="n">
        <f aca="false">(B2133-AVERAGE(B2114:B2133))/STDEV(B2114:B2133)</f>
        <v>0.33935109954443</v>
      </c>
    </row>
    <row r="2134" customFormat="false" ht="15" hidden="false" customHeight="false" outlineLevel="0" collapsed="false">
      <c r="A2134" s="17" t="s">
        <v>2698</v>
      </c>
      <c r="B2134" s="17" t="n">
        <v>21797.65</v>
      </c>
      <c r="C2134" s="19" t="n">
        <f aca="false">B2134/B2133-1</f>
        <v>0.0136947250103125</v>
      </c>
      <c r="D2134" s="17" t="n">
        <f aca="false">AVERAGE(B2085:B2134)</f>
        <v>20877.6182</v>
      </c>
      <c r="E2134" s="17" t="n">
        <f aca="false">AVERAGE(B1935:B2134)</f>
        <v>19442.3386</v>
      </c>
      <c r="F2134" s="17" t="n">
        <f aca="false">B2134*2/13+F2133*11/13</f>
        <v>21504.4940307168</v>
      </c>
      <c r="G2134" s="17" t="n">
        <f aca="false">B2134*2/27+G2133*25/27</f>
        <v>21295.3501420007</v>
      </c>
      <c r="H2134" s="17" t="n">
        <f aca="false">F2134-G2134</f>
        <v>209.143888716124</v>
      </c>
      <c r="I2134" s="17" t="n">
        <f aca="false">H2134*2/10+I2133*8/10</f>
        <v>243.71186981058</v>
      </c>
      <c r="J2134" s="17" t="n">
        <f aca="false">H2134-I2134</f>
        <v>-34.5679810944556</v>
      </c>
      <c r="K2134" s="17" t="n">
        <f aca="false">MAX(B2134-B2133,0)</f>
        <v>294.480000000003</v>
      </c>
      <c r="L2134" s="17" t="n">
        <f aca="false">MAX(B2133-B2134,0)</f>
        <v>0</v>
      </c>
      <c r="M2134" s="17" t="n">
        <f aca="false">(M2133*13+K2134)/14</f>
        <v>125.169427580364</v>
      </c>
      <c r="N2134" s="17" t="n">
        <f aca="false">(N2133*13+L2134)/14</f>
        <v>85.3095413006472</v>
      </c>
      <c r="O2134" s="17" t="n">
        <f aca="false">IF(N2134=0,100,100-100/(1+M2134/N2134))</f>
        <v>59.468852515676</v>
      </c>
      <c r="P2134" s="17" t="n">
        <f aca="false">AVERAGE(B2115:B2134)+2*STDEV(B2115:B2134)</f>
        <v>22148.2432091233</v>
      </c>
      <c r="Q2134" s="17" t="n">
        <f aca="false">AVERAGE(B2115:B2134)-2*STDEV(B2115:B2134)</f>
        <v>20702.5117908767</v>
      </c>
      <c r="R2134" s="19" t="n">
        <f aca="false">B2134/B2114-1</f>
        <v>0.0477176279230509</v>
      </c>
      <c r="S2134" s="17" t="n">
        <f aca="false">STDEV(C2115:C2134)*SQRT(252)*100</f>
        <v>19.5730778414103</v>
      </c>
      <c r="T2134" s="19" t="n">
        <f aca="false">B2113/B1883-1</f>
        <v>0.230931613429187</v>
      </c>
      <c r="U2134" s="19" t="n">
        <f aca="false">B2134/MAX(B1883:B2134)-1</f>
        <v>-0.0135319093473855</v>
      </c>
      <c r="V2134" s="17" t="n">
        <f aca="false">(B2134-AVERAGE(B2115:B2134))/STDEV(B2115:B2134)</f>
        <v>1.02999075845361</v>
      </c>
    </row>
    <row r="2135" customFormat="false" ht="15" hidden="false" customHeight="false" outlineLevel="0" collapsed="false">
      <c r="A2135" s="17" t="s">
        <v>2699</v>
      </c>
      <c r="B2135" s="17" t="n">
        <v>21768.31</v>
      </c>
      <c r="C2135" s="19" t="n">
        <f aca="false">B2135/B2134-1</f>
        <v>-0.00134601665775902</v>
      </c>
      <c r="D2135" s="17" t="n">
        <f aca="false">AVERAGE(B2086:B2135)</f>
        <v>20909.7878</v>
      </c>
      <c r="E2135" s="17" t="n">
        <f aca="false">AVERAGE(B1936:B2135)</f>
        <v>19460.0846</v>
      </c>
      <c r="F2135" s="17" t="n">
        <f aca="false">B2135*2/13+F2134*11/13</f>
        <v>21545.0811029143</v>
      </c>
      <c r="G2135" s="17" t="n">
        <f aca="false">B2135*2/27+G2134*25/27</f>
        <v>21330.3842055562</v>
      </c>
      <c r="H2135" s="17" t="n">
        <f aca="false">F2135-G2135</f>
        <v>214.69689735803</v>
      </c>
      <c r="I2135" s="17" t="n">
        <f aca="false">H2135*2/10+I2134*8/10</f>
        <v>237.90887532007</v>
      </c>
      <c r="J2135" s="17" t="n">
        <f aca="false">H2135-I2135</f>
        <v>-23.2119779620398</v>
      </c>
      <c r="K2135" s="17" t="n">
        <f aca="false">MAX(B2135-B2134,0)</f>
        <v>0</v>
      </c>
      <c r="L2135" s="17" t="n">
        <f aca="false">MAX(B2134-B2135,0)</f>
        <v>29.3400000000001</v>
      </c>
      <c r="M2135" s="17" t="n">
        <f aca="false">(M2134*13+K2135)/14</f>
        <v>116.228754181767</v>
      </c>
      <c r="N2135" s="17" t="n">
        <f aca="false">(N2134*13+L2135)/14</f>
        <v>81.3117169220296</v>
      </c>
      <c r="O2135" s="17" t="n">
        <f aca="false">IF(N2135=0,100,100-100/(1+M2135/N2135))</f>
        <v>58.8379452232324</v>
      </c>
      <c r="P2135" s="17" t="n">
        <f aca="false">AVERAGE(B2116:B2135)+2*STDEV(B2116:B2135)</f>
        <v>22165.2263097968</v>
      </c>
      <c r="Q2135" s="17" t="n">
        <f aca="false">AVERAGE(B2116:B2135)-2*STDEV(B2116:B2135)</f>
        <v>20770.0696902032</v>
      </c>
      <c r="R2135" s="19" t="n">
        <f aca="false">B2135/B2115-1</f>
        <v>0.0404059666681005</v>
      </c>
      <c r="S2135" s="17" t="n">
        <f aca="false">STDEV(C2116:C2135)*SQRT(252)*100</f>
        <v>19.5763003852463</v>
      </c>
      <c r="T2135" s="19" t="n">
        <f aca="false">B2114/B1884-1</f>
        <v>0.230563441928692</v>
      </c>
      <c r="U2135" s="19" t="n">
        <f aca="false">B2135/MAX(B1884:B2135)-1</f>
        <v>-0.0148597118297515</v>
      </c>
      <c r="V2135" s="17" t="n">
        <f aca="false">(B2135-AVERAGE(B2116:B2135))/STDEV(B2116:B2135)</f>
        <v>0.862016481239461</v>
      </c>
    </row>
    <row r="2136" customFormat="false" ht="15" hidden="false" customHeight="false" outlineLevel="0" collapsed="false">
      <c r="A2136" s="17" t="s">
        <v>2700</v>
      </c>
      <c r="B2136" s="17" t="n">
        <v>21473.02</v>
      </c>
      <c r="C2136" s="19" t="n">
        <f aca="false">B2136/B2135-1</f>
        <v>-0.0135651320658333</v>
      </c>
      <c r="D2136" s="17" t="n">
        <f aca="false">AVERAGE(B2087:B2136)</f>
        <v>20935.7672</v>
      </c>
      <c r="E2136" s="17" t="n">
        <f aca="false">AVERAGE(B1937:B2136)</f>
        <v>19477.10735</v>
      </c>
      <c r="F2136" s="17" t="n">
        <f aca="false">B2136*2/13+F2135*11/13</f>
        <v>21533.994779389</v>
      </c>
      <c r="G2136" s="17" t="n">
        <f aca="false">B2136*2/27+G2135*25/27</f>
        <v>21340.9498199595</v>
      </c>
      <c r="H2136" s="17" t="n">
        <f aca="false">F2136-G2136</f>
        <v>193.044959429521</v>
      </c>
      <c r="I2136" s="17" t="n">
        <f aca="false">H2136*2/10+I2135*8/10</f>
        <v>228.93609214196</v>
      </c>
      <c r="J2136" s="17" t="n">
        <f aca="false">H2136-I2136</f>
        <v>-35.8911327124392</v>
      </c>
      <c r="K2136" s="17" t="n">
        <f aca="false">MAX(B2136-B2135,0)</f>
        <v>0</v>
      </c>
      <c r="L2136" s="17" t="n">
        <f aca="false">MAX(B2135-B2136,0)</f>
        <v>295.290000000001</v>
      </c>
      <c r="M2136" s="17" t="n">
        <f aca="false">(M2135*13+K2136)/14</f>
        <v>107.926700311641</v>
      </c>
      <c r="N2136" s="17" t="n">
        <f aca="false">(N2135*13+L2136)/14</f>
        <v>96.5958799990275</v>
      </c>
      <c r="O2136" s="17" t="n">
        <f aca="false">IF(N2136=0,100,100-100/(1+M2136/N2136))</f>
        <v>52.7700658517514</v>
      </c>
      <c r="P2136" s="17" t="n">
        <f aca="false">AVERAGE(B2117:B2136)+2*STDEV(B2117:B2136)</f>
        <v>22113.1215873327</v>
      </c>
      <c r="Q2136" s="17" t="n">
        <f aca="false">AVERAGE(B2117:B2136)-2*STDEV(B2117:B2136)</f>
        <v>20895.0274126673</v>
      </c>
      <c r="R2136" s="19" t="n">
        <f aca="false">B2136/B2116-1</f>
        <v>0.0351192051479694</v>
      </c>
      <c r="S2136" s="17" t="n">
        <f aca="false">STDEV(C2117:C2136)*SQRT(252)*100</f>
        <v>20.014304262693</v>
      </c>
      <c r="T2136" s="19" t="n">
        <f aca="false">B2115/B1885-1</f>
        <v>0.238153513306234</v>
      </c>
      <c r="U2136" s="19" t="n">
        <f aca="false">B2136/MAX(B1885:B2136)-1</f>
        <v>-0.0282232699421541</v>
      </c>
      <c r="V2136" s="17" t="n">
        <f aca="false">(B2136-AVERAGE(B2117:B2136))/STDEV(B2117:B2136)</f>
        <v>-0.101977336878833</v>
      </c>
    </row>
    <row r="2137" customFormat="false" ht="15" hidden="false" customHeight="false" outlineLevel="0" collapsed="false">
      <c r="A2137" s="17" t="s">
        <v>2701</v>
      </c>
      <c r="B2137" s="17" t="n">
        <v>21197.09</v>
      </c>
      <c r="C2137" s="19" t="n">
        <f aca="false">B2137/B2136-1</f>
        <v>-0.0128500788431251</v>
      </c>
      <c r="D2137" s="17" t="n">
        <f aca="false">AVERAGE(B2088:B2137)</f>
        <v>20955.9006</v>
      </c>
      <c r="E2137" s="17" t="n">
        <f aca="false">AVERAGE(B1938:B2137)</f>
        <v>19493.01875</v>
      </c>
      <c r="F2137" s="17" t="n">
        <f aca="false">B2137*2/13+F2136*11/13</f>
        <v>21482.1632748676</v>
      </c>
      <c r="G2137" s="17" t="n">
        <f aca="false">B2137*2/27+G2136*25/27</f>
        <v>21330.2935369995</v>
      </c>
      <c r="H2137" s="17" t="n">
        <f aca="false">F2137-G2137</f>
        <v>151.869737868106</v>
      </c>
      <c r="I2137" s="17" t="n">
        <f aca="false">H2137*2/10+I2136*8/10</f>
        <v>213.522821287189</v>
      </c>
      <c r="J2137" s="17" t="n">
        <f aca="false">H2137-I2137</f>
        <v>-61.6530834190827</v>
      </c>
      <c r="K2137" s="17" t="n">
        <f aca="false">MAX(B2137-B2136,0)</f>
        <v>0</v>
      </c>
      <c r="L2137" s="17" t="n">
        <f aca="false">MAX(B2136-B2137,0)</f>
        <v>275.93</v>
      </c>
      <c r="M2137" s="17" t="n">
        <f aca="false">(M2136*13+K2137)/14</f>
        <v>100.217650289381</v>
      </c>
      <c r="N2137" s="17" t="n">
        <f aca="false">(N2136*13+L2137)/14</f>
        <v>109.405459999097</v>
      </c>
      <c r="O2137" s="17" t="n">
        <f aca="false">IF(N2137=0,100,100-100/(1+M2137/N2137))</f>
        <v>47.808493133922</v>
      </c>
      <c r="P2137" s="17" t="n">
        <f aca="false">AVERAGE(B2118:B2137)+2*STDEV(B2118:B2137)</f>
        <v>22083.7473601989</v>
      </c>
      <c r="Q2137" s="17" t="n">
        <f aca="false">AVERAGE(B2118:B2137)-2*STDEV(B2118:B2137)</f>
        <v>20951.0736398011</v>
      </c>
      <c r="R2137" s="19" t="n">
        <f aca="false">B2137/B2117-1</f>
        <v>0.0127432052085081</v>
      </c>
      <c r="S2137" s="17" t="n">
        <f aca="false">STDEV(C2118:C2137)*SQRT(252)*100</f>
        <v>20.4720241488171</v>
      </c>
      <c r="T2137" s="19" t="n">
        <f aca="false">B2116/B1886-1</f>
        <v>0.232888167251379</v>
      </c>
      <c r="U2137" s="19" t="n">
        <f aca="false">B2137/MAX(B1886:B2137)-1</f>
        <v>-0.0407106775413116</v>
      </c>
      <c r="V2137" s="17" t="n">
        <f aca="false">(B2137-AVERAGE(B2118:B2137))/STDEV(B2118:B2137)</f>
        <v>-1.1312013132519</v>
      </c>
    </row>
    <row r="2138" customFormat="false" ht="15" hidden="false" customHeight="false" outlineLevel="0" collapsed="false">
      <c r="A2138" s="17" t="s">
        <v>2702</v>
      </c>
      <c r="B2138" s="17" t="n">
        <v>21012.17</v>
      </c>
      <c r="C2138" s="19" t="n">
        <f aca="false">B2138/B2137-1</f>
        <v>-0.00872383897978457</v>
      </c>
      <c r="D2138" s="17" t="n">
        <f aca="false">AVERAGE(B2089:B2138)</f>
        <v>20969.6632</v>
      </c>
      <c r="E2138" s="17" t="n">
        <f aca="false">AVERAGE(B1939:B2138)</f>
        <v>19509.03835</v>
      </c>
      <c r="F2138" s="17" t="n">
        <f aca="false">B2138*2/13+F2137*11/13</f>
        <v>21409.8566171957</v>
      </c>
      <c r="G2138" s="17" t="n">
        <f aca="false">B2138*2/27+G2137*25/27</f>
        <v>21306.7288305551</v>
      </c>
      <c r="H2138" s="17" t="n">
        <f aca="false">F2138-G2138</f>
        <v>103.127786640576</v>
      </c>
      <c r="I2138" s="17" t="n">
        <f aca="false">H2138*2/10+I2137*8/10</f>
        <v>191.443814357866</v>
      </c>
      <c r="J2138" s="17" t="n">
        <f aca="false">H2138-I2138</f>
        <v>-88.3160277172902</v>
      </c>
      <c r="K2138" s="17" t="n">
        <f aca="false">MAX(B2138-B2137,0)</f>
        <v>0</v>
      </c>
      <c r="L2138" s="17" t="n">
        <f aca="false">MAX(B2137-B2138,0)</f>
        <v>184.920000000002</v>
      </c>
      <c r="M2138" s="17" t="n">
        <f aca="false">(M2137*13+K2138)/14</f>
        <v>93.059246697282</v>
      </c>
      <c r="N2138" s="17" t="n">
        <f aca="false">(N2137*13+L2138)/14</f>
        <v>114.799355713447</v>
      </c>
      <c r="O2138" s="17" t="n">
        <f aca="false">IF(N2138=0,100,100-100/(1+M2138/N2138))</f>
        <v>44.7704572329398</v>
      </c>
      <c r="P2138" s="17" t="n">
        <f aca="false">AVERAGE(B2119:B2138)+2*STDEV(B2119:B2138)</f>
        <v>22099.7281235284</v>
      </c>
      <c r="Q2138" s="17" t="n">
        <f aca="false">AVERAGE(B2119:B2138)-2*STDEV(B2119:B2138)</f>
        <v>20919.8498764716</v>
      </c>
      <c r="R2138" s="19" t="n">
        <f aca="false">B2138/B2118-1</f>
        <v>-0.00720212052200375</v>
      </c>
      <c r="S2138" s="17" t="n">
        <f aca="false">STDEV(C2119:C2138)*SQRT(252)*100</f>
        <v>20.340201387478</v>
      </c>
      <c r="T2138" s="19" t="n">
        <f aca="false">B2117/B1887-1</f>
        <v>0.26513817143921</v>
      </c>
      <c r="U2138" s="19" t="n">
        <f aca="false">B2138/MAX(B1887:B2138)-1</f>
        <v>-0.0490793631254679</v>
      </c>
      <c r="V2138" s="17" t="n">
        <f aca="false">(B2138-AVERAGE(B2119:B2138))/STDEV(B2119:B2138)</f>
        <v>-1.68701813510436</v>
      </c>
    </row>
    <row r="2139" customFormat="false" ht="15" hidden="false" customHeight="false" outlineLevel="0" collapsed="false">
      <c r="A2139" s="17" t="s">
        <v>2703</v>
      </c>
      <c r="B2139" s="17" t="n">
        <v>20975.62</v>
      </c>
      <c r="C2139" s="19" t="n">
        <f aca="false">B2139/B2138-1</f>
        <v>-0.00173946812728054</v>
      </c>
      <c r="D2139" s="17" t="n">
        <f aca="false">AVERAGE(B2090:B2139)</f>
        <v>20981.9462</v>
      </c>
      <c r="E2139" s="17" t="n">
        <f aca="false">AVERAGE(B1940:B2139)</f>
        <v>19523.9914</v>
      </c>
      <c r="F2139" s="17" t="n">
        <f aca="false">B2139*2/13+F2138*11/13</f>
        <v>21343.0509837809</v>
      </c>
      <c r="G2139" s="17" t="n">
        <f aca="false">B2139*2/27+G2138*25/27</f>
        <v>21282.202250514</v>
      </c>
      <c r="H2139" s="17" t="n">
        <f aca="false">F2139-G2139</f>
        <v>60.8487332669756</v>
      </c>
      <c r="I2139" s="17" t="n">
        <f aca="false">H2139*2/10+I2138*8/10</f>
        <v>165.324798139688</v>
      </c>
      <c r="J2139" s="17" t="n">
        <f aca="false">H2139-I2139</f>
        <v>-104.476064872713</v>
      </c>
      <c r="K2139" s="17" t="n">
        <f aca="false">MAX(B2139-B2138,0)</f>
        <v>0</v>
      </c>
      <c r="L2139" s="17" t="n">
        <f aca="false">MAX(B2138-B2139,0)</f>
        <v>36.5499999999993</v>
      </c>
      <c r="M2139" s="17" t="n">
        <f aca="false">(M2138*13+K2139)/14</f>
        <v>86.4121576474762</v>
      </c>
      <c r="N2139" s="17" t="n">
        <f aca="false">(N2138*13+L2139)/14</f>
        <v>109.21011601963</v>
      </c>
      <c r="O2139" s="17" t="n">
        <f aca="false">IF(N2139=0,100,100-100/(1+M2139/N2139))</f>
        <v>44.1729645748446</v>
      </c>
      <c r="P2139" s="17" t="n">
        <f aca="false">AVERAGE(B2120:B2139)+2*STDEV(B2120:B2139)</f>
        <v>22122.2926925401</v>
      </c>
      <c r="Q2139" s="17" t="n">
        <f aca="false">AVERAGE(B2120:B2139)-2*STDEV(B2120:B2139)</f>
        <v>20871.9153074599</v>
      </c>
      <c r="R2139" s="19" t="n">
        <f aca="false">B2139/B2119-1</f>
        <v>-0.0119504534295023</v>
      </c>
      <c r="S2139" s="17" t="n">
        <f aca="false">STDEV(C2120:C2139)*SQRT(252)*100</f>
        <v>20.3069548322011</v>
      </c>
      <c r="T2139" s="19" t="n">
        <f aca="false">B2118/B1888-1</f>
        <v>0.293008701474601</v>
      </c>
      <c r="U2139" s="19" t="n">
        <f aca="false">B2139/MAX(B1888:B2139)-1</f>
        <v>-0.0507334592648844</v>
      </c>
      <c r="V2139" s="17" t="n">
        <f aca="false">(B2139-AVERAGE(B2120:B2139))/STDEV(B2120:B2139)</f>
        <v>-1.66824514333823</v>
      </c>
    </row>
    <row r="2140" customFormat="false" ht="15" hidden="false" customHeight="false" outlineLevel="0" collapsed="false">
      <c r="A2140" s="17" t="s">
        <v>2704</v>
      </c>
      <c r="B2140" s="17" t="n">
        <v>21326.16</v>
      </c>
      <c r="C2140" s="19" t="n">
        <f aca="false">B2140/B2139-1</f>
        <v>0.0167117825361063</v>
      </c>
      <c r="D2140" s="17" t="n">
        <f aca="false">AVERAGE(B2091:B2140)</f>
        <v>21000.6602</v>
      </c>
      <c r="E2140" s="17" t="n">
        <f aca="false">AVERAGE(B1941:B2140)</f>
        <v>19540.4612</v>
      </c>
      <c r="F2140" s="17" t="n">
        <f aca="false">B2140*2/13+F2139*11/13</f>
        <v>21340.4523708916</v>
      </c>
      <c r="G2140" s="17" t="n">
        <f aca="false">B2140*2/27+G2139*25/27</f>
        <v>21285.4583801055</v>
      </c>
      <c r="H2140" s="17" t="n">
        <f aca="false">F2140-G2140</f>
        <v>54.9939907860426</v>
      </c>
      <c r="I2140" s="17" t="n">
        <f aca="false">H2140*2/10+I2139*8/10</f>
        <v>143.258636668959</v>
      </c>
      <c r="J2140" s="17" t="n">
        <f aca="false">H2140-I2140</f>
        <v>-88.2646458829166</v>
      </c>
      <c r="K2140" s="17" t="n">
        <f aca="false">MAX(B2140-B2139,0)</f>
        <v>350.540000000001</v>
      </c>
      <c r="L2140" s="17" t="n">
        <f aca="false">MAX(B2139-B2140,0)</f>
        <v>0</v>
      </c>
      <c r="M2140" s="17" t="n">
        <f aca="false">(M2139*13+K2140)/14</f>
        <v>105.278432101228</v>
      </c>
      <c r="N2140" s="17" t="n">
        <f aca="false">(N2139*13+L2140)/14</f>
        <v>101.409393446799</v>
      </c>
      <c r="O2140" s="17" t="n">
        <f aca="false">IF(N2140=0,100,100-100/(1+M2140/N2140))</f>
        <v>50.9359619136179</v>
      </c>
      <c r="P2140" s="17" t="n">
        <f aca="false">AVERAGE(B2121:B2140)+2*STDEV(B2121:B2140)</f>
        <v>22118.6490384067</v>
      </c>
      <c r="Q2140" s="17" t="n">
        <f aca="false">AVERAGE(B2121:B2140)-2*STDEV(B2121:B2140)</f>
        <v>20858.9389615933</v>
      </c>
      <c r="R2140" s="19" t="n">
        <f aca="false">B2140/B2120-1</f>
        <v>-0.00773298046375548</v>
      </c>
      <c r="S2140" s="17" t="n">
        <f aca="false">STDEV(C2121:C2140)*SQRT(252)*100</f>
        <v>20.7250474621121</v>
      </c>
      <c r="T2140" s="19" t="n">
        <f aca="false">B2119/B1889-1</f>
        <v>0.30385130582772</v>
      </c>
      <c r="U2140" s="19" t="n">
        <f aca="false">B2140/MAX(B1889:B2140)-1</f>
        <v>-0.0348695232673173</v>
      </c>
      <c r="V2140" s="17" t="n">
        <f aca="false">(B2140-AVERAGE(B2121:B2140))/STDEV(B2121:B2140)</f>
        <v>-0.516417239152054</v>
      </c>
    </row>
    <row r="2141" customFormat="false" ht="15" hidden="false" customHeight="false" outlineLevel="0" collapsed="false">
      <c r="A2141" s="17" t="s">
        <v>2705</v>
      </c>
      <c r="B2141" s="17" t="n">
        <v>21559.5</v>
      </c>
      <c r="C2141" s="19" t="n">
        <f aca="false">B2141/B2140-1</f>
        <v>0.0109414915765427</v>
      </c>
      <c r="D2141" s="17" t="n">
        <f aca="false">AVERAGE(B2092:B2141)</f>
        <v>21030.511</v>
      </c>
      <c r="E2141" s="17" t="n">
        <f aca="false">AVERAGE(B1942:B2141)</f>
        <v>19557.05815</v>
      </c>
      <c r="F2141" s="17" t="n">
        <f aca="false">B2141*2/13+F2140*11/13</f>
        <v>21374.152006139</v>
      </c>
      <c r="G2141" s="17" t="n">
        <f aca="false">B2141*2/27+G2140*25/27</f>
        <v>21305.757759357</v>
      </c>
      <c r="H2141" s="17" t="n">
        <f aca="false">F2141-G2141</f>
        <v>68.3942467820489</v>
      </c>
      <c r="I2141" s="17" t="n">
        <f aca="false">H2141*2/10+I2140*8/10</f>
        <v>128.285758691577</v>
      </c>
      <c r="J2141" s="17" t="n">
        <f aca="false">H2141-I2141</f>
        <v>-59.8915119095282</v>
      </c>
      <c r="K2141" s="17" t="n">
        <f aca="false">MAX(B2141-B2140,0)</f>
        <v>233.34</v>
      </c>
      <c r="L2141" s="17" t="n">
        <f aca="false">MAX(B2140-B2141,0)</f>
        <v>0</v>
      </c>
      <c r="M2141" s="17" t="n">
        <f aca="false">(M2140*13+K2141)/14</f>
        <v>114.42568695114</v>
      </c>
      <c r="N2141" s="17" t="n">
        <f aca="false">(N2140*13+L2141)/14</f>
        <v>94.1658653434562</v>
      </c>
      <c r="O2141" s="17" t="n">
        <f aca="false">IF(N2141=0,100,100-100/(1+M2141/N2141))</f>
        <v>54.8563379927944</v>
      </c>
      <c r="P2141" s="17" t="n">
        <f aca="false">AVERAGE(B2122:B2141)+2*STDEV(B2122:B2141)</f>
        <v>22125.372418781</v>
      </c>
      <c r="Q2141" s="17" t="n">
        <f aca="false">AVERAGE(B2122:B2141)-2*STDEV(B2122:B2141)</f>
        <v>20865.643581219</v>
      </c>
      <c r="R2141" s="19" t="n">
        <f aca="false">B2141/B2121-1</f>
        <v>0.00626738021826601</v>
      </c>
      <c r="S2141" s="17" t="n">
        <f aca="false">STDEV(C2122:C2141)*SQRT(252)*100</f>
        <v>21.0699605816398</v>
      </c>
      <c r="T2141" s="19" t="n">
        <f aca="false">B2120/B1890-1</f>
        <v>0.318066132793</v>
      </c>
      <c r="U2141" s="19" t="n">
        <f aca="false">B2141/MAX(B1890:B2141)-1</f>
        <v>-0.0243095562858822</v>
      </c>
      <c r="V2141" s="17" t="n">
        <f aca="false">(B2141-AVERAGE(B2122:B2141))/STDEV(B2122:B2141)</f>
        <v>0.203192935152136</v>
      </c>
    </row>
    <row r="2142" customFormat="false" ht="15" hidden="false" customHeight="false" outlineLevel="0" collapsed="false">
      <c r="A2142" s="17" t="s">
        <v>2706</v>
      </c>
      <c r="B2142" s="17" t="n">
        <v>21173.04</v>
      </c>
      <c r="C2142" s="19" t="n">
        <f aca="false">B2142/B2141-1</f>
        <v>-0.017925276560217</v>
      </c>
      <c r="D2142" s="17" t="n">
        <f aca="false">AVERAGE(B2093:B2142)</f>
        <v>21049.3144</v>
      </c>
      <c r="E2142" s="17" t="n">
        <f aca="false">AVERAGE(B1943:B2142)</f>
        <v>19571.32145</v>
      </c>
      <c r="F2142" s="17" t="n">
        <f aca="false">B2142*2/13+F2141*11/13</f>
        <v>21343.2116975022</v>
      </c>
      <c r="G2142" s="17" t="n">
        <f aca="false">B2142*2/27+G2141*25/27</f>
        <v>21295.9268142194</v>
      </c>
      <c r="H2142" s="17" t="n">
        <f aca="false">F2142-G2142</f>
        <v>47.2848832828313</v>
      </c>
      <c r="I2142" s="17" t="n">
        <f aca="false">H2142*2/10+I2141*8/10</f>
        <v>112.085583609828</v>
      </c>
      <c r="J2142" s="17" t="n">
        <f aca="false">H2142-I2142</f>
        <v>-64.8007003269966</v>
      </c>
      <c r="K2142" s="17" t="n">
        <f aca="false">MAX(B2142-B2141,0)</f>
        <v>0</v>
      </c>
      <c r="L2142" s="17" t="n">
        <f aca="false">MAX(B2141-B2142,0)</f>
        <v>386.459999999999</v>
      </c>
      <c r="M2142" s="17" t="n">
        <f aca="false">(M2141*13+K2142)/14</f>
        <v>106.252423597487</v>
      </c>
      <c r="N2142" s="17" t="n">
        <f aca="false">(N2141*13+L2142)/14</f>
        <v>115.044017818924</v>
      </c>
      <c r="O2142" s="17" t="n">
        <f aca="false">IF(N2142=0,100,100-100/(1+M2142/N2142))</f>
        <v>48.0136159973551</v>
      </c>
      <c r="P2142" s="17" t="n">
        <f aca="false">AVERAGE(B2123:B2142)+2*STDEV(B2123:B2142)</f>
        <v>22115.7877240203</v>
      </c>
      <c r="Q2142" s="17" t="n">
        <f aca="false">AVERAGE(B2123:B2142)-2*STDEV(B2123:B2142)</f>
        <v>20830.3072759797</v>
      </c>
      <c r="R2142" s="19" t="n">
        <f aca="false">B2142/B2122-1</f>
        <v>-0.0207753587161372</v>
      </c>
      <c r="S2142" s="17" t="n">
        <f aca="false">STDEV(C2123:C2142)*SQRT(252)*100</f>
        <v>21.7559026571561</v>
      </c>
      <c r="T2142" s="19" t="n">
        <f aca="false">B2121/B1891-1</f>
        <v>0.286810047165534</v>
      </c>
      <c r="U2142" s="19" t="n">
        <f aca="false">B2142/MAX(B1891:B2142)-1</f>
        <v>-0.0417990773266186</v>
      </c>
      <c r="V2142" s="17" t="n">
        <f aca="false">(B2142-AVERAGE(B2123:B2142))/STDEV(B2123:B2142)</f>
        <v>-0.933526450619394</v>
      </c>
    </row>
    <row r="2143" customFormat="false" ht="15" hidden="false" customHeight="false" outlineLevel="0" collapsed="false">
      <c r="A2143" s="17" t="s">
        <v>2707</v>
      </c>
      <c r="B2143" s="17" t="n">
        <v>21180.97</v>
      </c>
      <c r="C2143" s="19" t="n">
        <f aca="false">B2143/B2142-1</f>
        <v>0.000374532896551427</v>
      </c>
      <c r="D2143" s="17" t="n">
        <f aca="false">AVERAGE(B2094:B2143)</f>
        <v>21065.8934</v>
      </c>
      <c r="E2143" s="17" t="n">
        <f aca="false">AVERAGE(B1944:B2143)</f>
        <v>19585.5291</v>
      </c>
      <c r="F2143" s="17" t="n">
        <f aca="false">B2143*2/13+F2142*11/13</f>
        <v>21318.2514363481</v>
      </c>
      <c r="G2143" s="17" t="n">
        <f aca="false">B2143*2/27+G2142*25/27</f>
        <v>21287.4114946476</v>
      </c>
      <c r="H2143" s="17" t="n">
        <f aca="false">F2143-G2143</f>
        <v>30.8399417004475</v>
      </c>
      <c r="I2143" s="17" t="n">
        <f aca="false">H2143*2/10+I2142*8/10</f>
        <v>95.8364552279518</v>
      </c>
      <c r="J2143" s="17" t="n">
        <f aca="false">H2143-I2143</f>
        <v>-64.9965135275043</v>
      </c>
      <c r="K2143" s="17" t="n">
        <f aca="false">MAX(B2143-B2142,0)</f>
        <v>7.93000000000029</v>
      </c>
      <c r="L2143" s="17" t="n">
        <f aca="false">MAX(B2142-B2143,0)</f>
        <v>0</v>
      </c>
      <c r="M2143" s="17" t="n">
        <f aca="false">(M2142*13+K2143)/14</f>
        <v>99.229393340524</v>
      </c>
      <c r="N2143" s="17" t="n">
        <f aca="false">(N2142*13+L2143)/14</f>
        <v>106.826587974715</v>
      </c>
      <c r="O2143" s="17" t="n">
        <f aca="false">IF(N2143=0,100,100-100/(1+M2143/N2143))</f>
        <v>48.1565216923822</v>
      </c>
      <c r="P2143" s="17" t="n">
        <f aca="false">AVERAGE(B2124:B2143)+2*STDEV(B2124:B2143)</f>
        <v>22115.9097307221</v>
      </c>
      <c r="Q2143" s="17" t="n">
        <f aca="false">AVERAGE(B2124:B2143)-2*STDEV(B2124:B2143)</f>
        <v>20804.2002692779</v>
      </c>
      <c r="R2143" s="19" t="n">
        <f aca="false">B2143/B2123-1</f>
        <v>-0.0121194058809317</v>
      </c>
      <c r="S2143" s="17" t="n">
        <f aca="false">STDEV(C2124:C2143)*SQRT(252)*100</f>
        <v>21.580565990928</v>
      </c>
      <c r="T2143" s="19" t="n">
        <f aca="false">B2122/B1892-1</f>
        <v>0.296398999922056</v>
      </c>
      <c r="U2143" s="19" t="n">
        <f aca="false">B2143/MAX(B1892:B2143)-1</f>
        <v>-0.0414401995595713</v>
      </c>
      <c r="V2143" s="17" t="n">
        <f aca="false">(B2143-AVERAGE(B2124:B2143))/STDEV(B2124:B2143)</f>
        <v>-0.851057366599262</v>
      </c>
    </row>
    <row r="2144" customFormat="false" ht="15" hidden="false" customHeight="false" outlineLevel="0" collapsed="false">
      <c r="A2144" s="17" t="s">
        <v>2708</v>
      </c>
      <c r="B2144" s="17" t="n">
        <v>20847.58</v>
      </c>
      <c r="C2144" s="19" t="n">
        <f aca="false">B2144/B2143-1</f>
        <v>-0.0157400723385189</v>
      </c>
      <c r="D2144" s="17" t="n">
        <f aca="false">AVERAGE(B2095:B2144)</f>
        <v>21075.8236</v>
      </c>
      <c r="E2144" s="17" t="n">
        <f aca="false">AVERAGE(B1945:B2144)</f>
        <v>19598.3817</v>
      </c>
      <c r="F2144" s="17" t="n">
        <f aca="false">B2144*2/13+F2143*11/13</f>
        <v>21245.8404461407</v>
      </c>
      <c r="G2144" s="17" t="n">
        <f aca="false">B2144*2/27+G2143*25/27</f>
        <v>21254.831383933</v>
      </c>
      <c r="H2144" s="17" t="n">
        <f aca="false">F2144-G2144</f>
        <v>-8.99093779231043</v>
      </c>
      <c r="I2144" s="17" t="n">
        <f aca="false">H2144*2/10+I2143*8/10</f>
        <v>74.8709766238994</v>
      </c>
      <c r="J2144" s="17" t="n">
        <f aca="false">H2144-I2144</f>
        <v>-83.8619144162098</v>
      </c>
      <c r="K2144" s="17" t="n">
        <f aca="false">MAX(B2144-B2143,0)</f>
        <v>0</v>
      </c>
      <c r="L2144" s="17" t="n">
        <f aca="false">MAX(B2143-B2144,0)</f>
        <v>333.389999999999</v>
      </c>
      <c r="M2144" s="17" t="n">
        <f aca="false">(M2143*13+K2144)/14</f>
        <v>92.1415795304866</v>
      </c>
      <c r="N2144" s="17" t="n">
        <f aca="false">(N2143*13+L2144)/14</f>
        <v>123.009688833664</v>
      </c>
      <c r="O2144" s="17" t="n">
        <f aca="false">IF(N2144=0,100,100-100/(1+M2144/N2144))</f>
        <v>42.8264170743972</v>
      </c>
      <c r="P2144" s="17" t="n">
        <f aca="false">AVERAGE(B2125:B2144)+2*STDEV(B2125:B2144)</f>
        <v>22144.2991018864</v>
      </c>
      <c r="Q2144" s="17" t="n">
        <f aca="false">AVERAGE(B2125:B2144)-2*STDEV(B2125:B2144)</f>
        <v>20723.7508981136</v>
      </c>
      <c r="R2144" s="19" t="n">
        <f aca="false">B2144/B2124-1</f>
        <v>-0.024363329024746</v>
      </c>
      <c r="S2144" s="17" t="n">
        <f aca="false">STDEV(C2125:C2144)*SQRT(252)*100</f>
        <v>22.233729656668</v>
      </c>
      <c r="T2144" s="19" t="n">
        <f aca="false">B2123/B1893-1</f>
        <v>0.276767472257869</v>
      </c>
      <c r="U2144" s="19" t="n">
        <f aca="false">B2144/MAX(B1893:B2144)-1</f>
        <v>-0.0565280001593</v>
      </c>
      <c r="V2144" s="17" t="n">
        <f aca="false">(B2144-AVERAGE(B2125:B2144))/STDEV(B2125:B2144)</f>
        <v>-1.65132023944693</v>
      </c>
    </row>
    <row r="2145" customFormat="false" ht="15" hidden="false" customHeight="false" outlineLevel="0" collapsed="false">
      <c r="A2145" s="17" t="s">
        <v>2709</v>
      </c>
      <c r="B2145" s="17" t="n">
        <v>20784.72</v>
      </c>
      <c r="C2145" s="19" t="n">
        <f aca="false">B2145/B2144-1</f>
        <v>-0.00301521807327276</v>
      </c>
      <c r="D2145" s="17" t="n">
        <f aca="false">AVERAGE(B2096:B2145)</f>
        <v>21080.505</v>
      </c>
      <c r="E2145" s="17" t="n">
        <f aca="false">AVERAGE(B1946:B2145)</f>
        <v>19611.2526</v>
      </c>
      <c r="F2145" s="17" t="n">
        <f aca="false">B2145*2/13+F2144*11/13</f>
        <v>21174.8988390421</v>
      </c>
      <c r="G2145" s="17" t="n">
        <f aca="false">B2145*2/27+G2144*25/27</f>
        <v>21220.0083184565</v>
      </c>
      <c r="H2145" s="17" t="n">
        <f aca="false">F2145-G2145</f>
        <v>-45.109479414361</v>
      </c>
      <c r="I2145" s="17" t="n">
        <f aca="false">H2145*2/10+I2144*8/10</f>
        <v>50.8748854162473</v>
      </c>
      <c r="J2145" s="17" t="n">
        <f aca="false">H2145-I2145</f>
        <v>-95.9843648306083</v>
      </c>
      <c r="K2145" s="17" t="n">
        <f aca="false">MAX(B2145-B2144,0)</f>
        <v>0</v>
      </c>
      <c r="L2145" s="17" t="n">
        <f aca="false">MAX(B2144-B2145,0)</f>
        <v>62.8600000000006</v>
      </c>
      <c r="M2145" s="17" t="n">
        <f aca="false">(M2144*13+K2145)/14</f>
        <v>85.5600381354518</v>
      </c>
      <c r="N2145" s="17" t="n">
        <f aca="false">(N2144*13+L2145)/14</f>
        <v>118.713282488402</v>
      </c>
      <c r="O2145" s="17" t="n">
        <f aca="false">IF(N2145=0,100,100-100/(1+M2145/N2145))</f>
        <v>41.8850772455993</v>
      </c>
      <c r="P2145" s="17" t="n">
        <f aca="false">AVERAGE(B2126:B2145)+2*STDEV(B2126:B2145)</f>
        <v>22133.5486623598</v>
      </c>
      <c r="Q2145" s="17" t="n">
        <f aca="false">AVERAGE(B2126:B2145)-2*STDEV(B2126:B2145)</f>
        <v>20636.5753376402</v>
      </c>
      <c r="R2145" s="19" t="n">
        <f aca="false">B2145/B2125-1</f>
        <v>-0.0449945276553276</v>
      </c>
      <c r="S2145" s="17" t="n">
        <f aca="false">STDEV(C2126:C2145)*SQRT(252)*100</f>
        <v>20.9870704137791</v>
      </c>
      <c r="T2145" s="19" t="n">
        <f aca="false">B2124/B1894-1</f>
        <v>0.270335118810527</v>
      </c>
      <c r="U2145" s="19" t="n">
        <f aca="false">B2145/MAX(B1894:B2145)-1</f>
        <v>-0.0593727739848465</v>
      </c>
      <c r="V2145" s="17" t="n">
        <f aca="false">(B2145-AVERAGE(B2126:B2145))/STDEV(B2126:B2145)</f>
        <v>-1.60414882506324</v>
      </c>
    </row>
    <row r="2146" customFormat="false" ht="15" hidden="false" customHeight="false" outlineLevel="0" collapsed="false">
      <c r="A2146" s="17" t="s">
        <v>2710</v>
      </c>
      <c r="B2146" s="17" t="n">
        <v>20757.41</v>
      </c>
      <c r="C2146" s="19" t="n">
        <f aca="false">B2146/B2145-1</f>
        <v>-0.00131394601418744</v>
      </c>
      <c r="D2146" s="17" t="n">
        <f aca="false">AVERAGE(B2097:B2146)</f>
        <v>21087.8992</v>
      </c>
      <c r="E2146" s="17" t="n">
        <f aca="false">AVERAGE(B1947:B2146)</f>
        <v>19623.63545</v>
      </c>
      <c r="F2146" s="17" t="n">
        <f aca="false">B2146*2/13+F2145*11/13</f>
        <v>21110.6697868818</v>
      </c>
      <c r="G2146" s="17" t="n">
        <f aca="false">B2146*2/27+G2145*25/27</f>
        <v>21185.7417763486</v>
      </c>
      <c r="H2146" s="17" t="n">
        <f aca="false">F2146-G2146</f>
        <v>-75.0719894668</v>
      </c>
      <c r="I2146" s="17" t="n">
        <f aca="false">H2146*2/10+I2145*8/10</f>
        <v>25.6855104396379</v>
      </c>
      <c r="J2146" s="17" t="n">
        <f aca="false">H2146-I2146</f>
        <v>-100.757499906438</v>
      </c>
      <c r="K2146" s="17" t="n">
        <f aca="false">MAX(B2146-B2145,0)</f>
        <v>0</v>
      </c>
      <c r="L2146" s="17" t="n">
        <f aca="false">MAX(B2145-B2146,0)</f>
        <v>27.3100000000013</v>
      </c>
      <c r="M2146" s="17" t="n">
        <f aca="false">(M2145*13+K2146)/14</f>
        <v>79.4486068400624</v>
      </c>
      <c r="N2146" s="17" t="n">
        <f aca="false">(N2145*13+L2146)/14</f>
        <v>112.184476596373</v>
      </c>
      <c r="O2146" s="17" t="n">
        <f aca="false">IF(N2146=0,100,100-100/(1+M2146/N2146))</f>
        <v>41.4587113119303</v>
      </c>
      <c r="P2146" s="17" t="n">
        <f aca="false">AVERAGE(B2127:B2146)+2*STDEV(B2127:B2146)</f>
        <v>22132.2733859856</v>
      </c>
      <c r="Q2146" s="17" t="n">
        <f aca="false">AVERAGE(B2127:B2146)-2*STDEV(B2127:B2146)</f>
        <v>20552.0646140144</v>
      </c>
      <c r="R2146" s="19" t="n">
        <f aca="false">B2146/B2126-1</f>
        <v>-0.0396876837531985</v>
      </c>
      <c r="S2146" s="17" t="n">
        <f aca="false">STDEV(C2127:C2146)*SQRT(252)*100</f>
        <v>20.9173466890452</v>
      </c>
      <c r="T2146" s="19" t="n">
        <f aca="false">B2125/B1895-1</f>
        <v>0.292941450443536</v>
      </c>
      <c r="U2146" s="19" t="n">
        <f aca="false">B2146/MAX(B1895:B2146)-1</f>
        <v>-0.0606087073793052</v>
      </c>
      <c r="V2146" s="17" t="n">
        <f aca="false">(B2146-AVERAGE(B2127:B2146))/STDEV(B2127:B2146)</f>
        <v>-1.48020694574567</v>
      </c>
    </row>
    <row r="2147" customFormat="false" ht="15" hidden="false" customHeight="false" outlineLevel="0" collapsed="false">
      <c r="A2147" s="17" t="s">
        <v>2711</v>
      </c>
      <c r="B2147" s="17" t="n">
        <v>21237.85</v>
      </c>
      <c r="C2147" s="19" t="n">
        <f aca="false">B2147/B2146-1</f>
        <v>0.0231454694973987</v>
      </c>
      <c r="D2147" s="17" t="n">
        <f aca="false">AVERAGE(B2098:B2147)</f>
        <v>21114.8478</v>
      </c>
      <c r="E2147" s="17" t="n">
        <f aca="false">AVERAGE(B1948:B2147)</f>
        <v>19638.55125</v>
      </c>
      <c r="F2147" s="17" t="n">
        <f aca="false">B2147*2/13+F2146*11/13</f>
        <v>21130.2359735153</v>
      </c>
      <c r="G2147" s="17" t="n">
        <f aca="false">B2147*2/27+G2146*25/27</f>
        <v>21189.6016447672</v>
      </c>
      <c r="H2147" s="17" t="n">
        <f aca="false">F2147-G2147</f>
        <v>-59.3656712518532</v>
      </c>
      <c r="I2147" s="17" t="n">
        <f aca="false">H2147*2/10+I2146*8/10</f>
        <v>8.67527410133964</v>
      </c>
      <c r="J2147" s="17" t="n">
        <f aca="false">H2147-I2147</f>
        <v>-68.0409453531928</v>
      </c>
      <c r="K2147" s="17" t="n">
        <f aca="false">MAX(B2147-B2146,0)</f>
        <v>480.439999999999</v>
      </c>
      <c r="L2147" s="17" t="n">
        <f aca="false">MAX(B2146-B2147,0)</f>
        <v>0</v>
      </c>
      <c r="M2147" s="17" t="n">
        <f aca="false">(M2146*13+K2147)/14</f>
        <v>108.090849208629</v>
      </c>
      <c r="N2147" s="17" t="n">
        <f aca="false">(N2146*13+L2147)/14</f>
        <v>104.171299696632</v>
      </c>
      <c r="O2147" s="17" t="n">
        <f aca="false">IF(N2147=0,100,100-100/(1+M2147/N2147))</f>
        <v>50.923280371044</v>
      </c>
      <c r="P2147" s="17" t="n">
        <f aca="false">AVERAGE(B2128:B2147)+2*STDEV(B2128:B2147)</f>
        <v>22078.630046852</v>
      </c>
      <c r="Q2147" s="17" t="n">
        <f aca="false">AVERAGE(B2128:B2147)-2*STDEV(B2128:B2147)</f>
        <v>20551.467953148</v>
      </c>
      <c r="R2147" s="19" t="n">
        <f aca="false">B2147/B2127-1</f>
        <v>-0.0249032954167193</v>
      </c>
      <c r="S2147" s="17" t="n">
        <f aca="false">STDEV(C2128:C2147)*SQRT(252)*100</f>
        <v>22.5221450113848</v>
      </c>
      <c r="T2147" s="19" t="n">
        <f aca="false">B2126/B1896-1</f>
        <v>0.284275589086854</v>
      </c>
      <c r="U2147" s="19" t="n">
        <f aca="false">B2147/MAX(B1896:B2147)-1</f>
        <v>-0.0388660548698311</v>
      </c>
      <c r="V2147" s="17" t="n">
        <f aca="false">(B2147-AVERAGE(B2128:B2147))/STDEV(B2128:B2147)</f>
        <v>-0.202202504418538</v>
      </c>
    </row>
    <row r="2148" customFormat="false" ht="15" hidden="false" customHeight="false" outlineLevel="0" collapsed="false">
      <c r="A2148" s="17" t="s">
        <v>2712</v>
      </c>
      <c r="B2148" s="17" t="n">
        <v>21091.25</v>
      </c>
      <c r="C2148" s="19" t="n">
        <f aca="false">B2148/B2147-1</f>
        <v>-0.00690277028983621</v>
      </c>
      <c r="D2148" s="17" t="n">
        <f aca="false">AVERAGE(B2099:B2148)</f>
        <v>21136.01</v>
      </c>
      <c r="E2148" s="17" t="n">
        <f aca="false">AVERAGE(B1949:B2148)</f>
        <v>19652.5415</v>
      </c>
      <c r="F2148" s="17" t="n">
        <f aca="false">B2148*2/13+F2147*11/13</f>
        <v>21124.2381314361</v>
      </c>
      <c r="G2148" s="17" t="n">
        <f aca="false">B2148*2/27+G2147*25/27</f>
        <v>21182.3163377474</v>
      </c>
      <c r="H2148" s="17" t="n">
        <f aca="false">F2148-G2148</f>
        <v>-58.0782063113438</v>
      </c>
      <c r="I2148" s="17" t="n">
        <f aca="false">H2148*2/10+I2147*8/10</f>
        <v>-4.67542198119705</v>
      </c>
      <c r="J2148" s="17" t="n">
        <f aca="false">H2148-I2148</f>
        <v>-53.4027843301468</v>
      </c>
      <c r="K2148" s="17" t="n">
        <f aca="false">MAX(B2148-B2147,0)</f>
        <v>0</v>
      </c>
      <c r="L2148" s="17" t="n">
        <f aca="false">MAX(B2147-B2148,0)</f>
        <v>146.599999999999</v>
      </c>
      <c r="M2148" s="17" t="n">
        <f aca="false">(M2147*13+K2148)/14</f>
        <v>100.370074265156</v>
      </c>
      <c r="N2148" s="17" t="n">
        <f aca="false">(N2147*13+L2148)/14</f>
        <v>107.201921146873</v>
      </c>
      <c r="O2148" s="17" t="n">
        <f aca="false">IF(N2148=0,100,100-100/(1+M2148/N2148))</f>
        <v>48.3543428225576</v>
      </c>
      <c r="P2148" s="17" t="n">
        <f aca="false">AVERAGE(B2129:B2148)+2*STDEV(B2129:B2148)</f>
        <v>21938.830480731</v>
      </c>
      <c r="Q2148" s="17" t="n">
        <f aca="false">AVERAGE(B2129:B2148)-2*STDEV(B2129:B2148)</f>
        <v>20590.726519269</v>
      </c>
      <c r="R2148" s="19" t="n">
        <f aca="false">B2148/B2128-1</f>
        <v>-0.0455005417108287</v>
      </c>
      <c r="S2148" s="17" t="n">
        <f aca="false">STDEV(C2129:C2148)*SQRT(252)*100</f>
        <v>21.815429087853</v>
      </c>
      <c r="T2148" s="19" t="n">
        <f aca="false">B2127/B1897-1</f>
        <v>0.301379398528227</v>
      </c>
      <c r="U2148" s="19" t="n">
        <f aca="false">B2148/MAX(B1897:B2148)-1</f>
        <v>-0.0455005417108287</v>
      </c>
      <c r="V2148" s="17" t="n">
        <f aca="false">(B2148-AVERAGE(B2129:B2148))/STDEV(B2129:B2148)</f>
        <v>-0.514881655897855</v>
      </c>
    </row>
    <row r="2149" customFormat="false" ht="15" hidden="false" customHeight="false" outlineLevel="0" collapsed="false">
      <c r="A2149" s="17" t="s">
        <v>2713</v>
      </c>
      <c r="B2149" s="17" t="n">
        <v>21441.16</v>
      </c>
      <c r="C2149" s="19" t="n">
        <f aca="false">B2149/B2148-1</f>
        <v>0.0165902921827772</v>
      </c>
      <c r="D2149" s="17" t="n">
        <f aca="false">AVERAGE(B2100:B2149)</f>
        <v>21165.5612</v>
      </c>
      <c r="E2149" s="17" t="n">
        <f aca="false">AVERAGE(B1950:B2149)</f>
        <v>19669.1384</v>
      </c>
      <c r="F2149" s="17" t="n">
        <f aca="false">B2149*2/13+F2148*11/13</f>
        <v>21172.9953419844</v>
      </c>
      <c r="G2149" s="17" t="n">
        <f aca="false">B2149*2/27+G2148*25/27</f>
        <v>21201.4899423587</v>
      </c>
      <c r="H2149" s="17" t="n">
        <f aca="false">F2149-G2149</f>
        <v>-28.4946003743498</v>
      </c>
      <c r="I2149" s="17" t="n">
        <f aca="false">H2149*2/10+I2148*8/10</f>
        <v>-9.43925765982761</v>
      </c>
      <c r="J2149" s="17" t="n">
        <f aca="false">H2149-I2149</f>
        <v>-19.0553427145222</v>
      </c>
      <c r="K2149" s="17" t="n">
        <f aca="false">MAX(B2149-B2148,0)</f>
        <v>349.91</v>
      </c>
      <c r="L2149" s="17" t="n">
        <f aca="false">MAX(B2148-B2149,0)</f>
        <v>0</v>
      </c>
      <c r="M2149" s="17" t="n">
        <f aca="false">(M2148*13+K2149)/14</f>
        <v>118.194354674787</v>
      </c>
      <c r="N2149" s="17" t="n">
        <f aca="false">(N2148*13+L2149)/14</f>
        <v>99.5446410649533</v>
      </c>
      <c r="O2149" s="17" t="n">
        <f aca="false">IF(N2149=0,100,100-100/(1+M2149/N2149))</f>
        <v>54.282584648302</v>
      </c>
      <c r="P2149" s="17" t="n">
        <f aca="false">AVERAGE(B2130:B2149)+2*STDEV(B2130:B2149)</f>
        <v>21822.8377982307</v>
      </c>
      <c r="Q2149" s="17" t="n">
        <f aca="false">AVERAGE(B2130:B2149)-2*STDEV(B2130:B2149)</f>
        <v>20650.7272017694</v>
      </c>
      <c r="R2149" s="19" t="n">
        <f aca="false">B2149/B2129-1</f>
        <v>-0.0254496597439763</v>
      </c>
      <c r="S2149" s="17" t="n">
        <f aca="false">STDEV(C2130:C2149)*SQRT(252)*100</f>
        <v>22.7911947224148</v>
      </c>
      <c r="T2149" s="19" t="n">
        <f aca="false">B2128/B1898-1</f>
        <v>0.301159030966966</v>
      </c>
      <c r="U2149" s="19" t="n">
        <f aca="false">B2149/MAX(B1898:B2149)-1</f>
        <v>-0.0296651168095088</v>
      </c>
      <c r="V2149" s="17" t="n">
        <f aca="false">(B2149-AVERAGE(B2130:B2149))/STDEV(B2130:B2149)</f>
        <v>0.697468312690059</v>
      </c>
    </row>
    <row r="2150" customFormat="false" ht="15" hidden="false" customHeight="false" outlineLevel="0" collapsed="false">
      <c r="A2150" s="17" t="s">
        <v>2714</v>
      </c>
      <c r="B2150" s="17" t="n">
        <v>21566.51</v>
      </c>
      <c r="C2150" s="19" t="n">
        <f aca="false">B2150/B2149-1</f>
        <v>0.00584623220012337</v>
      </c>
      <c r="D2150" s="17" t="n">
        <f aca="false">AVERAGE(B2101:B2150)</f>
        <v>21192.3422</v>
      </c>
      <c r="E2150" s="17" t="n">
        <f aca="false">AVERAGE(B1951:B2150)</f>
        <v>19686.17</v>
      </c>
      <c r="F2150" s="17" t="n">
        <f aca="false">B2150*2/13+F2149*11/13</f>
        <v>21233.5360586022</v>
      </c>
      <c r="G2150" s="17" t="n">
        <f aca="false">B2150*2/27+G2149*25/27</f>
        <v>21228.528465147</v>
      </c>
      <c r="H2150" s="17" t="n">
        <f aca="false">F2150-G2150</f>
        <v>5.00759345519691</v>
      </c>
      <c r="I2150" s="17" t="n">
        <f aca="false">H2150*2/10+I2149*8/10</f>
        <v>-6.5498874368227</v>
      </c>
      <c r="J2150" s="17" t="n">
        <f aca="false">H2150-I2150</f>
        <v>11.5574808920196</v>
      </c>
      <c r="K2150" s="17" t="n">
        <f aca="false">MAX(B2150-B2149,0)</f>
        <v>125.349999999999</v>
      </c>
      <c r="L2150" s="17" t="n">
        <f aca="false">MAX(B2149-B2150,0)</f>
        <v>0</v>
      </c>
      <c r="M2150" s="17" t="n">
        <f aca="false">(M2149*13+K2150)/14</f>
        <v>118.705472198017</v>
      </c>
      <c r="N2150" s="17" t="n">
        <f aca="false">(N2149*13+L2150)/14</f>
        <v>92.4343095603138</v>
      </c>
      <c r="O2150" s="17" t="n">
        <f aca="false">IF(N2150=0,100,100-100/(1+M2150/N2150))</f>
        <v>56.2212725661933</v>
      </c>
      <c r="P2150" s="17" t="n">
        <f aca="false">AVERAGE(B2131:B2150)+2*STDEV(B2131:B2150)</f>
        <v>21858.6680817513</v>
      </c>
      <c r="Q2150" s="17" t="n">
        <f aca="false">AVERAGE(B2131:B2150)-2*STDEV(B2131:B2150)</f>
        <v>20650.6159182487</v>
      </c>
      <c r="R2150" s="19" t="n">
        <f aca="false">B2150/B2130-1</f>
        <v>0.0168411811411209</v>
      </c>
      <c r="S2150" s="17" t="n">
        <f aca="false">STDEV(C2131:C2150)*SQRT(252)*100</f>
        <v>18.8095424709411</v>
      </c>
      <c r="T2150" s="19" t="n">
        <f aca="false">B2129/B1899-1</f>
        <v>0.270710407762504</v>
      </c>
      <c r="U2150" s="19" t="n">
        <f aca="false">B2150/MAX(B1899:B2150)-1</f>
        <v>-0.0239923137704975</v>
      </c>
      <c r="V2150" s="17" t="n">
        <f aca="false">(B2150-AVERAGE(B2131:B2150))/STDEV(B2131:B2150)</f>
        <v>1.03263090592311</v>
      </c>
    </row>
    <row r="2151" customFormat="false" ht="15" hidden="false" customHeight="false" outlineLevel="0" collapsed="false">
      <c r="A2151" s="17" t="s">
        <v>2715</v>
      </c>
      <c r="B2151" s="17" t="n">
        <v>21853</v>
      </c>
      <c r="C2151" s="19" t="n">
        <f aca="false">B2151/B2150-1</f>
        <v>0.0132840223105177</v>
      </c>
      <c r="D2151" s="17" t="n">
        <f aca="false">AVERAGE(B2102:B2151)</f>
        <v>21213.7756</v>
      </c>
      <c r="E2151" s="17" t="n">
        <f aca="false">AVERAGE(B1952:B2151)</f>
        <v>19706.0411</v>
      </c>
      <c r="F2151" s="17" t="n">
        <f aca="false">B2151*2/13+F2150*11/13</f>
        <v>21328.8382034326</v>
      </c>
      <c r="G2151" s="17" t="n">
        <f aca="false">B2151*2/27+G2150*25/27</f>
        <v>21274.7856158768</v>
      </c>
      <c r="H2151" s="17" t="n">
        <f aca="false">F2151-G2151</f>
        <v>54.0525875557796</v>
      </c>
      <c r="I2151" s="17" t="n">
        <f aca="false">H2151*2/10+I2150*8/10</f>
        <v>5.57060756169776</v>
      </c>
      <c r="J2151" s="17" t="n">
        <f aca="false">H2151-I2151</f>
        <v>48.4819799940819</v>
      </c>
      <c r="K2151" s="17" t="n">
        <f aca="false">MAX(B2151-B2150,0)</f>
        <v>286.490000000002</v>
      </c>
      <c r="L2151" s="17" t="n">
        <f aca="false">MAX(B2150-B2151,0)</f>
        <v>0</v>
      </c>
      <c r="M2151" s="17" t="n">
        <f aca="false">(M2150*13+K2151)/14</f>
        <v>130.69008132673</v>
      </c>
      <c r="N2151" s="17" t="n">
        <f aca="false">(N2150*13+L2151)/14</f>
        <v>85.8318588774343</v>
      </c>
      <c r="O2151" s="17" t="n">
        <f aca="false">IF(N2151=0,100,100-100/(1+M2151/N2151))</f>
        <v>60.3588168494606</v>
      </c>
      <c r="P2151" s="17" t="n">
        <f aca="false">AVERAGE(B2132:B2151)+2*STDEV(B2132:B2151)</f>
        <v>21947.5455630925</v>
      </c>
      <c r="Q2151" s="17" t="n">
        <f aca="false">AVERAGE(B2132:B2151)-2*STDEV(B2132:B2151)</f>
        <v>20635.9874369075</v>
      </c>
      <c r="R2151" s="19" t="n">
        <f aca="false">B2151/B2131-1</f>
        <v>0.0351715804118424</v>
      </c>
      <c r="S2151" s="17" t="n">
        <f aca="false">STDEV(C2132:C2151)*SQRT(252)*100</f>
        <v>19.1806452163221</v>
      </c>
      <c r="T2151" s="19" t="n">
        <f aca="false">B2130/B1900-1</f>
        <v>0.223823136018945</v>
      </c>
      <c r="U2151" s="19" t="n">
        <f aca="false">B2151/MAX(B1900:B2151)-1</f>
        <v>-0.0110270058913881</v>
      </c>
      <c r="V2151" s="17" t="n">
        <f aca="false">(B2151-AVERAGE(B2132:B2151))/STDEV(B2132:B2151)</f>
        <v>1.71165421888683</v>
      </c>
    </row>
    <row r="2152" customFormat="false" ht="15" hidden="false" customHeight="false" outlineLevel="0" collapsed="false">
      <c r="A2152" s="17" t="s">
        <v>2716</v>
      </c>
      <c r="B2152" s="17" t="n">
        <v>21900.93</v>
      </c>
      <c r="C2152" s="19" t="n">
        <f aca="false">B2152/B2151-1</f>
        <v>0.00219329153891912</v>
      </c>
      <c r="D2152" s="17" t="n">
        <f aca="false">AVERAGE(B2103:B2152)</f>
        <v>21229.7628</v>
      </c>
      <c r="E2152" s="17" t="n">
        <f aca="false">AVERAGE(B1953:B2152)</f>
        <v>19725.00345</v>
      </c>
      <c r="F2152" s="17" t="n">
        <f aca="false">B2152*2/13+F2151*11/13</f>
        <v>21416.8523259814</v>
      </c>
      <c r="G2152" s="17" t="n">
        <f aca="false">B2152*2/27+G2151*25/27</f>
        <v>21321.1666813674</v>
      </c>
      <c r="H2152" s="17" t="n">
        <f aca="false">F2152-G2152</f>
        <v>95.6856446140082</v>
      </c>
      <c r="I2152" s="17" t="n">
        <f aca="false">H2152*2/10+I2151*8/10</f>
        <v>23.5936149721599</v>
      </c>
      <c r="J2152" s="17" t="n">
        <f aca="false">H2152-I2152</f>
        <v>72.0920296418483</v>
      </c>
      <c r="K2152" s="17" t="n">
        <f aca="false">MAX(B2152-B2151,0)</f>
        <v>47.9300000000003</v>
      </c>
      <c r="L2152" s="17" t="n">
        <f aca="false">MAX(B2151-B2152,0)</f>
        <v>0</v>
      </c>
      <c r="M2152" s="17" t="n">
        <f aca="false">(M2151*13+K2152)/14</f>
        <v>124.778646946249</v>
      </c>
      <c r="N2152" s="17" t="n">
        <f aca="false">(N2151*13+L2152)/14</f>
        <v>79.7010118147604</v>
      </c>
      <c r="O2152" s="17" t="n">
        <f aca="false">IF(N2152=0,100,100-100/(1+M2152/N2152))</f>
        <v>61.0225230726188</v>
      </c>
      <c r="P2152" s="17" t="n">
        <f aca="false">AVERAGE(B2133:B2152)+2*STDEV(B2133:B2152)</f>
        <v>22032.4450330198</v>
      </c>
      <c r="Q2152" s="17" t="n">
        <f aca="false">AVERAGE(B2133:B2152)-2*STDEV(B2133:B2152)</f>
        <v>20612.2659669802</v>
      </c>
      <c r="R2152" s="19" t="n">
        <f aca="false">B2152/B2132-1</f>
        <v>0.0287367039078592</v>
      </c>
      <c r="S2152" s="17" t="n">
        <f aca="false">STDEV(C2133:C2152)*SQRT(252)*100</f>
        <v>19.0202213892706</v>
      </c>
      <c r="T2152" s="19" t="n">
        <f aca="false">B2131/B1901-1</f>
        <v>0.212954221995713</v>
      </c>
      <c r="U2152" s="19" t="n">
        <f aca="false">B2152/MAX(B1901:B2152)-1</f>
        <v>-0.00885789979119012</v>
      </c>
      <c r="V2152" s="17" t="n">
        <f aca="false">(B2152-AVERAGE(B2133:B2152))/STDEV(B2133:B2152)</f>
        <v>1.62958182903932</v>
      </c>
    </row>
    <row r="2153" customFormat="false" ht="15" hidden="false" customHeight="false" outlineLevel="0" collapsed="false">
      <c r="A2153" s="17" t="s">
        <v>2717</v>
      </c>
      <c r="B2153" s="17" t="n">
        <v>21774.01</v>
      </c>
      <c r="C2153" s="19" t="n">
        <f aca="false">B2153/B2152-1</f>
        <v>-0.00579518769294285</v>
      </c>
      <c r="D2153" s="17" t="n">
        <f aca="false">AVERAGE(B2104:B2153)</f>
        <v>21242.8994</v>
      </c>
      <c r="E2153" s="17" t="n">
        <f aca="false">AVERAGE(B1954:B2153)</f>
        <v>19743.37255</v>
      </c>
      <c r="F2153" s="17" t="n">
        <f aca="false">B2153*2/13+F2152*11/13</f>
        <v>21471.7996604458</v>
      </c>
      <c r="G2153" s="17" t="n">
        <f aca="false">B2153*2/27+G2152*25/27</f>
        <v>21354.7106308958</v>
      </c>
      <c r="H2153" s="17" t="n">
        <f aca="false">F2153-G2153</f>
        <v>117.089029550065</v>
      </c>
      <c r="I2153" s="17" t="n">
        <f aca="false">H2153*2/10+I2152*8/10</f>
        <v>42.2926978877409</v>
      </c>
      <c r="J2153" s="17" t="n">
        <f aca="false">H2153-I2153</f>
        <v>74.796331662324</v>
      </c>
      <c r="K2153" s="17" t="n">
        <f aca="false">MAX(B2153-B2152,0)</f>
        <v>0</v>
      </c>
      <c r="L2153" s="17" t="n">
        <f aca="false">MAX(B2152-B2153,0)</f>
        <v>126.920000000002</v>
      </c>
      <c r="M2153" s="17" t="n">
        <f aca="false">(M2152*13+K2153)/14</f>
        <v>115.865886450089</v>
      </c>
      <c r="N2153" s="17" t="n">
        <f aca="false">(N2152*13+L2153)/14</f>
        <v>83.0737966851348</v>
      </c>
      <c r="O2153" s="17" t="n">
        <f aca="false">IF(N2153=0,100,100-100/(1+M2153/N2153))</f>
        <v>58.2417165967497</v>
      </c>
      <c r="P2153" s="17" t="n">
        <f aca="false">AVERAGE(B2134:B2153)+2*STDEV(B2134:B2153)</f>
        <v>22070.4161933919</v>
      </c>
      <c r="Q2153" s="17" t="n">
        <f aca="false">AVERAGE(B2134:B2153)-2*STDEV(B2134:B2153)</f>
        <v>20601.3788066081</v>
      </c>
      <c r="R2153" s="19" t="n">
        <f aca="false">B2153/B2133-1</f>
        <v>0.0125953522201609</v>
      </c>
      <c r="S2153" s="17" t="n">
        <f aca="false">STDEV(C2134:C2153)*SQRT(252)*100</f>
        <v>18.9049987103283</v>
      </c>
      <c r="T2153" s="19" t="n">
        <f aca="false">B2132/B1902-1</f>
        <v>0.216571520003657</v>
      </c>
      <c r="U2153" s="19" t="n">
        <f aca="false">B2153/MAX(B1902:B2153)-1</f>
        <v>-0.0146017542922777</v>
      </c>
      <c r="V2153" s="17" t="n">
        <f aca="false">(B2153-AVERAGE(B2134:B2153))/STDEV(B2134:B2153)</f>
        <v>1.19292403022958</v>
      </c>
    </row>
    <row r="2154" customFormat="false" ht="15" hidden="false" customHeight="false" outlineLevel="0" collapsed="false">
      <c r="A2154" s="17" t="s">
        <v>2718</v>
      </c>
      <c r="B2154" s="17" t="n">
        <v>21127.28</v>
      </c>
      <c r="C2154" s="19" t="n">
        <f aca="false">B2154/B2153-1</f>
        <v>-0.0297019244502965</v>
      </c>
      <c r="D2154" s="17" t="n">
        <f aca="false">AVERAGE(B2105:B2154)</f>
        <v>21243.3132</v>
      </c>
      <c r="E2154" s="17" t="n">
        <f aca="false">AVERAGE(B1955:B2154)</f>
        <v>19758.15945</v>
      </c>
      <c r="F2154" s="17" t="n">
        <f aca="false">B2154*2/13+F2153*11/13</f>
        <v>21418.7966357618</v>
      </c>
      <c r="G2154" s="17" t="n">
        <f aca="false">B2154*2/27+G2153*25/27</f>
        <v>21337.8639174961</v>
      </c>
      <c r="H2154" s="17" t="n">
        <f aca="false">F2154-G2154</f>
        <v>80.9327182657762</v>
      </c>
      <c r="I2154" s="17" t="n">
        <f aca="false">H2154*2/10+I2153*8/10</f>
        <v>50.0207019633479</v>
      </c>
      <c r="J2154" s="17" t="n">
        <f aca="false">H2154-I2154</f>
        <v>30.9120163024283</v>
      </c>
      <c r="K2154" s="17" t="n">
        <f aca="false">MAX(B2154-B2153,0)</f>
        <v>0</v>
      </c>
      <c r="L2154" s="17" t="n">
        <f aca="false">MAX(B2153-B2154,0)</f>
        <v>646.73</v>
      </c>
      <c r="M2154" s="17" t="n">
        <f aca="false">(M2153*13+K2154)/14</f>
        <v>107.589751703654</v>
      </c>
      <c r="N2154" s="17" t="n">
        <f aca="false">(N2153*13+L2154)/14</f>
        <v>123.334954064768</v>
      </c>
      <c r="O2154" s="17" t="n">
        <f aca="false">IF(N2154=0,100,100-100/(1+M2154/N2154))</f>
        <v>46.5908363272088</v>
      </c>
      <c r="P2154" s="17" t="n">
        <f aca="false">AVERAGE(B2135:B2154)+2*STDEV(B2135:B2154)</f>
        <v>22008.8223109718</v>
      </c>
      <c r="Q2154" s="17" t="n">
        <f aca="false">AVERAGE(B2135:B2154)-2*STDEV(B2135:B2154)</f>
        <v>20595.9356890282</v>
      </c>
      <c r="R2154" s="19" t="n">
        <f aca="false">B2154/B2134-1</f>
        <v>-0.030754232681046</v>
      </c>
      <c r="S2154" s="17" t="n">
        <f aca="false">STDEV(C2135:C2154)*SQRT(252)*100</f>
        <v>21.0955895567275</v>
      </c>
      <c r="T2154" s="19" t="n">
        <f aca="false">B2133/B1903-1</f>
        <v>0.227560785271899</v>
      </c>
      <c r="U2154" s="19" t="n">
        <f aca="false">B2154/MAX(B1903:B2154)-1</f>
        <v>-0.0438699785397432</v>
      </c>
      <c r="V2154" s="17" t="n">
        <f aca="false">(B2154-AVERAGE(B2135:B2154))/STDEV(B2135:B2154)</f>
        <v>-0.495719889425025</v>
      </c>
    </row>
    <row r="2155" customFormat="false" ht="15" hidden="false" customHeight="false" outlineLevel="0" collapsed="false">
      <c r="A2155" s="17" t="s">
        <v>2719</v>
      </c>
      <c r="B2155" s="17" t="n">
        <v>21463.04</v>
      </c>
      <c r="C2155" s="19" t="n">
        <f aca="false">B2155/B2154-1</f>
        <v>0.0158922492625648</v>
      </c>
      <c r="D2155" s="17" t="n">
        <f aca="false">AVERAGE(B2106:B2155)</f>
        <v>21251.1582</v>
      </c>
      <c r="E2155" s="17" t="n">
        <f aca="false">AVERAGE(B1956:B2155)</f>
        <v>19775.41635</v>
      </c>
      <c r="F2155" s="17" t="n">
        <f aca="false">B2155*2/13+F2154*11/13</f>
        <v>21425.6033071831</v>
      </c>
      <c r="G2155" s="17" t="n">
        <f aca="false">B2155*2/27+G2154*25/27</f>
        <v>21347.1362199038</v>
      </c>
      <c r="H2155" s="17" t="n">
        <f aca="false">F2155-G2155</f>
        <v>78.4670872793358</v>
      </c>
      <c r="I2155" s="17" t="n">
        <f aca="false">H2155*2/10+I2154*8/10</f>
        <v>55.7099790265455</v>
      </c>
      <c r="J2155" s="17" t="n">
        <f aca="false">H2155-I2155</f>
        <v>22.7571082527903</v>
      </c>
      <c r="K2155" s="17" t="n">
        <f aca="false">MAX(B2155-B2154,0)</f>
        <v>335.760000000002</v>
      </c>
      <c r="L2155" s="17" t="n">
        <f aca="false">MAX(B2154-B2155,0)</f>
        <v>0</v>
      </c>
      <c r="M2155" s="17" t="n">
        <f aca="false">(M2154*13+K2155)/14</f>
        <v>123.887626581964</v>
      </c>
      <c r="N2155" s="17" t="n">
        <f aca="false">(N2154*13+L2155)/14</f>
        <v>114.525314488713</v>
      </c>
      <c r="O2155" s="17" t="n">
        <f aca="false">IF(N2155=0,100,100-100/(1+M2155/N2155))</f>
        <v>51.9634655843778</v>
      </c>
      <c r="P2155" s="17" t="n">
        <f aca="false">AVERAGE(B2136:B2155)+2*STDEV(B2136:B2155)</f>
        <v>21963.7334037871</v>
      </c>
      <c r="Q2155" s="17" t="n">
        <f aca="false">AVERAGE(B2136:B2155)-2*STDEV(B2136:B2155)</f>
        <v>20610.4975962129</v>
      </c>
      <c r="R2155" s="19" t="n">
        <f aca="false">B2155/B2135-1</f>
        <v>-0.0140235966871107</v>
      </c>
      <c r="S2155" s="17" t="n">
        <f aca="false">STDEV(C2136:C2155)*SQRT(252)*100</f>
        <v>21.9786909587604</v>
      </c>
      <c r="T2155" s="19" t="n">
        <f aca="false">B2134/B1904-1</f>
        <v>0.251227684273185</v>
      </c>
      <c r="U2155" s="19" t="n">
        <f aca="false">B2155/MAX(B1904:B2155)-1</f>
        <v>-0.0286749219112752</v>
      </c>
      <c r="V2155" s="17" t="n">
        <f aca="false">(B2155-AVERAGE(B2136:B2155))/STDEV(B2136:B2155)</f>
        <v>0.520011365396425</v>
      </c>
    </row>
    <row r="2156" customFormat="false" ht="15" hidden="false" customHeight="false" outlineLevel="0" collapsed="false">
      <c r="A2156" s="17" t="s">
        <v>2720</v>
      </c>
      <c r="B2156" s="17" t="n">
        <v>21411.46</v>
      </c>
      <c r="C2156" s="19" t="n">
        <f aca="false">B2156/B2155-1</f>
        <v>-0.00240320103769087</v>
      </c>
      <c r="D2156" s="17" t="n">
        <f aca="false">AVERAGE(B2107:B2156)</f>
        <v>21258.6642</v>
      </c>
      <c r="E2156" s="17" t="n">
        <f aca="false">AVERAGE(B1957:B2156)</f>
        <v>19790.93375</v>
      </c>
      <c r="F2156" s="17" t="n">
        <f aca="false">B2156*2/13+F2155*11/13</f>
        <v>21423.4274137703</v>
      </c>
      <c r="G2156" s="17" t="n">
        <f aca="false">B2156*2/27+G2155*25/27</f>
        <v>21351.9009443553</v>
      </c>
      <c r="H2156" s="17" t="n">
        <f aca="false">F2156-G2156</f>
        <v>71.5264694149737</v>
      </c>
      <c r="I2156" s="17" t="n">
        <f aca="false">H2156*2/10+I2155*8/10</f>
        <v>58.8732771042312</v>
      </c>
      <c r="J2156" s="17" t="n">
        <f aca="false">H2156-I2156</f>
        <v>12.6531923107425</v>
      </c>
      <c r="K2156" s="17" t="n">
        <f aca="false">MAX(B2156-B2155,0)</f>
        <v>0</v>
      </c>
      <c r="L2156" s="17" t="n">
        <f aca="false">MAX(B2155-B2156,0)</f>
        <v>51.5800000000017</v>
      </c>
      <c r="M2156" s="17" t="n">
        <f aca="false">(M2155*13+K2156)/14</f>
        <v>115.038510397538</v>
      </c>
      <c r="N2156" s="17" t="n">
        <f aca="false">(N2155*13+L2156)/14</f>
        <v>110.029220596662</v>
      </c>
      <c r="O2156" s="17" t="n">
        <f aca="false">IF(N2156=0,100,100-100/(1+M2156/N2156))</f>
        <v>51.1128405166632</v>
      </c>
      <c r="P2156" s="17" t="n">
        <f aca="false">AVERAGE(B2137:B2156)+2*STDEV(B2137:B2156)</f>
        <v>21957.6479733489</v>
      </c>
      <c r="Q2156" s="17" t="n">
        <f aca="false">AVERAGE(B2137:B2156)-2*STDEV(B2137:B2156)</f>
        <v>20610.4270266512</v>
      </c>
      <c r="R2156" s="19" t="n">
        <f aca="false">B2156/B2136-1</f>
        <v>-0.00286685338159243</v>
      </c>
      <c r="S2156" s="17" t="n">
        <f aca="false">STDEV(C2137:C2156)*SQRT(252)*100</f>
        <v>21.4573225618463</v>
      </c>
      <c r="T2156" s="19" t="n">
        <f aca="false">B2135/B1905-1</f>
        <v>0.237097975877842</v>
      </c>
      <c r="U2156" s="19" t="n">
        <f aca="false">B2156/MAX(B1905:B2156)-1</f>
        <v>-0.0310092113468733</v>
      </c>
      <c r="V2156" s="17" t="n">
        <f aca="false">(B2156-AVERAGE(B2137:B2156))/STDEV(B2137:B2156)</f>
        <v>0.378326956130953</v>
      </c>
    </row>
    <row r="2157" customFormat="false" ht="15" hidden="false" customHeight="false" outlineLevel="0" collapsed="false">
      <c r="A2157" s="17" t="s">
        <v>2721</v>
      </c>
      <c r="B2157" s="17" t="n">
        <v>21508.12</v>
      </c>
      <c r="C2157" s="19" t="n">
        <f aca="false">B2157/B2156-1</f>
        <v>0.00451440490279498</v>
      </c>
      <c r="D2157" s="17" t="n">
        <f aca="false">AVERAGE(B2108:B2157)</f>
        <v>21270.8932</v>
      </c>
      <c r="E2157" s="17" t="n">
        <f aca="false">AVERAGE(B1958:B2157)</f>
        <v>19808.4569</v>
      </c>
      <c r="F2157" s="17" t="n">
        <f aca="false">B2157*2/13+F2156*11/13</f>
        <v>21436.457042421</v>
      </c>
      <c r="G2157" s="17" t="n">
        <f aca="false">B2157*2/27+G2156*25/27</f>
        <v>21363.472726255</v>
      </c>
      <c r="H2157" s="17" t="n">
        <f aca="false">F2157-G2157</f>
        <v>72.9843161660901</v>
      </c>
      <c r="I2157" s="17" t="n">
        <f aca="false">H2157*2/10+I2156*8/10</f>
        <v>61.695484916603</v>
      </c>
      <c r="J2157" s="17" t="n">
        <f aca="false">H2157-I2157</f>
        <v>11.2888312494872</v>
      </c>
      <c r="K2157" s="17" t="n">
        <f aca="false">MAX(B2157-B2156,0)</f>
        <v>96.6599999999999</v>
      </c>
      <c r="L2157" s="17" t="n">
        <f aca="false">MAX(B2156-B2157,0)</f>
        <v>0</v>
      </c>
      <c r="M2157" s="17" t="n">
        <f aca="false">(M2156*13+K2157)/14</f>
        <v>113.725759654857</v>
      </c>
      <c r="N2157" s="17" t="n">
        <f aca="false">(N2156*13+L2157)/14</f>
        <v>102.169990554044</v>
      </c>
      <c r="O2157" s="17" t="n">
        <f aca="false">IF(N2157=0,100,100-100/(1+M2157/N2157))</f>
        <v>52.6762382051597</v>
      </c>
      <c r="P2157" s="17" t="n">
        <f aca="false">AVERAGE(B2138:B2157)+2*STDEV(B2138:B2157)</f>
        <v>21979.0831923117</v>
      </c>
      <c r="Q2157" s="17" t="n">
        <f aca="false">AVERAGE(B2138:B2157)-2*STDEV(B2138:B2157)</f>
        <v>20620.0948076884</v>
      </c>
      <c r="R2157" s="19" t="n">
        <f aca="false">B2157/B2137-1</f>
        <v>0.0146732405249965</v>
      </c>
      <c r="S2157" s="17" t="n">
        <f aca="false">STDEV(C2138:C2157)*SQRT(252)*100</f>
        <v>20.9637784910967</v>
      </c>
      <c r="T2157" s="19" t="n">
        <f aca="false">B2136/B1906-1</f>
        <v>0.228664891733055</v>
      </c>
      <c r="U2157" s="19" t="n">
        <f aca="false">B2157/MAX(B1906:B2157)-1</f>
        <v>-0.0266347945798143</v>
      </c>
      <c r="V2157" s="17" t="n">
        <f aca="false">(B2157-AVERAGE(B2138:B2157))/STDEV(B2138:B2157)</f>
        <v>0.61378302378295</v>
      </c>
    </row>
    <row r="2158" customFormat="false" ht="15" hidden="false" customHeight="false" outlineLevel="0" collapsed="false">
      <c r="A2158" s="17" t="s">
        <v>2722</v>
      </c>
      <c r="B2158" s="17" t="n">
        <v>21478.05</v>
      </c>
      <c r="C2158" s="19" t="n">
        <f aca="false">B2158/B2157-1</f>
        <v>-0.00139807663338309</v>
      </c>
      <c r="D2158" s="17" t="n">
        <f aca="false">AVERAGE(B2109:B2158)</f>
        <v>21292.5716</v>
      </c>
      <c r="E2158" s="17" t="n">
        <f aca="false">AVERAGE(B1959:B2158)</f>
        <v>19827.313</v>
      </c>
      <c r="F2158" s="17" t="n">
        <f aca="false">B2158*2/13+F2157*11/13</f>
        <v>21442.8559589717</v>
      </c>
      <c r="G2158" s="17" t="n">
        <f aca="false">B2158*2/27+G2157*25/27</f>
        <v>21371.9599317175</v>
      </c>
      <c r="H2158" s="17" t="n">
        <f aca="false">F2158-G2158</f>
        <v>70.8960272541044</v>
      </c>
      <c r="I2158" s="17" t="n">
        <f aca="false">H2158*2/10+I2157*8/10</f>
        <v>63.5355933841032</v>
      </c>
      <c r="J2158" s="17" t="n">
        <f aca="false">H2158-I2158</f>
        <v>7.36043387000117</v>
      </c>
      <c r="K2158" s="17" t="n">
        <f aca="false">MAX(B2158-B2157,0)</f>
        <v>0</v>
      </c>
      <c r="L2158" s="17" t="n">
        <f aca="false">MAX(B2157-B2158,0)</f>
        <v>30.0699999999997</v>
      </c>
      <c r="M2158" s="17" t="n">
        <f aca="false">(M2157*13+K2158)/14</f>
        <v>105.602491108082</v>
      </c>
      <c r="N2158" s="17" t="n">
        <f aca="false">(N2157*13+L2158)/14</f>
        <v>97.0199912287547</v>
      </c>
      <c r="O2158" s="17" t="n">
        <f aca="false">IF(N2158=0,100,100-100/(1+M2158/N2158))</f>
        <v>52.1178547859905</v>
      </c>
      <c r="P2158" s="17" t="n">
        <f aca="false">AVERAGE(B2139:B2158)+2*STDEV(B2139:B2158)</f>
        <v>21992.7643934013</v>
      </c>
      <c r="Q2158" s="17" t="n">
        <f aca="false">AVERAGE(B2139:B2158)-2*STDEV(B2139:B2158)</f>
        <v>20653.0016065987</v>
      </c>
      <c r="R2158" s="19" t="n">
        <f aca="false">B2158/B2138-1</f>
        <v>0.0221719127534186</v>
      </c>
      <c r="S2158" s="17" t="n">
        <f aca="false">STDEV(C2139:C2158)*SQRT(252)*100</f>
        <v>20.6812028784828</v>
      </c>
      <c r="T2158" s="19" t="n">
        <f aca="false">B2137/B1907-1</f>
        <v>0.23690220829025</v>
      </c>
      <c r="U2158" s="19" t="n">
        <f aca="false">B2158/MAX(B1907:B2158)-1</f>
        <v>-0.0279956337292605</v>
      </c>
      <c r="V2158" s="17" t="n">
        <f aca="false">(B2158-AVERAGE(B2139:B2158))/STDEV(B2139:B2158)</f>
        <v>0.463267084377869</v>
      </c>
    </row>
    <row r="2159" customFormat="false" ht="15" hidden="false" customHeight="false" outlineLevel="0" collapsed="false">
      <c r="A2159" s="17" t="s">
        <v>2723</v>
      </c>
      <c r="B2159" s="17" t="n">
        <v>21297.58</v>
      </c>
      <c r="C2159" s="19" t="n">
        <f aca="false">B2159/B2158-1</f>
        <v>-0.00840253188720563</v>
      </c>
      <c r="D2159" s="17" t="n">
        <f aca="false">AVERAGE(B2110:B2159)</f>
        <v>21307.7394</v>
      </c>
      <c r="E2159" s="17" t="n">
        <f aca="false">AVERAGE(B1960:B2159)</f>
        <v>19845.2326</v>
      </c>
      <c r="F2159" s="17" t="n">
        <f aca="false">B2159*2/13+F2158*11/13</f>
        <v>21420.5058114376</v>
      </c>
      <c r="G2159" s="17" t="n">
        <f aca="false">B2159*2/27+G2158*25/27</f>
        <v>21366.4503071459</v>
      </c>
      <c r="H2159" s="17" t="n">
        <f aca="false">F2159-G2159</f>
        <v>54.0555042916749</v>
      </c>
      <c r="I2159" s="17" t="n">
        <f aca="false">H2159*2/10+I2158*8/10</f>
        <v>61.6395755656176</v>
      </c>
      <c r="J2159" s="17" t="n">
        <f aca="false">H2159-I2159</f>
        <v>-7.58407127394269</v>
      </c>
      <c r="K2159" s="17" t="n">
        <f aca="false">MAX(B2159-B2158,0)</f>
        <v>0</v>
      </c>
      <c r="L2159" s="17" t="n">
        <f aca="false">MAX(B2158-B2159,0)</f>
        <v>180.469999999998</v>
      </c>
      <c r="M2159" s="17" t="n">
        <f aca="false">(M2158*13+K2159)/14</f>
        <v>98.0594560289328</v>
      </c>
      <c r="N2159" s="17" t="n">
        <f aca="false">(N2158*13+L2159)/14</f>
        <v>102.980706140986</v>
      </c>
      <c r="O2159" s="17" t="n">
        <f aca="false">IF(N2159=0,100,100-100/(1+M2159/N2159))</f>
        <v>48.7760529888814</v>
      </c>
      <c r="P2159" s="17" t="n">
        <f aca="false">AVERAGE(B2140:B2159)+2*STDEV(B2140:B2159)</f>
        <v>21988.9017845463</v>
      </c>
      <c r="Q2159" s="17" t="n">
        <f aca="false">AVERAGE(B2140:B2159)-2*STDEV(B2140:B2159)</f>
        <v>20689.0602154537</v>
      </c>
      <c r="R2159" s="19" t="n">
        <f aca="false">B2159/B2139-1</f>
        <v>0.015349248317809</v>
      </c>
      <c r="S2159" s="17" t="n">
        <f aca="false">STDEV(C2140:C2159)*SQRT(252)*100</f>
        <v>20.9394962631879</v>
      </c>
      <c r="T2159" s="19" t="n">
        <f aca="false">B2138/B1908-1</f>
        <v>0.211445449361794</v>
      </c>
      <c r="U2159" s="19" t="n">
        <f aca="false">B2159/MAX(B1908:B2159)-1</f>
        <v>-0.0361629314113535</v>
      </c>
      <c r="V2159" s="17" t="n">
        <f aca="false">(B2159-AVERAGE(B2140:B2159))/STDEV(B2140:B2159)</f>
        <v>-0.127403218928904</v>
      </c>
    </row>
    <row r="2160" customFormat="false" ht="15" hidden="false" customHeight="false" outlineLevel="0" collapsed="false">
      <c r="A2160" s="17" t="s">
        <v>2724</v>
      </c>
      <c r="B2160" s="17" t="n">
        <v>21566.92</v>
      </c>
      <c r="C2160" s="19" t="n">
        <f aca="false">B2160/B2159-1</f>
        <v>0.0126465072557538</v>
      </c>
      <c r="D2160" s="17" t="n">
        <f aca="false">AVERAGE(B2111:B2160)</f>
        <v>21325.386</v>
      </c>
      <c r="E2160" s="17" t="n">
        <f aca="false">AVERAGE(B1961:B2160)</f>
        <v>19865.5991</v>
      </c>
      <c r="F2160" s="17" t="n">
        <f aca="false">B2160*2/13+F2159*11/13</f>
        <v>21443.0310712164</v>
      </c>
      <c r="G2160" s="17" t="n">
        <f aca="false">B2160*2/27+G2159*25/27</f>
        <v>21381.299914024</v>
      </c>
      <c r="H2160" s="17" t="n">
        <f aca="false">F2160-G2160</f>
        <v>61.7311571924329</v>
      </c>
      <c r="I2160" s="17" t="n">
        <f aca="false">H2160*2/10+I2159*8/10</f>
        <v>61.6578918909806</v>
      </c>
      <c r="J2160" s="17" t="n">
        <f aca="false">H2160-I2160</f>
        <v>0.0732653014522455</v>
      </c>
      <c r="K2160" s="17" t="n">
        <f aca="false">MAX(B2160-B2159,0)</f>
        <v>269.339999999997</v>
      </c>
      <c r="L2160" s="17" t="n">
        <f aca="false">MAX(B2159-B2160,0)</f>
        <v>0</v>
      </c>
      <c r="M2160" s="17" t="n">
        <f aca="false">(M2159*13+K2160)/14</f>
        <v>110.293780598295</v>
      </c>
      <c r="N2160" s="17" t="n">
        <f aca="false">(N2159*13+L2160)/14</f>
        <v>95.6249414166302</v>
      </c>
      <c r="O2160" s="17" t="n">
        <f aca="false">IF(N2160=0,100,100-100/(1+M2160/N2160))</f>
        <v>53.5618031809175</v>
      </c>
      <c r="P2160" s="17" t="n">
        <f aca="false">AVERAGE(B2141:B2160)+2*STDEV(B2141:B2160)</f>
        <v>22008.8110668386</v>
      </c>
      <c r="Q2160" s="17" t="n">
        <f aca="false">AVERAGE(B2141:B2160)-2*STDEV(B2141:B2160)</f>
        <v>20693.2269331614</v>
      </c>
      <c r="R2160" s="19" t="n">
        <f aca="false">B2160/B2140-1</f>
        <v>0.011289421067834</v>
      </c>
      <c r="S2160" s="17" t="n">
        <f aca="false">STDEV(C2141:C2160)*SQRT(252)*100</f>
        <v>20.5775210412255</v>
      </c>
      <c r="T2160" s="19" t="n">
        <f aca="false">B2139/B1909-1</f>
        <v>0.188910106315746</v>
      </c>
      <c r="U2160" s="19" t="n">
        <f aca="false">B2160/MAX(B1909:B2160)-1</f>
        <v>-0.0239737589300827</v>
      </c>
      <c r="V2160" s="17" t="n">
        <f aca="false">(B2160-AVERAGE(B2141:B2160))/STDEV(B2141:B2160)</f>
        <v>0.656441483211062</v>
      </c>
    </row>
    <row r="2161" customFormat="false" ht="15" hidden="false" customHeight="false" outlineLevel="0" collapsed="false">
      <c r="A2161" s="17" t="s">
        <v>2725</v>
      </c>
      <c r="B2161" s="17" t="n">
        <v>21658.16</v>
      </c>
      <c r="C2161" s="19" t="n">
        <f aca="false">B2161/B2160-1</f>
        <v>0.00423055308778442</v>
      </c>
      <c r="D2161" s="17" t="n">
        <f aca="false">AVERAGE(B2112:B2161)</f>
        <v>21345.2072</v>
      </c>
      <c r="E2161" s="17" t="n">
        <f aca="false">AVERAGE(B1962:B2161)</f>
        <v>19886.91835</v>
      </c>
      <c r="F2161" s="17" t="n">
        <f aca="false">B2161*2/13+F2160*11/13</f>
        <v>21476.1278294908</v>
      </c>
      <c r="G2161" s="17" t="n">
        <f aca="false">B2161*2/27+G2160*25/27</f>
        <v>21401.8080685407</v>
      </c>
      <c r="H2161" s="17" t="n">
        <f aca="false">F2161-G2161</f>
        <v>74.319760950093</v>
      </c>
      <c r="I2161" s="17" t="n">
        <f aca="false">H2161*2/10+I2160*8/10</f>
        <v>64.1902657028031</v>
      </c>
      <c r="J2161" s="17" t="n">
        <f aca="false">H2161-I2161</f>
        <v>10.1294952472899</v>
      </c>
      <c r="K2161" s="17" t="n">
        <f aca="false">MAX(B2161-B2160,0)</f>
        <v>91.2400000000016</v>
      </c>
      <c r="L2161" s="17" t="n">
        <f aca="false">MAX(B2160-B2161,0)</f>
        <v>0</v>
      </c>
      <c r="M2161" s="17" t="n">
        <f aca="false">(M2160*13+K2161)/14</f>
        <v>108.932796269845</v>
      </c>
      <c r="N2161" s="17" t="n">
        <f aca="false">(N2160*13+L2161)/14</f>
        <v>88.7945884582995</v>
      </c>
      <c r="O2161" s="17" t="n">
        <f aca="false">IF(N2161=0,100,100-100/(1+M2161/N2161))</f>
        <v>55.0924174815829</v>
      </c>
      <c r="P2161" s="17" t="n">
        <f aca="false">AVERAGE(B2142:B2161)+2*STDEV(B2142:B2161)</f>
        <v>22021.7580397064</v>
      </c>
      <c r="Q2161" s="17" t="n">
        <f aca="false">AVERAGE(B2142:B2161)-2*STDEV(B2142:B2161)</f>
        <v>20690.1459602936</v>
      </c>
      <c r="R2161" s="19" t="n">
        <f aca="false">B2161/B2141-1</f>
        <v>0.00457617291681167</v>
      </c>
      <c r="S2161" s="17" t="n">
        <f aca="false">STDEV(C2142:C2161)*SQRT(252)*100</f>
        <v>20.2675439984491</v>
      </c>
      <c r="T2161" s="19" t="n">
        <f aca="false">B2140/B1910-1</f>
        <v>0.210816531388108</v>
      </c>
      <c r="U2161" s="19" t="n">
        <f aca="false">B2161/MAX(B1910:B2161)-1</f>
        <v>-0.0198446281021657</v>
      </c>
      <c r="V2161" s="17" t="n">
        <f aca="false">(B2161-AVERAGE(B2142:B2161))/STDEV(B2142:B2161)</f>
        <v>0.907795910452489</v>
      </c>
    </row>
    <row r="2162" customFormat="false" ht="15" hidden="false" customHeight="false" outlineLevel="0" collapsed="false">
      <c r="A2162" s="17" t="s">
        <v>2726</v>
      </c>
      <c r="B2162" s="17" t="n">
        <v>21774.07</v>
      </c>
      <c r="C2162" s="19" t="n">
        <f aca="false">B2162/B2161-1</f>
        <v>0.00535179350415738</v>
      </c>
      <c r="D2162" s="17" t="n">
        <f aca="false">AVERAGE(B2113:B2162)</f>
        <v>21365.873</v>
      </c>
      <c r="E2162" s="17" t="n">
        <f aca="false">AVERAGE(B1963:B2162)</f>
        <v>19910.60045</v>
      </c>
      <c r="F2162" s="17" t="n">
        <f aca="false">B2162*2/13+F2161*11/13</f>
        <v>21521.9650864922</v>
      </c>
      <c r="G2162" s="17" t="n">
        <f aca="false">B2162*2/27+G2161*25/27</f>
        <v>21429.3830264266</v>
      </c>
      <c r="H2162" s="17" t="n">
        <f aca="false">F2162-G2162</f>
        <v>92.5820600656371</v>
      </c>
      <c r="I2162" s="17" t="n">
        <f aca="false">H2162*2/10+I2161*8/10</f>
        <v>69.8686245753699</v>
      </c>
      <c r="J2162" s="17" t="n">
        <f aca="false">H2162-I2162</f>
        <v>22.7134354902671</v>
      </c>
      <c r="K2162" s="17" t="n">
        <f aca="false">MAX(B2162-B2161,0)</f>
        <v>115.91</v>
      </c>
      <c r="L2162" s="17" t="n">
        <f aca="false">MAX(B2161-B2162,0)</f>
        <v>0</v>
      </c>
      <c r="M2162" s="17" t="n">
        <f aca="false">(M2161*13+K2162)/14</f>
        <v>109.431167964856</v>
      </c>
      <c r="N2162" s="17" t="n">
        <f aca="false">(N2161*13+L2162)/14</f>
        <v>82.4521178541352</v>
      </c>
      <c r="O2162" s="17" t="n">
        <f aca="false">IF(N2162=0,100,100-100/(1+M2162/N2162))</f>
        <v>57.0300677819774</v>
      </c>
      <c r="P2162" s="17" t="n">
        <f aca="false">AVERAGE(B2143:B2162)+2*STDEV(B2143:B2162)</f>
        <v>22071.0264348531</v>
      </c>
      <c r="Q2162" s="17" t="n">
        <f aca="false">AVERAGE(B2143:B2162)-2*STDEV(B2143:B2162)</f>
        <v>20700.9805651469</v>
      </c>
      <c r="R2162" s="19" t="n">
        <f aca="false">B2162/B2142-1</f>
        <v>0.0283865708466993</v>
      </c>
      <c r="S2162" s="17" t="n">
        <f aca="false">STDEV(C2143:C2162)*SQRT(252)*100</f>
        <v>19.1434897210422</v>
      </c>
      <c r="T2162" s="19" t="n">
        <f aca="false">B2141/B1911-1</f>
        <v>0.226872546269134</v>
      </c>
      <c r="U2162" s="19" t="n">
        <f aca="false">B2162/MAX(B1911:B2162)-1</f>
        <v>-0.014599038949778</v>
      </c>
      <c r="V2162" s="17" t="n">
        <f aca="false">(B2162-AVERAGE(B2143:B2162))/STDEV(B2143:B2162)</f>
        <v>1.13300294123211</v>
      </c>
    </row>
    <row r="2163" customFormat="false" ht="15" hidden="false" customHeight="false" outlineLevel="0" collapsed="false">
      <c r="A2163" s="17" t="s">
        <v>2727</v>
      </c>
      <c r="B2163" s="17" t="n">
        <v>21491.31</v>
      </c>
      <c r="C2163" s="19" t="n">
        <f aca="false">B2163/B2162-1</f>
        <v>-0.0129860884988429</v>
      </c>
      <c r="D2163" s="17" t="n">
        <f aca="false">AVERAGE(B2114:B2163)</f>
        <v>21380.1746</v>
      </c>
      <c r="E2163" s="17" t="n">
        <f aca="false">AVERAGE(B1964:B2163)</f>
        <v>19932.00255</v>
      </c>
      <c r="F2163" s="17" t="n">
        <f aca="false">B2163*2/13+F2162*11/13</f>
        <v>21517.2489193396</v>
      </c>
      <c r="G2163" s="17" t="n">
        <f aca="false">B2163*2/27+G2162*25/27</f>
        <v>21433.9702096542</v>
      </c>
      <c r="H2163" s="17" t="n">
        <f aca="false">F2163-G2163</f>
        <v>83.2787096853281</v>
      </c>
      <c r="I2163" s="17" t="n">
        <f aca="false">H2163*2/10+I2162*8/10</f>
        <v>72.5506415973615</v>
      </c>
      <c r="J2163" s="17" t="n">
        <f aca="false">H2163-I2163</f>
        <v>10.7280680879665</v>
      </c>
      <c r="K2163" s="17" t="n">
        <f aca="false">MAX(B2163-B2162,0)</f>
        <v>0</v>
      </c>
      <c r="L2163" s="17" t="n">
        <f aca="false">MAX(B2162-B2163,0)</f>
        <v>282.759999999998</v>
      </c>
      <c r="M2163" s="17" t="n">
        <f aca="false">(M2162*13+K2163)/14</f>
        <v>101.614655967366</v>
      </c>
      <c r="N2163" s="17" t="n">
        <f aca="false">(N2162*13+L2163)/14</f>
        <v>96.7598237216969</v>
      </c>
      <c r="O2163" s="17" t="n">
        <f aca="false">IF(N2163=0,100,100-100/(1+M2163/N2163))</f>
        <v>51.2236534289287</v>
      </c>
      <c r="P2163" s="17" t="n">
        <f aca="false">AVERAGE(B2144:B2163)+2*STDEV(B2144:B2163)</f>
        <v>22081.0254557304</v>
      </c>
      <c r="Q2163" s="17" t="n">
        <f aca="false">AVERAGE(B2144:B2163)-2*STDEV(B2144:B2163)</f>
        <v>20722.0155442697</v>
      </c>
      <c r="R2163" s="19" t="n">
        <f aca="false">B2163/B2143-1</f>
        <v>0.0146518313372805</v>
      </c>
      <c r="S2163" s="17" t="n">
        <f aca="false">STDEV(C2144:C2163)*SQRT(252)*100</f>
        <v>19.8203625041455</v>
      </c>
      <c r="T2163" s="19" t="n">
        <f aca="false">B2142/B1912-1</f>
        <v>0.192506703718994</v>
      </c>
      <c r="U2163" s="19" t="n">
        <f aca="false">B2163/MAX(B1912:B2163)-1</f>
        <v>-0.0273955430368209</v>
      </c>
      <c r="V2163" s="17" t="n">
        <f aca="false">(B2163-AVERAGE(B2144:B2163))/STDEV(B2144:B2163)</f>
        <v>0.264279161594913</v>
      </c>
    </row>
    <row r="2164" customFormat="false" ht="15" hidden="false" customHeight="false" outlineLevel="0" collapsed="false">
      <c r="A2164" s="17" t="s">
        <v>2728</v>
      </c>
      <c r="B2164" s="17" t="n">
        <v>21756.73</v>
      </c>
      <c r="C2164" s="19" t="n">
        <f aca="false">B2164/B2163-1</f>
        <v>0.0123501080204045</v>
      </c>
      <c r="D2164" s="17" t="n">
        <f aca="false">AVERAGE(B2115:B2164)</f>
        <v>21399.2114</v>
      </c>
      <c r="E2164" s="17" t="n">
        <f aca="false">AVERAGE(B1965:B2164)</f>
        <v>19953.42885</v>
      </c>
      <c r="F2164" s="17" t="n">
        <f aca="false">B2164*2/13+F2163*11/13</f>
        <v>21554.0921625181</v>
      </c>
      <c r="G2164" s="17" t="n">
        <f aca="false">B2164*2/27+G2163*25/27</f>
        <v>21457.8783422724</v>
      </c>
      <c r="H2164" s="17" t="n">
        <f aca="false">F2164-G2164</f>
        <v>96.2138202456517</v>
      </c>
      <c r="I2164" s="17" t="n">
        <f aca="false">H2164*2/10+I2163*8/10</f>
        <v>77.2832773270196</v>
      </c>
      <c r="J2164" s="17" t="n">
        <f aca="false">H2164-I2164</f>
        <v>18.9305429186322</v>
      </c>
      <c r="K2164" s="17" t="n">
        <f aca="false">MAX(B2164-B2163,0)</f>
        <v>265.419999999998</v>
      </c>
      <c r="L2164" s="17" t="n">
        <f aca="false">MAX(B2163-B2164,0)</f>
        <v>0</v>
      </c>
      <c r="M2164" s="17" t="n">
        <f aca="false">(M2163*13+K2164)/14</f>
        <v>113.315037683983</v>
      </c>
      <c r="N2164" s="17" t="n">
        <f aca="false">(N2163*13+L2164)/14</f>
        <v>89.8484077415757</v>
      </c>
      <c r="O2164" s="17" t="n">
        <f aca="false">IF(N2164=0,100,100-100/(1+M2164/N2164))</f>
        <v>55.7753081252517</v>
      </c>
      <c r="P2164" s="17" t="n">
        <f aca="false">AVERAGE(B2145:B2164)+2*STDEV(B2145:B2164)</f>
        <v>22091.1746360996</v>
      </c>
      <c r="Q2164" s="17" t="n">
        <f aca="false">AVERAGE(B2145:B2164)-2*STDEV(B2145:B2164)</f>
        <v>20802.7813639004</v>
      </c>
      <c r="R2164" s="19" t="n">
        <f aca="false">B2164/B2144-1</f>
        <v>0.0436093781628371</v>
      </c>
      <c r="S2164" s="17" t="n">
        <f aca="false">STDEV(C2145:C2164)*SQRT(252)*100</f>
        <v>19.2096302665754</v>
      </c>
      <c r="T2164" s="19" t="n">
        <f aca="false">B2143/B1913-1</f>
        <v>0.191068296597289</v>
      </c>
      <c r="U2164" s="19" t="n">
        <f aca="false">B2164/MAX(B1913:B2164)-1</f>
        <v>-0.0153837729321988</v>
      </c>
      <c r="V2164" s="17" t="n">
        <f aca="false">(B2164-AVERAGE(B2145:B2164))/STDEV(B2145:B2164)</f>
        <v>0.961669101147201</v>
      </c>
    </row>
    <row r="2165" customFormat="false" ht="15" hidden="false" customHeight="false" outlineLevel="0" collapsed="false">
      <c r="A2165" s="17" t="s">
        <v>2729</v>
      </c>
      <c r="B2165" s="17" t="n">
        <v>21693.52</v>
      </c>
      <c r="C2165" s="19" t="n">
        <f aca="false">B2165/B2164-1</f>
        <v>-0.00290530792081345</v>
      </c>
      <c r="D2165" s="17" t="n">
        <f aca="false">AVERAGE(B2116:B2165)</f>
        <v>21414.6238</v>
      </c>
      <c r="E2165" s="17" t="n">
        <f aca="false">AVERAGE(B1966:B2165)</f>
        <v>19974.26245</v>
      </c>
      <c r="F2165" s="17" t="n">
        <f aca="false">B2165*2/13+F2164*11/13</f>
        <v>21575.5425990538</v>
      </c>
      <c r="G2165" s="17" t="n">
        <f aca="false">B2165*2/27+G2164*25/27</f>
        <v>21475.3332798819</v>
      </c>
      <c r="H2165" s="17" t="n">
        <f aca="false">F2165-G2165</f>
        <v>100.209319171881</v>
      </c>
      <c r="I2165" s="17" t="n">
        <f aca="false">H2165*2/10+I2164*8/10</f>
        <v>81.8684856959919</v>
      </c>
      <c r="J2165" s="17" t="n">
        <f aca="false">H2165-I2165</f>
        <v>18.3408334758894</v>
      </c>
      <c r="K2165" s="17" t="n">
        <f aca="false">MAX(B2165-B2164,0)</f>
        <v>0</v>
      </c>
      <c r="L2165" s="17" t="n">
        <f aca="false">MAX(B2164-B2165,0)</f>
        <v>63.2099999999991</v>
      </c>
      <c r="M2165" s="17" t="n">
        <f aca="false">(M2164*13+K2165)/14</f>
        <v>105.221106420841</v>
      </c>
      <c r="N2165" s="17" t="n">
        <f aca="false">(N2164*13+L2165)/14</f>
        <v>87.9456643314631</v>
      </c>
      <c r="O2165" s="17" t="n">
        <f aca="false">IF(N2165=0,100,100-100/(1+M2165/N2165))</f>
        <v>54.4716392012191</v>
      </c>
      <c r="P2165" s="17" t="n">
        <f aca="false">AVERAGE(B2146:B2165)+2*STDEV(B2146:B2165)</f>
        <v>22064.0455251227</v>
      </c>
      <c r="Q2165" s="17" t="n">
        <f aca="false">AVERAGE(B2146:B2165)-2*STDEV(B2146:B2165)</f>
        <v>20920.7904748773</v>
      </c>
      <c r="R2165" s="19" t="n">
        <f aca="false">B2165/B2145-1</f>
        <v>0.0437244283300424</v>
      </c>
      <c r="S2165" s="17" t="n">
        <f aca="false">STDEV(C2146:C2165)*SQRT(252)*100</f>
        <v>19.2057070467082</v>
      </c>
      <c r="T2165" s="19" t="n">
        <f aca="false">B2144/B1914-1</f>
        <v>0.160622655868561</v>
      </c>
      <c r="U2165" s="19" t="n">
        <f aca="false">B2165/MAX(B1914:B2165)-1</f>
        <v>-0.0182443862556604</v>
      </c>
      <c r="V2165" s="17" t="n">
        <f aca="false">(B2165-AVERAGE(B2146:B2165))/STDEV(B2146:B2165)</f>
        <v>0.703612024130009</v>
      </c>
    </row>
    <row r="2166" customFormat="false" ht="15" hidden="false" customHeight="false" outlineLevel="0" collapsed="false">
      <c r="A2166" s="17" t="s">
        <v>2730</v>
      </c>
      <c r="B2166" s="17" t="n">
        <v>21719.26</v>
      </c>
      <c r="C2166" s="19" t="n">
        <f aca="false">B2166/B2165-1</f>
        <v>0.00118652943367414</v>
      </c>
      <c r="D2166" s="17" t="n">
        <f aca="false">AVERAGE(B2117:B2166)</f>
        <v>21434.1192</v>
      </c>
      <c r="E2166" s="17" t="n">
        <f aca="false">AVERAGE(B1967:B2166)</f>
        <v>19995.70625</v>
      </c>
      <c r="F2166" s="17" t="n">
        <f aca="false">B2166*2/13+F2165*11/13</f>
        <v>21597.6529684301</v>
      </c>
      <c r="G2166" s="17" t="n">
        <f aca="false">B2166*2/27+G2165*25/27</f>
        <v>21493.4019258166</v>
      </c>
      <c r="H2166" s="17" t="n">
        <f aca="false">F2166-G2166</f>
        <v>104.251042613549</v>
      </c>
      <c r="I2166" s="17" t="n">
        <f aca="false">H2166*2/10+I2165*8/10</f>
        <v>86.3449970795033</v>
      </c>
      <c r="J2166" s="17" t="n">
        <f aca="false">H2166-I2166</f>
        <v>17.9060455340453</v>
      </c>
      <c r="K2166" s="17" t="n">
        <f aca="false">MAX(B2166-B2165,0)</f>
        <v>25.739999999998</v>
      </c>
      <c r="L2166" s="17" t="n">
        <f aca="false">MAX(B2165-B2166,0)</f>
        <v>0</v>
      </c>
      <c r="M2166" s="17" t="n">
        <f aca="false">(M2165*13+K2166)/14</f>
        <v>99.5438845336382</v>
      </c>
      <c r="N2166" s="17" t="n">
        <f aca="false">(N2165*13+L2166)/14</f>
        <v>81.66383116493</v>
      </c>
      <c r="O2166" s="17" t="n">
        <f aca="false">IF(N2166=0,100,100-100/(1+M2166/N2166))</f>
        <v>54.933579483572</v>
      </c>
      <c r="P2166" s="17" t="n">
        <f aca="false">AVERAGE(B2147:B2166)+2*STDEV(B2147:B2166)</f>
        <v>22003.2400202429</v>
      </c>
      <c r="Q2166" s="17" t="n">
        <f aca="false">AVERAGE(B2147:B2166)-2*STDEV(B2147:B2166)</f>
        <v>21077.7809797571</v>
      </c>
      <c r="R2166" s="19" t="n">
        <f aca="false">B2166/B2146-1</f>
        <v>0.0463376692949649</v>
      </c>
      <c r="S2166" s="17" t="n">
        <f aca="false">STDEV(C2147:C2166)*SQRT(252)*100</f>
        <v>19.1652919473622</v>
      </c>
      <c r="T2166" s="19" t="n">
        <f aca="false">B2145/B1915-1</f>
        <v>0.162283463422108</v>
      </c>
      <c r="U2166" s="19" t="n">
        <f aca="false">B2166/MAX(B1915:B2166)-1</f>
        <v>-0.0170795043232779</v>
      </c>
      <c r="V2166" s="17" t="n">
        <f aca="false">(B2166-AVERAGE(B2147:B2166))/STDEV(B2147:B2166)</f>
        <v>0.772587406596306</v>
      </c>
    </row>
    <row r="2167" customFormat="false" ht="15" hidden="false" customHeight="false" outlineLevel="0" collapsed="false">
      <c r="A2167" s="17" t="s">
        <v>2731</v>
      </c>
      <c r="B2167" s="17" t="n">
        <v>22030.71</v>
      </c>
      <c r="C2167" s="19" t="n">
        <f aca="false">B2167/B2166-1</f>
        <v>0.0143398071573342</v>
      </c>
      <c r="D2167" s="17" t="n">
        <f aca="false">AVERAGE(B2118:B2167)</f>
        <v>21456.126</v>
      </c>
      <c r="E2167" s="17" t="n">
        <f aca="false">AVERAGE(B1968:B2167)</f>
        <v>20017.2683</v>
      </c>
      <c r="F2167" s="17" t="n">
        <f aca="false">B2167*2/13+F2166*11/13</f>
        <v>21664.2771271332</v>
      </c>
      <c r="G2167" s="17" t="n">
        <f aca="false">B2167*2/27+G2166*25/27</f>
        <v>21533.2025239042</v>
      </c>
      <c r="H2167" s="17" t="n">
        <f aca="false">F2167-G2167</f>
        <v>131.074603228946</v>
      </c>
      <c r="I2167" s="17" t="n">
        <f aca="false">H2167*2/10+I2166*8/10</f>
        <v>95.2909183093919</v>
      </c>
      <c r="J2167" s="17" t="n">
        <f aca="false">H2167-I2167</f>
        <v>35.7836849195543</v>
      </c>
      <c r="K2167" s="17" t="n">
        <f aca="false">MAX(B2167-B2166,0)</f>
        <v>311.450000000001</v>
      </c>
      <c r="L2167" s="17" t="n">
        <f aca="false">MAX(B2166-B2167,0)</f>
        <v>0</v>
      </c>
      <c r="M2167" s="17" t="n">
        <f aca="false">(M2166*13+K2167)/14</f>
        <v>114.680035638378</v>
      </c>
      <c r="N2167" s="17" t="n">
        <f aca="false">(N2166*13+L2167)/14</f>
        <v>75.830700367435</v>
      </c>
      <c r="O2167" s="17" t="n">
        <f aca="false">IF(N2167=0,100,100-100/(1+M2167/N2167))</f>
        <v>60.1961013025948</v>
      </c>
      <c r="P2167" s="17" t="n">
        <f aca="false">AVERAGE(B2148:B2167)+2*STDEV(B2148:B2167)</f>
        <v>22068.8303849293</v>
      </c>
      <c r="Q2167" s="17" t="n">
        <f aca="false">AVERAGE(B2148:B2167)-2*STDEV(B2148:B2167)</f>
        <v>21091.4766150707</v>
      </c>
      <c r="R2167" s="19" t="n">
        <f aca="false">B2167/B2147-1</f>
        <v>0.0373324041746221</v>
      </c>
      <c r="S2167" s="17" t="n">
        <f aca="false">STDEV(C2148:C2167)*SQRT(252)*100</f>
        <v>18.123829569844</v>
      </c>
      <c r="T2167" s="19" t="n">
        <f aca="false">B2146/B1916-1</f>
        <v>0.179370151394115</v>
      </c>
      <c r="U2167" s="19" t="n">
        <f aca="false">B2167/MAX(B1916:B2167)-1</f>
        <v>-0.0029846139642824</v>
      </c>
      <c r="V2167" s="17" t="n">
        <f aca="false">(B2167-AVERAGE(B2148:B2167))/STDEV(B2148:B2167)</f>
        <v>1.84398531583984</v>
      </c>
    </row>
    <row r="2168" customFormat="false" ht="15" hidden="false" customHeight="false" outlineLevel="0" collapsed="false">
      <c r="A2168" s="17" t="s">
        <v>2732</v>
      </c>
      <c r="B2168" s="17" t="n">
        <v>22114.69</v>
      </c>
      <c r="C2168" s="19" t="n">
        <f aca="false">B2168/B2167-1</f>
        <v>0.00381195158939507</v>
      </c>
      <c r="D2168" s="17" t="n">
        <f aca="false">AVERAGE(B2119:B2168)</f>
        <v>21475.1278</v>
      </c>
      <c r="E2168" s="17" t="n">
        <f aca="false">AVERAGE(B1969:B2168)</f>
        <v>20038.92815</v>
      </c>
      <c r="F2168" s="17" t="n">
        <f aca="false">B2168*2/13+F2167*11/13</f>
        <v>21733.5714152665</v>
      </c>
      <c r="G2168" s="17" t="n">
        <f aca="false">B2168*2/27+G2167*25/27</f>
        <v>21576.2756702817</v>
      </c>
      <c r="H2168" s="17" t="n">
        <f aca="false">F2168-G2168</f>
        <v>157.29574498484</v>
      </c>
      <c r="I2168" s="17" t="n">
        <f aca="false">H2168*2/10+I2167*8/10</f>
        <v>107.691883644482</v>
      </c>
      <c r="J2168" s="17" t="n">
        <f aca="false">H2168-I2168</f>
        <v>49.6038613403585</v>
      </c>
      <c r="K2168" s="17" t="n">
        <f aca="false">MAX(B2168-B2167,0)</f>
        <v>83.9799999999996</v>
      </c>
      <c r="L2168" s="17" t="n">
        <f aca="false">MAX(B2167-B2168,0)</f>
        <v>0</v>
      </c>
      <c r="M2168" s="17" t="n">
        <f aca="false">(M2167*13+K2168)/14</f>
        <v>112.487175949923</v>
      </c>
      <c r="N2168" s="17" t="n">
        <f aca="false">(N2167*13+L2168)/14</f>
        <v>70.4142217697611</v>
      </c>
      <c r="O2168" s="17" t="n">
        <f aca="false">IF(N2168=0,100,100-100/(1+M2168/N2168))</f>
        <v>61.5015398200081</v>
      </c>
      <c r="P2168" s="17" t="n">
        <f aca="false">AVERAGE(B2149:B2168)+2*STDEV(B2149:B2168)</f>
        <v>22118.7797635917</v>
      </c>
      <c r="Q2168" s="17" t="n">
        <f aca="false">AVERAGE(B2149:B2168)-2*STDEV(B2149:B2168)</f>
        <v>21143.8712364083</v>
      </c>
      <c r="R2168" s="19" t="n">
        <f aca="false">B2168/B2148-1</f>
        <v>0.0485243880756237</v>
      </c>
      <c r="S2168" s="17" t="n">
        <f aca="false">STDEV(C2149:C2168)*SQRT(252)*100</f>
        <v>17.8305662100245</v>
      </c>
      <c r="T2168" s="19" t="n">
        <f aca="false">B2147/B1917-1</f>
        <v>0.192626419124836</v>
      </c>
      <c r="U2168" s="19" t="n">
        <f aca="false">B2168/MAX(B1917:B2168)-1</f>
        <v>0</v>
      </c>
      <c r="V2168" s="17" t="n">
        <f aca="false">(B2168-AVERAGE(B2149:B2168))/STDEV(B2149:B2168)</f>
        <v>1.98321990842168</v>
      </c>
    </row>
    <row r="2169" customFormat="false" ht="15" hidden="false" customHeight="false" outlineLevel="0" collapsed="false">
      <c r="A2169" s="17" t="s">
        <v>2733</v>
      </c>
      <c r="B2169" s="17" t="n">
        <v>22164.61</v>
      </c>
      <c r="C2169" s="19" t="n">
        <f aca="false">B2169/B2168-1</f>
        <v>0.00225732307348658</v>
      </c>
      <c r="D2169" s="17" t="n">
        <f aca="false">AVERAGE(B2120:B2169)</f>
        <v>21493.8336</v>
      </c>
      <c r="E2169" s="17" t="n">
        <f aca="false">AVERAGE(B1970:B2169)</f>
        <v>20062.54775</v>
      </c>
      <c r="F2169" s="17" t="n">
        <f aca="false">B2169*2/13+F2168*11/13</f>
        <v>21799.8850436871</v>
      </c>
      <c r="G2169" s="17" t="n">
        <f aca="false">B2169*2/27+G2168*25/27</f>
        <v>21619.8559910016</v>
      </c>
      <c r="H2169" s="17" t="n">
        <f aca="false">F2169-G2169</f>
        <v>180.029052685499</v>
      </c>
      <c r="I2169" s="17" t="n">
        <f aca="false">H2169*2/10+I2168*8/10</f>
        <v>122.159317452685</v>
      </c>
      <c r="J2169" s="17" t="n">
        <f aca="false">H2169-I2169</f>
        <v>57.8697352328138</v>
      </c>
      <c r="K2169" s="17" t="n">
        <f aca="false">MAX(B2169-B2168,0)</f>
        <v>49.9200000000019</v>
      </c>
      <c r="L2169" s="17" t="n">
        <f aca="false">MAX(B2168-B2169,0)</f>
        <v>0</v>
      </c>
      <c r="M2169" s="17" t="n">
        <f aca="false">(M2168*13+K2169)/14</f>
        <v>108.0180919535</v>
      </c>
      <c r="N2169" s="17" t="n">
        <f aca="false">(N2168*13+L2169)/14</f>
        <v>65.3846345004924</v>
      </c>
      <c r="O2169" s="17" t="n">
        <f aca="false">IF(N2169=0,100,100-100/(1+M2169/N2169))</f>
        <v>62.293191210093</v>
      </c>
      <c r="P2169" s="17" t="n">
        <f aca="false">AVERAGE(B2150:B2169)+2*STDEV(B2150:B2169)</f>
        <v>22200.7533108517</v>
      </c>
      <c r="Q2169" s="17" t="n">
        <f aca="false">AVERAGE(B2150:B2169)-2*STDEV(B2150:B2169)</f>
        <v>21134.2426891483</v>
      </c>
      <c r="R2169" s="19" t="n">
        <f aca="false">B2169/B2149-1</f>
        <v>0.0337411781825236</v>
      </c>
      <c r="S2169" s="17" t="n">
        <f aca="false">STDEV(C2150:C2169)*SQRT(252)*100</f>
        <v>17.0289417656271</v>
      </c>
      <c r="T2169" s="19" t="n">
        <f aca="false">B2148/B1918-1</f>
        <v>0.181866016053149</v>
      </c>
      <c r="U2169" s="19" t="n">
        <f aca="false">B2169/MAX(B1918:B2169)-1</f>
        <v>0</v>
      </c>
      <c r="V2169" s="17" t="n">
        <f aca="false">(B2169-AVERAGE(B2150:B2169))/STDEV(B2150:B2169)</f>
        <v>1.86444275334454</v>
      </c>
    </row>
    <row r="2170" customFormat="false" ht="15" hidden="false" customHeight="false" outlineLevel="0" collapsed="false">
      <c r="A2170" s="17" t="s">
        <v>2734</v>
      </c>
      <c r="B2170" s="17" t="n">
        <v>22175.6</v>
      </c>
      <c r="C2170" s="19" t="n">
        <f aca="false">B2170/B2169-1</f>
        <v>0.000495835478269147</v>
      </c>
      <c r="D2170" s="17" t="n">
        <f aca="false">AVERAGE(B2121:B2170)</f>
        <v>21507.4984</v>
      </c>
      <c r="E2170" s="17" t="n">
        <f aca="false">AVERAGE(B1971:B2170)</f>
        <v>20086.833</v>
      </c>
      <c r="F2170" s="17" t="n">
        <f aca="false">B2170*2/13+F2169*11/13</f>
        <v>21857.6873446583</v>
      </c>
      <c r="G2170" s="17" t="n">
        <f aca="false">B2170*2/27+G2169*25/27</f>
        <v>21661.0222138903</v>
      </c>
      <c r="H2170" s="17" t="n">
        <f aca="false">F2170-G2170</f>
        <v>196.665130767942</v>
      </c>
      <c r="I2170" s="17" t="n">
        <f aca="false">H2170*2/10+I2169*8/10</f>
        <v>137.060480115736</v>
      </c>
      <c r="J2170" s="17" t="n">
        <f aca="false">H2170-I2170</f>
        <v>59.6046506522058</v>
      </c>
      <c r="K2170" s="17" t="n">
        <f aca="false">MAX(B2170-B2169,0)</f>
        <v>10.989999999998</v>
      </c>
      <c r="L2170" s="17" t="n">
        <f aca="false">MAX(B2169-B2170,0)</f>
        <v>0</v>
      </c>
      <c r="M2170" s="17" t="n">
        <f aca="false">(M2169*13+K2170)/14</f>
        <v>101.087513956821</v>
      </c>
      <c r="N2170" s="17" t="n">
        <f aca="false">(N2169*13+L2170)/14</f>
        <v>60.714303464743</v>
      </c>
      <c r="O2170" s="17" t="n">
        <f aca="false">IF(N2170=0,100,100-100/(1+M2170/N2170))</f>
        <v>62.4761301002227</v>
      </c>
      <c r="P2170" s="17" t="n">
        <f aca="false">AVERAGE(B2151:B2170)+2*STDEV(B2151:B2170)</f>
        <v>22274.7194165224</v>
      </c>
      <c r="Q2170" s="17" t="n">
        <f aca="false">AVERAGE(B2151:B2170)-2*STDEV(B2151:B2170)</f>
        <v>21121.1855834776</v>
      </c>
      <c r="R2170" s="19" t="n">
        <f aca="false">B2170/B2150-1</f>
        <v>0.0282423999061507</v>
      </c>
      <c r="S2170" s="17" t="n">
        <f aca="false">STDEV(C2151:C2170)*SQRT(252)*100</f>
        <v>16.962588418455</v>
      </c>
      <c r="T2170" s="19" t="n">
        <f aca="false">B2149/B1919-1</f>
        <v>0.212325242932538</v>
      </c>
      <c r="U2170" s="19" t="n">
        <f aca="false">B2170/MAX(B1919:B2170)-1</f>
        <v>0</v>
      </c>
      <c r="V2170" s="17" t="n">
        <f aca="false">(B2170-AVERAGE(B2151:B2170))/STDEV(B2151:B2170)</f>
        <v>1.65629298878645</v>
      </c>
    </row>
    <row r="2171" customFormat="false" ht="15" hidden="false" customHeight="false" outlineLevel="0" collapsed="false">
      <c r="A2171" s="17" t="s">
        <v>2735</v>
      </c>
      <c r="B2171" s="17" t="n">
        <v>22068.06</v>
      </c>
      <c r="C2171" s="19" t="n">
        <f aca="false">B2171/B2170-1</f>
        <v>-0.00484947419686488</v>
      </c>
      <c r="D2171" s="17" t="n">
        <f aca="false">AVERAGE(B2122:B2171)</f>
        <v>21520.3552</v>
      </c>
      <c r="E2171" s="17" t="n">
        <f aca="false">AVERAGE(B1972:B2171)</f>
        <v>20109.4656</v>
      </c>
      <c r="F2171" s="17" t="n">
        <f aca="false">B2171*2/13+F2170*11/13</f>
        <v>21890.052368557</v>
      </c>
      <c r="G2171" s="17" t="n">
        <f aca="false">B2171*2/27+G2170*25/27</f>
        <v>21691.1731610096</v>
      </c>
      <c r="H2171" s="17" t="n">
        <f aca="false">F2171-G2171</f>
        <v>198.87920754743</v>
      </c>
      <c r="I2171" s="17" t="n">
        <f aca="false">H2171*2/10+I2170*8/10</f>
        <v>149.424225602075</v>
      </c>
      <c r="J2171" s="17" t="n">
        <f aca="false">H2171-I2171</f>
        <v>49.4549819453551</v>
      </c>
      <c r="K2171" s="17" t="n">
        <f aca="false">MAX(B2171-B2170,0)</f>
        <v>0</v>
      </c>
      <c r="L2171" s="17" t="n">
        <f aca="false">MAX(B2170-B2171,0)</f>
        <v>107.539999999997</v>
      </c>
      <c r="M2171" s="17" t="n">
        <f aca="false">(M2170*13+K2171)/14</f>
        <v>93.8669772456196</v>
      </c>
      <c r="N2171" s="17" t="n">
        <f aca="false">(N2170*13+L2171)/14</f>
        <v>64.058996074404</v>
      </c>
      <c r="O2171" s="17" t="n">
        <f aca="false">IF(N2171=0,100,100-100/(1+M2171/N2171))</f>
        <v>59.4373270414526</v>
      </c>
      <c r="P2171" s="17" t="n">
        <f aca="false">AVERAGE(B2152:B2171)+2*STDEV(B2152:B2171)</f>
        <v>22305.3209814045</v>
      </c>
      <c r="Q2171" s="17" t="n">
        <f aca="false">AVERAGE(B2152:B2171)-2*STDEV(B2152:B2171)</f>
        <v>21112.0900185955</v>
      </c>
      <c r="R2171" s="19" t="n">
        <f aca="false">B2171/B2151-1</f>
        <v>0.00984121173294295</v>
      </c>
      <c r="S2171" s="17" t="n">
        <f aca="false">STDEV(C2152:C2171)*SQRT(252)*100</f>
        <v>16.4993533527421</v>
      </c>
      <c r="T2171" s="19" t="n">
        <f aca="false">B2150/B1920-1</f>
        <v>0.229134109574207</v>
      </c>
      <c r="U2171" s="19" t="n">
        <f aca="false">B2171/MAX(B1920:B2171)-1</f>
        <v>-0.00484947419686488</v>
      </c>
      <c r="V2171" s="17" t="n">
        <f aca="false">(B2171-AVERAGE(B2152:B2171))/STDEV(B2152:B2171)</f>
        <v>1.20464356424011</v>
      </c>
    </row>
    <row r="2172" customFormat="false" ht="15" hidden="false" customHeight="false" outlineLevel="0" collapsed="false">
      <c r="A2172" s="17" t="s">
        <v>2736</v>
      </c>
      <c r="B2172" s="17" t="n">
        <v>21614.08</v>
      </c>
      <c r="C2172" s="19" t="n">
        <f aca="false">B2172/B2171-1</f>
        <v>-0.0205718128371954</v>
      </c>
      <c r="D2172" s="17" t="n">
        <f aca="false">AVERAGE(B2123:B2172)</f>
        <v>21520.1918</v>
      </c>
      <c r="E2172" s="17" t="n">
        <f aca="false">AVERAGE(B1973:B2172)</f>
        <v>20128.082</v>
      </c>
      <c r="F2172" s="17" t="n">
        <f aca="false">B2172*2/13+F2171*11/13</f>
        <v>21847.5950810867</v>
      </c>
      <c r="G2172" s="17" t="n">
        <f aca="false">B2172*2/27+G2171*25/27</f>
        <v>21685.4625564903</v>
      </c>
      <c r="H2172" s="17" t="n">
        <f aca="false">F2172-G2172</f>
        <v>162.132524596353</v>
      </c>
      <c r="I2172" s="17" t="n">
        <f aca="false">H2172*2/10+I2171*8/10</f>
        <v>151.965885400931</v>
      </c>
      <c r="J2172" s="17" t="n">
        <f aca="false">H2172-I2172</f>
        <v>10.1666391954219</v>
      </c>
      <c r="K2172" s="17" t="n">
        <f aca="false">MAX(B2172-B2171,0)</f>
        <v>0</v>
      </c>
      <c r="L2172" s="17" t="n">
        <f aca="false">MAX(B2171-B2172,0)</f>
        <v>453.98</v>
      </c>
      <c r="M2172" s="17" t="n">
        <f aca="false">(M2171*13+K2172)/14</f>
        <v>87.1621931566468</v>
      </c>
      <c r="N2172" s="17" t="n">
        <f aca="false">(N2171*13+L2172)/14</f>
        <v>91.9104963548037</v>
      </c>
      <c r="O2172" s="17" t="n">
        <f aca="false">IF(N2172=0,100,100-100/(1+M2172/N2172))</f>
        <v>48.6741967155597</v>
      </c>
      <c r="P2172" s="17" t="n">
        <f aca="false">AVERAGE(B2153:B2172)+2*STDEV(B2153:B2172)</f>
        <v>22285.2859597698</v>
      </c>
      <c r="Q2172" s="17" t="n">
        <f aca="false">AVERAGE(B2153:B2172)-2*STDEV(B2153:B2172)</f>
        <v>21103.4400402302</v>
      </c>
      <c r="R2172" s="19" t="n">
        <f aca="false">B2172/B2152-1</f>
        <v>-0.0130976173157943</v>
      </c>
      <c r="S2172" s="17" t="n">
        <f aca="false">STDEV(C2153:C2172)*SQRT(252)*100</f>
        <v>18.0984247552852</v>
      </c>
      <c r="T2172" s="19" t="n">
        <f aca="false">B2151/B1921-1</f>
        <v>0.250249586501675</v>
      </c>
      <c r="U2172" s="19" t="n">
        <f aca="false">B2172/MAX(B1921:B2172)-1</f>
        <v>-0.0253215245585237</v>
      </c>
      <c r="V2172" s="17" t="n">
        <f aca="false">(B2172-AVERAGE(B2153:B2172))/STDEV(B2153:B2172)</f>
        <v>-0.271720699535073</v>
      </c>
    </row>
    <row r="2173" customFormat="false" ht="15" hidden="false" customHeight="false" outlineLevel="0" collapsed="false">
      <c r="A2173" s="17" t="s">
        <v>2737</v>
      </c>
      <c r="B2173" s="17" t="n">
        <v>21352.08</v>
      </c>
      <c r="C2173" s="19" t="n">
        <f aca="false">B2173/B2172-1</f>
        <v>-0.0121217280587469</v>
      </c>
      <c r="D2173" s="17" t="n">
        <f aca="false">AVERAGE(B2124:B2173)</f>
        <v>21518.417</v>
      </c>
      <c r="E2173" s="17" t="n">
        <f aca="false">AVERAGE(B1974:B2173)</f>
        <v>20144.37455</v>
      </c>
      <c r="F2173" s="17" t="n">
        <f aca="false">B2173*2/13+F2172*11/13</f>
        <v>21771.3619916887</v>
      </c>
      <c r="G2173" s="17" t="n">
        <f aca="false">B2173*2/27+G2172*25/27</f>
        <v>21660.7675523059</v>
      </c>
      <c r="H2173" s="17" t="n">
        <f aca="false">F2173-G2173</f>
        <v>110.594439382869</v>
      </c>
      <c r="I2173" s="17" t="n">
        <f aca="false">H2173*2/10+I2172*8/10</f>
        <v>143.691596197318</v>
      </c>
      <c r="J2173" s="17" t="n">
        <f aca="false">H2173-I2173</f>
        <v>-33.0971568144497</v>
      </c>
      <c r="K2173" s="17" t="n">
        <f aca="false">MAX(B2173-B2172,0)</f>
        <v>0</v>
      </c>
      <c r="L2173" s="17" t="n">
        <f aca="false">MAX(B2172-B2173,0)</f>
        <v>262</v>
      </c>
      <c r="M2173" s="17" t="n">
        <f aca="false">(M2172*13+K2173)/14</f>
        <v>80.9363222168863</v>
      </c>
      <c r="N2173" s="17" t="n">
        <f aca="false">(N2172*13+L2173)/14</f>
        <v>104.059746615175</v>
      </c>
      <c r="O2173" s="17" t="n">
        <f aca="false">IF(N2173=0,100,100-100/(1+M2173/N2173))</f>
        <v>43.7502930347996</v>
      </c>
      <c r="P2173" s="17" t="n">
        <f aca="false">AVERAGE(B2154:B2173)+2*STDEV(B2154:B2173)</f>
        <v>22282.0729245209</v>
      </c>
      <c r="Q2173" s="17" t="n">
        <f aca="false">AVERAGE(B2154:B2173)-2*STDEV(B2154:B2173)</f>
        <v>21064.4600754791</v>
      </c>
      <c r="R2173" s="19" t="n">
        <f aca="false">B2173/B2153-1</f>
        <v>-0.0193776892726695</v>
      </c>
      <c r="S2173" s="17" t="n">
        <f aca="false">STDEV(C2154:C2173)*SQRT(252)*100</f>
        <v>18.474848350484</v>
      </c>
      <c r="T2173" s="19" t="n">
        <f aca="false">B2152/B1922-1</f>
        <v>0.216400717590407</v>
      </c>
      <c r="U2173" s="19" t="n">
        <f aca="false">B2173/MAX(B1922:B2173)-1</f>
        <v>-0.0371363119825392</v>
      </c>
      <c r="V2173" s="17" t="n">
        <f aca="false">(B2173-AVERAGE(B2154:B2173))/STDEV(B2154:B2173)</f>
        <v>-1.05513505463668</v>
      </c>
    </row>
    <row r="2174" customFormat="false" ht="15" hidden="false" customHeight="false" outlineLevel="0" collapsed="false">
      <c r="A2174" s="17" t="s">
        <v>2738</v>
      </c>
      <c r="B2174" s="17" t="n">
        <v>21087.25</v>
      </c>
      <c r="C2174" s="19" t="n">
        <f aca="false">B2174/B2173-1</f>
        <v>-0.0124030071075044</v>
      </c>
      <c r="D2174" s="17" t="n">
        <f aca="false">AVERAGE(B2125:B2174)</f>
        <v>21512.7984</v>
      </c>
      <c r="E2174" s="17" t="n">
        <f aca="false">AVERAGE(B1975:B2174)</f>
        <v>20159.35355</v>
      </c>
      <c r="F2174" s="17" t="n">
        <f aca="false">B2174*2/13+F2173*11/13</f>
        <v>21666.1139929674</v>
      </c>
      <c r="G2174" s="17" t="n">
        <f aca="false">B2174*2/27+G2173*25/27</f>
        <v>21618.2847706536</v>
      </c>
      <c r="H2174" s="17" t="n">
        <f aca="false">F2174-G2174</f>
        <v>47.8292223138124</v>
      </c>
      <c r="I2174" s="17" t="n">
        <f aca="false">H2174*2/10+I2173*8/10</f>
        <v>124.519121420617</v>
      </c>
      <c r="J2174" s="17" t="n">
        <f aca="false">H2174-I2174</f>
        <v>-76.6898991068047</v>
      </c>
      <c r="K2174" s="17" t="n">
        <f aca="false">MAX(B2174-B2173,0)</f>
        <v>0</v>
      </c>
      <c r="L2174" s="17" t="n">
        <f aca="false">MAX(B2173-B2174,0)</f>
        <v>264.830000000002</v>
      </c>
      <c r="M2174" s="17" t="n">
        <f aca="false">(M2173*13+K2174)/14</f>
        <v>75.1551563442516</v>
      </c>
      <c r="N2174" s="17" t="n">
        <f aca="false">(N2173*13+L2174)/14</f>
        <v>115.543336142662</v>
      </c>
      <c r="O2174" s="17" t="n">
        <f aca="false">IF(N2174=0,100,100-100/(1+M2174/N2174))</f>
        <v>39.4104617001148</v>
      </c>
      <c r="P2174" s="17" t="n">
        <f aca="false">AVERAGE(B2155:B2174)+2*STDEV(B2155:B2174)</f>
        <v>22287.8428146307</v>
      </c>
      <c r="Q2174" s="17" t="n">
        <f aca="false">AVERAGE(B2155:B2174)-2*STDEV(B2155:B2174)</f>
        <v>21054.6871853693</v>
      </c>
      <c r="R2174" s="19" t="n">
        <f aca="false">B2174/B2154-1</f>
        <v>-0.00189470674880998</v>
      </c>
      <c r="S2174" s="17" t="n">
        <f aca="false">STDEV(C2155:C2174)*SQRT(252)*100</f>
        <v>15.7137178104439</v>
      </c>
      <c r="T2174" s="19" t="n">
        <f aca="false">B2153/B1923-1</f>
        <v>0.213874646622376</v>
      </c>
      <c r="U2174" s="19" t="n">
        <f aca="false">B2174/MAX(B1923:B2174)-1</f>
        <v>-0.0490787171485777</v>
      </c>
      <c r="V2174" s="17" t="n">
        <f aca="false">(B2174-AVERAGE(B2155:B2174))/STDEV(B2155:B2174)</f>
        <v>-1.8943756526492</v>
      </c>
    </row>
    <row r="2175" customFormat="false" ht="15" hidden="false" customHeight="false" outlineLevel="0" collapsed="false">
      <c r="A2175" s="17" t="s">
        <v>2739</v>
      </c>
      <c r="B2175" s="17" t="n">
        <v>21132.92</v>
      </c>
      <c r="C2175" s="19" t="n">
        <f aca="false">B2175/B2174-1</f>
        <v>0.0021657636723611</v>
      </c>
      <c r="D2175" s="17" t="n">
        <f aca="false">AVERAGE(B2126:B2175)</f>
        <v>21500.1772</v>
      </c>
      <c r="E2175" s="17" t="n">
        <f aca="false">AVERAGE(B1976:B2175)</f>
        <v>20174.5931</v>
      </c>
      <c r="F2175" s="17" t="n">
        <f aca="false">B2175*2/13+F2174*11/13</f>
        <v>21584.0841478955</v>
      </c>
      <c r="G2175" s="17" t="n">
        <f aca="false">B2175*2/27+G2174*25/27</f>
        <v>21582.3318246793</v>
      </c>
      <c r="H2175" s="17" t="n">
        <f aca="false">F2175-G2175</f>
        <v>1.75232321624208</v>
      </c>
      <c r="I2175" s="17" t="n">
        <f aca="false">H2175*2/10+I2174*8/10</f>
        <v>99.9657617797421</v>
      </c>
      <c r="J2175" s="17" t="n">
        <f aca="false">H2175-I2175</f>
        <v>-98.2134385635</v>
      </c>
      <c r="K2175" s="17" t="n">
        <f aca="false">MAX(B2175-B2174,0)</f>
        <v>45.6699999999983</v>
      </c>
      <c r="L2175" s="17" t="n">
        <f aca="false">MAX(B2174-B2175,0)</f>
        <v>0</v>
      </c>
      <c r="M2175" s="17" t="n">
        <f aca="false">(M2174*13+K2175)/14</f>
        <v>73.0490737482335</v>
      </c>
      <c r="N2175" s="17" t="n">
        <f aca="false">(N2174*13+L2175)/14</f>
        <v>107.290240703901</v>
      </c>
      <c r="O2175" s="17" t="n">
        <f aca="false">IF(N2175=0,100,100-100/(1+M2175/N2175))</f>
        <v>40.5064608181275</v>
      </c>
      <c r="P2175" s="17" t="n">
        <f aca="false">AVERAGE(B2156:B2175)+2*STDEV(B2156:B2175)</f>
        <v>22311.1939785061</v>
      </c>
      <c r="Q2175" s="17" t="n">
        <f aca="false">AVERAGE(B2156:B2175)-2*STDEV(B2156:B2175)</f>
        <v>20998.3240214939</v>
      </c>
      <c r="R2175" s="19" t="n">
        <f aca="false">B2175/B2155-1</f>
        <v>-0.0153808593750001</v>
      </c>
      <c r="S2175" s="17" t="n">
        <f aca="false">STDEV(C2156:C2175)*SQRT(252)*100</f>
        <v>14.5814986181296</v>
      </c>
      <c r="T2175" s="19" t="n">
        <f aca="false">B2154/B1924-1</f>
        <v>0.178101334219579</v>
      </c>
      <c r="U2175" s="19" t="n">
        <f aca="false">B2175/MAX(B1924:B2175)-1</f>
        <v>-0.047019246378903</v>
      </c>
      <c r="V2175" s="17" t="n">
        <f aca="false">(B2175-AVERAGE(B2156:B2175))/STDEV(B2156:B2175)</f>
        <v>-1.58991832271822</v>
      </c>
    </row>
    <row r="2176" customFormat="false" ht="15" hidden="false" customHeight="false" outlineLevel="0" collapsed="false">
      <c r="A2176" s="17" t="s">
        <v>2740</v>
      </c>
      <c r="B2176" s="17" t="n">
        <v>20550.95</v>
      </c>
      <c r="C2176" s="19" t="n">
        <f aca="false">B2176/B2175-1</f>
        <v>-0.0275385512271847</v>
      </c>
      <c r="D2176" s="17" t="n">
        <f aca="false">AVERAGE(B2127:B2176)</f>
        <v>21478.8908</v>
      </c>
      <c r="E2176" s="17" t="n">
        <f aca="false">AVERAGE(B1977:B2176)</f>
        <v>20186.78055</v>
      </c>
      <c r="F2176" s="17" t="n">
        <f aca="false">B2176*2/13+F2175*11/13</f>
        <v>21425.1404328347</v>
      </c>
      <c r="G2176" s="17" t="n">
        <f aca="false">B2176*2/27+G2175*25/27</f>
        <v>21505.9331709993</v>
      </c>
      <c r="H2176" s="17" t="n">
        <f aca="false">F2176-G2176</f>
        <v>-80.7927381646587</v>
      </c>
      <c r="I2176" s="17" t="n">
        <f aca="false">H2176*2/10+I2175*8/10</f>
        <v>63.8140617908619</v>
      </c>
      <c r="J2176" s="17" t="n">
        <f aca="false">H2176-I2176</f>
        <v>-144.606799955521</v>
      </c>
      <c r="K2176" s="17" t="n">
        <f aca="false">MAX(B2176-B2175,0)</f>
        <v>0</v>
      </c>
      <c r="L2176" s="17" t="n">
        <f aca="false">MAX(B2175-B2176,0)</f>
        <v>581.969999999998</v>
      </c>
      <c r="M2176" s="17" t="n">
        <f aca="false">(M2175*13+K2176)/14</f>
        <v>67.8312827662168</v>
      </c>
      <c r="N2176" s="17" t="n">
        <f aca="false">(N2175*13+L2176)/14</f>
        <v>141.195937796479</v>
      </c>
      <c r="O2176" s="17" t="n">
        <f aca="false">IF(N2176=0,100,100-100/(1+M2176/N2176))</f>
        <v>32.450932746279</v>
      </c>
      <c r="P2176" s="17" t="n">
        <f aca="false">AVERAGE(B2157:B2176)+2*STDEV(B2157:B2176)</f>
        <v>22428.5287416036</v>
      </c>
      <c r="Q2176" s="17" t="n">
        <f aca="false">AVERAGE(B2157:B2176)-2*STDEV(B2157:B2176)</f>
        <v>20794.9382583964</v>
      </c>
      <c r="R2176" s="19" t="n">
        <f aca="false">B2176/B2156-1</f>
        <v>-0.0401892257697513</v>
      </c>
      <c r="S2176" s="17" t="n">
        <f aca="false">STDEV(C2157:C2176)*SQRT(252)*100</f>
        <v>17.4169725882184</v>
      </c>
      <c r="T2176" s="19" t="n">
        <f aca="false">B2155/B1925-1</f>
        <v>0.194311962851364</v>
      </c>
      <c r="U2176" s="19" t="n">
        <f aca="false">B2176/MAX(B1925:B2176)-1</f>
        <v>-0.0732629556810187</v>
      </c>
      <c r="V2176" s="17" t="n">
        <f aca="false">(B2176-AVERAGE(B2157:B2176))/STDEV(B2157:B2176)</f>
        <v>-2.59742820714125</v>
      </c>
    </row>
    <row r="2177" customFormat="false" ht="15" hidden="false" customHeight="false" outlineLevel="0" collapsed="false">
      <c r="A2177" s="17" t="s">
        <v>2741</v>
      </c>
      <c r="B2177" s="17" t="n">
        <v>20884.41</v>
      </c>
      <c r="C2177" s="19" t="n">
        <f aca="false">B2177/B2176-1</f>
        <v>0.0162260138825698</v>
      </c>
      <c r="D2177" s="17" t="n">
        <f aca="false">AVERAGE(B2128:B2177)</f>
        <v>21460.974</v>
      </c>
      <c r="E2177" s="17" t="n">
        <f aca="false">AVERAGE(B1978:B2177)</f>
        <v>20200.3967</v>
      </c>
      <c r="F2177" s="17" t="n">
        <f aca="false">B2177*2/13+F2176*11/13</f>
        <v>21341.9511354755</v>
      </c>
      <c r="G2177" s="17" t="n">
        <f aca="false">B2177*2/27+G2176*25/27</f>
        <v>21459.894417592</v>
      </c>
      <c r="H2177" s="17" t="n">
        <f aca="false">F2177-G2177</f>
        <v>-117.943282116477</v>
      </c>
      <c r="I2177" s="17" t="n">
        <f aca="false">H2177*2/10+I2176*8/10</f>
        <v>27.4625930093941</v>
      </c>
      <c r="J2177" s="17" t="n">
        <f aca="false">H2177-I2177</f>
        <v>-145.405875125871</v>
      </c>
      <c r="K2177" s="17" t="n">
        <f aca="false">MAX(B2177-B2176,0)</f>
        <v>333.459999999999</v>
      </c>
      <c r="L2177" s="17" t="n">
        <f aca="false">MAX(B2176-B2177,0)</f>
        <v>0</v>
      </c>
      <c r="M2177" s="17" t="n">
        <f aca="false">(M2176*13+K2177)/14</f>
        <v>86.8047625686298</v>
      </c>
      <c r="N2177" s="17" t="n">
        <f aca="false">(N2176*13+L2177)/14</f>
        <v>131.110513668159</v>
      </c>
      <c r="O2177" s="17" t="n">
        <f aca="false">IF(N2177=0,100,100-100/(1+M2177/N2177))</f>
        <v>39.8341796259877</v>
      </c>
      <c r="P2177" s="17" t="n">
        <f aca="false">AVERAGE(B2158:B2177)+2*STDEV(B2158:B2177)</f>
        <v>22459.2787503224</v>
      </c>
      <c r="Q2177" s="17" t="n">
        <f aca="false">AVERAGE(B2158:B2177)-2*STDEV(B2158:B2177)</f>
        <v>20701.8172496776</v>
      </c>
      <c r="R2177" s="19" t="n">
        <f aca="false">B2177/B2157-1</f>
        <v>-0.02899881533114</v>
      </c>
      <c r="S2177" s="17" t="n">
        <f aca="false">STDEV(C2158:C2177)*SQRT(252)*100</f>
        <v>18.4619696101975</v>
      </c>
      <c r="T2177" s="19" t="n">
        <f aca="false">B2156/B1926-1</f>
        <v>0.197877423144703</v>
      </c>
      <c r="U2177" s="19" t="n">
        <f aca="false">B2177/MAX(B1926:B2177)-1</f>
        <v>-0.0582257075344071</v>
      </c>
      <c r="V2177" s="17" t="n">
        <f aca="false">(B2177-AVERAGE(B2158:B2177))/STDEV(B2158:B2177)</f>
        <v>-1.58441706915258</v>
      </c>
    </row>
    <row r="2178" customFormat="false" ht="15" hidden="false" customHeight="false" outlineLevel="0" collapsed="false">
      <c r="A2178" s="17" t="s">
        <v>2742</v>
      </c>
      <c r="B2178" s="17" t="n">
        <v>20425.58</v>
      </c>
      <c r="C2178" s="19" t="n">
        <f aca="false">B2178/B2177-1</f>
        <v>-0.0219699766476524</v>
      </c>
      <c r="D2178" s="17" t="n">
        <f aca="false">AVERAGE(B2129:B2178)</f>
        <v>21427.5524</v>
      </c>
      <c r="E2178" s="17" t="n">
        <f aca="false">AVERAGE(B1979:B2178)</f>
        <v>20211.53155</v>
      </c>
      <c r="F2178" s="17" t="n">
        <f aca="false">B2178*2/13+F2177*11/13</f>
        <v>21200.9709607869</v>
      </c>
      <c r="G2178" s="17" t="n">
        <f aca="false">B2178*2/27+G2177*25/27</f>
        <v>21383.2785348074</v>
      </c>
      <c r="H2178" s="17" t="n">
        <f aca="false">F2178-G2178</f>
        <v>-182.307574020426</v>
      </c>
      <c r="I2178" s="17" t="n">
        <f aca="false">H2178*2/10+I2177*8/10</f>
        <v>-14.4914403965699</v>
      </c>
      <c r="J2178" s="17" t="n">
        <f aca="false">H2178-I2178</f>
        <v>-167.816133623856</v>
      </c>
      <c r="K2178" s="17" t="n">
        <f aca="false">MAX(B2178-B2177,0)</f>
        <v>0</v>
      </c>
      <c r="L2178" s="17" t="n">
        <f aca="false">MAX(B2177-B2178,0)</f>
        <v>458.829999999998</v>
      </c>
      <c r="M2178" s="17" t="n">
        <f aca="false">(M2177*13+K2178)/14</f>
        <v>80.6044223851563</v>
      </c>
      <c r="N2178" s="17" t="n">
        <f aca="false">(N2177*13+L2178)/14</f>
        <v>154.519048406148</v>
      </c>
      <c r="O2178" s="17" t="n">
        <f aca="false">IF(N2178=0,100,100-100/(1+M2178/N2178))</f>
        <v>34.2817423177208</v>
      </c>
      <c r="P2178" s="17" t="n">
        <f aca="false">AVERAGE(B2159:B2178)+2*STDEV(B2159:B2178)</f>
        <v>22547.3007087303</v>
      </c>
      <c r="Q2178" s="17" t="n">
        <f aca="false">AVERAGE(B2159:B2178)-2*STDEV(B2159:B2178)</f>
        <v>20508.5482912697</v>
      </c>
      <c r="R2178" s="19" t="n">
        <f aca="false">B2178/B2158-1</f>
        <v>-0.049002120769809</v>
      </c>
      <c r="S2178" s="17" t="n">
        <f aca="false">STDEV(C2159:C2178)*SQRT(252)*100</f>
        <v>19.8526119504928</v>
      </c>
      <c r="T2178" s="19" t="n">
        <f aca="false">B2157/B1927-1</f>
        <v>0.191991731254694</v>
      </c>
      <c r="U2178" s="19" t="n">
        <f aca="false">B2178/MAX(B1927:B2178)-1</f>
        <v>-0.0789164667472355</v>
      </c>
      <c r="V2178" s="17" t="n">
        <f aca="false">(B2178-AVERAGE(B2159:B2178))/STDEV(B2159:B2178)</f>
        <v>-2.16278247532007</v>
      </c>
    </row>
    <row r="2179" customFormat="false" ht="15" hidden="false" customHeight="false" outlineLevel="0" collapsed="false">
      <c r="A2179" s="17" t="s">
        <v>2743</v>
      </c>
      <c r="B2179" s="17" t="n">
        <v>20352.53</v>
      </c>
      <c r="C2179" s="19" t="n">
        <f aca="false">B2179/B2178-1</f>
        <v>-0.00357639783056363</v>
      </c>
      <c r="D2179" s="17" t="n">
        <f aca="false">AVERAGE(B2130:B2179)</f>
        <v>21394.5814</v>
      </c>
      <c r="E2179" s="17" t="n">
        <f aca="false">AVERAGE(B1980:B2179)</f>
        <v>20221.68035</v>
      </c>
      <c r="F2179" s="17" t="n">
        <f aca="false">B2179*2/13+F2178*11/13</f>
        <v>21070.4415822043</v>
      </c>
      <c r="G2179" s="17" t="n">
        <f aca="false">B2179*2/27+G2178*25/27</f>
        <v>21306.9267914883</v>
      </c>
      <c r="H2179" s="17" t="n">
        <f aca="false">F2179-G2179</f>
        <v>-236.485209283968</v>
      </c>
      <c r="I2179" s="17" t="n">
        <f aca="false">H2179*2/10+I2178*8/10</f>
        <v>-58.8901941740496</v>
      </c>
      <c r="J2179" s="17" t="n">
        <f aca="false">H2179-I2179</f>
        <v>-177.595015109919</v>
      </c>
      <c r="K2179" s="17" t="n">
        <f aca="false">MAX(B2179-B2178,0)</f>
        <v>0</v>
      </c>
      <c r="L2179" s="17" t="n">
        <f aca="false">MAX(B2178-B2179,0)</f>
        <v>73.0500000000029</v>
      </c>
      <c r="M2179" s="17" t="n">
        <f aca="false">(M2178*13+K2179)/14</f>
        <v>74.8469636433594</v>
      </c>
      <c r="N2179" s="17" t="n">
        <f aca="false">(N2178*13+L2179)/14</f>
        <v>148.699830662852</v>
      </c>
      <c r="O2179" s="17" t="n">
        <f aca="false">IF(N2179=0,100,100-100/(1+M2179/N2179))</f>
        <v>33.4815642852991</v>
      </c>
      <c r="P2179" s="17" t="n">
        <f aca="false">AVERAGE(B2160:B2179)+2*STDEV(B2160:B2179)</f>
        <v>22624.9663104786</v>
      </c>
      <c r="Q2179" s="17" t="n">
        <f aca="false">AVERAGE(B2160:B2179)-2*STDEV(B2160:B2179)</f>
        <v>20336.3776895214</v>
      </c>
      <c r="R2179" s="19" t="n">
        <f aca="false">B2179/B2159-1</f>
        <v>-0.0443735861069663</v>
      </c>
      <c r="S2179" s="17" t="n">
        <f aca="false">STDEV(C2160:C2179)*SQRT(252)*100</f>
        <v>19.7337389718464</v>
      </c>
      <c r="T2179" s="19" t="n">
        <f aca="false">B2158/B1928-1</f>
        <v>0.173477332293062</v>
      </c>
      <c r="U2179" s="19" t="n">
        <f aca="false">B2179/MAX(B1928:B2179)-1</f>
        <v>-0.0822106278973286</v>
      </c>
      <c r="V2179" s="17" t="n">
        <f aca="false">(B2179-AVERAGE(B2160:B2179))/STDEV(B2160:B2179)</f>
        <v>-1.97176895780974</v>
      </c>
    </row>
    <row r="2180" customFormat="false" ht="15" hidden="false" customHeight="false" outlineLevel="0" collapsed="false">
      <c r="A2180" s="17" t="s">
        <v>2744</v>
      </c>
      <c r="B2180" s="17" t="n">
        <v>20628.46</v>
      </c>
      <c r="C2180" s="19" t="n">
        <f aca="false">B2180/B2179-1</f>
        <v>0.0135575282286773</v>
      </c>
      <c r="D2180" s="17" t="n">
        <f aca="false">AVERAGE(B2131:B2180)</f>
        <v>21382.9642</v>
      </c>
      <c r="E2180" s="17" t="n">
        <f aca="false">AVERAGE(B1981:B2180)</f>
        <v>20231.8394</v>
      </c>
      <c r="F2180" s="17" t="n">
        <f aca="false">B2180*2/13+F2179*11/13</f>
        <v>21002.4444157114</v>
      </c>
      <c r="G2180" s="17" t="n">
        <f aca="false">B2180*2/27+G2179*25/27</f>
        <v>21256.6699921188</v>
      </c>
      <c r="H2180" s="17" t="n">
        <f aca="false">F2180-G2180</f>
        <v>-254.225576407443</v>
      </c>
      <c r="I2180" s="17" t="n">
        <f aca="false">H2180*2/10+I2179*8/10</f>
        <v>-97.9572706207284</v>
      </c>
      <c r="J2180" s="17" t="n">
        <f aca="false">H2180-I2180</f>
        <v>-156.268305786715</v>
      </c>
      <c r="K2180" s="17" t="n">
        <f aca="false">MAX(B2180-B2179,0)</f>
        <v>275.93</v>
      </c>
      <c r="L2180" s="17" t="n">
        <f aca="false">MAX(B2179-B2180,0)</f>
        <v>0</v>
      </c>
      <c r="M2180" s="17" t="n">
        <f aca="false">(M2179*13+K2180)/14</f>
        <v>89.2100376688337</v>
      </c>
      <c r="N2180" s="17" t="n">
        <f aca="false">(N2179*13+L2180)/14</f>
        <v>138.078414186934</v>
      </c>
      <c r="O2180" s="17" t="n">
        <f aca="false">IF(N2180=0,100,100-100/(1+M2180/N2180))</f>
        <v>39.2497009594859</v>
      </c>
      <c r="P2180" s="17" t="n">
        <f aca="false">AVERAGE(B2161:B2180)+2*STDEV(B2161:B2180)</f>
        <v>22638.5190103365</v>
      </c>
      <c r="Q2180" s="17" t="n">
        <f aca="false">AVERAGE(B2161:B2180)-2*STDEV(B2161:B2180)</f>
        <v>20228.9789896635</v>
      </c>
      <c r="R2180" s="19" t="n">
        <f aca="false">B2180/B2160-1</f>
        <v>-0.0435138628974373</v>
      </c>
      <c r="S2180" s="17" t="n">
        <f aca="false">STDEV(C2161:C2180)*SQRT(252)*100</f>
        <v>19.8270308003753</v>
      </c>
      <c r="T2180" s="19" t="n">
        <f aca="false">B2159/B1929-1</f>
        <v>0.168496604939626</v>
      </c>
      <c r="U2180" s="19" t="n">
        <f aca="false">B2180/MAX(B1929:B2180)-1</f>
        <v>-0.0697676725770666</v>
      </c>
      <c r="V2180" s="17" t="n">
        <f aca="false">(B2180-AVERAGE(B2161:B2180))/STDEV(B2161:B2180)</f>
        <v>-1.33683440505802</v>
      </c>
    </row>
    <row r="2181" customFormat="false" ht="15" hidden="false" customHeight="false" outlineLevel="0" collapsed="false">
      <c r="A2181" s="17" t="s">
        <v>2745</v>
      </c>
      <c r="B2181" s="17" t="n">
        <v>20052.63</v>
      </c>
      <c r="C2181" s="19" t="n">
        <f aca="false">B2181/B2180-1</f>
        <v>-0.0279143474597715</v>
      </c>
      <c r="D2181" s="17" t="n">
        <f aca="false">AVERAGE(B2132:B2181)</f>
        <v>21361.8066</v>
      </c>
      <c r="E2181" s="17" t="n">
        <f aca="false">AVERAGE(B1982:B2181)</f>
        <v>20239.31275</v>
      </c>
      <c r="F2181" s="17" t="n">
        <f aca="false">B2181*2/13+F2180*11/13</f>
        <v>20856.3191209865</v>
      </c>
      <c r="G2181" s="17" t="n">
        <f aca="false">B2181*2/27+G2180*25/27</f>
        <v>21167.4818445544</v>
      </c>
      <c r="H2181" s="17" t="n">
        <f aca="false">F2181-G2181</f>
        <v>-311.162723567915</v>
      </c>
      <c r="I2181" s="17" t="n">
        <f aca="false">H2181*2/10+I2180*8/10</f>
        <v>-140.598361210166</v>
      </c>
      <c r="J2181" s="17" t="n">
        <f aca="false">H2181-I2181</f>
        <v>-170.56436235775</v>
      </c>
      <c r="K2181" s="17" t="n">
        <f aca="false">MAX(B2181-B2180,0)</f>
        <v>0</v>
      </c>
      <c r="L2181" s="17" t="n">
        <f aca="false">MAX(B2180-B2181,0)</f>
        <v>575.829999999998</v>
      </c>
      <c r="M2181" s="17" t="n">
        <f aca="false">(M2180*13+K2181)/14</f>
        <v>82.8378921210599</v>
      </c>
      <c r="N2181" s="17" t="n">
        <f aca="false">(N2180*13+L2181)/14</f>
        <v>169.346384602153</v>
      </c>
      <c r="O2181" s="17" t="n">
        <f aca="false">IF(N2181=0,100,100-100/(1+M2181/N2181))</f>
        <v>32.8481589722501</v>
      </c>
      <c r="P2181" s="17" t="n">
        <f aca="false">AVERAGE(B2162:B2181)+2*STDEV(B2162:B2181)</f>
        <v>22700.8074336082</v>
      </c>
      <c r="Q2181" s="17" t="n">
        <f aca="false">AVERAGE(B2162:B2181)-2*STDEV(B2162:B2181)</f>
        <v>20006.1375663918</v>
      </c>
      <c r="R2181" s="19" t="n">
        <f aca="false">B2181/B2161-1</f>
        <v>-0.0741304893859865</v>
      </c>
      <c r="S2181" s="17" t="n">
        <f aca="false">STDEV(C2162:C2181)*SQRT(252)*100</f>
        <v>21.6546043564256</v>
      </c>
      <c r="T2181" s="19" t="n">
        <f aca="false">B2160/B1930-1</f>
        <v>0.204999254101186</v>
      </c>
      <c r="U2181" s="19" t="n">
        <f aca="false">B2181/MAX(B1930:B2181)-1</f>
        <v>-0.0957345009830624</v>
      </c>
      <c r="V2181" s="17" t="n">
        <f aca="false">(B2181-AVERAGE(B2162:B2181))/STDEV(B2162:B2181)</f>
        <v>-1.93098607859338</v>
      </c>
    </row>
    <row r="2182" customFormat="false" ht="15" hidden="false" customHeight="false" outlineLevel="0" collapsed="false">
      <c r="A2182" s="17" t="s">
        <v>2746</v>
      </c>
      <c r="B2182" s="17" t="n">
        <v>20201.37</v>
      </c>
      <c r="C2182" s="19" t="n">
        <f aca="false">B2182/B2181-1</f>
        <v>0.00741748089901417</v>
      </c>
      <c r="D2182" s="17" t="n">
        <f aca="false">AVERAGE(B2133:B2182)</f>
        <v>21340.051</v>
      </c>
      <c r="E2182" s="17" t="n">
        <f aca="false">AVERAGE(B1983:B2182)</f>
        <v>20247.58845</v>
      </c>
      <c r="F2182" s="17" t="n">
        <f aca="false">B2182*2/13+F2181*11/13</f>
        <v>20755.5577177578</v>
      </c>
      <c r="G2182" s="17" t="n">
        <f aca="false">B2182*2/27+G2181*25/27</f>
        <v>21095.9180042171</v>
      </c>
      <c r="H2182" s="17" t="n">
        <f aca="false">F2182-G2182</f>
        <v>-340.360286459243</v>
      </c>
      <c r="I2182" s="17" t="n">
        <f aca="false">H2182*2/10+I2181*8/10</f>
        <v>-180.550746259981</v>
      </c>
      <c r="J2182" s="17" t="n">
        <f aca="false">H2182-I2182</f>
        <v>-159.809540199262</v>
      </c>
      <c r="K2182" s="17" t="n">
        <f aca="false">MAX(B2182-B2181,0)</f>
        <v>148.739999999998</v>
      </c>
      <c r="L2182" s="17" t="n">
        <f aca="false">MAX(B2181-B2182,0)</f>
        <v>0</v>
      </c>
      <c r="M2182" s="17" t="n">
        <f aca="false">(M2181*13+K2182)/14</f>
        <v>87.545185540984</v>
      </c>
      <c r="N2182" s="17" t="n">
        <f aca="false">(N2181*13+L2182)/14</f>
        <v>157.250214273427</v>
      </c>
      <c r="O2182" s="17" t="n">
        <f aca="false">IF(N2182=0,100,100-100/(1+M2182/N2182))</f>
        <v>35.762594234759</v>
      </c>
      <c r="P2182" s="17" t="n">
        <f aca="false">AVERAGE(B2163:B2182)+2*STDEV(B2163:B2182)</f>
        <v>22700.1350984556</v>
      </c>
      <c r="Q2182" s="17" t="n">
        <f aca="false">AVERAGE(B2163:B2182)-2*STDEV(B2163:B2182)</f>
        <v>19849.5399015445</v>
      </c>
      <c r="R2182" s="19" t="n">
        <f aca="false">B2182/B2162-1</f>
        <v>-0.0722281135313702</v>
      </c>
      <c r="S2182" s="17" t="n">
        <f aca="false">STDEV(C2163:C2182)*SQRT(252)*100</f>
        <v>21.78186059625</v>
      </c>
      <c r="T2182" s="19" t="n">
        <f aca="false">B2161/B1931-1</f>
        <v>0.20205776916643</v>
      </c>
      <c r="U2182" s="19" t="n">
        <f aca="false">B2182/MAX(B1931:B2182)-1</f>
        <v>-0.0890271289164667</v>
      </c>
      <c r="V2182" s="17" t="n">
        <f aca="false">(B2182-AVERAGE(B2163:B2182))/STDEV(B2163:B2182)</f>
        <v>-1.50630647404894</v>
      </c>
    </row>
    <row r="2183" customFormat="false" ht="15" hidden="false" customHeight="false" outlineLevel="0" collapsed="false">
      <c r="A2183" s="17" t="s">
        <v>2747</v>
      </c>
      <c r="B2183" s="17" t="n">
        <v>19430.95</v>
      </c>
      <c r="C2183" s="19" t="n">
        <f aca="false">B2183/B2182-1</f>
        <v>-0.0381370174399063</v>
      </c>
      <c r="D2183" s="17" t="n">
        <f aca="false">AVERAGE(B2134:B2183)</f>
        <v>21298.6066</v>
      </c>
      <c r="E2183" s="17" t="n">
        <f aca="false">AVERAGE(B1984:B2183)</f>
        <v>20251.37225</v>
      </c>
      <c r="F2183" s="17" t="n">
        <f aca="false">B2183*2/13+F2182*11/13</f>
        <v>20551.7719150259</v>
      </c>
      <c r="G2183" s="17" t="n">
        <f aca="false">B2183*2/27+G2182*25/27</f>
        <v>20972.5870409417</v>
      </c>
      <c r="H2183" s="17" t="n">
        <f aca="false">F2183-G2183</f>
        <v>-420.81512591588</v>
      </c>
      <c r="I2183" s="17" t="n">
        <f aca="false">H2183*2/10+I2182*8/10</f>
        <v>-228.603622191161</v>
      </c>
      <c r="J2183" s="17" t="n">
        <f aca="false">H2183-I2183</f>
        <v>-192.211503724719</v>
      </c>
      <c r="K2183" s="17" t="n">
        <f aca="false">MAX(B2183-B2182,0)</f>
        <v>0</v>
      </c>
      <c r="L2183" s="17" t="n">
        <f aca="false">MAX(B2182-B2183,0)</f>
        <v>770.419999999998</v>
      </c>
      <c r="M2183" s="17" t="n">
        <f aca="false">(M2182*13+K2183)/14</f>
        <v>81.2919580023423</v>
      </c>
      <c r="N2183" s="17" t="n">
        <f aca="false">(N2182*13+L2183)/14</f>
        <v>201.04805611104</v>
      </c>
      <c r="O2183" s="17" t="n">
        <f aca="false">IF(N2183=0,100,100-100/(1+M2183/N2183))</f>
        <v>28.7922199967367</v>
      </c>
      <c r="P2183" s="17" t="n">
        <f aca="false">AVERAGE(B2164:B2183)+2*STDEV(B2164:B2183)</f>
        <v>22812.763035556</v>
      </c>
      <c r="Q2183" s="17" t="n">
        <f aca="false">AVERAGE(B2164:B2183)-2*STDEV(B2164:B2183)</f>
        <v>19530.875964444</v>
      </c>
      <c r="R2183" s="19" t="n">
        <f aca="false">B2183/B2163-1</f>
        <v>-0.0958694467670886</v>
      </c>
      <c r="S2183" s="17" t="n">
        <f aca="false">STDEV(C2164:C2183)*SQRT(252)*100</f>
        <v>24.8280185069984</v>
      </c>
      <c r="T2183" s="19" t="n">
        <f aca="false">B2162/B1932-1</f>
        <v>0.1899705923984</v>
      </c>
      <c r="U2183" s="19" t="n">
        <f aca="false">B2183/MAX(B1932:B2183)-1</f>
        <v>-0.123768917188261</v>
      </c>
      <c r="V2183" s="17" t="n">
        <f aca="false">(B2183-AVERAGE(B2164:B2183))/STDEV(B2164:B2183)</f>
        <v>-2.12179086273081</v>
      </c>
    </row>
    <row r="2184" customFormat="false" ht="15" hidden="false" customHeight="false" outlineLevel="0" collapsed="false">
      <c r="A2184" s="17" t="s">
        <v>2748</v>
      </c>
      <c r="B2184" s="17" t="n">
        <v>19376.96</v>
      </c>
      <c r="C2184" s="19" t="n">
        <f aca="false">B2184/B2183-1</f>
        <v>-0.00277855688991024</v>
      </c>
      <c r="D2184" s="17" t="n">
        <f aca="false">AVERAGE(B2135:B2184)</f>
        <v>21250.1928</v>
      </c>
      <c r="E2184" s="17" t="n">
        <f aca="false">AVERAGE(B1985:B2184)</f>
        <v>20254.68805</v>
      </c>
      <c r="F2184" s="17" t="n">
        <f aca="false">B2184*2/13+F2183*11/13</f>
        <v>20371.0316204065</v>
      </c>
      <c r="G2184" s="17" t="n">
        <f aca="false">B2184*2/27+G2183*25/27</f>
        <v>20854.3924453164</v>
      </c>
      <c r="H2184" s="17" t="n">
        <f aca="false">F2184-G2184</f>
        <v>-483.360824909931</v>
      </c>
      <c r="I2184" s="17" t="n">
        <f aca="false">H2184*2/10+I2183*8/10</f>
        <v>-279.555062734915</v>
      </c>
      <c r="J2184" s="17" t="n">
        <f aca="false">H2184-I2184</f>
        <v>-203.805762175016</v>
      </c>
      <c r="K2184" s="17" t="n">
        <f aca="false">MAX(B2184-B2183,0)</f>
        <v>0</v>
      </c>
      <c r="L2184" s="17" t="n">
        <f aca="false">MAX(B2183-B2184,0)</f>
        <v>53.9900000000016</v>
      </c>
      <c r="M2184" s="17" t="n">
        <f aca="false">(M2183*13+K2184)/14</f>
        <v>75.4853895736036</v>
      </c>
      <c r="N2184" s="17" t="n">
        <f aca="false">(N2183*13+L2184)/14</f>
        <v>190.543909245966</v>
      </c>
      <c r="O2184" s="17" t="n">
        <f aca="false">IF(N2184=0,100,100-100/(1+M2184/N2184))</f>
        <v>28.3748406316706</v>
      </c>
      <c r="P2184" s="17" t="n">
        <f aca="false">AVERAGE(B2165:B2184)+2*STDEV(B2165:B2184)</f>
        <v>22852.6286249848</v>
      </c>
      <c r="Q2184" s="17" t="n">
        <f aca="false">AVERAGE(B2165:B2184)-2*STDEV(B2165:B2184)</f>
        <v>19253.0333750152</v>
      </c>
      <c r="R2184" s="19" t="n">
        <f aca="false">B2184/B2164-1</f>
        <v>-0.10938086743734</v>
      </c>
      <c r="S2184" s="17" t="n">
        <f aca="false">STDEV(C2165:C2184)*SQRT(252)*100</f>
        <v>24.0001447913616</v>
      </c>
      <c r="T2184" s="19" t="n">
        <f aca="false">B2163/B1933-1</f>
        <v>0.19273910907986</v>
      </c>
      <c r="U2184" s="19" t="n">
        <f aca="false">B2184/MAX(B1933:B2184)-1</f>
        <v>-0.126203575100561</v>
      </c>
      <c r="V2184" s="17" t="n">
        <f aca="false">(B2184-AVERAGE(B2165:B2184))/STDEV(B2165:B2184)</f>
        <v>-1.86228826700904</v>
      </c>
    </row>
    <row r="2185" customFormat="false" ht="15" hidden="false" customHeight="false" outlineLevel="0" collapsed="false">
      <c r="A2185" s="17" t="s">
        <v>2749</v>
      </c>
      <c r="B2185" s="17" t="n">
        <v>19596.02</v>
      </c>
      <c r="C2185" s="19" t="n">
        <f aca="false">B2185/B2184-1</f>
        <v>0.0113051789341569</v>
      </c>
      <c r="D2185" s="17" t="n">
        <f aca="false">AVERAGE(B2136:B2185)</f>
        <v>21206.747</v>
      </c>
      <c r="E2185" s="17" t="n">
        <f aca="false">AVERAGE(B1986:B2185)</f>
        <v>20259.14215</v>
      </c>
      <c r="F2185" s="17" t="n">
        <f aca="false">B2185*2/13+F2184*11/13</f>
        <v>20251.7990634209</v>
      </c>
      <c r="G2185" s="17" t="n">
        <f aca="false">B2185*2/27+G2184*25/27</f>
        <v>20761.1796715893</v>
      </c>
      <c r="H2185" s="17" t="n">
        <f aca="false">F2185-G2185</f>
        <v>-509.380608168405</v>
      </c>
      <c r="I2185" s="17" t="n">
        <f aca="false">H2185*2/10+I2184*8/10</f>
        <v>-325.520171821613</v>
      </c>
      <c r="J2185" s="17" t="n">
        <f aca="false">H2185-I2185</f>
        <v>-183.860436346792</v>
      </c>
      <c r="K2185" s="17" t="n">
        <f aca="false">MAX(B2185-B2184,0)</f>
        <v>219.060000000001</v>
      </c>
      <c r="L2185" s="17" t="n">
        <f aca="false">MAX(B2184-B2185,0)</f>
        <v>0</v>
      </c>
      <c r="M2185" s="17" t="n">
        <f aca="false">(M2184*13+K2185)/14</f>
        <v>85.7407188897748</v>
      </c>
      <c r="N2185" s="17" t="n">
        <f aca="false">(N2184*13+L2185)/14</f>
        <v>176.933630014111</v>
      </c>
      <c r="O2185" s="17" t="n">
        <f aca="false">IF(N2185=0,100,100-100/(1+M2185/N2185))</f>
        <v>32.6414510010446</v>
      </c>
      <c r="P2185" s="17" t="n">
        <f aca="false">AVERAGE(B2166:B2185)+2*STDEV(B2166:B2185)</f>
        <v>22832.9873505297</v>
      </c>
      <c r="Q2185" s="17" t="n">
        <f aca="false">AVERAGE(B2166:B2185)-2*STDEV(B2166:B2185)</f>
        <v>19062.9246494703</v>
      </c>
      <c r="R2185" s="19" t="n">
        <f aca="false">B2185/B2165-1</f>
        <v>-0.0966878588629231</v>
      </c>
      <c r="S2185" s="17" t="n">
        <f aca="false">STDEV(C2166:C2185)*SQRT(252)*100</f>
        <v>24.7357097733034</v>
      </c>
      <c r="T2185" s="19" t="n">
        <f aca="false">B2164/B1934-1</f>
        <v>0.211959988168245</v>
      </c>
      <c r="U2185" s="19" t="n">
        <f aca="false">B2185/MAX(B1934:B2185)-1</f>
        <v>-0.116325150165046</v>
      </c>
      <c r="V2185" s="17" t="n">
        <f aca="false">(B2185-AVERAGE(B2166:B2185))/STDEV(B2166:B2185)</f>
        <v>-1.43439099792167</v>
      </c>
    </row>
    <row r="2186" customFormat="false" ht="15" hidden="false" customHeight="false" outlineLevel="0" collapsed="false">
      <c r="A2186" s="17" t="s">
        <v>2750</v>
      </c>
      <c r="B2186" s="17" t="n">
        <v>19225.48</v>
      </c>
      <c r="C2186" s="19" t="n">
        <f aca="false">B2186/B2185-1</f>
        <v>-0.0189089417136745</v>
      </c>
      <c r="D2186" s="17" t="n">
        <f aca="false">AVERAGE(B2137:B2186)</f>
        <v>21161.7962</v>
      </c>
      <c r="E2186" s="17" t="n">
        <f aca="false">AVERAGE(B1987:B2186)</f>
        <v>20262.1526</v>
      </c>
      <c r="F2186" s="17" t="n">
        <f aca="false">B2186*2/13+F2185*11/13</f>
        <v>20093.9038228946</v>
      </c>
      <c r="G2186" s="17" t="n">
        <f aca="false">B2186*2/27+G2185*25/27</f>
        <v>20647.4241403605</v>
      </c>
      <c r="H2186" s="17" t="n">
        <f aca="false">F2186-G2186</f>
        <v>-553.520317465856</v>
      </c>
      <c r="I2186" s="17" t="n">
        <f aca="false">H2186*2/10+I2185*8/10</f>
        <v>-371.120200950462</v>
      </c>
      <c r="J2186" s="17" t="n">
        <f aca="false">H2186-I2186</f>
        <v>-182.400116515395</v>
      </c>
      <c r="K2186" s="17" t="n">
        <f aca="false">MAX(B2186-B2185,0)</f>
        <v>0</v>
      </c>
      <c r="L2186" s="17" t="n">
        <f aca="false">MAX(B2185-B2186,0)</f>
        <v>370.540000000001</v>
      </c>
      <c r="M2186" s="17" t="n">
        <f aca="false">(M2185*13+K2186)/14</f>
        <v>79.6163818262195</v>
      </c>
      <c r="N2186" s="17" t="n">
        <f aca="false">(N2185*13+L2186)/14</f>
        <v>190.762656441674</v>
      </c>
      <c r="O2186" s="17" t="n">
        <f aca="false">IF(N2186=0,100,100-100/(1+M2186/N2186))</f>
        <v>29.4462108957333</v>
      </c>
      <c r="P2186" s="17" t="n">
        <f aca="false">AVERAGE(B2167:B2186)+2*STDEV(B2167:B2186)</f>
        <v>22820.0774535415</v>
      </c>
      <c r="Q2186" s="17" t="n">
        <f aca="false">AVERAGE(B2167:B2186)-2*STDEV(B2167:B2186)</f>
        <v>18826.4565464585</v>
      </c>
      <c r="R2186" s="19" t="n">
        <f aca="false">B2186/B2166-1</f>
        <v>-0.114818829002461</v>
      </c>
      <c r="S2186" s="17" t="n">
        <f aca="false">STDEV(C2167:C2186)*SQRT(252)*100</f>
        <v>25.0998082619238</v>
      </c>
      <c r="T2186" s="19" t="n">
        <f aca="false">B2165/B1935-1</f>
        <v>0.190701411869186</v>
      </c>
      <c r="U2186" s="19" t="n">
        <f aca="false">B2186/MAX(B1935:B2186)-1</f>
        <v>-0.133034506394416</v>
      </c>
      <c r="V2186" s="17" t="n">
        <f aca="false">(B2186-AVERAGE(B2167:B2186))/STDEV(B2167:B2186)</f>
        <v>-1.60033917807892</v>
      </c>
    </row>
    <row r="2187" customFormat="false" ht="15" hidden="false" customHeight="false" outlineLevel="0" collapsed="false">
      <c r="A2187" s="17" t="s">
        <v>2751</v>
      </c>
      <c r="B2187" s="17" t="n">
        <v>19704.64</v>
      </c>
      <c r="C2187" s="19" t="n">
        <f aca="false">B2187/B2186-1</f>
        <v>0.0249231748700163</v>
      </c>
      <c r="D2187" s="17" t="n">
        <f aca="false">AVERAGE(B2138:B2187)</f>
        <v>21131.9472</v>
      </c>
      <c r="E2187" s="17" t="n">
        <f aca="false">AVERAGE(B1988:B2187)</f>
        <v>20266.63405</v>
      </c>
      <c r="F2187" s="17" t="n">
        <f aca="false">B2187*2/13+F2186*11/13</f>
        <v>20034.0170809108</v>
      </c>
      <c r="G2187" s="17" t="n">
        <f aca="false">B2187*2/27+G2186*25/27</f>
        <v>20577.5882781115</v>
      </c>
      <c r="H2187" s="17" t="n">
        <f aca="false">F2187-G2187</f>
        <v>-543.571197200719</v>
      </c>
      <c r="I2187" s="17" t="n">
        <f aca="false">H2187*2/10+I2186*8/10</f>
        <v>-405.610400200513</v>
      </c>
      <c r="J2187" s="17" t="n">
        <f aca="false">H2187-I2187</f>
        <v>-137.960797000206</v>
      </c>
      <c r="K2187" s="17" t="n">
        <f aca="false">MAX(B2187-B2186,0)</f>
        <v>479.16</v>
      </c>
      <c r="L2187" s="17" t="n">
        <f aca="false">MAX(B2186-B2187,0)</f>
        <v>0</v>
      </c>
      <c r="M2187" s="17" t="n">
        <f aca="false">(M2186*13+K2187)/14</f>
        <v>108.155211695775</v>
      </c>
      <c r="N2187" s="17" t="n">
        <f aca="false">(N2186*13+L2187)/14</f>
        <v>177.136752410126</v>
      </c>
      <c r="O2187" s="17" t="n">
        <f aca="false">IF(N2187=0,100,100-100/(1+M2187/N2187))</f>
        <v>37.9103603688002</v>
      </c>
      <c r="P2187" s="17" t="n">
        <f aca="false">AVERAGE(B2168:B2187)+2*STDEV(B2168:B2187)</f>
        <v>22678.4617079976</v>
      </c>
      <c r="Q2187" s="17" t="n">
        <f aca="false">AVERAGE(B2168:B2187)-2*STDEV(B2168:B2187)</f>
        <v>18735.4652920024</v>
      </c>
      <c r="R2187" s="19" t="n">
        <f aca="false">B2187/B2167-1</f>
        <v>-0.105583070177947</v>
      </c>
      <c r="S2187" s="17" t="n">
        <f aca="false">STDEV(C2168:C2187)*SQRT(252)*100</f>
        <v>26.4783226724877</v>
      </c>
      <c r="T2187" s="19" t="n">
        <f aca="false">B2166/B1936-1</f>
        <v>0.202053079203718</v>
      </c>
      <c r="U2187" s="19" t="n">
        <f aca="false">B2187/MAX(B1936:B2187)-1</f>
        <v>-0.111426973791014</v>
      </c>
      <c r="V2187" s="17" t="n">
        <f aca="false">(B2187-AVERAGE(B2168:B2187))/STDEV(B2168:B2187)</f>
        <v>-1.01681401071931</v>
      </c>
    </row>
    <row r="2188" customFormat="false" ht="15" hidden="false" customHeight="false" outlineLevel="0" collapsed="false">
      <c r="A2188" s="17" t="s">
        <v>2752</v>
      </c>
      <c r="B2188" s="17" t="n">
        <v>19812.24</v>
      </c>
      <c r="C2188" s="19" t="n">
        <f aca="false">B2188/B2187-1</f>
        <v>0.00546064277246394</v>
      </c>
      <c r="D2188" s="17" t="n">
        <f aca="false">AVERAGE(B2139:B2188)</f>
        <v>21107.9486</v>
      </c>
      <c r="E2188" s="17" t="n">
        <f aca="false">AVERAGE(B1989:B2188)</f>
        <v>20271.34805</v>
      </c>
      <c r="F2188" s="17" t="n">
        <f aca="false">B2188*2/13+F2187*11/13</f>
        <v>19999.8975300015</v>
      </c>
      <c r="G2188" s="17" t="n">
        <f aca="false">B2188*2/27+G2187*25/27</f>
        <v>20520.8958130662</v>
      </c>
      <c r="H2188" s="17" t="n">
        <f aca="false">F2188-G2188</f>
        <v>-520.998283064775</v>
      </c>
      <c r="I2188" s="17" t="n">
        <f aca="false">H2188*2/10+I2187*8/10</f>
        <v>-428.687976773366</v>
      </c>
      <c r="J2188" s="17" t="n">
        <f aca="false">H2188-I2188</f>
        <v>-92.3103062914095</v>
      </c>
      <c r="K2188" s="17" t="n">
        <f aca="false">MAX(B2188-B2187,0)</f>
        <v>107.600000000002</v>
      </c>
      <c r="L2188" s="17" t="n">
        <f aca="false">MAX(B2187-B2188,0)</f>
        <v>0</v>
      </c>
      <c r="M2188" s="17" t="n">
        <f aca="false">(M2187*13+K2188)/14</f>
        <v>108.115553717506</v>
      </c>
      <c r="N2188" s="17" t="n">
        <f aca="false">(N2187*13+L2188)/14</f>
        <v>164.484127237974</v>
      </c>
      <c r="O2188" s="17" t="n">
        <f aca="false">IF(N2188=0,100,100-100/(1+M2188/N2188))</f>
        <v>39.6609245243991</v>
      </c>
      <c r="P2188" s="17" t="n">
        <f aca="false">AVERAGE(B2169:B2188)+2*STDEV(B2169:B2188)</f>
        <v>22484.5470587079</v>
      </c>
      <c r="Q2188" s="17" t="n">
        <f aca="false">AVERAGE(B2169:B2188)-2*STDEV(B2169:B2188)</f>
        <v>18699.1349412921</v>
      </c>
      <c r="R2188" s="19" t="n">
        <f aca="false">B2188/B2168-1</f>
        <v>-0.10411405269529</v>
      </c>
      <c r="S2188" s="17" t="n">
        <f aca="false">STDEV(C2169:C2188)*SQRT(252)*100</f>
        <v>26.560988672831</v>
      </c>
      <c r="T2188" s="19" t="n">
        <f aca="false">B2167/B1937-1</f>
        <v>0.222922140172447</v>
      </c>
      <c r="U2188" s="19" t="n">
        <f aca="false">B2188/MAX(B1937:B2188)-1</f>
        <v>-0.106574793917639</v>
      </c>
      <c r="V2188" s="17" t="n">
        <f aca="false">(B2188-AVERAGE(B2169:B2188))/STDEV(B2169:B2188)</f>
        <v>-0.82379511220271</v>
      </c>
    </row>
    <row r="2189" customFormat="false" ht="15" hidden="false" customHeight="false" outlineLevel="0" collapsed="false">
      <c r="A2189" s="17" t="s">
        <v>2753</v>
      </c>
      <c r="B2189" s="17" t="n">
        <v>19483.36</v>
      </c>
      <c r="C2189" s="19" t="n">
        <f aca="false">B2189/B2188-1</f>
        <v>-0.0165998392912664</v>
      </c>
      <c r="D2189" s="17" t="n">
        <f aca="false">AVERAGE(B2140:B2189)</f>
        <v>21078.1034</v>
      </c>
      <c r="E2189" s="17" t="n">
        <f aca="false">AVERAGE(B1990:B2189)</f>
        <v>20275.0811</v>
      </c>
      <c r="F2189" s="17" t="n">
        <f aca="false">B2189*2/13+F2188*11/13</f>
        <v>19920.4302176935</v>
      </c>
      <c r="G2189" s="17" t="n">
        <f aca="false">B2189*2/27+G2188*25/27</f>
        <v>20444.0413083947</v>
      </c>
      <c r="H2189" s="17" t="n">
        <f aca="false">F2189-G2189</f>
        <v>-523.611090701121</v>
      </c>
      <c r="I2189" s="17" t="n">
        <f aca="false">H2189*2/10+I2188*8/10</f>
        <v>-447.672599558917</v>
      </c>
      <c r="J2189" s="17" t="n">
        <f aca="false">H2189-I2189</f>
        <v>-75.9384911422041</v>
      </c>
      <c r="K2189" s="17" t="n">
        <f aca="false">MAX(B2189-B2188,0)</f>
        <v>0</v>
      </c>
      <c r="L2189" s="17" t="n">
        <f aca="false">MAX(B2188-B2189,0)</f>
        <v>328.880000000001</v>
      </c>
      <c r="M2189" s="17" t="n">
        <f aca="false">(M2188*13+K2189)/14</f>
        <v>100.393014166255</v>
      </c>
      <c r="N2189" s="17" t="n">
        <f aca="false">(N2188*13+L2189)/14</f>
        <v>176.226689578119</v>
      </c>
      <c r="O2189" s="17" t="n">
        <f aca="false">IF(N2189=0,100,100-100/(1+M2189/N2189))</f>
        <v>36.2927921645918</v>
      </c>
      <c r="P2189" s="17" t="n">
        <f aca="false">AVERAGE(B2170:B2189)+2*STDEV(B2170:B2189)</f>
        <v>22259.0511371888</v>
      </c>
      <c r="Q2189" s="17" t="n">
        <f aca="false">AVERAGE(B2170:B2189)-2*STDEV(B2170:B2189)</f>
        <v>18656.5058628112</v>
      </c>
      <c r="R2189" s="19" t="n">
        <f aca="false">B2189/B2169-1</f>
        <v>-0.120969870437603</v>
      </c>
      <c r="S2189" s="17" t="n">
        <f aca="false">STDEV(C2170:C2189)*SQRT(252)*100</f>
        <v>26.6879729463854</v>
      </c>
      <c r="T2189" s="19" t="n">
        <f aca="false">B2168/B1938-1</f>
        <v>0.241822750691393</v>
      </c>
      <c r="U2189" s="19" t="n">
        <f aca="false">B2189/MAX(B1938:B2189)-1</f>
        <v>-0.121405508757373</v>
      </c>
      <c r="V2189" s="17" t="n">
        <f aca="false">(B2189-AVERAGE(B2170:B2189))/STDEV(B2170:B2189)</f>
        <v>-1.08192228081666</v>
      </c>
    </row>
    <row r="2190" customFormat="false" ht="15" hidden="false" customHeight="false" outlineLevel="0" collapsed="false">
      <c r="A2190" s="17" t="s">
        <v>2754</v>
      </c>
      <c r="B2190" s="17" t="n">
        <v>19736.66</v>
      </c>
      <c r="C2190" s="19" t="n">
        <f aca="false">B2190/B2189-1</f>
        <v>0.0130008376378612</v>
      </c>
      <c r="D2190" s="17" t="n">
        <f aca="false">AVERAGE(B2141:B2190)</f>
        <v>21046.3134</v>
      </c>
      <c r="E2190" s="17" t="n">
        <f aca="false">AVERAGE(B1991:B2190)</f>
        <v>20281.0711</v>
      </c>
      <c r="F2190" s="17" t="n">
        <f aca="false">B2190*2/13+F2189*11/13</f>
        <v>19892.1578765099</v>
      </c>
      <c r="G2190" s="17" t="n">
        <f aca="false">B2190*2/27+G2189*25/27</f>
        <v>20391.642692958</v>
      </c>
      <c r="H2190" s="17" t="n">
        <f aca="false">F2190-G2190</f>
        <v>-499.484816448101</v>
      </c>
      <c r="I2190" s="17" t="n">
        <f aca="false">H2190*2/10+I2189*8/10</f>
        <v>-458.035042936754</v>
      </c>
      <c r="J2190" s="17" t="n">
        <f aca="false">H2190-I2190</f>
        <v>-41.4497735113474</v>
      </c>
      <c r="K2190" s="17" t="n">
        <f aca="false">MAX(B2190-B2189,0)</f>
        <v>253.299999999999</v>
      </c>
      <c r="L2190" s="17" t="n">
        <f aca="false">MAX(B2189-B2190,0)</f>
        <v>0</v>
      </c>
      <c r="M2190" s="17" t="n">
        <f aca="false">(M2189*13+K2190)/14</f>
        <v>111.314941725808</v>
      </c>
      <c r="N2190" s="17" t="n">
        <f aca="false">(N2189*13+L2190)/14</f>
        <v>163.639068893968</v>
      </c>
      <c r="O2190" s="17" t="n">
        <f aca="false">IF(N2190=0,100,100-100/(1+M2190/N2190))</f>
        <v>40.4849310889819</v>
      </c>
      <c r="P2190" s="17" t="n">
        <f aca="false">AVERAGE(B2171:B2190)+2*STDEV(B2171:B2190)</f>
        <v>21969.9061332279</v>
      </c>
      <c r="Q2190" s="17" t="n">
        <f aca="false">AVERAGE(B2171:B2190)-2*STDEV(B2171:B2190)</f>
        <v>18701.7568667721</v>
      </c>
      <c r="R2190" s="19" t="n">
        <f aca="false">B2190/B2170-1</f>
        <v>-0.109983044427208</v>
      </c>
      <c r="S2190" s="17" t="n">
        <f aca="false">STDEV(C2171:C2190)*SQRT(252)*100</f>
        <v>27.4675000053779</v>
      </c>
      <c r="T2190" s="19" t="n">
        <f aca="false">B2169/B1939-1</f>
        <v>0.23239353216929</v>
      </c>
      <c r="U2190" s="19" t="n">
        <f aca="false">B2190/MAX(B1939:B2190)-1</f>
        <v>-0.109983044427208</v>
      </c>
      <c r="V2190" s="17" t="n">
        <f aca="false">(B2190-AVERAGE(B2171:B2190))/STDEV(B2171:B2190)</f>
        <v>-0.73334655323106</v>
      </c>
    </row>
    <row r="2191" customFormat="false" ht="15" hidden="false" customHeight="false" outlineLevel="0" collapsed="false">
      <c r="A2191" s="17" t="s">
        <v>2755</v>
      </c>
      <c r="B2191" s="17" t="n">
        <v>19677.61</v>
      </c>
      <c r="C2191" s="19" t="n">
        <f aca="false">B2191/B2190-1</f>
        <v>-0.00299189427187774</v>
      </c>
      <c r="D2191" s="17" t="n">
        <f aca="false">AVERAGE(B2142:B2191)</f>
        <v>21008.6756</v>
      </c>
      <c r="E2191" s="17" t="n">
        <f aca="false">AVERAGE(B1992:B2191)</f>
        <v>20286.7759</v>
      </c>
      <c r="F2191" s="17" t="n">
        <f aca="false">B2191*2/13+F2190*11/13</f>
        <v>19859.150510893</v>
      </c>
      <c r="G2191" s="17" t="n">
        <f aca="false">B2191*2/27+G2190*25/27</f>
        <v>20338.7513823685</v>
      </c>
      <c r="H2191" s="17" t="n">
        <f aca="false">F2191-G2191</f>
        <v>-479.60087147553</v>
      </c>
      <c r="I2191" s="17" t="n">
        <f aca="false">H2191*2/10+I2190*8/10</f>
        <v>-462.348208644509</v>
      </c>
      <c r="J2191" s="17" t="n">
        <f aca="false">H2191-I2191</f>
        <v>-17.2526628310211</v>
      </c>
      <c r="K2191" s="17" t="n">
        <f aca="false">MAX(B2191-B2190,0)</f>
        <v>0</v>
      </c>
      <c r="L2191" s="17" t="n">
        <f aca="false">MAX(B2190-B2191,0)</f>
        <v>59.0499999999993</v>
      </c>
      <c r="M2191" s="17" t="n">
        <f aca="false">(M2190*13+K2191)/14</f>
        <v>103.363874459679</v>
      </c>
      <c r="N2191" s="17" t="n">
        <f aca="false">(N2190*13+L2191)/14</f>
        <v>156.168421115827</v>
      </c>
      <c r="O2191" s="17" t="n">
        <f aca="false">IF(N2191=0,100,100-100/(1+M2191/N2191))</f>
        <v>39.8269796174971</v>
      </c>
      <c r="P2191" s="17" t="n">
        <f aca="false">AVERAGE(B2172:B2191)+2*STDEV(B2172:B2191)</f>
        <v>21654.9031210838</v>
      </c>
      <c r="Q2191" s="17" t="n">
        <f aca="false">AVERAGE(B2172:B2191)-2*STDEV(B2172:B2191)</f>
        <v>18777.7148789162</v>
      </c>
      <c r="R2191" s="19" t="n">
        <f aca="false">B2191/B2171-1</f>
        <v>-0.108321710200172</v>
      </c>
      <c r="S2191" s="17" t="n">
        <f aca="false">STDEV(C2172:C2191)*SQRT(252)*100</f>
        <v>27.4827309756596</v>
      </c>
      <c r="T2191" s="19" t="n">
        <f aca="false">B2170/B1940-1</f>
        <v>0.229777841860671</v>
      </c>
      <c r="U2191" s="19" t="n">
        <f aca="false">B2191/MAX(B1940:B2191)-1</f>
        <v>-0.112645881058461</v>
      </c>
      <c r="V2191" s="17" t="n">
        <f aca="false">(B2191-AVERAGE(B2172:B2191))/STDEV(B2172:B2191)</f>
        <v>-0.748924233882121</v>
      </c>
    </row>
    <row r="2192" customFormat="false" ht="15" hidden="false" customHeight="false" outlineLevel="0" collapsed="false">
      <c r="A2192" s="17" t="s">
        <v>2756</v>
      </c>
      <c r="B2192" s="17" t="n">
        <v>19753.97</v>
      </c>
      <c r="C2192" s="19" t="n">
        <f aca="false">B2192/B2191-1</f>
        <v>0.00388055256710551</v>
      </c>
      <c r="D2192" s="17" t="n">
        <f aca="false">AVERAGE(B2143:B2192)</f>
        <v>20980.2942</v>
      </c>
      <c r="E2192" s="17" t="n">
        <f aca="false">AVERAGE(B1993:B2192)</f>
        <v>20292.5409</v>
      </c>
      <c r="F2192" s="17" t="n">
        <f aca="false">B2192*2/13+F2191*11/13</f>
        <v>19842.9688938325</v>
      </c>
      <c r="G2192" s="17" t="n">
        <f aca="false">B2192*2/27+G2191*25/27</f>
        <v>20295.4342429338</v>
      </c>
      <c r="H2192" s="17" t="n">
        <f aca="false">F2192-G2192</f>
        <v>-452.465349101287</v>
      </c>
      <c r="I2192" s="17" t="n">
        <f aca="false">H2192*2/10+I2191*8/10</f>
        <v>-460.371636735864</v>
      </c>
      <c r="J2192" s="17" t="n">
        <f aca="false">H2192-I2192</f>
        <v>7.90628763457755</v>
      </c>
      <c r="K2192" s="17" t="n">
        <f aca="false">MAX(B2192-B2191,0)</f>
        <v>76.3600000000006</v>
      </c>
      <c r="L2192" s="17" t="n">
        <f aca="false">MAX(B2191-B2192,0)</f>
        <v>0</v>
      </c>
      <c r="M2192" s="17" t="n">
        <f aca="false">(M2191*13+K2192)/14</f>
        <v>101.435026283988</v>
      </c>
      <c r="N2192" s="17" t="n">
        <f aca="false">(N2191*13+L2192)/14</f>
        <v>145.013533893268</v>
      </c>
      <c r="O2192" s="17" t="n">
        <f aca="false">IF(N2192=0,100,100-100/(1+M2192/N2192))</f>
        <v>41.1587011143549</v>
      </c>
      <c r="P2192" s="17" t="n">
        <f aca="false">AVERAGE(B2173:B2192)+2*STDEV(B2173:B2192)</f>
        <v>21414.3553018597</v>
      </c>
      <c r="Q2192" s="17" t="n">
        <f aca="false">AVERAGE(B2173:B2192)-2*STDEV(B2173:B2192)</f>
        <v>18832.2516981403</v>
      </c>
      <c r="R2192" s="19" t="n">
        <f aca="false">B2192/B2172-1</f>
        <v>-0.0860601052647163</v>
      </c>
      <c r="S2192" s="17" t="n">
        <f aca="false">STDEV(C2173:C2192)*SQRT(252)*100</f>
        <v>27.0804309685599</v>
      </c>
      <c r="T2192" s="19" t="n">
        <f aca="false">B2171/B1941-1</f>
        <v>0.209864414194871</v>
      </c>
      <c r="U2192" s="19" t="n">
        <f aca="false">B2192/MAX(B1941:B2192)-1</f>
        <v>-0.10920245675427</v>
      </c>
      <c r="V2192" s="17" t="n">
        <f aca="false">(B2192-AVERAGE(B2173:B2192))/STDEV(B2173:B2192)</f>
        <v>-0.572143580091804</v>
      </c>
    </row>
    <row r="2193" customFormat="false" ht="15" hidden="false" customHeight="false" outlineLevel="0" collapsed="false">
      <c r="A2193" s="17" t="s">
        <v>2757</v>
      </c>
      <c r="B2193" s="17" t="n">
        <v>20180.45</v>
      </c>
      <c r="C2193" s="19" t="n">
        <f aca="false">B2193/B2192-1</f>
        <v>0.0215895842709086</v>
      </c>
      <c r="D2193" s="17" t="n">
        <f aca="false">AVERAGE(B2144:B2193)</f>
        <v>20960.2838</v>
      </c>
      <c r="E2193" s="17" t="n">
        <f aca="false">AVERAGE(B1994:B2193)</f>
        <v>20300.16895</v>
      </c>
      <c r="F2193" s="17" t="n">
        <f aca="false">B2193*2/13+F2192*11/13</f>
        <v>19894.8890640122</v>
      </c>
      <c r="G2193" s="17" t="n">
        <f aca="false">B2193*2/27+G2192*25/27</f>
        <v>20286.9168916054</v>
      </c>
      <c r="H2193" s="17" t="n">
        <f aca="false">F2193-G2193</f>
        <v>-392.02782759324</v>
      </c>
      <c r="I2193" s="17" t="n">
        <f aca="false">H2193*2/10+I2192*8/10</f>
        <v>-446.70287490734</v>
      </c>
      <c r="J2193" s="17" t="n">
        <f aca="false">H2193-I2193</f>
        <v>54.6750473140999</v>
      </c>
      <c r="K2193" s="17" t="n">
        <f aca="false">MAX(B2193-B2192,0)</f>
        <v>426.48</v>
      </c>
      <c r="L2193" s="17" t="n">
        <f aca="false">MAX(B2192-B2193,0)</f>
        <v>0</v>
      </c>
      <c r="M2193" s="17" t="n">
        <f aca="false">(M2192*13+K2193)/14</f>
        <v>124.65252440656</v>
      </c>
      <c r="N2193" s="17" t="n">
        <f aca="false">(N2192*13+L2193)/14</f>
        <v>134.655424329463</v>
      </c>
      <c r="O2193" s="17" t="n">
        <f aca="false">IF(N2193=0,100,100-100/(1+M2193/N2193))</f>
        <v>48.0712315276756</v>
      </c>
      <c r="P2193" s="17" t="n">
        <f aca="false">AVERAGE(B2174:B2193)+2*STDEV(B2174:B2193)</f>
        <v>21220.2221905596</v>
      </c>
      <c r="Q2193" s="17" t="n">
        <f aca="false">AVERAGE(B2174:B2193)-2*STDEV(B2174:B2193)</f>
        <v>18909.2218094405</v>
      </c>
      <c r="R2193" s="19" t="n">
        <f aca="false">B2193/B2173-1</f>
        <v>-0.0548719375348913</v>
      </c>
      <c r="S2193" s="17" t="n">
        <f aca="false">STDEV(C2174:C2193)*SQRT(252)*100</f>
        <v>28.4085635709835</v>
      </c>
      <c r="T2193" s="19" t="n">
        <f aca="false">B2172/B1942-1</f>
        <v>0.179783388772504</v>
      </c>
      <c r="U2193" s="19" t="n">
        <f aca="false">B2193/MAX(B1942:B2193)-1</f>
        <v>-0.0899705081260483</v>
      </c>
      <c r="V2193" s="17" t="n">
        <f aca="false">(B2193-AVERAGE(B2174:B2193))/STDEV(B2174:B2193)</f>
        <v>0.200308058701328</v>
      </c>
    </row>
    <row r="2194" customFormat="false" ht="15" hidden="false" customHeight="false" outlineLevel="0" collapsed="false">
      <c r="A2194" s="17" t="s">
        <v>2758</v>
      </c>
      <c r="B2194" s="17" t="n">
        <v>20287.83</v>
      </c>
      <c r="C2194" s="19" t="n">
        <f aca="false">B2194/B2193-1</f>
        <v>0.00532099135549502</v>
      </c>
      <c r="D2194" s="17" t="n">
        <f aca="false">AVERAGE(B2145:B2194)</f>
        <v>20949.0888</v>
      </c>
      <c r="E2194" s="17" t="n">
        <f aca="false">AVERAGE(B1995:B2194)</f>
        <v>20306.43285</v>
      </c>
      <c r="F2194" s="17" t="n">
        <f aca="false">B2194*2/13+F2193*11/13</f>
        <v>19955.3415157026</v>
      </c>
      <c r="G2194" s="17" t="n">
        <f aca="false">B2194*2/27+G2193*25/27</f>
        <v>20286.9845292643</v>
      </c>
      <c r="H2194" s="17" t="n">
        <f aca="false">F2194-G2194</f>
        <v>-331.643013561661</v>
      </c>
      <c r="I2194" s="17" t="n">
        <f aca="false">H2194*2/10+I2193*8/10</f>
        <v>-423.690902638204</v>
      </c>
      <c r="J2194" s="17" t="n">
        <f aca="false">H2194-I2194</f>
        <v>92.0478890765427</v>
      </c>
      <c r="K2194" s="17" t="n">
        <f aca="false">MAX(B2194-B2193,0)</f>
        <v>107.380000000001</v>
      </c>
      <c r="L2194" s="17" t="n">
        <f aca="false">MAX(B2193-B2194,0)</f>
        <v>0</v>
      </c>
      <c r="M2194" s="17" t="n">
        <f aca="false">(M2193*13+K2194)/14</f>
        <v>123.418772663235</v>
      </c>
      <c r="N2194" s="17" t="n">
        <f aca="false">(N2193*13+L2194)/14</f>
        <v>125.037179734502</v>
      </c>
      <c r="O2194" s="17" t="n">
        <f aca="false">IF(N2194=0,100,100-100/(1+M2194/N2194))</f>
        <v>49.6743070440357</v>
      </c>
      <c r="P2194" s="17" t="n">
        <f aca="false">AVERAGE(B2175:B2194)+2*STDEV(B2175:B2194)</f>
        <v>21082.4912259315</v>
      </c>
      <c r="Q2194" s="17" t="n">
        <f aca="false">AVERAGE(B2175:B2194)-2*STDEV(B2175:B2194)</f>
        <v>18967.0107740685</v>
      </c>
      <c r="R2194" s="19" t="n">
        <f aca="false">B2194/B2174-1</f>
        <v>-0.037910111560303</v>
      </c>
      <c r="S2194" s="17" t="n">
        <f aca="false">STDEV(C2175:C2194)*SQRT(252)*100</f>
        <v>28.2991648833803</v>
      </c>
      <c r="T2194" s="19" t="n">
        <f aca="false">B2173/B1943-1</f>
        <v>0.164271100971458</v>
      </c>
      <c r="U2194" s="19" t="n">
        <f aca="false">B2194/MAX(B1943:B2194)-1</f>
        <v>-0.0851282490665415</v>
      </c>
      <c r="V2194" s="17" t="n">
        <f aca="false">(B2194-AVERAGE(B2175:B2194))/STDEV(B2175:B2194)</f>
        <v>0.497435936632387</v>
      </c>
    </row>
    <row r="2195" customFormat="false" ht="15" hidden="false" customHeight="false" outlineLevel="0" collapsed="false">
      <c r="A2195" s="17" t="s">
        <v>2759</v>
      </c>
      <c r="B2195" s="17" t="n">
        <v>19916.99</v>
      </c>
      <c r="C2195" s="19" t="n">
        <f aca="false">B2195/B2194-1</f>
        <v>-0.0182789386543558</v>
      </c>
      <c r="D2195" s="17" t="n">
        <f aca="false">AVERAGE(B2146:B2195)</f>
        <v>20931.7342</v>
      </c>
      <c r="E2195" s="17" t="n">
        <f aca="false">AVERAGE(B1996:B2195)</f>
        <v>20310.91185</v>
      </c>
      <c r="F2195" s="17" t="n">
        <f aca="false">B2195*2/13+F2194*11/13</f>
        <v>19949.4412825176</v>
      </c>
      <c r="G2195" s="17" t="n">
        <f aca="false">B2195*2/27+G2194*25/27</f>
        <v>20259.5775270965</v>
      </c>
      <c r="H2195" s="17" t="n">
        <f aca="false">F2195-G2195</f>
        <v>-310.136244578953</v>
      </c>
      <c r="I2195" s="17" t="n">
        <f aca="false">H2195*2/10+I2194*8/10</f>
        <v>-400.979971026354</v>
      </c>
      <c r="J2195" s="17" t="n">
        <f aca="false">H2195-I2195</f>
        <v>90.8437264474009</v>
      </c>
      <c r="K2195" s="17" t="n">
        <f aca="false">MAX(B2195-B2194,0)</f>
        <v>0</v>
      </c>
      <c r="L2195" s="17" t="n">
        <f aca="false">MAX(B2194-B2195,0)</f>
        <v>370.84</v>
      </c>
      <c r="M2195" s="17" t="n">
        <f aca="false">(M2194*13+K2195)/14</f>
        <v>114.603146044432</v>
      </c>
      <c r="N2195" s="17" t="n">
        <f aca="false">(N2194*13+L2195)/14</f>
        <v>142.59452403918</v>
      </c>
      <c r="O2195" s="17" t="n">
        <f aca="false">IF(N2195=0,100,100-100/(1+M2195/N2195))</f>
        <v>44.5583919975542</v>
      </c>
      <c r="P2195" s="17" t="n">
        <f aca="false">AVERAGE(B2176:B2195)+2*STDEV(B2176:B2195)</f>
        <v>20884.3683592812</v>
      </c>
      <c r="Q2195" s="17" t="n">
        <f aca="false">AVERAGE(B2176:B2195)-2*STDEV(B2176:B2195)</f>
        <v>19043.5406407188</v>
      </c>
      <c r="R2195" s="19" t="n">
        <f aca="false">B2195/B2175-1</f>
        <v>-0.0575372452079503</v>
      </c>
      <c r="S2195" s="17" t="n">
        <f aca="false">STDEV(C2176:C2195)*SQRT(252)*100</f>
        <v>28.8464715313226</v>
      </c>
      <c r="T2195" s="19" t="n">
        <f aca="false">B2174/B1944-1</f>
        <v>0.153755035000159</v>
      </c>
      <c r="U2195" s="19" t="n">
        <f aca="false">B2195/MAX(B1944:B2195)-1</f>
        <v>-0.101851133678457</v>
      </c>
      <c r="V2195" s="17" t="n">
        <f aca="false">(B2195-AVERAGE(B2176:B2195))/STDEV(B2176:B2195)</f>
        <v>-0.102050831865303</v>
      </c>
    </row>
    <row r="2196" customFormat="false" ht="15" hidden="false" customHeight="false" outlineLevel="0" collapsed="false">
      <c r="A2196" s="17" t="s">
        <v>2760</v>
      </c>
      <c r="B2196" s="17" t="n">
        <v>19798.62</v>
      </c>
      <c r="C2196" s="19" t="n">
        <f aca="false">B2196/B2195-1</f>
        <v>-0.00594316711511145</v>
      </c>
      <c r="D2196" s="17" t="n">
        <f aca="false">AVERAGE(B2147:B2196)</f>
        <v>20912.5584</v>
      </c>
      <c r="E2196" s="17" t="n">
        <f aca="false">AVERAGE(B1997:B2196)</f>
        <v>20314.9002</v>
      </c>
      <c r="F2196" s="17" t="n">
        <f aca="false">B2196*2/13+F2195*11/13</f>
        <v>19926.2380082841</v>
      </c>
      <c r="G2196" s="17" t="n">
        <f aca="false">B2196*2/27+G2195*25/27</f>
        <v>20225.4325250894</v>
      </c>
      <c r="H2196" s="17" t="n">
        <f aca="false">F2196-G2196</f>
        <v>-299.194516805277</v>
      </c>
      <c r="I2196" s="17" t="n">
        <f aca="false">H2196*2/10+I2195*8/10</f>
        <v>-380.622880182138</v>
      </c>
      <c r="J2196" s="17" t="n">
        <f aca="false">H2196-I2196</f>
        <v>81.4283633768612</v>
      </c>
      <c r="K2196" s="17" t="n">
        <f aca="false">MAX(B2196-B2195,0)</f>
        <v>0</v>
      </c>
      <c r="L2196" s="17" t="n">
        <f aca="false">MAX(B2195-B2196,0)</f>
        <v>118.370000000003</v>
      </c>
      <c r="M2196" s="17" t="n">
        <f aca="false">(M2195*13+K2196)/14</f>
        <v>106.417207041258</v>
      </c>
      <c r="N2196" s="17" t="n">
        <f aca="false">(N2195*13+L2196)/14</f>
        <v>140.864200893524</v>
      </c>
      <c r="O2196" s="17" t="n">
        <f aca="false">IF(N2196=0,100,100-100/(1+M2196/N2196))</f>
        <v>43.0348597292541</v>
      </c>
      <c r="P2196" s="17" t="n">
        <f aca="false">AVERAGE(B2177:B2196)+2*STDEV(B2177:B2196)</f>
        <v>20806.3487298532</v>
      </c>
      <c r="Q2196" s="17" t="n">
        <f aca="false">AVERAGE(B2177:B2196)-2*STDEV(B2177:B2196)</f>
        <v>19046.3272701468</v>
      </c>
      <c r="R2196" s="19" t="n">
        <f aca="false">B2196/B2176-1</f>
        <v>-0.0366080400176149</v>
      </c>
      <c r="S2196" s="17" t="n">
        <f aca="false">STDEV(C2177:C2196)*SQRT(252)*100</f>
        <v>27.3709724863662</v>
      </c>
      <c r="T2196" s="19" t="n">
        <f aca="false">B2175/B1945-1</f>
        <v>0.160477393860918</v>
      </c>
      <c r="U2196" s="19" t="n">
        <f aca="false">B2196/MAX(B1945:B2196)-1</f>
        <v>-0.107188982485254</v>
      </c>
      <c r="V2196" s="17" t="n">
        <f aca="false">(B2196-AVERAGE(B2177:B2196))/STDEV(B2177:B2196)</f>
        <v>-0.290264642617027</v>
      </c>
    </row>
    <row r="2197" customFormat="false" ht="15" hidden="false" customHeight="false" outlineLevel="0" collapsed="false">
      <c r="A2197" s="17" t="s">
        <v>2761</v>
      </c>
      <c r="B2197" s="17" t="n">
        <v>19281.4</v>
      </c>
      <c r="C2197" s="19" t="n">
        <f aca="false">B2197/B2196-1</f>
        <v>-0.0261240429888546</v>
      </c>
      <c r="D2197" s="17" t="n">
        <f aca="false">AVERAGE(B2148:B2197)</f>
        <v>20873.4294</v>
      </c>
      <c r="E2197" s="17" t="n">
        <f aca="false">AVERAGE(B1998:B2197)</f>
        <v>20315.93385</v>
      </c>
      <c r="F2197" s="17" t="n">
        <f aca="false">B2197*2/13+F2196*11/13</f>
        <v>19827.0321608558</v>
      </c>
      <c r="G2197" s="17" t="n">
        <f aca="false">B2197*2/27+G2196*25/27</f>
        <v>20155.5041898976</v>
      </c>
      <c r="H2197" s="17" t="n">
        <f aca="false">F2197-G2197</f>
        <v>-328.472029041797</v>
      </c>
      <c r="I2197" s="17" t="n">
        <f aca="false">H2197*2/10+I2196*8/10</f>
        <v>-370.19270995407</v>
      </c>
      <c r="J2197" s="17" t="n">
        <f aca="false">H2197-I2197</f>
        <v>41.7206809122729</v>
      </c>
      <c r="K2197" s="17" t="n">
        <f aca="false">MAX(B2197-B2196,0)</f>
        <v>0</v>
      </c>
      <c r="L2197" s="17" t="n">
        <f aca="false">MAX(B2196-B2197,0)</f>
        <v>517.219999999998</v>
      </c>
      <c r="M2197" s="17" t="n">
        <f aca="false">(M2196*13+K2197)/14</f>
        <v>98.8159779668827</v>
      </c>
      <c r="N2197" s="17" t="n">
        <f aca="false">(N2196*13+L2197)/14</f>
        <v>167.746757972558</v>
      </c>
      <c r="O2197" s="17" t="n">
        <f aca="false">IF(N2197=0,100,100-100/(1+M2197/N2197))</f>
        <v>37.0704395791212</v>
      </c>
      <c r="P2197" s="17" t="n">
        <f aca="false">AVERAGE(B2178:B2197)+2*STDEV(B2178:B2197)</f>
        <v>20647.2461043053</v>
      </c>
      <c r="Q2197" s="17" t="n">
        <f aca="false">AVERAGE(B2178:B2197)-2*STDEV(B2178:B2197)</f>
        <v>19045.1288956947</v>
      </c>
      <c r="R2197" s="19" t="n">
        <f aca="false">B2197/B2177-1</f>
        <v>-0.0767562981190275</v>
      </c>
      <c r="S2197" s="17" t="n">
        <f aca="false">STDEV(C2178:C2197)*SQRT(252)*100</f>
        <v>27.8126063992188</v>
      </c>
      <c r="T2197" s="19" t="n">
        <f aca="false">B2176/B1946-1</f>
        <v>0.124179742287553</v>
      </c>
      <c r="U2197" s="19" t="n">
        <f aca="false">B2197/MAX(B1946:B2197)-1</f>
        <v>-0.130512815887732</v>
      </c>
      <c r="V2197" s="17" t="n">
        <f aca="false">(B2197-AVERAGE(B2178:B2197))/STDEV(B2178:B2197)</f>
        <v>-1.41010282384967</v>
      </c>
    </row>
    <row r="2198" customFormat="false" ht="15" hidden="false" customHeight="false" outlineLevel="0" collapsed="false">
      <c r="A2198" s="17" t="s">
        <v>2762</v>
      </c>
      <c r="B2198" s="17" t="n">
        <v>19278.45</v>
      </c>
      <c r="C2198" s="19" t="n">
        <f aca="false">B2198/B2197-1</f>
        <v>-0.000152997189000859</v>
      </c>
      <c r="D2198" s="17" t="n">
        <f aca="false">AVERAGE(B2149:B2198)</f>
        <v>20837.1734</v>
      </c>
      <c r="E2198" s="17" t="n">
        <f aca="false">AVERAGE(B1999:B2198)</f>
        <v>20316.2752</v>
      </c>
      <c r="F2198" s="17" t="n">
        <f aca="false">B2198*2/13+F2197*11/13</f>
        <v>19742.6349053395</v>
      </c>
      <c r="G2198" s="17" t="n">
        <f aca="false">B2198*2/27+G2197*25/27</f>
        <v>20090.5372128681</v>
      </c>
      <c r="H2198" s="17" t="n">
        <f aca="false">F2198-G2198</f>
        <v>-347.90230752862</v>
      </c>
      <c r="I2198" s="17" t="n">
        <f aca="false">H2198*2/10+I2197*8/10</f>
        <v>-365.73462946898</v>
      </c>
      <c r="J2198" s="17" t="n">
        <f aca="false">H2198-I2198</f>
        <v>17.8323219403597</v>
      </c>
      <c r="K2198" s="17" t="n">
        <f aca="false">MAX(B2198-B2197,0)</f>
        <v>0</v>
      </c>
      <c r="L2198" s="17" t="n">
        <f aca="false">MAX(B2197-B2198,0)</f>
        <v>2.95000000000073</v>
      </c>
      <c r="M2198" s="17" t="n">
        <f aca="false">(M2197*13+K2198)/14</f>
        <v>91.7576938263911</v>
      </c>
      <c r="N2198" s="17" t="n">
        <f aca="false">(N2197*13+L2198)/14</f>
        <v>155.975560974518</v>
      </c>
      <c r="O2198" s="17" t="n">
        <f aca="false">IF(N2198=0,100,100-100/(1+M2198/N2198))</f>
        <v>37.0389086035833</v>
      </c>
      <c r="P2198" s="17" t="n">
        <f aca="false">AVERAGE(B2179:B2198)+2*STDEV(B2179:B2198)</f>
        <v>20579.418463623</v>
      </c>
      <c r="Q2198" s="17" t="n">
        <f aca="false">AVERAGE(B2179:B2198)-2*STDEV(B2179:B2198)</f>
        <v>18998.243536377</v>
      </c>
      <c r="R2198" s="19" t="n">
        <f aca="false">B2198/B2178-1</f>
        <v>-0.056161440703275</v>
      </c>
      <c r="S2198" s="17" t="n">
        <f aca="false">STDEV(C2179:C2198)*SQRT(252)*100</f>
        <v>26.9922689251277</v>
      </c>
      <c r="T2198" s="19" t="n">
        <f aca="false">B2177/B1947-1</f>
        <v>0.144057225841688</v>
      </c>
      <c r="U2198" s="19" t="n">
        <f aca="false">B2198/MAX(B1947:B2198)-1</f>
        <v>-0.130645844982774</v>
      </c>
      <c r="V2198" s="17" t="n">
        <f aca="false">(B2198-AVERAGE(B2179:B2198))/STDEV(B2179:B2198)</f>
        <v>-1.29114367096354</v>
      </c>
    </row>
    <row r="2199" customFormat="false" ht="15" hidden="false" customHeight="false" outlineLevel="0" collapsed="false">
      <c r="A2199" s="17" t="s">
        <v>2763</v>
      </c>
      <c r="B2199" s="17" t="n">
        <v>19436.42</v>
      </c>
      <c r="C2199" s="19" t="n">
        <f aca="false">B2199/B2198-1</f>
        <v>0.00819412349021831</v>
      </c>
      <c r="D2199" s="17" t="n">
        <f aca="false">AVERAGE(B2150:B2199)</f>
        <v>20797.0786</v>
      </c>
      <c r="E2199" s="17" t="n">
        <f aca="false">AVERAGE(B2000:B2199)</f>
        <v>20316.1314</v>
      </c>
      <c r="F2199" s="17" t="n">
        <f aca="false">B2199*2/13+F2198*11/13</f>
        <v>19695.5249199027</v>
      </c>
      <c r="G2199" s="17" t="n">
        <f aca="false">B2199*2/27+G2198*25/27</f>
        <v>20042.084085989</v>
      </c>
      <c r="H2199" s="17" t="n">
        <f aca="false">F2199-G2199</f>
        <v>-346.559166086347</v>
      </c>
      <c r="I2199" s="17" t="n">
        <f aca="false">H2199*2/10+I2198*8/10</f>
        <v>-361.899536792453</v>
      </c>
      <c r="J2199" s="17" t="n">
        <f aca="false">H2199-I2199</f>
        <v>15.3403707061069</v>
      </c>
      <c r="K2199" s="17" t="n">
        <f aca="false">MAX(B2199-B2198,0)</f>
        <v>157.969999999998</v>
      </c>
      <c r="L2199" s="17" t="n">
        <f aca="false">MAX(B2198-B2199,0)</f>
        <v>0</v>
      </c>
      <c r="M2199" s="17" t="n">
        <f aca="false">(M2198*13+K2199)/14</f>
        <v>96.487144267363</v>
      </c>
      <c r="N2199" s="17" t="n">
        <f aca="false">(N2198*13+L2199)/14</f>
        <v>144.834449476339</v>
      </c>
      <c r="O2199" s="17" t="n">
        <f aca="false">IF(N2199=0,100,100-100/(1+M2199/N2199))</f>
        <v>39.9828058361981</v>
      </c>
      <c r="P2199" s="17" t="n">
        <f aca="false">AVERAGE(B2180:B2199)+2*STDEV(B2180:B2199)</f>
        <v>20501.6058399141</v>
      </c>
      <c r="Q2199" s="17" t="n">
        <f aca="false">AVERAGE(B2180:B2199)-2*STDEV(B2180:B2199)</f>
        <v>18984.4451600859</v>
      </c>
      <c r="R2199" s="19" t="n">
        <f aca="false">B2199/B2179-1</f>
        <v>-0.0450120943194777</v>
      </c>
      <c r="S2199" s="17" t="n">
        <f aca="false">STDEV(C2180:C2199)*SQRT(252)*100</f>
        <v>27.2663023537131</v>
      </c>
      <c r="T2199" s="19" t="n">
        <f aca="false">B2178/B1948-1</f>
        <v>0.116566811711456</v>
      </c>
      <c r="U2199" s="19" t="n">
        <f aca="false">B2199/MAX(B1948:B2199)-1</f>
        <v>-0.123522249679828</v>
      </c>
      <c r="V2199" s="17" t="n">
        <f aca="false">(B2199-AVERAGE(B2180:B2199))/STDEV(B2180:B2199)</f>
        <v>-0.808366586549596</v>
      </c>
    </row>
    <row r="2200" customFormat="false" ht="15" hidden="false" customHeight="false" outlineLevel="0" collapsed="false">
      <c r="A2200" s="17" t="s">
        <v>2764</v>
      </c>
      <c r="B2200" s="17" t="n">
        <v>19581.78</v>
      </c>
      <c r="C2200" s="19" t="n">
        <f aca="false">B2200/B2199-1</f>
        <v>0.007478743513466</v>
      </c>
      <c r="D2200" s="17" t="n">
        <f aca="false">AVERAGE(B2151:B2200)</f>
        <v>20757.384</v>
      </c>
      <c r="E2200" s="17" t="n">
        <f aca="false">AVERAGE(B2001:B2200)</f>
        <v>20316.1557</v>
      </c>
      <c r="F2200" s="17" t="n">
        <f aca="false">B2200*2/13+F2199*11/13</f>
        <v>19678.0257014561</v>
      </c>
      <c r="G2200" s="17" t="n">
        <f aca="false">B2200*2/27+G2199*25/27</f>
        <v>20007.9874870269</v>
      </c>
      <c r="H2200" s="17" t="n">
        <f aca="false">F2200-G2200</f>
        <v>-329.961785570762</v>
      </c>
      <c r="I2200" s="17" t="n">
        <f aca="false">H2200*2/10+I2199*8/10</f>
        <v>-355.511986548115</v>
      </c>
      <c r="J2200" s="17" t="n">
        <f aca="false">H2200-I2200</f>
        <v>25.5502009773531</v>
      </c>
      <c r="K2200" s="17" t="n">
        <f aca="false">MAX(B2200-B2199,0)</f>
        <v>145.360000000001</v>
      </c>
      <c r="L2200" s="17" t="n">
        <f aca="false">MAX(B2199-B2200,0)</f>
        <v>0</v>
      </c>
      <c r="M2200" s="17" t="n">
        <f aca="false">(M2199*13+K2200)/14</f>
        <v>99.97806253398</v>
      </c>
      <c r="N2200" s="17" t="n">
        <f aca="false">(N2199*13+L2200)/14</f>
        <v>134.4891316566</v>
      </c>
      <c r="O2200" s="17" t="n">
        <f aca="false">IF(N2200=0,100,100-100/(1+M2200/N2200))</f>
        <v>42.6405335207431</v>
      </c>
      <c r="P2200" s="17" t="n">
        <f aca="false">AVERAGE(B2181:B2200)+2*STDEV(B2181:B2200)</f>
        <v>20326.564465442</v>
      </c>
      <c r="Q2200" s="17" t="n">
        <f aca="false">AVERAGE(B2181:B2200)-2*STDEV(B2181:B2200)</f>
        <v>19054.818534558</v>
      </c>
      <c r="R2200" s="19" t="n">
        <f aca="false">B2200/B2180-1</f>
        <v>-0.0507396092582771</v>
      </c>
      <c r="S2200" s="17" t="n">
        <f aca="false">STDEV(C2181:C2200)*SQRT(252)*100</f>
        <v>26.8842821517415</v>
      </c>
      <c r="T2200" s="19" t="n">
        <f aca="false">B2179/B1949-1</f>
        <v>0.123097731017593</v>
      </c>
      <c r="U2200" s="19" t="n">
        <f aca="false">B2200/MAX(B1949:B2200)-1</f>
        <v>-0.116967297389924</v>
      </c>
      <c r="V2200" s="17" t="n">
        <f aca="false">(B2200-AVERAGE(B2181:B2200))/STDEV(B2181:B2200)</f>
        <v>-0.342557416084822</v>
      </c>
    </row>
    <row r="2201" customFormat="false" ht="15" hidden="false" customHeight="false" outlineLevel="0" collapsed="false">
      <c r="A2201" s="17" t="s">
        <v>2765</v>
      </c>
      <c r="B2201" s="17" t="n">
        <v>18521.47</v>
      </c>
      <c r="C2201" s="19" t="n">
        <f aca="false">B2201/B2200-1</f>
        <v>-0.0541477843178709</v>
      </c>
      <c r="D2201" s="17" t="n">
        <f aca="false">AVERAGE(B2152:B2201)</f>
        <v>20690.7534</v>
      </c>
      <c r="E2201" s="17" t="n">
        <f aca="false">AVERAGE(B2002:B2201)</f>
        <v>20310.46405</v>
      </c>
      <c r="F2201" s="17" t="n">
        <f aca="false">B2201*2/13+F2200*11/13</f>
        <v>19500.0940550782</v>
      </c>
      <c r="G2201" s="17" t="n">
        <f aca="false">B2201*2/27+G2200*25/27</f>
        <v>19897.8750805804</v>
      </c>
      <c r="H2201" s="17" t="n">
        <f aca="false">F2201-G2201</f>
        <v>-397.781025502194</v>
      </c>
      <c r="I2201" s="17" t="n">
        <f aca="false">H2201*2/10+I2200*8/10</f>
        <v>-363.965794338931</v>
      </c>
      <c r="J2201" s="17" t="n">
        <f aca="false">H2201-I2201</f>
        <v>-33.8152311632632</v>
      </c>
      <c r="K2201" s="17" t="n">
        <f aca="false">MAX(B2201-B2200,0)</f>
        <v>0</v>
      </c>
      <c r="L2201" s="17" t="n">
        <f aca="false">MAX(B2200-B2201,0)</f>
        <v>1060.31</v>
      </c>
      <c r="M2201" s="17" t="n">
        <f aca="false">(M2200*13+K2201)/14</f>
        <v>92.8367723529814</v>
      </c>
      <c r="N2201" s="17" t="n">
        <f aca="false">(N2200*13+L2201)/14</f>
        <v>200.619193681128</v>
      </c>
      <c r="O2201" s="17" t="n">
        <f aca="false">IF(N2201=0,100,100-100/(1+M2201/N2201))</f>
        <v>31.6356738653562</v>
      </c>
      <c r="P2201" s="17" t="n">
        <f aca="false">AVERAGE(B2182:B2201)+2*STDEV(B2182:B2201)</f>
        <v>20414.060526258</v>
      </c>
      <c r="Q2201" s="17" t="n">
        <f aca="false">AVERAGE(B2182:B2201)-2*STDEV(B2182:B2201)</f>
        <v>18814.206473742</v>
      </c>
      <c r="R2201" s="19" t="n">
        <f aca="false">B2201/B2181-1</f>
        <v>-0.0763570663798215</v>
      </c>
      <c r="S2201" s="17" t="n">
        <f aca="false">STDEV(C2182:C2201)*SQRT(252)*100</f>
        <v>31.4099895685531</v>
      </c>
      <c r="T2201" s="19" t="n">
        <f aca="false">B2180/B1950-1</f>
        <v>0.135916529507676</v>
      </c>
      <c r="U2201" s="19" t="n">
        <f aca="false">B2201/MAX(B1950:B2201)-1</f>
        <v>-0.164781561716481</v>
      </c>
      <c r="V2201" s="17" t="n">
        <f aca="false">(B2201-AVERAGE(B2182:B2201))/STDEV(B2182:B2201)</f>
        <v>-2.73190794693226</v>
      </c>
    </row>
    <row r="2202" customFormat="false" ht="15" hidden="false" customHeight="false" outlineLevel="0" collapsed="false">
      <c r="A2202" s="17" t="s">
        <v>2766</v>
      </c>
      <c r="B2202" s="17" t="n">
        <v>17397.7</v>
      </c>
      <c r="C2202" s="19" t="n">
        <f aca="false">B2202/B2201-1</f>
        <v>-0.0606739097922573</v>
      </c>
      <c r="D2202" s="17" t="n">
        <f aca="false">AVERAGE(B2153:B2202)</f>
        <v>20600.6888</v>
      </c>
      <c r="E2202" s="17" t="n">
        <f aca="false">AVERAGE(B2003:B2202)</f>
        <v>20297.9388</v>
      </c>
      <c r="F2202" s="17" t="n">
        <f aca="false">B2202*2/13+F2201*11/13</f>
        <v>19176.6488158354</v>
      </c>
      <c r="G2202" s="17" t="n">
        <f aca="false">B2202*2/27+G2201*25/27</f>
        <v>19712.6769264634</v>
      </c>
      <c r="H2202" s="17" t="n">
        <f aca="false">F2202-G2202</f>
        <v>-536.028110627933</v>
      </c>
      <c r="I2202" s="17" t="n">
        <f aca="false">H2202*2/10+I2201*8/10</f>
        <v>-398.378257596731</v>
      </c>
      <c r="J2202" s="17" t="n">
        <f aca="false">H2202-I2202</f>
        <v>-137.649853031201</v>
      </c>
      <c r="K2202" s="17" t="n">
        <f aca="false">MAX(B2202-B2201,0)</f>
        <v>0</v>
      </c>
      <c r="L2202" s="17" t="n">
        <f aca="false">MAX(B2201-B2202,0)</f>
        <v>1123.77</v>
      </c>
      <c r="M2202" s="17" t="n">
        <f aca="false">(M2201*13+K2202)/14</f>
        <v>86.2055743277685</v>
      </c>
      <c r="N2202" s="17" t="n">
        <f aca="false">(N2201*13+L2202)/14</f>
        <v>266.558536989619</v>
      </c>
      <c r="O2202" s="17" t="n">
        <f aca="false">IF(N2202=0,100,100-100/(1+M2202/N2202))</f>
        <v>24.4371724793194</v>
      </c>
      <c r="P2202" s="17" t="n">
        <f aca="false">AVERAGE(B2183:B2202)+2*STDEV(B2183:B2202)</f>
        <v>20706.3330491668</v>
      </c>
      <c r="Q2202" s="17" t="n">
        <f aca="false">AVERAGE(B2183:B2202)-2*STDEV(B2183:B2202)</f>
        <v>18241.5669508332</v>
      </c>
      <c r="R2202" s="19" t="n">
        <f aca="false">B2202/B2182-1</f>
        <v>-0.138786131831653</v>
      </c>
      <c r="S2202" s="17" t="n">
        <f aca="false">STDEV(C2183:C2202)*SQRT(252)*100</f>
        <v>36.994942676941</v>
      </c>
      <c r="T2202" s="19" t="n">
        <f aca="false">B2181/B1951-1</f>
        <v>0.121588273920257</v>
      </c>
      <c r="U2202" s="19" t="n">
        <f aca="false">B2202/MAX(B1951:B2202)-1</f>
        <v>-0.215457529897725</v>
      </c>
      <c r="V2202" s="17" t="n">
        <f aca="false">(B2202-AVERAGE(B2183:B2202))/STDEV(B2183:B2202)</f>
        <v>-3.36948808473747</v>
      </c>
    </row>
    <row r="2203" customFormat="false" ht="15" hidden="false" customHeight="false" outlineLevel="0" collapsed="false">
      <c r="A2203" s="17" t="s">
        <v>2767</v>
      </c>
      <c r="B2203" s="17" t="n">
        <v>17430.68</v>
      </c>
      <c r="C2203" s="19" t="n">
        <f aca="false">B2203/B2202-1</f>
        <v>0.00189565287365578</v>
      </c>
      <c r="D2203" s="17" t="n">
        <f aca="false">AVERAGE(B2154:B2203)</f>
        <v>20513.8222</v>
      </c>
      <c r="E2203" s="17" t="n">
        <f aca="false">AVERAGE(B2004:B2203)</f>
        <v>20285.5479</v>
      </c>
      <c r="F2203" s="17" t="n">
        <f aca="false">B2203*2/13+F2202*11/13</f>
        <v>18908.0382287838</v>
      </c>
      <c r="G2203" s="17" t="n">
        <f aca="false">B2203*2/27+G2202*25/27</f>
        <v>19543.6401170957</v>
      </c>
      <c r="H2203" s="17" t="n">
        <f aca="false">F2203-G2203</f>
        <v>-635.601888311881</v>
      </c>
      <c r="I2203" s="17" t="n">
        <f aca="false">H2203*2/10+I2202*8/10</f>
        <v>-445.822983739761</v>
      </c>
      <c r="J2203" s="17" t="n">
        <f aca="false">H2203-I2203</f>
        <v>-189.77890457212</v>
      </c>
      <c r="K2203" s="17" t="n">
        <f aca="false">MAX(B2203-B2202,0)</f>
        <v>32.9799999999996</v>
      </c>
      <c r="L2203" s="17" t="n">
        <f aca="false">MAX(B2202-B2203,0)</f>
        <v>0</v>
      </c>
      <c r="M2203" s="17" t="n">
        <f aca="false">(M2202*13+K2203)/14</f>
        <v>82.4037475900707</v>
      </c>
      <c r="N2203" s="17" t="n">
        <f aca="false">(N2202*13+L2203)/14</f>
        <v>247.518641490361</v>
      </c>
      <c r="O2203" s="17" t="n">
        <f aca="false">IF(N2203=0,100,100-100/(1+M2203/N2203))</f>
        <v>24.9767067399544</v>
      </c>
      <c r="P2203" s="17" t="n">
        <f aca="false">AVERAGE(B2184:B2203)+2*STDEV(B2184:B2203)</f>
        <v>20908.6023949721</v>
      </c>
      <c r="Q2203" s="17" t="n">
        <f aca="false">AVERAGE(B2184:B2203)-2*STDEV(B2184:B2203)</f>
        <v>17839.2706050279</v>
      </c>
      <c r="R2203" s="19" t="n">
        <f aca="false">B2203/B2183-1</f>
        <v>-0.102942470646057</v>
      </c>
      <c r="S2203" s="17" t="n">
        <f aca="false">STDEV(C2184:C2203)*SQRT(252)*100</f>
        <v>35.239293663922</v>
      </c>
      <c r="T2203" s="19" t="n">
        <f aca="false">B2182/B1952-1</f>
        <v>0.115576365963754</v>
      </c>
      <c r="U2203" s="19" t="n">
        <f aca="false">B2203/MAX(B1952:B2203)-1</f>
        <v>-0.213970309709771</v>
      </c>
      <c r="V2203" s="17" t="n">
        <f aca="false">(B2203-AVERAGE(B2184:B2203))/STDEV(B2184:B2203)</f>
        <v>-2.53248150801621</v>
      </c>
    </row>
    <row r="2204" customFormat="false" ht="15" hidden="false" customHeight="false" outlineLevel="0" collapsed="false">
      <c r="A2204" s="17" t="s">
        <v>2768</v>
      </c>
      <c r="B2204" s="17" t="n">
        <v>17090.4</v>
      </c>
      <c r="C2204" s="19" t="n">
        <f aca="false">B2204/B2203-1</f>
        <v>-0.0195219004651568</v>
      </c>
      <c r="D2204" s="17" t="n">
        <f aca="false">AVERAGE(B2155:B2204)</f>
        <v>20433.0846</v>
      </c>
      <c r="E2204" s="17" t="n">
        <f aca="false">AVERAGE(B2005:B2204)</f>
        <v>20272.2384</v>
      </c>
      <c r="F2204" s="17" t="n">
        <f aca="false">B2204*2/13+F2203*11/13</f>
        <v>18628.4015782017</v>
      </c>
      <c r="G2204" s="17" t="n">
        <f aca="false">B2204*2/27+G2203*25/27</f>
        <v>19361.9186269405</v>
      </c>
      <c r="H2204" s="17" t="n">
        <f aca="false">F2204-G2204</f>
        <v>-733.51704873877</v>
      </c>
      <c r="I2204" s="17" t="n">
        <f aca="false">H2204*2/10+I2203*8/10</f>
        <v>-503.361796739563</v>
      </c>
      <c r="J2204" s="17" t="n">
        <f aca="false">H2204-I2204</f>
        <v>-230.155251999207</v>
      </c>
      <c r="K2204" s="17" t="n">
        <f aca="false">MAX(B2204-B2203,0)</f>
        <v>0</v>
      </c>
      <c r="L2204" s="17" t="n">
        <f aca="false">MAX(B2203-B2204,0)</f>
        <v>340.279999999999</v>
      </c>
      <c r="M2204" s="17" t="n">
        <f aca="false">(M2203*13+K2204)/14</f>
        <v>76.5177656193513</v>
      </c>
      <c r="N2204" s="17" t="n">
        <f aca="false">(N2203*13+L2204)/14</f>
        <v>254.144452812478</v>
      </c>
      <c r="O2204" s="17" t="n">
        <f aca="false">IF(N2204=0,100,100-100/(1+M2204/N2204))</f>
        <v>23.1407646093461</v>
      </c>
      <c r="P2204" s="17" t="n">
        <f aca="false">AVERAGE(B2185:B2204)+2*STDEV(B2185:B2204)</f>
        <v>21102.9640882372</v>
      </c>
      <c r="Q2204" s="17" t="n">
        <f aca="false">AVERAGE(B2185:B2204)-2*STDEV(B2185:B2204)</f>
        <v>17416.2529117628</v>
      </c>
      <c r="R2204" s="19" t="n">
        <f aca="false">B2204/B2184-1</f>
        <v>-0.118004062556768</v>
      </c>
      <c r="S2204" s="17" t="n">
        <f aca="false">STDEV(C2185:C2204)*SQRT(252)*100</f>
        <v>35.5875796246948</v>
      </c>
      <c r="T2204" s="19" t="n">
        <f aca="false">B2183/B1953-1</f>
        <v>0.0735218801570592</v>
      </c>
      <c r="U2204" s="19" t="n">
        <f aca="false">B2204/MAX(B1953:B2204)-1</f>
        <v>-0.229315103086275</v>
      </c>
      <c r="V2204" s="17" t="n">
        <f aca="false">(B2204-AVERAGE(B2185:B2204))/STDEV(B2185:B2204)</f>
        <v>-2.35354319464149</v>
      </c>
    </row>
    <row r="2205" customFormat="false" ht="15" hidden="false" customHeight="false" outlineLevel="0" collapsed="false">
      <c r="A2205" s="17" t="s">
        <v>2769</v>
      </c>
      <c r="B2205" s="17" t="n">
        <v>19145.06</v>
      </c>
      <c r="C2205" s="19" t="n">
        <f aca="false">B2205/B2204-1</f>
        <v>0.12022304919721</v>
      </c>
      <c r="D2205" s="17" t="n">
        <f aca="false">AVERAGE(B2156:B2205)</f>
        <v>20386.725</v>
      </c>
      <c r="E2205" s="17" t="n">
        <f aca="false">AVERAGE(B2006:B2205)</f>
        <v>20269.46155</v>
      </c>
      <c r="F2205" s="17" t="n">
        <f aca="false">B2205*2/13+F2204*11/13</f>
        <v>18707.8874892476</v>
      </c>
      <c r="G2205" s="17" t="n">
        <f aca="false">B2205*2/27+G2204*25/27</f>
        <v>19345.8550249449</v>
      </c>
      <c r="H2205" s="17" t="n">
        <f aca="false">F2205-G2205</f>
        <v>-637.967535697288</v>
      </c>
      <c r="I2205" s="17" t="n">
        <f aca="false">H2205*2/10+I2204*8/10</f>
        <v>-530.282944531108</v>
      </c>
      <c r="J2205" s="17" t="n">
        <f aca="false">H2205-I2205</f>
        <v>-107.68459116618</v>
      </c>
      <c r="K2205" s="17" t="n">
        <f aca="false">MAX(B2205-B2204,0)</f>
        <v>2054.66</v>
      </c>
      <c r="L2205" s="17" t="n">
        <f aca="false">MAX(B2204-B2205,0)</f>
        <v>0</v>
      </c>
      <c r="M2205" s="17" t="n">
        <f aca="false">(M2204*13+K2205)/14</f>
        <v>217.813639503683</v>
      </c>
      <c r="N2205" s="17" t="n">
        <f aca="false">(N2204*13+L2205)/14</f>
        <v>235.991277611587</v>
      </c>
      <c r="O2205" s="17" t="n">
        <f aca="false">IF(N2205=0,100,100-100/(1+M2205/N2205))</f>
        <v>47.9971968766387</v>
      </c>
      <c r="P2205" s="17" t="n">
        <f aca="false">AVERAGE(B2186:B2205)+2*STDEV(B2186:B2205)</f>
        <v>21074.1113162868</v>
      </c>
      <c r="Q2205" s="17" t="n">
        <f aca="false">AVERAGE(B2186:B2205)-2*STDEV(B2186:B2205)</f>
        <v>17400.0096837132</v>
      </c>
      <c r="R2205" s="19" t="n">
        <f aca="false">B2205/B2185-1</f>
        <v>-0.02301283628002</v>
      </c>
      <c r="S2205" s="17" t="n">
        <f aca="false">STDEV(C2186:C2205)*SQRT(252)*100</f>
        <v>57.110689166655</v>
      </c>
      <c r="T2205" s="19" t="n">
        <f aca="false">B2184/B1954-1</f>
        <v>0.0664318460751021</v>
      </c>
      <c r="U2205" s="19" t="n">
        <f aca="false">B2205/MAX(B1954:B2205)-1</f>
        <v>-0.136661014809069</v>
      </c>
      <c r="V2205" s="17" t="n">
        <f aca="false">(B2205-AVERAGE(B2186:B2205))/STDEV(B2186:B2205)</f>
        <v>-0.100161083389035</v>
      </c>
    </row>
    <row r="2206" customFormat="false" ht="15" hidden="false" customHeight="false" outlineLevel="0" collapsed="false">
      <c r="A2206" s="17" t="s">
        <v>2770</v>
      </c>
      <c r="B2206" s="17" t="n">
        <v>18343.57</v>
      </c>
      <c r="C2206" s="19" t="n">
        <f aca="false">B2206/B2205-1</f>
        <v>-0.041864063105574</v>
      </c>
      <c r="D2206" s="17" t="n">
        <f aca="false">AVERAGE(B2157:B2206)</f>
        <v>20325.3672</v>
      </c>
      <c r="E2206" s="17" t="n">
        <f aca="false">AVERAGE(B2007:B2206)</f>
        <v>20263.8063</v>
      </c>
      <c r="F2206" s="17" t="n">
        <f aca="false">B2206*2/13+F2205*11/13</f>
        <v>18651.838644748</v>
      </c>
      <c r="G2206" s="17" t="n">
        <f aca="false">B2206*2/27+G2205*25/27</f>
        <v>19271.6116897638</v>
      </c>
      <c r="H2206" s="17" t="n">
        <f aca="false">F2206-G2206</f>
        <v>-619.773045015816</v>
      </c>
      <c r="I2206" s="17" t="n">
        <f aca="false">H2206*2/10+I2205*8/10</f>
        <v>-548.18096462805</v>
      </c>
      <c r="J2206" s="17" t="n">
        <f aca="false">H2206-I2206</f>
        <v>-71.5920803877665</v>
      </c>
      <c r="K2206" s="17" t="n">
        <f aca="false">MAX(B2206-B2205,0)</f>
        <v>0</v>
      </c>
      <c r="L2206" s="17" t="n">
        <f aca="false">MAX(B2205-B2206,0)</f>
        <v>801.490000000002</v>
      </c>
      <c r="M2206" s="17" t="n">
        <f aca="false">(M2205*13+K2206)/14</f>
        <v>202.255522396277</v>
      </c>
      <c r="N2206" s="17" t="n">
        <f aca="false">(N2205*13+L2206)/14</f>
        <v>276.384043496473</v>
      </c>
      <c r="O2206" s="17" t="n">
        <f aca="false">IF(N2206=0,100,100-100/(1+M2206/N2206))</f>
        <v>42.2563316551221</v>
      </c>
      <c r="P2206" s="17" t="n">
        <f aca="false">AVERAGE(B2187:B2206)+2*STDEV(B2187:B2206)</f>
        <v>21073.0205694979</v>
      </c>
      <c r="Q2206" s="17" t="n">
        <f aca="false">AVERAGE(B2187:B2206)-2*STDEV(B2187:B2206)</f>
        <v>17312.9094305021</v>
      </c>
      <c r="R2206" s="19" t="n">
        <f aca="false">B2206/B2186-1</f>
        <v>-0.0458719366174473</v>
      </c>
      <c r="S2206" s="17" t="n">
        <f aca="false">STDEV(C2187:C2206)*SQRT(252)*100</f>
        <v>58.6489622436143</v>
      </c>
      <c r="T2206" s="19" t="n">
        <f aca="false">B2185/B1955-1</f>
        <v>0.0879630195106949</v>
      </c>
      <c r="U2206" s="19" t="n">
        <f aca="false">B2206/MAX(B1955:B2206)-1</f>
        <v>-0.172803892566605</v>
      </c>
      <c r="V2206" s="17" t="n">
        <f aca="false">(B2206-AVERAGE(B2187:B2206))/STDEV(B2187:B2206)</f>
        <v>-0.903584993742344</v>
      </c>
    </row>
    <row r="2207" customFormat="false" ht="15" hidden="false" customHeight="false" outlineLevel="0" collapsed="false">
      <c r="A2207" s="17" t="s">
        <v>2771</v>
      </c>
      <c r="B2207" s="17" t="n">
        <v>18690.05</v>
      </c>
      <c r="C2207" s="19" t="n">
        <f aca="false">B2207/B2206-1</f>
        <v>0.0188883625161296</v>
      </c>
      <c r="D2207" s="17" t="n">
        <f aca="false">AVERAGE(B2158:B2207)</f>
        <v>20269.0058</v>
      </c>
      <c r="E2207" s="17" t="n">
        <f aca="false">AVERAGE(B2008:B2207)</f>
        <v>20258.7509</v>
      </c>
      <c r="F2207" s="17" t="n">
        <f aca="false">B2207*2/13+F2206*11/13</f>
        <v>18657.7173147867</v>
      </c>
      <c r="G2207" s="17" t="n">
        <f aca="false">B2207*2/27+G2206*25/27</f>
        <v>19228.5330460776</v>
      </c>
      <c r="H2207" s="17" t="n">
        <f aca="false">F2207-G2207</f>
        <v>-570.815731290837</v>
      </c>
      <c r="I2207" s="17" t="n">
        <f aca="false">H2207*2/10+I2206*8/10</f>
        <v>-552.707917960607</v>
      </c>
      <c r="J2207" s="17" t="n">
        <f aca="false">H2207-I2207</f>
        <v>-18.10781333023</v>
      </c>
      <c r="K2207" s="17" t="n">
        <f aca="false">MAX(B2207-B2206,0)</f>
        <v>346.48</v>
      </c>
      <c r="L2207" s="17" t="n">
        <f aca="false">MAX(B2206-B2207,0)</f>
        <v>0</v>
      </c>
      <c r="M2207" s="17" t="n">
        <f aca="false">(M2206*13+K2207)/14</f>
        <v>212.557270796543</v>
      </c>
      <c r="N2207" s="17" t="n">
        <f aca="false">(N2206*13+L2207)/14</f>
        <v>256.642326103868</v>
      </c>
      <c r="O2207" s="17" t="n">
        <f aca="false">IF(N2207=0,100,100-100/(1+M2207/N2207))</f>
        <v>45.30210004457</v>
      </c>
      <c r="P2207" s="17" t="n">
        <f aca="false">AVERAGE(B2188:B2207)+2*STDEV(B2188:B2207)</f>
        <v>21018.9086501359</v>
      </c>
      <c r="Q2207" s="17" t="n">
        <f aca="false">AVERAGE(B2188:B2207)-2*STDEV(B2188:B2207)</f>
        <v>17265.5623498641</v>
      </c>
      <c r="R2207" s="19" t="n">
        <f aca="false">B2207/B2187-1</f>
        <v>-0.0514899028858178</v>
      </c>
      <c r="S2207" s="17" t="n">
        <f aca="false">STDEV(C2188:C2207)*SQRT(252)*100</f>
        <v>58.3236171578878</v>
      </c>
      <c r="T2207" s="19" t="n">
        <f aca="false">B2186/B1956-1</f>
        <v>0.0501147587008506</v>
      </c>
      <c r="U2207" s="19" t="n">
        <f aca="false">B2207/MAX(B1956:B2207)-1</f>
        <v>-0.157179512617471</v>
      </c>
      <c r="V2207" s="17" t="n">
        <f aca="false">(B2207-AVERAGE(B2188:B2207))/STDEV(B2188:B2207)</f>
        <v>-0.481901177056063</v>
      </c>
    </row>
    <row r="2208" customFormat="false" ht="15" hidden="false" customHeight="false" outlineLevel="0" collapsed="false">
      <c r="A2208" s="17" t="s">
        <v>2772</v>
      </c>
      <c r="B2208" s="17" t="n">
        <v>18796.02</v>
      </c>
      <c r="C2208" s="19" t="n">
        <f aca="false">B2208/B2207-1</f>
        <v>0.00566986177137041</v>
      </c>
      <c r="D2208" s="17" t="n">
        <f aca="false">AVERAGE(B2159:B2208)</f>
        <v>20215.3652</v>
      </c>
      <c r="E2208" s="17" t="n">
        <f aca="false">AVERAGE(B2009:B2208)</f>
        <v>20253.97575</v>
      </c>
      <c r="F2208" s="17" t="n">
        <f aca="false">B2208*2/13+F2207*11/13</f>
        <v>18678.9946509734</v>
      </c>
      <c r="G2208" s="17" t="n">
        <f aca="false">B2208*2/27+G2207*25/27</f>
        <v>19196.4950426644</v>
      </c>
      <c r="H2208" s="17" t="n">
        <f aca="false">F2208-G2208</f>
        <v>-517.500391691028</v>
      </c>
      <c r="I2208" s="17" t="n">
        <f aca="false">H2208*2/10+I2207*8/10</f>
        <v>-545.666412706691</v>
      </c>
      <c r="J2208" s="17" t="n">
        <f aca="false">H2208-I2208</f>
        <v>28.1660210156631</v>
      </c>
      <c r="K2208" s="17" t="n">
        <f aca="false">MAX(B2208-B2207,0)</f>
        <v>105.970000000001</v>
      </c>
      <c r="L2208" s="17" t="n">
        <f aca="false">MAX(B2207-B2208,0)</f>
        <v>0</v>
      </c>
      <c r="M2208" s="17" t="n">
        <f aca="false">(M2207*13+K2208)/14</f>
        <v>204.943894311076</v>
      </c>
      <c r="N2208" s="17" t="n">
        <f aca="false">(N2207*13+L2208)/14</f>
        <v>238.310731382163</v>
      </c>
      <c r="O2208" s="17" t="n">
        <f aca="false">IF(N2208=0,100,100-100/(1+M2208/N2208))</f>
        <v>46.2361546685607</v>
      </c>
      <c r="P2208" s="17" t="n">
        <f aca="false">AVERAGE(B2189:B2208)+2*STDEV(B2189:B2208)</f>
        <v>20946.6225471436</v>
      </c>
      <c r="Q2208" s="17" t="n">
        <f aca="false">AVERAGE(B2189:B2208)-2*STDEV(B2189:B2208)</f>
        <v>17236.2264528564</v>
      </c>
      <c r="R2208" s="19" t="n">
        <f aca="false">B2208/B2188-1</f>
        <v>-0.0512925343121222</v>
      </c>
      <c r="S2208" s="17" t="n">
        <f aca="false">STDEV(C2189:C2208)*SQRT(252)*100</f>
        <v>58.3272226389566</v>
      </c>
      <c r="T2208" s="19" t="n">
        <f aca="false">B2187/B1957-1</f>
        <v>0.0944900127697461</v>
      </c>
      <c r="U2208" s="19" t="n">
        <f aca="false">B2208/MAX(B1957:B2208)-1</f>
        <v>-0.152400836955933</v>
      </c>
      <c r="V2208" s="17" t="n">
        <f aca="false">(B2208-AVERAGE(B2189:B2208))/STDEV(B2189:B2208)</f>
        <v>-0.318461417588094</v>
      </c>
    </row>
    <row r="2209" customFormat="false" ht="15" hidden="false" customHeight="false" outlineLevel="0" collapsed="false">
      <c r="A2209" s="17" t="s">
        <v>2773</v>
      </c>
      <c r="B2209" s="17" t="n">
        <v>18830.23</v>
      </c>
      <c r="C2209" s="19" t="n">
        <f aca="false">B2209/B2208-1</f>
        <v>0.00182006616294306</v>
      </c>
      <c r="D2209" s="17" t="n">
        <f aca="false">AVERAGE(B2160:B2209)</f>
        <v>20166.0182</v>
      </c>
      <c r="E2209" s="17" t="n">
        <f aca="false">AVERAGE(B2010:B2209)</f>
        <v>20249.18175</v>
      </c>
      <c r="F2209" s="17" t="n">
        <f aca="false">B2209*2/13+F2208*11/13</f>
        <v>18702.2616277467</v>
      </c>
      <c r="G2209" s="17" t="n">
        <f aca="false">B2209*2/27+G2208*25/27</f>
        <v>19169.3642987634</v>
      </c>
      <c r="H2209" s="17" t="n">
        <f aca="false">F2209-G2209</f>
        <v>-467.102671016633</v>
      </c>
      <c r="I2209" s="17" t="n">
        <f aca="false">H2209*2/10+I2208*8/10</f>
        <v>-529.95366436868</v>
      </c>
      <c r="J2209" s="17" t="n">
        <f aca="false">H2209-I2209</f>
        <v>62.8509933520463</v>
      </c>
      <c r="K2209" s="17" t="n">
        <f aca="false">MAX(B2209-B2208,0)</f>
        <v>34.2099999999991</v>
      </c>
      <c r="L2209" s="17" t="n">
        <f aca="false">MAX(B2208-B2209,0)</f>
        <v>0</v>
      </c>
      <c r="M2209" s="17" t="n">
        <f aca="false">(M2208*13+K2209)/14</f>
        <v>192.748616145999</v>
      </c>
      <c r="N2209" s="17" t="n">
        <f aca="false">(N2208*13+L2209)/14</f>
        <v>221.288536283437</v>
      </c>
      <c r="O2209" s="17" t="n">
        <f aca="false">IF(N2209=0,100,100-100/(1+M2209/N2209))</f>
        <v>46.5534590350195</v>
      </c>
      <c r="P2209" s="17" t="n">
        <f aca="false">AVERAGE(B2190:B2209)+2*STDEV(B2190:B2209)</f>
        <v>20907.9008956778</v>
      </c>
      <c r="Q2209" s="17" t="n">
        <f aca="false">AVERAGE(B2190:B2209)-2*STDEV(B2190:B2209)</f>
        <v>17209.6351043222</v>
      </c>
      <c r="R2209" s="19" t="n">
        <f aca="false">B2209/B2189-1</f>
        <v>-0.0335224519795354</v>
      </c>
      <c r="S2209" s="17" t="n">
        <f aca="false">STDEV(C2190:C2209)*SQRT(252)*100</f>
        <v>58.0819895488878</v>
      </c>
      <c r="T2209" s="19" t="n">
        <f aca="false">B2188/B1958-1</f>
        <v>0.118903835412663</v>
      </c>
      <c r="U2209" s="19" t="n">
        <f aca="false">B2209/MAX(B1958:B2209)-1</f>
        <v>-0.150858150399538</v>
      </c>
      <c r="V2209" s="17" t="n">
        <f aca="false">(B2209-AVERAGE(B2190:B2209))/STDEV(B2190:B2209)</f>
        <v>-0.247183964477821</v>
      </c>
    </row>
    <row r="2210" customFormat="false" ht="15" hidden="false" customHeight="false" outlineLevel="0" collapsed="false">
      <c r="A2210" s="17" t="s">
        <v>2774</v>
      </c>
      <c r="B2210" s="17" t="n">
        <v>18257.64</v>
      </c>
      <c r="C2210" s="19" t="n">
        <f aca="false">B2210/B2209-1</f>
        <v>-0.0304080194453281</v>
      </c>
      <c r="D2210" s="17" t="n">
        <f aca="false">AVERAGE(B2161:B2210)</f>
        <v>20099.8326</v>
      </c>
      <c r="E2210" s="17" t="n">
        <f aca="false">AVERAGE(B2011:B2210)</f>
        <v>20242.0556</v>
      </c>
      <c r="F2210" s="17" t="n">
        <f aca="false">B2210*2/13+F2209*11/13</f>
        <v>18633.8583004011</v>
      </c>
      <c r="G2210" s="17" t="n">
        <f aca="false">B2210*2/27+G2209*25/27</f>
        <v>19101.8291655216</v>
      </c>
      <c r="H2210" s="17" t="n">
        <f aca="false">F2210-G2210</f>
        <v>-467.970865120551</v>
      </c>
      <c r="I2210" s="17" t="n">
        <f aca="false">H2210*2/10+I2209*8/10</f>
        <v>-517.557104519054</v>
      </c>
      <c r="J2210" s="17" t="n">
        <f aca="false">H2210-I2210</f>
        <v>49.5862393985029</v>
      </c>
      <c r="K2210" s="17" t="n">
        <f aca="false">MAX(B2210-B2209,0)</f>
        <v>0</v>
      </c>
      <c r="L2210" s="17" t="n">
        <f aca="false">MAX(B2209-B2210,0)</f>
        <v>572.59</v>
      </c>
      <c r="M2210" s="17" t="n">
        <f aca="false">(M2209*13+K2210)/14</f>
        <v>178.980857849856</v>
      </c>
      <c r="N2210" s="17" t="n">
        <f aca="false">(N2209*13+L2210)/14</f>
        <v>246.381497977478</v>
      </c>
      <c r="O2210" s="17" t="n">
        <f aca="false">IF(N2210=0,100,100-100/(1+M2210/N2210))</f>
        <v>42.0772678630051</v>
      </c>
      <c r="P2210" s="17" t="n">
        <f aca="false">AVERAGE(B2191:B2210)+2*STDEV(B2191:B2210)</f>
        <v>20838.0947627828</v>
      </c>
      <c r="Q2210" s="17" t="n">
        <f aca="false">AVERAGE(B2191:B2210)-2*STDEV(B2191:B2210)</f>
        <v>17131.5392372172</v>
      </c>
      <c r="R2210" s="19" t="n">
        <f aca="false">B2210/B2190-1</f>
        <v>-0.0749377047585559</v>
      </c>
      <c r="S2210" s="17" t="n">
        <f aca="false">STDEV(C2191:C2210)*SQRT(252)*100</f>
        <v>58.7258591354529</v>
      </c>
      <c r="T2210" s="19" t="n">
        <f aca="false">B2189/B1959-1</f>
        <v>0.0999059482907543</v>
      </c>
      <c r="U2210" s="19" t="n">
        <f aca="false">B2210/MAX(B1959:B2210)-1</f>
        <v>-0.176678872274031</v>
      </c>
      <c r="V2210" s="17" t="n">
        <f aca="false">(B2210-AVERAGE(B2191:B2210))/STDEV(B2191:B2210)</f>
        <v>-0.784746911232671</v>
      </c>
    </row>
    <row r="2211" customFormat="false" ht="15" hidden="false" customHeight="false" outlineLevel="0" collapsed="false">
      <c r="A2211" s="17" t="s">
        <v>2775</v>
      </c>
      <c r="B2211" s="17" t="n">
        <v>18258.09</v>
      </c>
      <c r="C2211" s="19" t="n">
        <f aca="false">B2211/B2210-1</f>
        <v>2.46472161791189E-005</v>
      </c>
      <c r="D2211" s="17" t="n">
        <f aca="false">AVERAGE(B2162:B2211)</f>
        <v>20031.8312</v>
      </c>
      <c r="E2211" s="17" t="n">
        <f aca="false">AVERAGE(B2012:B2211)</f>
        <v>20234.28495</v>
      </c>
      <c r="F2211" s="17" t="n">
        <f aca="false">B2211*2/13+F2210*11/13</f>
        <v>18576.0477926471</v>
      </c>
      <c r="G2211" s="17" t="n">
        <f aca="false">B2211*2/27+G2210*25/27</f>
        <v>19039.3299680756</v>
      </c>
      <c r="H2211" s="17" t="n">
        <f aca="false">F2211-G2211</f>
        <v>-463.282175428514</v>
      </c>
      <c r="I2211" s="17" t="n">
        <f aca="false">H2211*2/10+I2210*8/10</f>
        <v>-506.702118700946</v>
      </c>
      <c r="J2211" s="17" t="n">
        <f aca="false">H2211-I2211</f>
        <v>43.4199432724319</v>
      </c>
      <c r="K2211" s="17" t="n">
        <f aca="false">MAX(B2211-B2210,0)</f>
        <v>0.450000000000728</v>
      </c>
      <c r="L2211" s="17" t="n">
        <f aca="false">MAX(B2210-B2211,0)</f>
        <v>0</v>
      </c>
      <c r="M2211" s="17" t="n">
        <f aca="false">(M2210*13+K2211)/14</f>
        <v>166.228653717724</v>
      </c>
      <c r="N2211" s="17" t="n">
        <f aca="false">(N2210*13+L2211)/14</f>
        <v>228.782819550515</v>
      </c>
      <c r="O2211" s="17" t="n">
        <f aca="false">IF(N2211=0,100,100-100/(1+M2211/N2211))</f>
        <v>42.081981149151</v>
      </c>
      <c r="P2211" s="17" t="n">
        <f aca="false">AVERAGE(B2192:B2211)+2*STDEV(B2192:B2211)</f>
        <v>20764.1297884857</v>
      </c>
      <c r="Q2211" s="17" t="n">
        <f aca="false">AVERAGE(B2192:B2211)-2*STDEV(B2192:B2211)</f>
        <v>17063.5522115143</v>
      </c>
      <c r="R2211" s="19" t="n">
        <f aca="false">B2211/B2191-1</f>
        <v>-0.0721388420646614</v>
      </c>
      <c r="S2211" s="17" t="n">
        <f aca="false">STDEV(C2192:C2211)*SQRT(252)*100</f>
        <v>58.7374278621856</v>
      </c>
      <c r="T2211" s="19" t="n">
        <f aca="false">B2190/B1960-1</f>
        <v>0.128220459801916</v>
      </c>
      <c r="U2211" s="19" t="n">
        <f aca="false">B2211/MAX(B1960:B2211)-1</f>
        <v>-0.176658579700211</v>
      </c>
      <c r="V2211" s="17" t="n">
        <f aca="false">(B2211-AVERAGE(B2192:B2211))/STDEV(B2192:B2211)</f>
        <v>-0.708809353524413</v>
      </c>
    </row>
    <row r="2212" customFormat="false" ht="15" hidden="false" customHeight="false" outlineLevel="0" collapsed="false">
      <c r="A2212" s="17" t="s">
        <v>2776</v>
      </c>
      <c r="B2212" s="17" t="n">
        <v>17808.3</v>
      </c>
      <c r="C2212" s="19" t="n">
        <f aca="false">B2212/B2211-1</f>
        <v>-0.0246351069580663</v>
      </c>
      <c r="D2212" s="17" t="n">
        <f aca="false">AVERAGE(B2163:B2212)</f>
        <v>19952.5158</v>
      </c>
      <c r="E2212" s="17" t="n">
        <f aca="false">AVERAGE(B2013:B2212)</f>
        <v>20223.267</v>
      </c>
      <c r="F2212" s="17" t="n">
        <f aca="false">B2212*2/13+F2211*11/13</f>
        <v>18457.9327476244</v>
      </c>
      <c r="G2212" s="17" t="n">
        <f aca="false">B2212*2/27+G2211*25/27</f>
        <v>18948.1425630329</v>
      </c>
      <c r="H2212" s="17" t="n">
        <f aca="false">F2212-G2212</f>
        <v>-490.209815408503</v>
      </c>
      <c r="I2212" s="17" t="n">
        <f aca="false">H2212*2/10+I2211*8/10</f>
        <v>-503.403658042458</v>
      </c>
      <c r="J2212" s="17" t="n">
        <f aca="false">H2212-I2212</f>
        <v>13.1938426339541</v>
      </c>
      <c r="K2212" s="17" t="n">
        <f aca="false">MAX(B2212-B2211,0)</f>
        <v>0</v>
      </c>
      <c r="L2212" s="17" t="n">
        <f aca="false">MAX(B2211-B2212,0)</f>
        <v>449.790000000001</v>
      </c>
      <c r="M2212" s="17" t="n">
        <f aca="false">(M2211*13+K2212)/14</f>
        <v>154.355178452172</v>
      </c>
      <c r="N2212" s="17" t="n">
        <f aca="false">(N2211*13+L2212)/14</f>
        <v>244.569046725478</v>
      </c>
      <c r="O2212" s="17" t="n">
        <f aca="false">IF(N2212=0,100,100-100/(1+M2212/N2212))</f>
        <v>38.6928566154222</v>
      </c>
      <c r="P2212" s="17" t="n">
        <f aca="false">AVERAGE(B2193:B2212)+2*STDEV(B2193:B2212)</f>
        <v>20685.3636729561</v>
      </c>
      <c r="Q2212" s="17" t="n">
        <f aca="false">AVERAGE(B2193:B2212)-2*STDEV(B2193:B2212)</f>
        <v>16947.7513270439</v>
      </c>
      <c r="R2212" s="19" t="n">
        <f aca="false">B2212/B2192-1</f>
        <v>-0.0984951379393612</v>
      </c>
      <c r="S2212" s="17" t="n">
        <f aca="false">STDEV(C2193:C2212)*SQRT(252)*100</f>
        <v>59.1581828290429</v>
      </c>
      <c r="T2212" s="19" t="n">
        <f aca="false">B2191/B1961-1</f>
        <v>0.131267063769704</v>
      </c>
      <c r="U2212" s="19" t="n">
        <f aca="false">B2212/MAX(B1961:B2212)-1</f>
        <v>-0.196941683652302</v>
      </c>
      <c r="V2212" s="17" t="n">
        <f aca="false">(B2212-AVERAGE(B2193:B2212))/STDEV(B2193:B2212)</f>
        <v>-1.07903913695353</v>
      </c>
    </row>
    <row r="2213" customFormat="false" ht="15" hidden="false" customHeight="false" outlineLevel="0" collapsed="false">
      <c r="A2213" s="17" t="s">
        <v>2777</v>
      </c>
      <c r="B2213" s="17" t="n">
        <v>18276.41</v>
      </c>
      <c r="C2213" s="19" t="n">
        <f aca="false">B2213/B2212-1</f>
        <v>0.0262860576248154</v>
      </c>
      <c r="D2213" s="17" t="n">
        <f aca="false">AVERAGE(B2164:B2213)</f>
        <v>19888.2178</v>
      </c>
      <c r="E2213" s="17" t="n">
        <f aca="false">AVERAGE(B2014:B2213)</f>
        <v>20213.7159</v>
      </c>
      <c r="F2213" s="17" t="n">
        <f aca="false">B2213*2/13+F2212*11/13</f>
        <v>18430.0061710668</v>
      </c>
      <c r="G2213" s="17" t="n">
        <f aca="false">B2213*2/27+G2212*25/27</f>
        <v>18898.3845954009</v>
      </c>
      <c r="H2213" s="17" t="n">
        <f aca="false">F2213-G2213</f>
        <v>-468.378424334042</v>
      </c>
      <c r="I2213" s="17" t="n">
        <f aca="false">H2213*2/10+I2212*8/10</f>
        <v>-496.398611300774</v>
      </c>
      <c r="J2213" s="17" t="n">
        <f aca="false">H2213-I2213</f>
        <v>28.0201869667328</v>
      </c>
      <c r="K2213" s="17" t="n">
        <f aca="false">MAX(B2213-B2212,0)</f>
        <v>468.110000000001</v>
      </c>
      <c r="L2213" s="17" t="n">
        <f aca="false">MAX(B2212-B2213,0)</f>
        <v>0</v>
      </c>
      <c r="M2213" s="17" t="n">
        <f aca="false">(M2212*13+K2213)/14</f>
        <v>176.76623713416</v>
      </c>
      <c r="N2213" s="17" t="n">
        <f aca="false">(N2212*13+L2213)/14</f>
        <v>227.09982910223</v>
      </c>
      <c r="O2213" s="17" t="n">
        <f aca="false">IF(N2213=0,100,100-100/(1+M2213/N2213))</f>
        <v>43.7685292011376</v>
      </c>
      <c r="P2213" s="17" t="n">
        <f aca="false">AVERAGE(B2194:B2213)+2*STDEV(B2194:B2213)</f>
        <v>20488.8611219069</v>
      </c>
      <c r="Q2213" s="17" t="n">
        <f aca="false">AVERAGE(B2194:B2213)-2*STDEV(B2194:B2213)</f>
        <v>16953.8498780931</v>
      </c>
      <c r="R2213" s="19" t="n">
        <f aca="false">B2213/B2193-1</f>
        <v>-0.0943507206231774</v>
      </c>
      <c r="S2213" s="17" t="n">
        <f aca="false">STDEV(C2194:C2213)*SQRT(252)*100</f>
        <v>59.4559699881004</v>
      </c>
      <c r="T2213" s="19" t="n">
        <f aca="false">B2192/B1962-1</f>
        <v>0.159430437883159</v>
      </c>
      <c r="U2213" s="19" t="n">
        <f aca="false">B2213/MAX(B1962:B2213)-1</f>
        <v>-0.1758324464727</v>
      </c>
      <c r="V2213" s="17" t="n">
        <f aca="false">(B2213-AVERAGE(B2194:B2213))/STDEV(B2194:B2213)</f>
        <v>-0.503472797466921</v>
      </c>
    </row>
    <row r="2214" customFormat="false" ht="15" hidden="false" customHeight="false" outlineLevel="0" collapsed="false">
      <c r="A2214" s="17" t="s">
        <v>2778</v>
      </c>
      <c r="B2214" s="17" t="n">
        <v>18693.26</v>
      </c>
      <c r="C2214" s="19" t="n">
        <f aca="false">B2214/B2213-1</f>
        <v>0.0228080897725538</v>
      </c>
      <c r="D2214" s="17" t="n">
        <f aca="false">AVERAGE(B2165:B2214)</f>
        <v>19826.9484</v>
      </c>
      <c r="E2214" s="17" t="n">
        <f aca="false">AVERAGE(B2015:B2214)</f>
        <v>20205.22235</v>
      </c>
      <c r="F2214" s="17" t="n">
        <f aca="false">B2214*2/13+F2213*11/13</f>
        <v>18470.5067601335</v>
      </c>
      <c r="G2214" s="17" t="n">
        <f aca="false">B2214*2/27+G2213*25/27</f>
        <v>18883.1901809267</v>
      </c>
      <c r="H2214" s="17" t="n">
        <f aca="false">F2214-G2214</f>
        <v>-412.683420793263</v>
      </c>
      <c r="I2214" s="17" t="n">
        <f aca="false">H2214*2/10+I2213*8/10</f>
        <v>-479.655573199272</v>
      </c>
      <c r="J2214" s="17" t="n">
        <f aca="false">H2214-I2214</f>
        <v>66.9721524060094</v>
      </c>
      <c r="K2214" s="17" t="n">
        <f aca="false">MAX(B2214-B2213,0)</f>
        <v>416.849999999999</v>
      </c>
      <c r="L2214" s="17" t="n">
        <f aca="false">MAX(B2213-B2214,0)</f>
        <v>0</v>
      </c>
      <c r="M2214" s="17" t="n">
        <f aca="false">(M2213*13+K2214)/14</f>
        <v>193.915077338863</v>
      </c>
      <c r="N2214" s="17" t="n">
        <f aca="false">(N2213*13+L2214)/14</f>
        <v>210.878412737785</v>
      </c>
      <c r="O2214" s="17" t="n">
        <f aca="false">IF(N2214=0,100,100-100/(1+M2214/N2214))</f>
        <v>47.9046926624598</v>
      </c>
      <c r="P2214" s="17" t="n">
        <f aca="false">AVERAGE(B2195:B2214)+2*STDEV(B2195:B2214)</f>
        <v>20248.1384811273</v>
      </c>
      <c r="Q2214" s="17" t="n">
        <f aca="false">AVERAGE(B2195:B2214)-2*STDEV(B2195:B2214)</f>
        <v>17035.1155188727</v>
      </c>
      <c r="R2214" s="19" t="n">
        <f aca="false">B2214/B2194-1</f>
        <v>-0.0785973660071089</v>
      </c>
      <c r="S2214" s="17" t="n">
        <f aca="false">STDEV(C2195:C2214)*SQRT(252)*100</f>
        <v>60.1511408620501</v>
      </c>
      <c r="T2214" s="19" t="n">
        <f aca="false">B2193/B1963-1</f>
        <v>0.172539595570014</v>
      </c>
      <c r="U2214" s="19" t="n">
        <f aca="false">B2214/MAX(B1963:B2214)-1</f>
        <v>-0.157034758924223</v>
      </c>
      <c r="V2214" s="17" t="n">
        <f aca="false">(B2214-AVERAGE(B2195:B2214))/STDEV(B2195:B2214)</f>
        <v>0.0642796526592742</v>
      </c>
    </row>
    <row r="2215" customFormat="false" ht="15" hidden="false" customHeight="false" outlineLevel="0" collapsed="false">
      <c r="A2215" s="17" t="s">
        <v>2779</v>
      </c>
      <c r="B2215" s="17" t="n">
        <v>19214.4</v>
      </c>
      <c r="C2215" s="19" t="n">
        <f aca="false">B2215/B2214-1</f>
        <v>0.0278784973835491</v>
      </c>
      <c r="D2215" s="17" t="n">
        <f aca="false">AVERAGE(B2166:B2215)</f>
        <v>19777.366</v>
      </c>
      <c r="E2215" s="17" t="n">
        <f aca="false">AVERAGE(B2016:B2215)</f>
        <v>20199.09665</v>
      </c>
      <c r="F2215" s="17" t="n">
        <f aca="false">B2215*2/13+F2214*11/13</f>
        <v>18584.9518739591</v>
      </c>
      <c r="G2215" s="17" t="n">
        <f aca="false">B2215*2/27+G2214*25/27</f>
        <v>18907.7242415988</v>
      </c>
      <c r="H2215" s="17" t="n">
        <f aca="false">F2215-G2215</f>
        <v>-322.772367639736</v>
      </c>
      <c r="I2215" s="17" t="n">
        <f aca="false">H2215*2/10+I2214*8/10</f>
        <v>-448.278932087365</v>
      </c>
      <c r="J2215" s="17" t="n">
        <f aca="false">H2215-I2215</f>
        <v>125.506564447628</v>
      </c>
      <c r="K2215" s="17" t="n">
        <f aca="false">MAX(B2215-B2214,0)</f>
        <v>521.140000000003</v>
      </c>
      <c r="L2215" s="17" t="n">
        <f aca="false">MAX(B2214-B2215,0)</f>
        <v>0</v>
      </c>
      <c r="M2215" s="17" t="n">
        <f aca="false">(M2214*13+K2215)/14</f>
        <v>217.288286100373</v>
      </c>
      <c r="N2215" s="17" t="n">
        <f aca="false">(N2214*13+L2215)/14</f>
        <v>195.8156689708</v>
      </c>
      <c r="O2215" s="17" t="n">
        <f aca="false">IF(N2215=0,100,100-100/(1+M2215/N2215))</f>
        <v>52.5989362805632</v>
      </c>
      <c r="P2215" s="17" t="n">
        <f aca="false">AVERAGE(B2196:B2215)+2*STDEV(B2196:B2215)</f>
        <v>20123.8367503136</v>
      </c>
      <c r="Q2215" s="17" t="n">
        <f aca="false">AVERAGE(B2196:B2215)-2*STDEV(B2196:B2215)</f>
        <v>17089.1582496864</v>
      </c>
      <c r="R2215" s="19" t="n">
        <f aca="false">B2215/B2195-1</f>
        <v>-0.03527591267556</v>
      </c>
      <c r="S2215" s="17" t="n">
        <f aca="false">STDEV(C2196:C2215)*SQRT(252)*100</f>
        <v>60.8663331328176</v>
      </c>
      <c r="T2215" s="19" t="n">
        <f aca="false">B2194/B1964-1</f>
        <v>0.161197655377596</v>
      </c>
      <c r="U2215" s="19" t="n">
        <f aca="false">B2215/MAX(B1964:B2215)-1</f>
        <v>-0.133534154656469</v>
      </c>
      <c r="V2215" s="17" t="n">
        <f aca="false">(B2215-AVERAGE(B2196:B2215))/STDEV(B2196:B2215)</f>
        <v>0.801274335814325</v>
      </c>
    </row>
    <row r="2216" customFormat="false" ht="15" hidden="false" customHeight="false" outlineLevel="0" collapsed="false">
      <c r="A2216" s="17" t="s">
        <v>2780</v>
      </c>
      <c r="B2216" s="17" t="n">
        <v>19432.56</v>
      </c>
      <c r="C2216" s="19" t="n">
        <f aca="false">B2216/B2215-1</f>
        <v>0.0113539845116162</v>
      </c>
      <c r="D2216" s="17" t="n">
        <f aca="false">AVERAGE(B2167:B2216)</f>
        <v>19731.632</v>
      </c>
      <c r="E2216" s="17" t="n">
        <f aca="false">AVERAGE(B2017:B2216)</f>
        <v>20193.99435</v>
      </c>
      <c r="F2216" s="17" t="n">
        <f aca="false">B2216*2/13+F2215*11/13</f>
        <v>18715.3531241192</v>
      </c>
      <c r="G2216" s="17" t="n">
        <f aca="false">B2216*2/27+G2215*25/27</f>
        <v>18946.6009644434</v>
      </c>
      <c r="H2216" s="17" t="n">
        <f aca="false">F2216-G2216</f>
        <v>-231.247840324129</v>
      </c>
      <c r="I2216" s="17" t="n">
        <f aca="false">H2216*2/10+I2215*8/10</f>
        <v>-404.872713734718</v>
      </c>
      <c r="J2216" s="17" t="n">
        <f aca="false">H2216-I2216</f>
        <v>173.624873410588</v>
      </c>
      <c r="K2216" s="17" t="n">
        <f aca="false">MAX(B2216-B2215,0)</f>
        <v>218.16</v>
      </c>
      <c r="L2216" s="17" t="n">
        <f aca="false">MAX(B2215-B2216,0)</f>
        <v>0</v>
      </c>
      <c r="M2216" s="17" t="n">
        <f aca="false">(M2215*13+K2216)/14</f>
        <v>217.350551378917</v>
      </c>
      <c r="N2216" s="17" t="n">
        <f aca="false">(N2215*13+L2216)/14</f>
        <v>181.828835472886</v>
      </c>
      <c r="O2216" s="17" t="n">
        <f aca="false">IF(N2216=0,100,100-100/(1+M2216/N2216))</f>
        <v>54.4493424605639</v>
      </c>
      <c r="P2216" s="17" t="n">
        <f aca="false">AVERAGE(B2197:B2216)+2*STDEV(B2197:B2216)</f>
        <v>20052.9046818804</v>
      </c>
      <c r="Q2216" s="17" t="n">
        <f aca="false">AVERAGE(B2197:B2216)-2*STDEV(B2197:B2216)</f>
        <v>17123.4843181196</v>
      </c>
      <c r="R2216" s="19" t="n">
        <f aca="false">B2216/B2196-1</f>
        <v>-0.0184891674268205</v>
      </c>
      <c r="S2216" s="17" t="n">
        <f aca="false">STDEV(C2197:C2216)*SQRT(252)*100</f>
        <v>60.993905008736</v>
      </c>
      <c r="T2216" s="19" t="n">
        <f aca="false">B2195/B1965-1</f>
        <v>0.136373439532602</v>
      </c>
      <c r="U2216" s="19" t="n">
        <f aca="false">B2216/MAX(B1965:B2216)-1</f>
        <v>-0.123696314868594</v>
      </c>
      <c r="V2216" s="17" t="n">
        <f aca="false">(B2216-AVERAGE(B2197:B2216))/STDEV(B2197:B2216)</f>
        <v>1.15294549112232</v>
      </c>
    </row>
    <row r="2217" customFormat="false" ht="15" hidden="false" customHeight="false" outlineLevel="0" collapsed="false">
      <c r="A2217" s="17" t="s">
        <v>2781</v>
      </c>
      <c r="B2217" s="17" t="n">
        <v>19427.29</v>
      </c>
      <c r="C2217" s="19" t="n">
        <f aca="false">B2217/B2216-1</f>
        <v>-0.000271194325400237</v>
      </c>
      <c r="D2217" s="17" t="n">
        <f aca="false">AVERAGE(B2168:B2217)</f>
        <v>19679.5636</v>
      </c>
      <c r="E2217" s="17" t="n">
        <f aca="false">AVERAGE(B2018:B2217)</f>
        <v>20187.7539</v>
      </c>
      <c r="F2217" s="17" t="n">
        <f aca="false">B2217*2/13+F2216*11/13</f>
        <v>18824.8818742547</v>
      </c>
      <c r="G2217" s="17" t="n">
        <f aca="false">B2217*2/27+G2216*25/27</f>
        <v>18982.2075596698</v>
      </c>
      <c r="H2217" s="17" t="n">
        <f aca="false">F2217-G2217</f>
        <v>-157.325685415046</v>
      </c>
      <c r="I2217" s="17" t="n">
        <f aca="false">H2217*2/10+I2216*8/10</f>
        <v>-355.363308070783</v>
      </c>
      <c r="J2217" s="17" t="n">
        <f aca="false">H2217-I2217</f>
        <v>198.037622655737</v>
      </c>
      <c r="K2217" s="17" t="n">
        <f aca="false">MAX(B2217-B2216,0)</f>
        <v>0</v>
      </c>
      <c r="L2217" s="17" t="n">
        <f aca="false">MAX(B2216-B2217,0)</f>
        <v>5.27000000000044</v>
      </c>
      <c r="M2217" s="17" t="n">
        <f aca="false">(M2216*13+K2217)/14</f>
        <v>201.825511994709</v>
      </c>
      <c r="N2217" s="17" t="n">
        <f aca="false">(N2216*13+L2217)/14</f>
        <v>169.217490081965</v>
      </c>
      <c r="O2217" s="17" t="n">
        <f aca="false">IF(N2217=0,100,100-100/(1+M2217/N2217))</f>
        <v>54.3941028034812</v>
      </c>
      <c r="P2217" s="17" t="n">
        <f aca="false">AVERAGE(B2198:B2217)+2*STDEV(B2198:B2217)</f>
        <v>20076.10187478</v>
      </c>
      <c r="Q2217" s="17" t="n">
        <f aca="false">AVERAGE(B2198:B2217)-2*STDEV(B2198:B2217)</f>
        <v>17114.87612522</v>
      </c>
      <c r="R2217" s="19" t="n">
        <f aca="false">B2217/B2197-1</f>
        <v>0.00756635928926319</v>
      </c>
      <c r="S2217" s="17" t="n">
        <f aca="false">STDEV(C2198:C2217)*SQRT(252)*100</f>
        <v>60.224862873738</v>
      </c>
      <c r="T2217" s="19" t="n">
        <f aca="false">B2196/B1966-1</f>
        <v>0.135860703938498</v>
      </c>
      <c r="U2217" s="19" t="n">
        <f aca="false">B2217/MAX(B1966:B2217)-1</f>
        <v>-0.123933963455329</v>
      </c>
      <c r="V2217" s="17" t="n">
        <f aca="false">(B2217-AVERAGE(B2198:B2217))/STDEV(B2198:B2217)</f>
        <v>1.12359012158882</v>
      </c>
    </row>
    <row r="2218" customFormat="false" ht="15" hidden="false" customHeight="false" outlineLevel="0" collapsed="false">
      <c r="A2218" s="17" t="s">
        <v>2782</v>
      </c>
      <c r="B2218" s="17" t="n">
        <v>19544.95</v>
      </c>
      <c r="C2218" s="19" t="n">
        <f aca="false">B2218/B2217-1</f>
        <v>0.0060564288688747</v>
      </c>
      <c r="D2218" s="17" t="n">
        <f aca="false">AVERAGE(B2169:B2218)</f>
        <v>19628.1688</v>
      </c>
      <c r="E2218" s="17" t="n">
        <f aca="false">AVERAGE(B2019:B2218)</f>
        <v>20184.42185</v>
      </c>
      <c r="F2218" s="17" t="n">
        <f aca="false">B2218*2/13+F2217*11/13</f>
        <v>18935.6615859079</v>
      </c>
      <c r="G2218" s="17" t="n">
        <f aca="false">B2218*2/27+G2217*25/27</f>
        <v>19023.8921848794</v>
      </c>
      <c r="H2218" s="17" t="n">
        <f aca="false">F2218-G2218</f>
        <v>-88.2305989715751</v>
      </c>
      <c r="I2218" s="17" t="n">
        <f aca="false">H2218*2/10+I2217*8/10</f>
        <v>-301.936766250942</v>
      </c>
      <c r="J2218" s="17" t="n">
        <f aca="false">H2218-I2218</f>
        <v>213.706167279367</v>
      </c>
      <c r="K2218" s="17" t="n">
        <f aca="false">MAX(B2218-B2217,0)</f>
        <v>117.66</v>
      </c>
      <c r="L2218" s="17" t="n">
        <f aca="false">MAX(B2217-B2218,0)</f>
        <v>0</v>
      </c>
      <c r="M2218" s="17" t="n">
        <f aca="false">(M2217*13+K2218)/14</f>
        <v>195.813689709373</v>
      </c>
      <c r="N2218" s="17" t="n">
        <f aca="false">(N2217*13+L2218)/14</f>
        <v>157.130526504682</v>
      </c>
      <c r="O2218" s="17" t="n">
        <f aca="false">IF(N2218=0,100,100-100/(1+M2218/N2218))</f>
        <v>55.4800675896655</v>
      </c>
      <c r="P2218" s="17" t="n">
        <f aca="false">AVERAGE(B2199:B2218)+2*STDEV(B2199:B2218)</f>
        <v>20119.7919443219</v>
      </c>
      <c r="Q2218" s="17" t="n">
        <f aca="false">AVERAGE(B2199:B2218)-2*STDEV(B2199:B2218)</f>
        <v>17097.8360556781</v>
      </c>
      <c r="R2218" s="19" t="n">
        <f aca="false">B2218/B2198-1</f>
        <v>0.0138237254551066</v>
      </c>
      <c r="S2218" s="17" t="n">
        <f aca="false">STDEV(C2199:C2218)*SQRT(252)*100</f>
        <v>60.2488461400563</v>
      </c>
      <c r="T2218" s="19" t="n">
        <f aca="false">B2197/B1967-1</f>
        <v>0.0882195244464763</v>
      </c>
      <c r="U2218" s="19" t="n">
        <f aca="false">B2218/MAX(B1967:B2218)-1</f>
        <v>-0.118628131820559</v>
      </c>
      <c r="V2218" s="17" t="n">
        <f aca="false">(B2218-AVERAGE(B2199:B2218))/STDEV(B2199:B2218)</f>
        <v>1.23911272632122</v>
      </c>
    </row>
    <row r="2219" customFormat="false" ht="15" hidden="false" customHeight="false" outlineLevel="0" collapsed="false">
      <c r="A2219" s="17" t="s">
        <v>2783</v>
      </c>
      <c r="B2219" s="17" t="n">
        <v>19571.02</v>
      </c>
      <c r="C2219" s="19" t="n">
        <f aca="false">B2219/B2218-1</f>
        <v>0.00133384838538864</v>
      </c>
      <c r="D2219" s="17" t="n">
        <f aca="false">AVERAGE(B2170:B2219)</f>
        <v>19576.297</v>
      </c>
      <c r="E2219" s="17" t="n">
        <f aca="false">AVERAGE(B2020:B2219)</f>
        <v>20180.6195</v>
      </c>
      <c r="F2219" s="17" t="n">
        <f aca="false">B2219*2/13+F2218*11/13</f>
        <v>19033.4090342297</v>
      </c>
      <c r="G2219" s="17" t="n">
        <f aca="false">B2219*2/27+G2218*25/27</f>
        <v>19064.4201711847</v>
      </c>
      <c r="H2219" s="17" t="n">
        <f aca="false">F2219-G2219</f>
        <v>-31.0111369549377</v>
      </c>
      <c r="I2219" s="17" t="n">
        <f aca="false">H2219*2/10+I2218*8/10</f>
        <v>-247.751640391741</v>
      </c>
      <c r="J2219" s="17" t="n">
        <f aca="false">H2219-I2219</f>
        <v>216.740503436803</v>
      </c>
      <c r="K2219" s="17" t="n">
        <f aca="false">MAX(B2219-B2218,0)</f>
        <v>26.0699999999997</v>
      </c>
      <c r="L2219" s="17" t="n">
        <f aca="false">MAX(B2218-B2219,0)</f>
        <v>0</v>
      </c>
      <c r="M2219" s="17" t="n">
        <f aca="false">(M2218*13+K2219)/14</f>
        <v>183.689140444418</v>
      </c>
      <c r="N2219" s="17" t="n">
        <f aca="false">(N2218*13+L2219)/14</f>
        <v>145.906917468633</v>
      </c>
      <c r="O2219" s="17" t="n">
        <f aca="false">IF(N2219=0,100,100-100/(1+M2219/N2219))</f>
        <v>55.7315950947677</v>
      </c>
      <c r="P2219" s="17" t="n">
        <f aca="false">AVERAGE(B2200:B2219)+2*STDEV(B2200:B2219)</f>
        <v>20143.1503829803</v>
      </c>
      <c r="Q2219" s="17" t="n">
        <f aca="false">AVERAGE(B2200:B2219)-2*STDEV(B2200:B2219)</f>
        <v>17087.9376170197</v>
      </c>
      <c r="R2219" s="19" t="n">
        <f aca="false">B2219/B2199-1</f>
        <v>0.00692514362212804</v>
      </c>
      <c r="S2219" s="17" t="n">
        <f aca="false">STDEV(C2200:C2219)*SQRT(252)*100</f>
        <v>60.1947150268483</v>
      </c>
      <c r="T2219" s="19" t="n">
        <f aca="false">B2198/B1968-1</f>
        <v>0.0841114295225927</v>
      </c>
      <c r="U2219" s="19" t="n">
        <f aca="false">B2219/MAX(B1968:B2219)-1</f>
        <v>-0.117452515377261</v>
      </c>
      <c r="V2219" s="17" t="n">
        <f aca="false">(B2219-AVERAGE(B2200:B2219))/STDEV(B2200:B2219)</f>
        <v>1.25094528360887</v>
      </c>
    </row>
    <row r="2220" customFormat="false" ht="15" hidden="false" customHeight="false" outlineLevel="0" collapsed="false">
      <c r="A2220" s="17" t="s">
        <v>2784</v>
      </c>
      <c r="B2220" s="17" t="n">
        <v>19786.71</v>
      </c>
      <c r="C2220" s="19" t="n">
        <f aca="false">B2220/B2219-1</f>
        <v>0.0110208870053783</v>
      </c>
      <c r="D2220" s="17" t="n">
        <f aca="false">AVERAGE(B2171:B2220)</f>
        <v>19528.5192</v>
      </c>
      <c r="E2220" s="17" t="n">
        <f aca="false">AVERAGE(B2021:B2220)</f>
        <v>20177.61865</v>
      </c>
      <c r="F2220" s="17" t="n">
        <f aca="false">B2220*2/13+F2219*11/13</f>
        <v>19149.3014905021</v>
      </c>
      <c r="G2220" s="17" t="n">
        <f aca="false">B2220*2/27+G2219*25/27</f>
        <v>19117.9231214673</v>
      </c>
      <c r="H2220" s="17" t="n">
        <f aca="false">F2220-G2220</f>
        <v>31.3783690347955</v>
      </c>
      <c r="I2220" s="17" t="n">
        <f aca="false">H2220*2/10+I2219*8/10</f>
        <v>-191.925638506434</v>
      </c>
      <c r="J2220" s="17" t="n">
        <f aca="false">H2220-I2220</f>
        <v>223.304007541229</v>
      </c>
      <c r="K2220" s="17" t="n">
        <f aca="false">MAX(B2220-B2219,0)</f>
        <v>215.689999999999</v>
      </c>
      <c r="L2220" s="17" t="n">
        <f aca="false">MAX(B2219-B2220,0)</f>
        <v>0</v>
      </c>
      <c r="M2220" s="17" t="n">
        <f aca="false">(M2219*13+K2220)/14</f>
        <v>185.974916126959</v>
      </c>
      <c r="N2220" s="17" t="n">
        <f aca="false">(N2219*13+L2220)/14</f>
        <v>135.484994792303</v>
      </c>
      <c r="O2220" s="17" t="n">
        <f aca="false">IF(N2220=0,100,100-100/(1+M2220/N2220))</f>
        <v>57.853222069009</v>
      </c>
      <c r="P2220" s="17" t="n">
        <f aca="false">AVERAGE(B2201:B2220)+2*STDEV(B2201:B2220)</f>
        <v>20183.1451374944</v>
      </c>
      <c r="Q2220" s="17" t="n">
        <f aca="false">AVERAGE(B2201:B2220)-2*STDEV(B2201:B2220)</f>
        <v>17068.4358625056</v>
      </c>
      <c r="R2220" s="19" t="n">
        <f aca="false">B2220/B2200-1</f>
        <v>0.0104653407402187</v>
      </c>
      <c r="S2220" s="17" t="n">
        <f aca="false">STDEV(C2201:C2220)*SQRT(252)*100</f>
        <v>60.2583012063413</v>
      </c>
      <c r="T2220" s="19" t="n">
        <f aca="false">B2199/B1969-1</f>
        <v>0.114429532317816</v>
      </c>
      <c r="U2220" s="19" t="n">
        <f aca="false">B2220/MAX(B1969:B2220)-1</f>
        <v>-0.107726059272353</v>
      </c>
      <c r="V2220" s="17" t="n">
        <f aca="false">(B2220-AVERAGE(B2201:B2220))/STDEV(B2201:B2220)</f>
        <v>1.49088649694818</v>
      </c>
    </row>
    <row r="2221" customFormat="false" ht="15" hidden="false" customHeight="false" outlineLevel="0" collapsed="false">
      <c r="A2221" s="17" t="s">
        <v>2785</v>
      </c>
      <c r="B2221" s="17" t="n">
        <v>20102.61</v>
      </c>
      <c r="C2221" s="19" t="n">
        <f aca="false">B2221/B2220-1</f>
        <v>0.0159652615316039</v>
      </c>
      <c r="D2221" s="17" t="n">
        <f aca="false">AVERAGE(B2172:B2221)</f>
        <v>19489.2102</v>
      </c>
      <c r="E2221" s="17" t="n">
        <f aca="false">AVERAGE(B2022:B2221)</f>
        <v>20176.1386</v>
      </c>
      <c r="F2221" s="17" t="n">
        <f aca="false">B2221*2/13+F2220*11/13</f>
        <v>19295.9643381171</v>
      </c>
      <c r="G2221" s="17" t="n">
        <f aca="false">B2221*2/27+G2220*25/27</f>
        <v>19190.8628902475</v>
      </c>
      <c r="H2221" s="17" t="n">
        <f aca="false">F2221-G2221</f>
        <v>105.10144786966</v>
      </c>
      <c r="I2221" s="17" t="n">
        <f aca="false">H2221*2/10+I2220*8/10</f>
        <v>-132.520221231215</v>
      </c>
      <c r="J2221" s="17" t="n">
        <f aca="false">H2221-I2221</f>
        <v>237.621669100875</v>
      </c>
      <c r="K2221" s="17" t="n">
        <f aca="false">MAX(B2221-B2220,0)</f>
        <v>315.900000000001</v>
      </c>
      <c r="L2221" s="17" t="n">
        <f aca="false">MAX(B2220-B2221,0)</f>
        <v>0</v>
      </c>
      <c r="M2221" s="17" t="n">
        <f aca="false">(M2220*13+K2221)/14</f>
        <v>195.255279260748</v>
      </c>
      <c r="N2221" s="17" t="n">
        <f aca="false">(N2220*13+L2221)/14</f>
        <v>125.807495164281</v>
      </c>
      <c r="O2221" s="17" t="n">
        <f aca="false">IF(N2221=0,100,100-100/(1+M2221/N2221))</f>
        <v>60.8152968248712</v>
      </c>
      <c r="P2221" s="17" t="n">
        <f aca="false">AVERAGE(B2202:B2221)+2*STDEV(B2202:B2221)</f>
        <v>20394.7893770307</v>
      </c>
      <c r="Q2221" s="17" t="n">
        <f aca="false">AVERAGE(B2202:B2221)-2*STDEV(B2202:B2221)</f>
        <v>17014.9056229693</v>
      </c>
      <c r="R2221" s="19" t="n">
        <f aca="false">B2221/B2201-1</f>
        <v>0.0853679540554826</v>
      </c>
      <c r="S2221" s="17" t="n">
        <f aca="false">STDEV(C2202:C2221)*SQRT(252)*100</f>
        <v>56.7566919169662</v>
      </c>
      <c r="T2221" s="19" t="n">
        <f aca="false">B2200/B1970-1</f>
        <v>0.130682418562755</v>
      </c>
      <c r="U2221" s="19" t="n">
        <f aca="false">B2221/MAX(B1970:B2221)-1</f>
        <v>-0.0934806724508017</v>
      </c>
      <c r="V2221" s="17" t="n">
        <f aca="false">(B2221-AVERAGE(B2202:B2221))/STDEV(B2202:B2221)</f>
        <v>1.65421369693012</v>
      </c>
    </row>
    <row r="2222" customFormat="false" ht="15" hidden="false" customHeight="false" outlineLevel="0" collapsed="false">
      <c r="A2222" s="17" t="s">
        <v>2786</v>
      </c>
      <c r="B2222" s="17" t="n">
        <v>19967.94</v>
      </c>
      <c r="C2222" s="19" t="n">
        <f aca="false">B2222/B2221-1</f>
        <v>-0.00669913011295553</v>
      </c>
      <c r="D2222" s="17" t="n">
        <f aca="false">AVERAGE(B2173:B2222)</f>
        <v>19456.2874</v>
      </c>
      <c r="E2222" s="17" t="n">
        <f aca="false">AVERAGE(B2023:B2222)</f>
        <v>20176.9826</v>
      </c>
      <c r="F2222" s="17" t="n">
        <f aca="false">B2222*2/13+F2221*11/13</f>
        <v>19399.345209176</v>
      </c>
      <c r="G2222" s="17" t="n">
        <f aca="false">B2222*2/27+G2221*25/27</f>
        <v>19248.4241576366</v>
      </c>
      <c r="H2222" s="17" t="n">
        <f aca="false">F2222-G2222</f>
        <v>150.921051539488</v>
      </c>
      <c r="I2222" s="17" t="n">
        <f aca="false">H2222*2/10+I2221*8/10</f>
        <v>-75.8319666770744</v>
      </c>
      <c r="J2222" s="17" t="n">
        <f aca="false">H2222-I2222</f>
        <v>226.753018216562</v>
      </c>
      <c r="K2222" s="17" t="n">
        <f aca="false">MAX(B2222-B2221,0)</f>
        <v>0</v>
      </c>
      <c r="L2222" s="17" t="n">
        <f aca="false">MAX(B2221-B2222,0)</f>
        <v>134.670000000002</v>
      </c>
      <c r="M2222" s="17" t="n">
        <f aca="false">(M2221*13+K2222)/14</f>
        <v>181.308473599266</v>
      </c>
      <c r="N2222" s="17" t="n">
        <f aca="false">(N2221*13+L2222)/14</f>
        <v>126.440531223975</v>
      </c>
      <c r="O2222" s="17" t="n">
        <f aca="false">IF(N2222=0,100,100-100/(1+M2222/N2222))</f>
        <v>58.9143980184119</v>
      </c>
      <c r="P2222" s="17" t="n">
        <f aca="false">AVERAGE(B2203:B2222)+2*STDEV(B2203:B2222)</f>
        <v>20495.4446359343</v>
      </c>
      <c r="Q2222" s="17" t="n">
        <f aca="false">AVERAGE(B2203:B2222)-2*STDEV(B2203:B2222)</f>
        <v>17171.2743640657</v>
      </c>
      <c r="R2222" s="19" t="n">
        <f aca="false">B2222/B2202-1</f>
        <v>0.147734470648419</v>
      </c>
      <c r="S2222" s="17" t="n">
        <f aca="false">STDEV(C2203:C2222)*SQRT(252)*100</f>
        <v>51.5025211850577</v>
      </c>
      <c r="T2222" s="19" t="n">
        <f aca="false">B2201/B1971-1</f>
        <v>0.0558633962582533</v>
      </c>
      <c r="U2222" s="19" t="n">
        <f aca="false">B2222/MAX(B1971:B2222)-1</f>
        <v>-0.0995535633759628</v>
      </c>
      <c r="V2222" s="17" t="n">
        <f aca="false">(B2222-AVERAGE(B2203:B2222))/STDEV(B2203:B2222)</f>
        <v>1.36524955968905</v>
      </c>
    </row>
    <row r="2223" customFormat="false" ht="15" hidden="false" customHeight="false" outlineLevel="0" collapsed="false">
      <c r="A2223" s="17" t="s">
        <v>2787</v>
      </c>
      <c r="B2223" s="17" t="n">
        <v>19791.35</v>
      </c>
      <c r="C2223" s="19" t="n">
        <f aca="false">B2223/B2222-1</f>
        <v>-0.00884367641329054</v>
      </c>
      <c r="D2223" s="17" t="n">
        <f aca="false">AVERAGE(B2174:B2223)</f>
        <v>19425.0728</v>
      </c>
      <c r="E2223" s="17" t="n">
        <f aca="false">AVERAGE(B2024:B2223)</f>
        <v>20177.4139</v>
      </c>
      <c r="F2223" s="17" t="n">
        <f aca="false">B2223*2/13+F2222*11/13</f>
        <v>19459.6536385336</v>
      </c>
      <c r="G2223" s="17" t="n">
        <f aca="false">B2223*2/27+G2222*25/27</f>
        <v>19288.6408867005</v>
      </c>
      <c r="H2223" s="17" t="n">
        <f aca="false">F2223-G2223</f>
        <v>171.012751833063</v>
      </c>
      <c r="I2223" s="17" t="n">
        <f aca="false">H2223*2/10+I2222*8/10</f>
        <v>-26.4630229750469</v>
      </c>
      <c r="J2223" s="17" t="n">
        <f aca="false">H2223-I2223</f>
        <v>197.47577480811</v>
      </c>
      <c r="K2223" s="17" t="n">
        <f aca="false">MAX(B2223-B2222,0)</f>
        <v>0</v>
      </c>
      <c r="L2223" s="17" t="n">
        <f aca="false">MAX(B2222-B2223,0)</f>
        <v>176.59</v>
      </c>
      <c r="M2223" s="17" t="n">
        <f aca="false">(M2222*13+K2223)/14</f>
        <v>168.357868342175</v>
      </c>
      <c r="N2223" s="17" t="n">
        <f aca="false">(N2222*13+L2223)/14</f>
        <v>130.022636136548</v>
      </c>
      <c r="O2223" s="17" t="n">
        <f aca="false">IF(N2223=0,100,100-100/(1+M2223/N2223))</f>
        <v>56.4238835363254</v>
      </c>
      <c r="P2223" s="17" t="n">
        <f aca="false">AVERAGE(B2204:B2223)+2*STDEV(B2204:B2223)</f>
        <v>20527.1034410472</v>
      </c>
      <c r="Q2223" s="17" t="n">
        <f aca="false">AVERAGE(B2204:B2223)-2*STDEV(B2204:B2223)</f>
        <v>17375.6825589528</v>
      </c>
      <c r="R2223" s="19" t="n">
        <f aca="false">B2223/B2203-1</f>
        <v>0.135431893649588</v>
      </c>
      <c r="S2223" s="17" t="n">
        <f aca="false">STDEV(C2204:C2223)*SQRT(252)*100</f>
        <v>51.7947611662199</v>
      </c>
      <c r="T2223" s="19" t="n">
        <f aca="false">B2202/B1972-1</f>
        <v>-0.0275616517986897</v>
      </c>
      <c r="U2223" s="19" t="n">
        <f aca="false">B2223/MAX(B1972:B2223)-1</f>
        <v>-0.107516820288966</v>
      </c>
      <c r="V2223" s="17" t="n">
        <f aca="false">(B2223-AVERAGE(B2204:B2223))/STDEV(B2204:B2223)</f>
        <v>1.06613115978562</v>
      </c>
    </row>
    <row r="2224" customFormat="false" ht="15" hidden="false" customHeight="false" outlineLevel="0" collapsed="false">
      <c r="A2224" s="17" t="s">
        <v>2788</v>
      </c>
      <c r="B2224" s="17" t="n">
        <v>19867.97</v>
      </c>
      <c r="C2224" s="19" t="n">
        <f aca="false">B2224/B2223-1</f>
        <v>0.00387138825800171</v>
      </c>
      <c r="D2224" s="17" t="n">
        <f aca="false">AVERAGE(B2175:B2224)</f>
        <v>19400.6872</v>
      </c>
      <c r="E2224" s="17" t="n">
        <f aca="false">AVERAGE(B2025:B2224)</f>
        <v>20179.14065</v>
      </c>
      <c r="F2224" s="17" t="n">
        <f aca="false">B2224*2/13+F2223*11/13</f>
        <v>19522.4715402976</v>
      </c>
      <c r="G2224" s="17" t="n">
        <f aca="false">B2224*2/27+G2223*25/27</f>
        <v>19331.5541543523</v>
      </c>
      <c r="H2224" s="17" t="n">
        <f aca="false">F2224-G2224</f>
        <v>190.917385945315</v>
      </c>
      <c r="I2224" s="17" t="n">
        <f aca="false">H2224*2/10+I2223*8/10</f>
        <v>17.0130588090254</v>
      </c>
      <c r="J2224" s="17" t="n">
        <f aca="false">H2224-I2224</f>
        <v>173.904327136289</v>
      </c>
      <c r="K2224" s="17" t="n">
        <f aca="false">MAX(B2224-B2223,0)</f>
        <v>76.6200000000026</v>
      </c>
      <c r="L2224" s="17" t="n">
        <f aca="false">MAX(B2223-B2224,0)</f>
        <v>0</v>
      </c>
      <c r="M2224" s="17" t="n">
        <f aca="false">(M2223*13+K2224)/14</f>
        <v>161.805163460592</v>
      </c>
      <c r="N2224" s="17" t="n">
        <f aca="false">(N2223*13+L2224)/14</f>
        <v>120.735304983938</v>
      </c>
      <c r="O2224" s="17" t="n">
        <f aca="false">IF(N2224=0,100,100-100/(1+M2224/N2224))</f>
        <v>57.267960356751</v>
      </c>
      <c r="P2224" s="17" t="n">
        <f aca="false">AVERAGE(B2205:B2224)+2*STDEV(B2205:B2224)</f>
        <v>20450.1998895431</v>
      </c>
      <c r="Q2224" s="17" t="n">
        <f aca="false">AVERAGE(B2205:B2224)-2*STDEV(B2205:B2224)</f>
        <v>17730.3431104569</v>
      </c>
      <c r="R2224" s="19" t="n">
        <f aca="false">B2224/B2204-1</f>
        <v>0.162522234704864</v>
      </c>
      <c r="S2224" s="17" t="n">
        <f aca="false">STDEV(C2205:C2224)*SQRT(252)*100</f>
        <v>50.8721535365651</v>
      </c>
      <c r="T2224" s="19" t="n">
        <f aca="false">B2203/B1973-1</f>
        <v>-0.0366367720687515</v>
      </c>
      <c r="U2224" s="19" t="n">
        <f aca="false">B2224/MAX(B1973:B2224)-1</f>
        <v>-0.104061671386569</v>
      </c>
      <c r="V2224" s="17" t="n">
        <f aca="false">(B2224-AVERAGE(B2205:B2224))/STDEV(B2205:B2224)</f>
        <v>1.14373448775681</v>
      </c>
    </row>
    <row r="2225" customFormat="false" ht="15" hidden="false" customHeight="false" outlineLevel="0" collapsed="false">
      <c r="A2225" s="17" t="s">
        <v>2789</v>
      </c>
      <c r="B2225" s="17" t="n">
        <v>20063.56</v>
      </c>
      <c r="C2225" s="19" t="n">
        <f aca="false">B2225/B2224-1</f>
        <v>0.00984448839010721</v>
      </c>
      <c r="D2225" s="17" t="n">
        <f aca="false">AVERAGE(B2176:B2225)</f>
        <v>19379.3</v>
      </c>
      <c r="E2225" s="17" t="n">
        <f aca="false">AVERAGE(B2026:B2225)</f>
        <v>20180.3441</v>
      </c>
      <c r="F2225" s="17" t="n">
        <f aca="false">B2225*2/13+F2224*11/13</f>
        <v>19605.7159187134</v>
      </c>
      <c r="G2225" s="17" t="n">
        <f aca="false">B2225*2/27+G2224*25/27</f>
        <v>19385.7768095855</v>
      </c>
      <c r="H2225" s="17" t="n">
        <f aca="false">F2225-G2225</f>
        <v>219.939109127903</v>
      </c>
      <c r="I2225" s="17" t="n">
        <f aca="false">H2225*2/10+I2224*8/10</f>
        <v>57.598268872801</v>
      </c>
      <c r="J2225" s="17" t="n">
        <f aca="false">H2225-I2225</f>
        <v>162.340840255102</v>
      </c>
      <c r="K2225" s="17" t="n">
        <f aca="false">MAX(B2225-B2224,0)</f>
        <v>195.59</v>
      </c>
      <c r="L2225" s="17" t="n">
        <f aca="false">MAX(B2224-B2225,0)</f>
        <v>0</v>
      </c>
      <c r="M2225" s="17" t="n">
        <f aca="false">(M2224*13+K2225)/14</f>
        <v>164.218366070549</v>
      </c>
      <c r="N2225" s="17" t="n">
        <f aca="false">(N2224*13+L2225)/14</f>
        <v>112.111354627942</v>
      </c>
      <c r="O2225" s="17" t="n">
        <f aca="false">IF(N2225=0,100,100-100/(1+M2225/N2225))</f>
        <v>59.4284124253616</v>
      </c>
      <c r="P2225" s="17" t="n">
        <f aca="false">AVERAGE(B2206:B2225)+2*STDEV(B2206:B2225)</f>
        <v>20564.244960718</v>
      </c>
      <c r="Q2225" s="17" t="n">
        <f aca="false">AVERAGE(B2206:B2225)-2*STDEV(B2206:B2225)</f>
        <v>17708.148039282</v>
      </c>
      <c r="R2225" s="19" t="n">
        <f aca="false">B2225/B2205-1</f>
        <v>0.0479758224837112</v>
      </c>
      <c r="S2225" s="17" t="n">
        <f aca="false">STDEV(C2206:C2225)*SQRT(252)*100</f>
        <v>28.9477058366279</v>
      </c>
      <c r="T2225" s="19" t="n">
        <f aca="false">B2204/B1974-1</f>
        <v>-0.0553327676886043</v>
      </c>
      <c r="U2225" s="19" t="n">
        <f aca="false">B2225/MAX(B1974:B2225)-1</f>
        <v>-0.0952416169122818</v>
      </c>
      <c r="V2225" s="17" t="n">
        <f aca="false">(B2225-AVERAGE(B2206:B2225))/STDEV(B2206:B2225)</f>
        <v>1.29878435572664</v>
      </c>
    </row>
    <row r="2226" customFormat="false" ht="15" hidden="false" customHeight="false" outlineLevel="0" collapsed="false">
      <c r="A2226" s="17" t="s">
        <v>2790</v>
      </c>
      <c r="B2226" s="17" t="n">
        <v>20061.45</v>
      </c>
      <c r="C2226" s="19" t="n">
        <f aca="false">B2226/B2225-1</f>
        <v>-0.000105165783141237</v>
      </c>
      <c r="D2226" s="17" t="n">
        <f aca="false">AVERAGE(B2177:B2226)</f>
        <v>19369.51</v>
      </c>
      <c r="E2226" s="17" t="n">
        <f aca="false">AVERAGE(B2027:B2226)</f>
        <v>20181.87965</v>
      </c>
      <c r="F2226" s="17" t="n">
        <f aca="false">B2226*2/13+F2225*11/13</f>
        <v>19675.8288542959</v>
      </c>
      <c r="G2226" s="17" t="n">
        <f aca="false">B2226*2/27+G2225*25/27</f>
        <v>19435.8266755421</v>
      </c>
      <c r="H2226" s="17" t="n">
        <f aca="false">F2226-G2226</f>
        <v>240.002178753824</v>
      </c>
      <c r="I2226" s="17" t="n">
        <f aca="false">H2226*2/10+I2225*8/10</f>
        <v>94.0790508490057</v>
      </c>
      <c r="J2226" s="17" t="n">
        <f aca="false">H2226-I2226</f>
        <v>145.923127904819</v>
      </c>
      <c r="K2226" s="17" t="n">
        <f aca="false">MAX(B2226-B2225,0)</f>
        <v>0</v>
      </c>
      <c r="L2226" s="17" t="n">
        <f aca="false">MAX(B2225-B2226,0)</f>
        <v>2.11000000000058</v>
      </c>
      <c r="M2226" s="17" t="n">
        <f aca="false">(M2225*13+K2226)/14</f>
        <v>152.488482779796</v>
      </c>
      <c r="N2226" s="17" t="n">
        <f aca="false">(N2225*13+L2226)/14</f>
        <v>104.254115011661</v>
      </c>
      <c r="O2226" s="17" t="n">
        <f aca="false">IF(N2226=0,100,100-100/(1+M2226/N2226))</f>
        <v>59.3935264702966</v>
      </c>
      <c r="P2226" s="17" t="n">
        <f aca="false">AVERAGE(B2207:B2226)+2*STDEV(B2207:B2226)</f>
        <v>20656.0444092127</v>
      </c>
      <c r="Q2226" s="17" t="n">
        <f aca="false">AVERAGE(B2207:B2226)-2*STDEV(B2207:B2226)</f>
        <v>17788.1365907873</v>
      </c>
      <c r="R2226" s="19" t="n">
        <f aca="false">B2226/B2206-1</f>
        <v>0.0936502545578641</v>
      </c>
      <c r="S2226" s="17" t="n">
        <f aca="false">STDEV(C2207:C2226)*SQRT(252)*100</f>
        <v>23.7951334552993</v>
      </c>
      <c r="T2226" s="19" t="n">
        <f aca="false">B2205/B1975-1</f>
        <v>0.0586148417943924</v>
      </c>
      <c r="U2226" s="19" t="n">
        <f aca="false">B2226/MAX(B1975:B2226)-1</f>
        <v>-0.0953367665361928</v>
      </c>
      <c r="V2226" s="17" t="n">
        <f aca="false">(B2226-AVERAGE(B2207:B2226))/STDEV(B2207:B2226)</f>
        <v>1.17069243942556</v>
      </c>
    </row>
    <row r="2227" customFormat="false" ht="15" hidden="false" customHeight="false" outlineLevel="0" collapsed="false">
      <c r="A2227" s="17" t="s">
        <v>2791</v>
      </c>
      <c r="B2227" s="17" t="n">
        <v>20868.15</v>
      </c>
      <c r="C2227" s="19" t="n">
        <f aca="false">B2227/B2226-1</f>
        <v>0.0402114503188953</v>
      </c>
      <c r="D2227" s="17" t="n">
        <f aca="false">AVERAGE(B2178:B2227)</f>
        <v>19369.1848</v>
      </c>
      <c r="E2227" s="17" t="n">
        <f aca="false">AVERAGE(B2028:B2227)</f>
        <v>20191.05845</v>
      </c>
      <c r="F2227" s="17" t="n">
        <f aca="false">B2227*2/13+F2226*11/13</f>
        <v>19859.262876712</v>
      </c>
      <c r="G2227" s="17" t="n">
        <f aca="false">B2227*2/27+G2226*25/27</f>
        <v>19541.924699576</v>
      </c>
      <c r="H2227" s="17" t="n">
        <f aca="false">F2227-G2227</f>
        <v>317.338177135916</v>
      </c>
      <c r="I2227" s="17" t="n">
        <f aca="false">H2227*2/10+I2226*8/10</f>
        <v>138.730876106388</v>
      </c>
      <c r="J2227" s="17" t="n">
        <f aca="false">H2227-I2227</f>
        <v>178.607301029529</v>
      </c>
      <c r="K2227" s="17" t="n">
        <f aca="false">MAX(B2227-B2226,0)</f>
        <v>806.700000000001</v>
      </c>
      <c r="L2227" s="17" t="n">
        <f aca="false">MAX(B2226-B2227,0)</f>
        <v>0</v>
      </c>
      <c r="M2227" s="17" t="n">
        <f aca="false">(M2226*13+K2227)/14</f>
        <v>199.217876866953</v>
      </c>
      <c r="N2227" s="17" t="n">
        <f aca="false">(N2226*13+L2227)/14</f>
        <v>96.8073925108278</v>
      </c>
      <c r="O2227" s="17" t="n">
        <f aca="false">IF(N2227=0,100,100-100/(1+M2227/N2227))</f>
        <v>67.2975916163143</v>
      </c>
      <c r="P2227" s="17" t="n">
        <f aca="false">AVERAGE(B2208:B2227)+2*STDEV(B2208:B2227)</f>
        <v>20917.5377129302</v>
      </c>
      <c r="Q2227" s="17" t="n">
        <f aca="false">AVERAGE(B2208:B2227)-2*STDEV(B2208:B2227)</f>
        <v>17744.4532870698</v>
      </c>
      <c r="R2227" s="19" t="n">
        <f aca="false">B2227/B2207-1</f>
        <v>0.116537943986239</v>
      </c>
      <c r="S2227" s="17" t="n">
        <f aca="false">STDEV(C2208:C2227)*SQRT(252)*100</f>
        <v>26.5396925739709</v>
      </c>
      <c r="T2227" s="19" t="n">
        <f aca="false">B2206/B1976-1</f>
        <v>0.0127038125239463</v>
      </c>
      <c r="U2227" s="19" t="n">
        <f aca="false">B2227/MAX(B1976:B2227)-1</f>
        <v>-0.0589589458684319</v>
      </c>
      <c r="V2227" s="17" t="n">
        <f aca="false">(B2227-AVERAGE(B2208:B2227))/STDEV(B2208:B2227)</f>
        <v>1.93774169697131</v>
      </c>
    </row>
    <row r="2228" customFormat="false" ht="15" hidden="false" customHeight="false" outlineLevel="0" collapsed="false">
      <c r="A2228" s="17" t="s">
        <v>2792</v>
      </c>
      <c r="B2228" s="17" t="n">
        <v>21197.7</v>
      </c>
      <c r="C2228" s="19" t="n">
        <f aca="false">B2228/B2227-1</f>
        <v>0.0157920083955694</v>
      </c>
      <c r="D2228" s="17" t="n">
        <f aca="false">AVERAGE(B2179:B2228)</f>
        <v>19384.6272</v>
      </c>
      <c r="E2228" s="17" t="n">
        <f aca="false">AVERAGE(B2029:B2228)</f>
        <v>20202.89405</v>
      </c>
      <c r="F2228" s="17" t="n">
        <f aca="false">B2228*2/13+F2227*11/13</f>
        <v>20065.1762802947</v>
      </c>
      <c r="G2228" s="17" t="n">
        <f aca="false">B2228*2/27+G2227*25/27</f>
        <v>19664.5747218297</v>
      </c>
      <c r="H2228" s="17" t="n">
        <f aca="false">F2228-G2228</f>
        <v>400.601558465067</v>
      </c>
      <c r="I2228" s="17" t="n">
        <f aca="false">H2228*2/10+I2227*8/10</f>
        <v>191.105012578124</v>
      </c>
      <c r="J2228" s="17" t="n">
        <f aca="false">H2228-I2228</f>
        <v>209.496545886943</v>
      </c>
      <c r="K2228" s="17" t="n">
        <f aca="false">MAX(B2228-B2227,0)</f>
        <v>329.549999999999</v>
      </c>
      <c r="L2228" s="17" t="n">
        <f aca="false">MAX(B2227-B2228,0)</f>
        <v>0</v>
      </c>
      <c r="M2228" s="17" t="n">
        <f aca="false">(M2227*13+K2228)/14</f>
        <v>208.527314233599</v>
      </c>
      <c r="N2228" s="17" t="n">
        <f aca="false">(N2227*13+L2228)/14</f>
        <v>89.8925787600544</v>
      </c>
      <c r="O2228" s="17" t="n">
        <f aca="false">IF(N2228=0,100,100-100/(1+M2228/N2228))</f>
        <v>69.8771493219569</v>
      </c>
      <c r="P2228" s="17" t="n">
        <f aca="false">AVERAGE(B2209:B2228)+2*STDEV(B2209:B2228)</f>
        <v>21220.1878381359</v>
      </c>
      <c r="Q2228" s="17" t="n">
        <f aca="false">AVERAGE(B2209:B2228)-2*STDEV(B2209:B2228)</f>
        <v>17681.9711618641</v>
      </c>
      <c r="R2228" s="19" t="n">
        <f aca="false">B2228/B2208-1</f>
        <v>0.127775986618444</v>
      </c>
      <c r="S2228" s="17" t="n">
        <f aca="false">STDEV(C2209:C2228)*SQRT(252)*100</f>
        <v>26.7823407836234</v>
      </c>
      <c r="T2228" s="19" t="n">
        <f aca="false">B2207/B1977-1</f>
        <v>0.0291209051394237</v>
      </c>
      <c r="U2228" s="19" t="n">
        <f aca="false">B2228/MAX(B1977:B2228)-1</f>
        <v>-0.0440980176410107</v>
      </c>
      <c r="V2228" s="17" t="n">
        <f aca="false">(B2228-AVERAGE(B2209:B2228))/STDEV(B2209:B2228)</f>
        <v>1.97457720632346</v>
      </c>
    </row>
    <row r="2229" customFormat="false" ht="15" hidden="false" customHeight="false" outlineLevel="0" collapsed="false">
      <c r="A2229" s="17" t="s">
        <v>2793</v>
      </c>
      <c r="B2229" s="17" t="n">
        <v>21319.21</v>
      </c>
      <c r="C2229" s="19" t="n">
        <f aca="false">B2229/B2228-1</f>
        <v>0.00573222566599196</v>
      </c>
      <c r="D2229" s="17" t="n">
        <f aca="false">AVERAGE(B2180:B2229)</f>
        <v>19403.9608</v>
      </c>
      <c r="E2229" s="17" t="n">
        <f aca="false">AVERAGE(B2030:B2229)</f>
        <v>20214.3718</v>
      </c>
      <c r="F2229" s="17" t="n">
        <f aca="false">B2229*2/13+F2228*11/13</f>
        <v>20258.1045448648</v>
      </c>
      <c r="G2229" s="17" t="n">
        <f aca="false">B2229*2/27+G2228*25/27</f>
        <v>19787.1402979904</v>
      </c>
      <c r="H2229" s="17" t="n">
        <f aca="false">F2229-G2229</f>
        <v>470.96424687434</v>
      </c>
      <c r="I2229" s="17" t="n">
        <f aca="false">H2229*2/10+I2228*8/10</f>
        <v>247.076859437367</v>
      </c>
      <c r="J2229" s="17" t="n">
        <f aca="false">H2229-I2229</f>
        <v>223.887387436973</v>
      </c>
      <c r="K2229" s="17" t="n">
        <f aca="false">MAX(B2229-B2228,0)</f>
        <v>121.509999999998</v>
      </c>
      <c r="L2229" s="17" t="n">
        <f aca="false">MAX(B2228-B2229,0)</f>
        <v>0</v>
      </c>
      <c r="M2229" s="17" t="n">
        <f aca="false">(M2228*13+K2229)/14</f>
        <v>202.311791788342</v>
      </c>
      <c r="N2229" s="17" t="n">
        <f aca="false">(N2228*13+L2229)/14</f>
        <v>83.4716802771934</v>
      </c>
      <c r="O2229" s="17" t="n">
        <f aca="false">IF(N2229=0,100,100-100/(1+M2229/N2229))</f>
        <v>70.7919846890055</v>
      </c>
      <c r="P2229" s="17" t="n">
        <f aca="false">AVERAGE(B2210:B2229)+2*STDEV(B2210:B2229)</f>
        <v>21503.7669583729</v>
      </c>
      <c r="Q2229" s="17" t="n">
        <f aca="false">AVERAGE(B2210:B2229)-2*STDEV(B2210:B2229)</f>
        <v>17647.2900416271</v>
      </c>
      <c r="R2229" s="19" t="n">
        <f aca="false">B2229/B2209-1</f>
        <v>0.132180010546871</v>
      </c>
      <c r="S2229" s="17" t="n">
        <f aca="false">STDEV(C2210:C2229)*SQRT(252)*100</f>
        <v>26.7341166747379</v>
      </c>
      <c r="T2229" s="19" t="n">
        <f aca="false">B2208/B1978-1</f>
        <v>0.0328272324095082</v>
      </c>
      <c r="U2229" s="19" t="n">
        <f aca="false">B2229/MAX(B1978:B2229)-1</f>
        <v>-0.0386185717635599</v>
      </c>
      <c r="V2229" s="17" t="n">
        <f aca="false">(B2229-AVERAGE(B2210:B2229))/STDEV(B2210:B2229)</f>
        <v>1.80857454888783</v>
      </c>
    </row>
    <row r="2230" customFormat="false" ht="15" hidden="false" customHeight="false" outlineLevel="0" collapsed="false">
      <c r="A2230" s="17" t="s">
        <v>2794</v>
      </c>
      <c r="B2230" s="17" t="n">
        <v>21335.82</v>
      </c>
      <c r="C2230" s="19" t="n">
        <f aca="false">B2230/B2229-1</f>
        <v>0.00077910954486593</v>
      </c>
      <c r="D2230" s="17" t="n">
        <f aca="false">AVERAGE(B2181:B2230)</f>
        <v>19418.108</v>
      </c>
      <c r="E2230" s="17" t="n">
        <f aca="false">AVERAGE(B2031:B2230)</f>
        <v>20225.75345</v>
      </c>
      <c r="F2230" s="17" t="n">
        <f aca="false">B2230*2/13+F2229*11/13</f>
        <v>20423.9069225779</v>
      </c>
      <c r="G2230" s="17" t="n">
        <f aca="false">B2230*2/27+G2229*25/27</f>
        <v>19901.8573129541</v>
      </c>
      <c r="H2230" s="17" t="n">
        <f aca="false">F2230-G2230</f>
        <v>522.049609623784</v>
      </c>
      <c r="I2230" s="17" t="n">
        <f aca="false">H2230*2/10+I2229*8/10</f>
        <v>302.07140947465</v>
      </c>
      <c r="J2230" s="17" t="n">
        <f aca="false">H2230-I2230</f>
        <v>219.978200149134</v>
      </c>
      <c r="K2230" s="17" t="n">
        <f aca="false">MAX(B2230-B2229,0)</f>
        <v>16.6100000000006</v>
      </c>
      <c r="L2230" s="17" t="n">
        <f aca="false">MAX(B2229-B2230,0)</f>
        <v>0</v>
      </c>
      <c r="M2230" s="17" t="n">
        <f aca="false">(M2229*13+K2230)/14</f>
        <v>189.047378089175</v>
      </c>
      <c r="N2230" s="17" t="n">
        <f aca="false">(N2229*13+L2230)/14</f>
        <v>77.509417400251</v>
      </c>
      <c r="O2230" s="17" t="n">
        <f aca="false">IF(N2230=0,100,100-100/(1+M2230/N2230))</f>
        <v>70.9219878420523</v>
      </c>
      <c r="P2230" s="17" t="n">
        <f aca="false">AVERAGE(B2211:B2230)+2*STDEV(B2211:B2230)</f>
        <v>21705.5596107899</v>
      </c>
      <c r="Q2230" s="17" t="n">
        <f aca="false">AVERAGE(B2211:B2230)-2*STDEV(B2211:B2230)</f>
        <v>17753.3153892101</v>
      </c>
      <c r="R2230" s="19" t="n">
        <f aca="false">B2230/B2210-1</f>
        <v>0.168596817551447</v>
      </c>
      <c r="S2230" s="17" t="n">
        <f aca="false">STDEV(C2211:C2230)*SQRT(252)*100</f>
        <v>23.088609802597</v>
      </c>
      <c r="T2230" s="19" t="n">
        <f aca="false">B2209/B1979-1</f>
        <v>0.0276955940613781</v>
      </c>
      <c r="U2230" s="19" t="n">
        <f aca="false">B2230/MAX(B1979:B2230)-1</f>
        <v>-0.0378695503165641</v>
      </c>
      <c r="V2230" s="17" t="n">
        <f aca="false">(B2230-AVERAGE(B2211:B2230))/STDEV(B2211:B2230)</f>
        <v>1.62579274957651</v>
      </c>
    </row>
    <row r="2231" customFormat="false" ht="15" hidden="false" customHeight="false" outlineLevel="0" collapsed="false">
      <c r="A2231" s="17" t="s">
        <v>2795</v>
      </c>
      <c r="B2231" s="17" t="n">
        <v>21427.94</v>
      </c>
      <c r="C2231" s="19" t="n">
        <f aca="false">B2231/B2230-1</f>
        <v>0.00431762172721739</v>
      </c>
      <c r="D2231" s="17" t="n">
        <f aca="false">AVERAGE(B2182:B2231)</f>
        <v>19445.6142</v>
      </c>
      <c r="E2231" s="17" t="n">
        <f aca="false">AVERAGE(B2032:B2231)</f>
        <v>20238.9118</v>
      </c>
      <c r="F2231" s="17" t="n">
        <f aca="false">B2231*2/13+F2230*11/13</f>
        <v>20578.3735498736</v>
      </c>
      <c r="G2231" s="17" t="n">
        <f aca="false">B2231*2/27+G2230*25/27</f>
        <v>20014.9004749575</v>
      </c>
      <c r="H2231" s="17" t="n">
        <f aca="false">F2231-G2231</f>
        <v>563.473074916095</v>
      </c>
      <c r="I2231" s="17" t="n">
        <f aca="false">H2231*2/10+I2230*8/10</f>
        <v>354.351742562939</v>
      </c>
      <c r="J2231" s="17" t="n">
        <f aca="false">H2231-I2231</f>
        <v>209.121332353156</v>
      </c>
      <c r="K2231" s="17" t="n">
        <f aca="false">MAX(B2231-B2230,0)</f>
        <v>92.119999999999</v>
      </c>
      <c r="L2231" s="17" t="n">
        <f aca="false">MAX(B2230-B2231,0)</f>
        <v>0</v>
      </c>
      <c r="M2231" s="17" t="n">
        <f aca="false">(M2230*13+K2231)/14</f>
        <v>182.123993939948</v>
      </c>
      <c r="N2231" s="17" t="n">
        <f aca="false">(N2230*13+L2231)/14</f>
        <v>71.9730304430902</v>
      </c>
      <c r="O2231" s="17" t="n">
        <f aca="false">IF(N2231=0,100,100-100/(1+M2231/N2231))</f>
        <v>71.6749809967887</v>
      </c>
      <c r="P2231" s="17" t="n">
        <f aca="false">AVERAGE(B2212:B2231)+2*STDEV(B2212:B2231)</f>
        <v>21875.6119697008</v>
      </c>
      <c r="Q2231" s="17" t="n">
        <f aca="false">AVERAGE(B2212:B2231)-2*STDEV(B2212:B2231)</f>
        <v>17900.2480302992</v>
      </c>
      <c r="R2231" s="19" t="n">
        <f aca="false">B2231/B2211-1</f>
        <v>0.173613450256845</v>
      </c>
      <c r="S2231" s="17" t="n">
        <f aca="false">STDEV(C2212:C2231)*SQRT(252)*100</f>
        <v>22.943731773697</v>
      </c>
      <c r="T2231" s="19" t="n">
        <f aca="false">B2210/B1980-1</f>
        <v>-0.0182296273791248</v>
      </c>
      <c r="U2231" s="19" t="n">
        <f aca="false">B2231/MAX(B1980:B2231)-1</f>
        <v>-0.0337154349825934</v>
      </c>
      <c r="V2231" s="17" t="n">
        <f aca="false">(B2231-AVERAGE(B2212:B2231))/STDEV(B2212:B2231)</f>
        <v>1.54955372486656</v>
      </c>
    </row>
    <row r="2232" customFormat="false" ht="15" hidden="false" customHeight="false" outlineLevel="0" collapsed="false">
      <c r="A2232" s="17" t="s">
        <v>2796</v>
      </c>
      <c r="B2232" s="17" t="n">
        <v>21447.05</v>
      </c>
      <c r="C2232" s="19" t="n">
        <f aca="false">B2232/B2231-1</f>
        <v>0.000891826279147745</v>
      </c>
      <c r="D2232" s="17" t="n">
        <f aca="false">AVERAGE(B2183:B2232)</f>
        <v>19470.5278</v>
      </c>
      <c r="E2232" s="17" t="n">
        <f aca="false">AVERAGE(B2033:B2232)</f>
        <v>20249.3349</v>
      </c>
      <c r="F2232" s="17" t="n">
        <f aca="false">B2232*2/13+F2231*11/13</f>
        <v>20712.0160806623</v>
      </c>
      <c r="G2232" s="17" t="n">
        <f aca="false">B2232*2/27+G2231*25/27</f>
        <v>20120.9856249606</v>
      </c>
      <c r="H2232" s="17" t="n">
        <f aca="false">F2232-G2232</f>
        <v>591.030455701624</v>
      </c>
      <c r="I2232" s="17" t="n">
        <f aca="false">H2232*2/10+I2231*8/10</f>
        <v>401.687485190676</v>
      </c>
      <c r="J2232" s="17" t="n">
        <f aca="false">H2232-I2232</f>
        <v>189.342970510948</v>
      </c>
      <c r="K2232" s="17" t="n">
        <f aca="false">MAX(B2232-B2231,0)</f>
        <v>19.1100000000006</v>
      </c>
      <c r="L2232" s="17" t="n">
        <f aca="false">MAX(B2231-B2232,0)</f>
        <v>0</v>
      </c>
      <c r="M2232" s="17" t="n">
        <f aca="false">(M2231*13+K2232)/14</f>
        <v>170.480137229952</v>
      </c>
      <c r="N2232" s="17" t="n">
        <f aca="false">(N2231*13+L2232)/14</f>
        <v>66.8320996971552</v>
      </c>
      <c r="O2232" s="17" t="n">
        <f aca="false">IF(N2232=0,100,100-100/(1+M2232/N2232))</f>
        <v>71.8379041205181</v>
      </c>
      <c r="P2232" s="17" t="n">
        <f aca="false">AVERAGE(B2213:B2232)+2*STDEV(B2213:B2232)</f>
        <v>21917.2353184792</v>
      </c>
      <c r="Q2232" s="17" t="n">
        <f aca="false">AVERAGE(B2213:B2232)-2*STDEV(B2213:B2232)</f>
        <v>18222.4996815208</v>
      </c>
      <c r="R2232" s="19" t="n">
        <f aca="false">B2232/B2212-1</f>
        <v>0.204328880353543</v>
      </c>
      <c r="S2232" s="17" t="n">
        <f aca="false">STDEV(C2213:C2232)*SQRT(252)*100</f>
        <v>19.6627174562682</v>
      </c>
      <c r="T2232" s="19" t="n">
        <f aca="false">B2211/B1981-1</f>
        <v>-0.0161585648422563</v>
      </c>
      <c r="U2232" s="19" t="n">
        <f aca="false">B2232/MAX(B1981:B2232)-1</f>
        <v>-0.0328536770143761</v>
      </c>
      <c r="V2232" s="17" t="n">
        <f aca="false">(B2232-AVERAGE(B2213:B2232))/STDEV(B2213:B2232)</f>
        <v>1.49096729543955</v>
      </c>
    </row>
    <row r="2233" customFormat="false" ht="15" hidden="false" customHeight="false" outlineLevel="0" collapsed="false">
      <c r="A2233" s="17" t="s">
        <v>2797</v>
      </c>
      <c r="B2233" s="17" t="n">
        <v>21367.37</v>
      </c>
      <c r="C2233" s="19" t="n">
        <f aca="false">B2233/B2232-1</f>
        <v>-0.003715196262423</v>
      </c>
      <c r="D2233" s="17" t="n">
        <f aca="false">AVERAGE(B2184:B2233)</f>
        <v>19509.2562</v>
      </c>
      <c r="E2233" s="17" t="n">
        <f aca="false">AVERAGE(B2034:B2233)</f>
        <v>20261.7198</v>
      </c>
      <c r="F2233" s="17" t="n">
        <f aca="false">B2233*2/13+F2232*11/13</f>
        <v>20812.8397605604</v>
      </c>
      <c r="G2233" s="17" t="n">
        <f aca="false">B2233*2/27+G2232*25/27</f>
        <v>20213.3103934821</v>
      </c>
      <c r="H2233" s="17" t="n">
        <f aca="false">F2233-G2233</f>
        <v>599.529367078303</v>
      </c>
      <c r="I2233" s="17" t="n">
        <f aca="false">H2233*2/10+I2232*8/10</f>
        <v>441.255861568202</v>
      </c>
      <c r="J2233" s="17" t="n">
        <f aca="false">H2233-I2233</f>
        <v>158.273505510101</v>
      </c>
      <c r="K2233" s="17" t="n">
        <f aca="false">MAX(B2233-B2232,0)</f>
        <v>0</v>
      </c>
      <c r="L2233" s="17" t="n">
        <f aca="false">MAX(B2232-B2233,0)</f>
        <v>79.6800000000003</v>
      </c>
      <c r="M2233" s="17" t="n">
        <f aca="false">(M2232*13+K2233)/14</f>
        <v>158.30298457067</v>
      </c>
      <c r="N2233" s="17" t="n">
        <f aca="false">(N2232*13+L2233)/14</f>
        <v>67.7498068616441</v>
      </c>
      <c r="O2233" s="17" t="n">
        <f aca="false">IF(N2233=0,100,100-100/(1+M2233/N2233))</f>
        <v>70.0292102422764</v>
      </c>
      <c r="P2233" s="17" t="n">
        <f aca="false">AVERAGE(B2214:B2233)+2*STDEV(B2214:B2233)</f>
        <v>21953.4230380613</v>
      </c>
      <c r="Q2233" s="17" t="n">
        <f aca="false">AVERAGE(B2214:B2233)-2*STDEV(B2214:B2233)</f>
        <v>18495.4079619388</v>
      </c>
      <c r="R2233" s="19" t="n">
        <f aca="false">B2233/B2213-1</f>
        <v>0.169122929503114</v>
      </c>
      <c r="S2233" s="17" t="n">
        <f aca="false">STDEV(C2214:C2233)*SQRT(252)*100</f>
        <v>19.1242774169934</v>
      </c>
      <c r="T2233" s="19" t="n">
        <f aca="false">B2212/B1982-1</f>
        <v>-0.0397886794243358</v>
      </c>
      <c r="U2233" s="19" t="n">
        <f aca="false">B2233/MAX(B1982:B2233)-1</f>
        <v>-0.0364468154187485</v>
      </c>
      <c r="V2233" s="17" t="n">
        <f aca="false">(B2233-AVERAGE(B2214:B2233))/STDEV(B2214:B2233)</f>
        <v>1.32209313706244</v>
      </c>
    </row>
    <row r="2234" customFormat="false" ht="15" hidden="false" customHeight="false" outlineLevel="0" collapsed="false">
      <c r="A2234" s="17" t="s">
        <v>2798</v>
      </c>
      <c r="B2234" s="17" t="n">
        <v>21080.36</v>
      </c>
      <c r="C2234" s="19" t="n">
        <f aca="false">B2234/B2233-1</f>
        <v>-0.0134321631534438</v>
      </c>
      <c r="D2234" s="17" t="n">
        <f aca="false">AVERAGE(B2185:B2234)</f>
        <v>19543.3242</v>
      </c>
      <c r="E2234" s="17" t="n">
        <f aca="false">AVERAGE(B2035:B2234)</f>
        <v>20274.91735</v>
      </c>
      <c r="F2234" s="17" t="n">
        <f aca="false">B2234*2/13+F2233*11/13</f>
        <v>20853.9967204742</v>
      </c>
      <c r="G2234" s="17" t="n">
        <f aca="false">B2234*2/27+G2233*25/27</f>
        <v>20277.5362902612</v>
      </c>
      <c r="H2234" s="17" t="n">
        <f aca="false">F2234-G2234</f>
        <v>576.460430212988</v>
      </c>
      <c r="I2234" s="17" t="n">
        <f aca="false">H2234*2/10+I2233*8/10</f>
        <v>468.296775297159</v>
      </c>
      <c r="J2234" s="17" t="n">
        <f aca="false">H2234-I2234</f>
        <v>108.163654915829</v>
      </c>
      <c r="K2234" s="17" t="n">
        <f aca="false">MAX(B2234-B2233,0)</f>
        <v>0</v>
      </c>
      <c r="L2234" s="17" t="n">
        <f aca="false">MAX(B2233-B2234,0)</f>
        <v>287.009999999998</v>
      </c>
      <c r="M2234" s="17" t="n">
        <f aca="false">(M2233*13+K2234)/14</f>
        <v>146.995628529908</v>
      </c>
      <c r="N2234" s="17" t="n">
        <f aca="false">(N2233*13+L2234)/14</f>
        <v>83.4112492286695</v>
      </c>
      <c r="O2234" s="17" t="n">
        <f aca="false">IF(N2234=0,100,100-100/(1+M2234/N2234))</f>
        <v>63.7982815269652</v>
      </c>
      <c r="P2234" s="17" t="n">
        <f aca="false">AVERAGE(B2215:B2234)+2*STDEV(B2215:B2234)</f>
        <v>21953.1679072105</v>
      </c>
      <c r="Q2234" s="17" t="n">
        <f aca="false">AVERAGE(B2215:B2234)-2*STDEV(B2215:B2234)</f>
        <v>18734.3730927895</v>
      </c>
      <c r="R2234" s="19" t="n">
        <f aca="false">B2234/B2214-1</f>
        <v>0.127698432483152</v>
      </c>
      <c r="S2234" s="17" t="n">
        <f aca="false">STDEV(C2215:C2234)*SQRT(252)*100</f>
        <v>19.6980556271396</v>
      </c>
      <c r="T2234" s="19" t="n">
        <f aca="false">B2213/B1983-1</f>
        <v>-0.0213010577701094</v>
      </c>
      <c r="U2234" s="19" t="n">
        <f aca="false">B2234/MAX(B1983:B2234)-1</f>
        <v>-0.0493894190010642</v>
      </c>
      <c r="V2234" s="17" t="n">
        <f aca="false">(B2234-AVERAGE(B2215:B2234))/STDEV(B2215:B2234)</f>
        <v>0.915360614724378</v>
      </c>
    </row>
    <row r="2235" customFormat="false" ht="15" hidden="false" customHeight="false" outlineLevel="0" collapsed="false">
      <c r="A2235" s="17" t="s">
        <v>2799</v>
      </c>
      <c r="B2235" s="17" t="n">
        <v>21112.47</v>
      </c>
      <c r="C2235" s="19" t="n">
        <f aca="false">B2235/B2234-1</f>
        <v>0.00152321876855988</v>
      </c>
      <c r="D2235" s="17" t="n">
        <f aca="false">AVERAGE(B2186:B2235)</f>
        <v>19573.6532</v>
      </c>
      <c r="E2235" s="17" t="n">
        <f aca="false">AVERAGE(B2036:B2235)</f>
        <v>20291.0039</v>
      </c>
      <c r="F2235" s="17" t="n">
        <f aca="false">B2235*2/13+F2234*11/13</f>
        <v>20893.7618404012</v>
      </c>
      <c r="G2235" s="17" t="n">
        <f aca="false">B2235*2/27+G2234*25/27</f>
        <v>20339.3832317233</v>
      </c>
      <c r="H2235" s="17" t="n">
        <f aca="false">F2235-G2235</f>
        <v>554.378608677911</v>
      </c>
      <c r="I2235" s="17" t="n">
        <f aca="false">H2235*2/10+I2234*8/10</f>
        <v>485.51314197331</v>
      </c>
      <c r="J2235" s="17" t="n">
        <f aca="false">H2235-I2235</f>
        <v>68.8654667046015</v>
      </c>
      <c r="K2235" s="17" t="n">
        <f aca="false">MAX(B2235-B2234,0)</f>
        <v>32.1100000000006</v>
      </c>
      <c r="L2235" s="17" t="n">
        <f aca="false">MAX(B2234-B2235,0)</f>
        <v>0</v>
      </c>
      <c r="M2235" s="17" t="n">
        <f aca="false">(M2234*13+K2235)/14</f>
        <v>138.789512206343</v>
      </c>
      <c r="N2235" s="17" t="n">
        <f aca="false">(N2234*13+L2235)/14</f>
        <v>77.4533028551931</v>
      </c>
      <c r="O2235" s="17" t="n">
        <f aca="false">IF(N2235=0,100,100-100/(1+M2235/N2235))</f>
        <v>64.1822537164288</v>
      </c>
      <c r="P2235" s="17" t="n">
        <f aca="false">AVERAGE(B2216:B2235)+2*STDEV(B2216:B2235)</f>
        <v>21990.4843368158</v>
      </c>
      <c r="Q2235" s="17" t="n">
        <f aca="false">AVERAGE(B2216:B2235)-2*STDEV(B2216:B2235)</f>
        <v>18886.8636631842</v>
      </c>
      <c r="R2235" s="19" t="n">
        <f aca="false">B2235/B2215-1</f>
        <v>0.0987837247064702</v>
      </c>
      <c r="S2235" s="17" t="n">
        <f aca="false">STDEV(C2216:C2235)*SQRT(252)*100</f>
        <v>17.979756781245</v>
      </c>
      <c r="T2235" s="19" t="n">
        <f aca="false">B2214/B1984-1</f>
        <v>-0.00109758573886654</v>
      </c>
      <c r="U2235" s="19" t="n">
        <f aca="false">B2235/MAX(B1984:B2235)-1</f>
        <v>-0.0479414311224948</v>
      </c>
      <c r="V2235" s="17" t="n">
        <f aca="false">(B2235-AVERAGE(B2216:B2235))/STDEV(B2216:B2235)</f>
        <v>0.868399937820461</v>
      </c>
    </row>
    <row r="2236" customFormat="false" ht="15" hidden="false" customHeight="false" outlineLevel="0" collapsed="false">
      <c r="A2236" s="17" t="s">
        <v>2800</v>
      </c>
      <c r="B2236" s="17" t="n">
        <v>20915.66</v>
      </c>
      <c r="C2236" s="19" t="n">
        <f aca="false">B2236/B2235-1</f>
        <v>-0.00932197890630515</v>
      </c>
      <c r="D2236" s="17" t="n">
        <f aca="false">AVERAGE(B2187:B2236)</f>
        <v>19607.4568</v>
      </c>
      <c r="E2236" s="17" t="n">
        <f aca="false">AVERAGE(B2037:B2236)</f>
        <v>20305.1926</v>
      </c>
      <c r="F2236" s="17" t="n">
        <f aca="false">B2236*2/13+F2235*11/13</f>
        <v>20897.1307880318</v>
      </c>
      <c r="G2236" s="17" t="n">
        <f aca="false">B2236*2/27+G2235*25/27</f>
        <v>20382.0703997438</v>
      </c>
      <c r="H2236" s="17" t="n">
        <f aca="false">F2236-G2236</f>
        <v>515.060388287995</v>
      </c>
      <c r="I2236" s="17" t="n">
        <f aca="false">H2236*2/10+I2235*8/10</f>
        <v>491.422591236247</v>
      </c>
      <c r="J2236" s="17" t="n">
        <f aca="false">H2236-I2236</f>
        <v>23.6377970517484</v>
      </c>
      <c r="K2236" s="17" t="n">
        <f aca="false">MAX(B2236-B2235,0)</f>
        <v>0</v>
      </c>
      <c r="L2236" s="17" t="n">
        <f aca="false">MAX(B2235-B2236,0)</f>
        <v>196.810000000001</v>
      </c>
      <c r="M2236" s="17" t="n">
        <f aca="false">(M2235*13+K2236)/14</f>
        <v>128.875975620175</v>
      </c>
      <c r="N2236" s="17" t="n">
        <f aca="false">(N2235*13+L2236)/14</f>
        <v>85.9787812226794</v>
      </c>
      <c r="O2236" s="17" t="n">
        <f aca="false">IF(N2236=0,100,100-100/(1+M2236/N2236))</f>
        <v>59.98283562064</v>
      </c>
      <c r="P2236" s="17" t="n">
        <f aca="false">AVERAGE(B2217:B2236)+2*STDEV(B2217:B2236)</f>
        <v>22002.7119879579</v>
      </c>
      <c r="Q2236" s="17" t="n">
        <f aca="false">AVERAGE(B2217:B2236)-2*STDEV(B2217:B2236)</f>
        <v>19022.9460120421</v>
      </c>
      <c r="R2236" s="19" t="n">
        <f aca="false">B2236/B2216-1</f>
        <v>0.076320361290535</v>
      </c>
      <c r="S2236" s="17" t="n">
        <f aca="false">STDEV(C2217:C2236)*SQRT(252)*100</f>
        <v>18.4685695202512</v>
      </c>
      <c r="T2236" s="19" t="n">
        <f aca="false">B2215/B1985-1</f>
        <v>0.0272223766653124</v>
      </c>
      <c r="U2236" s="19" t="n">
        <f aca="false">B2236/MAX(B1985:B2236)-1</f>
        <v>-0.056816501019138</v>
      </c>
      <c r="V2236" s="17" t="n">
        <f aca="false">(B2236-AVERAGE(B2217:B2236))/STDEV(B2217:B2236)</f>
        <v>0.54075521803513</v>
      </c>
    </row>
    <row r="2237" customFormat="false" ht="15" hidden="false" customHeight="false" outlineLevel="0" collapsed="false">
      <c r="A2237" s="17" t="s">
        <v>2801</v>
      </c>
      <c r="B2237" s="17" t="n">
        <v>21414.99</v>
      </c>
      <c r="C2237" s="19" t="n">
        <f aca="false">B2237/B2236-1</f>
        <v>0.0238734995692225</v>
      </c>
      <c r="D2237" s="17" t="n">
        <f aca="false">AVERAGE(B2188:B2237)</f>
        <v>19641.6638</v>
      </c>
      <c r="E2237" s="17" t="n">
        <f aca="false">AVERAGE(B2038:B2237)</f>
        <v>20322.9307</v>
      </c>
      <c r="F2237" s="17" t="n">
        <f aca="false">B2237*2/13+F2236*11/13</f>
        <v>20976.8014360269</v>
      </c>
      <c r="G2237" s="17" t="n">
        <f aca="false">B2237*2/27+G2236*25/27</f>
        <v>20458.5829627258</v>
      </c>
      <c r="H2237" s="17" t="n">
        <f aca="false">F2237-G2237</f>
        <v>518.218473301164</v>
      </c>
      <c r="I2237" s="17" t="n">
        <f aca="false">H2237*2/10+I2236*8/10</f>
        <v>496.78176764923</v>
      </c>
      <c r="J2237" s="17" t="n">
        <f aca="false">H2237-I2237</f>
        <v>21.4367056519336</v>
      </c>
      <c r="K2237" s="17" t="n">
        <f aca="false">MAX(B2237-B2236,0)</f>
        <v>499.330000000002</v>
      </c>
      <c r="L2237" s="17" t="n">
        <f aca="false">MAX(B2236-B2237,0)</f>
        <v>0</v>
      </c>
      <c r="M2237" s="17" t="n">
        <f aca="false">(M2236*13+K2237)/14</f>
        <v>155.336977361592</v>
      </c>
      <c r="N2237" s="17" t="n">
        <f aca="false">(N2236*13+L2237)/14</f>
        <v>79.8374397067737</v>
      </c>
      <c r="O2237" s="17" t="n">
        <f aca="false">IF(N2237=0,100,100-100/(1+M2237/N2237))</f>
        <v>66.0518177521134</v>
      </c>
      <c r="P2237" s="17" t="n">
        <f aca="false">AVERAGE(B2218:B2237)+2*STDEV(B2218:B2237)</f>
        <v>22061.8434077765</v>
      </c>
      <c r="Q2237" s="17" t="n">
        <f aca="false">AVERAGE(B2218:B2237)-2*STDEV(B2218:B2237)</f>
        <v>19162.5845922235</v>
      </c>
      <c r="R2237" s="19" t="n">
        <f aca="false">B2237/B2217-1</f>
        <v>0.102314836500613</v>
      </c>
      <c r="S2237" s="17" t="n">
        <f aca="false">STDEV(C2218:C2237)*SQRT(252)*100</f>
        <v>19.7180851342722</v>
      </c>
      <c r="T2237" s="19" t="n">
        <f aca="false">B2216/B1986-1</f>
        <v>0.0434491249981879</v>
      </c>
      <c r="U2237" s="19" t="n">
        <f aca="false">B2237/MAX(B1986:B2237)-1</f>
        <v>-0.0342994101625208</v>
      </c>
      <c r="V2237" s="17" t="n">
        <f aca="false">(B2237-AVERAGE(B2218:B2237))/STDEV(B2218:B2237)</f>
        <v>1.10756031257853</v>
      </c>
    </row>
    <row r="2238" customFormat="false" ht="15" hidden="false" customHeight="false" outlineLevel="0" collapsed="false">
      <c r="A2238" s="17" t="s">
        <v>2802</v>
      </c>
      <c r="B2238" s="17" t="n">
        <v>21318.17</v>
      </c>
      <c r="C2238" s="19" t="n">
        <f aca="false">B2238/B2237-1</f>
        <v>-0.00452113216022998</v>
      </c>
      <c r="D2238" s="17" t="n">
        <f aca="false">AVERAGE(B2189:B2238)</f>
        <v>19671.7824</v>
      </c>
      <c r="E2238" s="17" t="n">
        <f aca="false">AVERAGE(B2039:B2238)</f>
        <v>20337.45245</v>
      </c>
      <c r="F2238" s="17" t="n">
        <f aca="false">B2238*2/13+F2237*11/13</f>
        <v>21029.3196766382</v>
      </c>
      <c r="G2238" s="17" t="n">
        <f aca="false">B2238*2/27+G2237*25/27</f>
        <v>20522.2560765979</v>
      </c>
      <c r="H2238" s="17" t="n">
        <f aca="false">F2238-G2238</f>
        <v>507.063600040241</v>
      </c>
      <c r="I2238" s="17" t="n">
        <f aca="false">H2238*2/10+I2237*8/10</f>
        <v>498.838134127432</v>
      </c>
      <c r="J2238" s="17" t="n">
        <f aca="false">H2238-I2238</f>
        <v>8.22546591280877</v>
      </c>
      <c r="K2238" s="17" t="n">
        <f aca="false">MAX(B2238-B2237,0)</f>
        <v>0</v>
      </c>
      <c r="L2238" s="17" t="n">
        <f aca="false">MAX(B2237-B2238,0)</f>
        <v>96.8200000000034</v>
      </c>
      <c r="M2238" s="17" t="n">
        <f aca="false">(M2237*13+K2238)/14</f>
        <v>144.241478978621</v>
      </c>
      <c r="N2238" s="17" t="n">
        <f aca="false">(N2237*13+L2238)/14</f>
        <v>81.0504797277187</v>
      </c>
      <c r="O2238" s="17" t="n">
        <f aca="false">IF(N2238=0,100,100-100/(1+M2238/N2238))</f>
        <v>64.0242464963584</v>
      </c>
      <c r="P2238" s="17" t="n">
        <f aca="false">AVERAGE(B2219:B2238)+2*STDEV(B2219:B2238)</f>
        <v>22091.3597102095</v>
      </c>
      <c r="Q2238" s="17" t="n">
        <f aca="false">AVERAGE(B2219:B2238)-2*STDEV(B2219:B2238)</f>
        <v>19310.3902897905</v>
      </c>
      <c r="R2238" s="19" t="n">
        <f aca="false">B2238/B2218-1</f>
        <v>0.0907252256976865</v>
      </c>
      <c r="S2238" s="17" t="n">
        <f aca="false">STDEV(C2219:C2238)*SQRT(252)*100</f>
        <v>19.9952336269327</v>
      </c>
      <c r="T2238" s="19" t="n">
        <f aca="false">B2217/B1987-1</f>
        <v>0.032907724494706</v>
      </c>
      <c r="U2238" s="19" t="n">
        <f aca="false">B2238/MAX(B1987:B2238)-1</f>
        <v>-0.0386654701563881</v>
      </c>
      <c r="V2238" s="17" t="n">
        <f aca="false">(B2238-AVERAGE(B2219:B2238))/STDEV(B2219:B2238)</f>
        <v>0.887884628241623</v>
      </c>
    </row>
    <row r="2239" customFormat="false" ht="15" hidden="false" customHeight="false" outlineLevel="0" collapsed="false">
      <c r="A2239" s="17" t="s">
        <v>2803</v>
      </c>
      <c r="B2239" s="17" t="n">
        <v>21363.95</v>
      </c>
      <c r="C2239" s="19" t="n">
        <f aca="false">B2239/B2238-1</f>
        <v>0.00214746387705889</v>
      </c>
      <c r="D2239" s="17" t="n">
        <f aca="false">AVERAGE(B2190:B2239)</f>
        <v>19709.3942</v>
      </c>
      <c r="E2239" s="17" t="n">
        <f aca="false">AVERAGE(B2040:B2239)</f>
        <v>20351.7067</v>
      </c>
      <c r="F2239" s="17" t="n">
        <f aca="false">B2239*2/13+F2238*11/13</f>
        <v>21080.8012648477</v>
      </c>
      <c r="G2239" s="17" t="n">
        <f aca="false">B2239*2/27+G2238*25/27</f>
        <v>20584.6037746277</v>
      </c>
      <c r="H2239" s="17" t="n">
        <f aca="false">F2239-G2239</f>
        <v>496.197490219969</v>
      </c>
      <c r="I2239" s="17" t="n">
        <f aca="false">H2239*2/10+I2238*8/10</f>
        <v>498.31000534594</v>
      </c>
      <c r="J2239" s="17" t="n">
        <f aca="false">H2239-I2239</f>
        <v>-2.11251512597056</v>
      </c>
      <c r="K2239" s="17" t="n">
        <f aca="false">MAX(B2239-B2238,0)</f>
        <v>45.7800000000025</v>
      </c>
      <c r="L2239" s="17" t="n">
        <f aca="false">MAX(B2238-B2239,0)</f>
        <v>0</v>
      </c>
      <c r="M2239" s="17" t="n">
        <f aca="false">(M2238*13+K2239)/14</f>
        <v>137.208516194434</v>
      </c>
      <c r="N2239" s="17" t="n">
        <f aca="false">(N2238*13+L2239)/14</f>
        <v>75.2611597471673</v>
      </c>
      <c r="O2239" s="17" t="n">
        <f aca="false">IF(N2239=0,100,100-100/(1+M2239/N2239))</f>
        <v>64.5779288674336</v>
      </c>
      <c r="P2239" s="17" t="n">
        <f aca="false">AVERAGE(B2220:B2239)+2*STDEV(B2220:B2239)</f>
        <v>22103.312255737</v>
      </c>
      <c r="Q2239" s="17" t="n">
        <f aca="false">AVERAGE(B2220:B2239)-2*STDEV(B2220:B2239)</f>
        <v>19477.730744263</v>
      </c>
      <c r="R2239" s="19" t="n">
        <f aca="false">B2239/B2219-1</f>
        <v>0.0916114745169132</v>
      </c>
      <c r="S2239" s="17" t="n">
        <f aca="false">STDEV(C2220:C2239)*SQRT(252)*100</f>
        <v>19.9806265765054</v>
      </c>
      <c r="T2239" s="19" t="n">
        <f aca="false">B2218/B1988-1</f>
        <v>0.0357991546119016</v>
      </c>
      <c r="U2239" s="19" t="n">
        <f aca="false">B2239/MAX(B1988:B2239)-1</f>
        <v>-0.0366010389797795</v>
      </c>
      <c r="V2239" s="17" t="n">
        <f aca="false">(B2239-AVERAGE(B2220:B2239))/STDEV(B2220:B2239)</f>
        <v>0.873602281999764</v>
      </c>
    </row>
    <row r="2240" customFormat="false" ht="15" hidden="false" customHeight="false" outlineLevel="0" collapsed="false">
      <c r="A2240" s="17" t="s">
        <v>2804</v>
      </c>
      <c r="B2240" s="17" t="n">
        <v>21340.99</v>
      </c>
      <c r="C2240" s="19" t="n">
        <f aca="false">B2240/B2239-1</f>
        <v>-0.00107470762663264</v>
      </c>
      <c r="D2240" s="17" t="n">
        <f aca="false">AVERAGE(B2191:B2240)</f>
        <v>19741.4808</v>
      </c>
      <c r="E2240" s="17" t="n">
        <f aca="false">AVERAGE(B2041:B2240)</f>
        <v>20365.7015</v>
      </c>
      <c r="F2240" s="17" t="n">
        <f aca="false">B2240*2/13+F2239*11/13</f>
        <v>21120.830301025</v>
      </c>
      <c r="G2240" s="17" t="n">
        <f aca="false">B2240*2/27+G2239*25/27</f>
        <v>20640.6323839145</v>
      </c>
      <c r="H2240" s="17" t="n">
        <f aca="false">F2240-G2240</f>
        <v>480.19791711041</v>
      </c>
      <c r="I2240" s="17" t="n">
        <f aca="false">H2240*2/10+I2239*8/10</f>
        <v>494.687587698834</v>
      </c>
      <c r="J2240" s="17" t="n">
        <f aca="false">H2240-I2240</f>
        <v>-14.4896705884235</v>
      </c>
      <c r="K2240" s="17" t="n">
        <f aca="false">MAX(B2240-B2239,0)</f>
        <v>0</v>
      </c>
      <c r="L2240" s="17" t="n">
        <f aca="false">MAX(B2239-B2240,0)</f>
        <v>22.9599999999991</v>
      </c>
      <c r="M2240" s="17" t="n">
        <f aca="false">(M2239*13+K2240)/14</f>
        <v>127.407907894831</v>
      </c>
      <c r="N2240" s="17" t="n">
        <f aca="false">(N2239*13+L2240)/14</f>
        <v>71.5253626223696</v>
      </c>
      <c r="O2240" s="17" t="n">
        <f aca="false">IF(N2240=0,100,100-100/(1+M2240/N2240))</f>
        <v>64.0455503313182</v>
      </c>
      <c r="P2240" s="17" t="n">
        <f aca="false">AVERAGE(B2221:B2240)+2*STDEV(B2221:B2240)</f>
        <v>22113.0843959832</v>
      </c>
      <c r="Q2240" s="17" t="n">
        <f aca="false">AVERAGE(B2221:B2240)-2*STDEV(B2221:B2240)</f>
        <v>19623.3866040168</v>
      </c>
      <c r="R2240" s="19" t="n">
        <f aca="false">B2240/B2220-1</f>
        <v>0.0785517147620802</v>
      </c>
      <c r="S2240" s="17" t="n">
        <f aca="false">STDEV(C2221:C2240)*SQRT(252)*100</f>
        <v>19.9155752300656</v>
      </c>
      <c r="T2240" s="19" t="n">
        <f aca="false">B2219/B1989-1</f>
        <v>0.0445258649445608</v>
      </c>
      <c r="U2240" s="19" t="n">
        <f aca="false">B2240/MAX(B1989:B2240)-1</f>
        <v>-0.037636411190678</v>
      </c>
      <c r="V2240" s="17" t="n">
        <f aca="false">(B2240-AVERAGE(B2221:B2240))/STDEV(B2221:B2240)</f>
        <v>0.759537163948916</v>
      </c>
    </row>
    <row r="2241" customFormat="false" ht="15" hidden="false" customHeight="false" outlineLevel="0" collapsed="false">
      <c r="A2241" s="17" t="s">
        <v>2805</v>
      </c>
      <c r="B2241" s="17" t="n">
        <v>21491.75</v>
      </c>
      <c r="C2241" s="19" t="n">
        <f aca="false">B2241/B2240-1</f>
        <v>0.00706433956437813</v>
      </c>
      <c r="D2241" s="17" t="n">
        <f aca="false">AVERAGE(B2192:B2241)</f>
        <v>19777.7636</v>
      </c>
      <c r="E2241" s="17" t="n">
        <f aca="false">AVERAGE(B2042:B2241)</f>
        <v>20378.1281</v>
      </c>
      <c r="F2241" s="17" t="n">
        <f aca="false">B2241*2/13+F2240*11/13</f>
        <v>21177.894870098</v>
      </c>
      <c r="G2241" s="17" t="n">
        <f aca="false">B2241*2/27+G2240*25/27</f>
        <v>20703.6781332542</v>
      </c>
      <c r="H2241" s="17" t="n">
        <f aca="false">F2241-G2241</f>
        <v>474.216736843831</v>
      </c>
      <c r="I2241" s="17" t="n">
        <f aca="false">H2241*2/10+I2240*8/10</f>
        <v>490.593417527833</v>
      </c>
      <c r="J2241" s="17" t="n">
        <f aca="false">H2241-I2241</f>
        <v>-16.376680684002</v>
      </c>
      <c r="K2241" s="17" t="n">
        <f aca="false">MAX(B2241-B2240,0)</f>
        <v>150.759999999998</v>
      </c>
      <c r="L2241" s="17" t="n">
        <f aca="false">MAX(B2240-B2241,0)</f>
        <v>0</v>
      </c>
      <c r="M2241" s="17" t="n">
        <f aca="false">(M2240*13+K2241)/14</f>
        <v>129.075914473772</v>
      </c>
      <c r="N2241" s="17" t="n">
        <f aca="false">(N2240*13+L2241)/14</f>
        <v>66.4164081493432</v>
      </c>
      <c r="O2241" s="17" t="n">
        <f aca="false">IF(N2241=0,100,100-100/(1+M2241/N2241))</f>
        <v>66.0260785394699</v>
      </c>
      <c r="P2241" s="17" t="n">
        <f aca="false">AVERAGE(B2222:B2241)+2*STDEV(B2222:B2241)</f>
        <v>22157.4365718769</v>
      </c>
      <c r="Q2241" s="17" t="n">
        <f aca="false">AVERAGE(B2222:B2241)-2*STDEV(B2222:B2241)</f>
        <v>19717.9484281231</v>
      </c>
      <c r="R2241" s="19" t="n">
        <f aca="false">B2241/B2221-1</f>
        <v>0.0691024697787999</v>
      </c>
      <c r="S2241" s="17" t="n">
        <f aca="false">STDEV(C2222:C2241)*SQRT(252)*100</f>
        <v>19.4431322474967</v>
      </c>
      <c r="T2241" s="19" t="n">
        <f aca="false">B2220/B1990-1</f>
        <v>0.0673214784671599</v>
      </c>
      <c r="U2241" s="19" t="n">
        <f aca="false">B2241/MAX(B1990:B2241)-1</f>
        <v>-0.0308379480149352</v>
      </c>
      <c r="V2241" s="17" t="n">
        <f aca="false">(B2241-AVERAGE(B2222:B2241))/STDEV(B2222:B2241)</f>
        <v>0.908481562279566</v>
      </c>
    </row>
    <row r="2242" customFormat="false" ht="15" hidden="false" customHeight="false" outlineLevel="0" collapsed="false">
      <c r="A2242" s="17" t="s">
        <v>2806</v>
      </c>
      <c r="B2242" s="17" t="n">
        <v>21662.58</v>
      </c>
      <c r="C2242" s="19" t="n">
        <f aca="false">B2242/B2241-1</f>
        <v>0.00794863145160352</v>
      </c>
      <c r="D2242" s="17" t="n">
        <f aca="false">AVERAGE(B2193:B2242)</f>
        <v>19815.9358</v>
      </c>
      <c r="E2242" s="17" t="n">
        <f aca="false">AVERAGE(B2043:B2242)</f>
        <v>20391.3276</v>
      </c>
      <c r="F2242" s="17" t="n">
        <f aca="false">B2242*2/13+F2241*11/13</f>
        <v>21252.4618131599</v>
      </c>
      <c r="G2242" s="17" t="n">
        <f aca="false">B2242*2/27+G2241*25/27</f>
        <v>20774.7079011613</v>
      </c>
      <c r="H2242" s="17" t="n">
        <f aca="false">F2242-G2242</f>
        <v>477.753911998578</v>
      </c>
      <c r="I2242" s="17" t="n">
        <f aca="false">H2242*2/10+I2241*8/10</f>
        <v>488.025516421982</v>
      </c>
      <c r="J2242" s="17" t="n">
        <f aca="false">H2242-I2242</f>
        <v>-10.2716044234045</v>
      </c>
      <c r="K2242" s="17" t="n">
        <f aca="false">MAX(B2242-B2241,0)</f>
        <v>170.830000000002</v>
      </c>
      <c r="L2242" s="17" t="n">
        <f aca="false">MAX(B2241-B2242,0)</f>
        <v>0</v>
      </c>
      <c r="M2242" s="17" t="n">
        <f aca="false">(M2241*13+K2242)/14</f>
        <v>132.058349154217</v>
      </c>
      <c r="N2242" s="17" t="n">
        <f aca="false">(N2241*13+L2242)/14</f>
        <v>61.6723789958187</v>
      </c>
      <c r="O2242" s="17" t="n">
        <f aca="false">IF(N2242=0,100,100-100/(1+M2242/N2242))</f>
        <v>68.1659282527157</v>
      </c>
      <c r="P2242" s="17" t="n">
        <f aca="false">AVERAGE(B2223:B2242)+2*STDEV(B2223:B2242)</f>
        <v>22192.9741544332</v>
      </c>
      <c r="Q2242" s="17" t="n">
        <f aca="false">AVERAGE(B2223:B2242)-2*STDEV(B2223:B2242)</f>
        <v>19851.8748455668</v>
      </c>
      <c r="R2242" s="19" t="n">
        <f aca="false">B2242/B2222-1</f>
        <v>0.0848680434736884</v>
      </c>
      <c r="S2242" s="17" t="n">
        <f aca="false">STDEV(C2223:C2242)*SQRT(252)*100</f>
        <v>19.1249601251424</v>
      </c>
      <c r="T2242" s="19" t="n">
        <f aca="false">B2221/B1991-1</f>
        <v>0.0844791264872562</v>
      </c>
      <c r="U2242" s="19" t="n">
        <f aca="false">B2242/MAX(B1991:B2242)-1</f>
        <v>-0.0231344360468261</v>
      </c>
      <c r="V2242" s="17" t="n">
        <f aca="false">(B2242-AVERAGE(B2223:B2242))/STDEV(B2223:B2242)</f>
        <v>1.09376906408977</v>
      </c>
    </row>
    <row r="2243" customFormat="false" ht="15" hidden="false" customHeight="false" outlineLevel="0" collapsed="false">
      <c r="A2243" s="17" t="s">
        <v>2807</v>
      </c>
      <c r="B2243" s="17" t="n">
        <v>21721.92</v>
      </c>
      <c r="C2243" s="19" t="n">
        <f aca="false">B2243/B2242-1</f>
        <v>0.00273928590223305</v>
      </c>
      <c r="D2243" s="17" t="n">
        <f aca="false">AVERAGE(B2194:B2243)</f>
        <v>19846.7652</v>
      </c>
      <c r="E2243" s="17" t="n">
        <f aca="false">AVERAGE(B2044:B2243)</f>
        <v>20402.48645</v>
      </c>
      <c r="F2243" s="17" t="n">
        <f aca="false">B2243*2/13+F2242*11/13</f>
        <v>21324.6861495968</v>
      </c>
      <c r="G2243" s="17" t="n">
        <f aca="false">B2243*2/27+G2242*25/27</f>
        <v>20844.8717603345</v>
      </c>
      <c r="H2243" s="17" t="n">
        <f aca="false">F2243-G2243</f>
        <v>479.814389262279</v>
      </c>
      <c r="I2243" s="17" t="n">
        <f aca="false">H2243*2/10+I2242*8/10</f>
        <v>486.383290990042</v>
      </c>
      <c r="J2243" s="17" t="n">
        <f aca="false">H2243-I2243</f>
        <v>-6.5689017277623</v>
      </c>
      <c r="K2243" s="17" t="n">
        <f aca="false">MAX(B2243-B2242,0)</f>
        <v>59.3399999999965</v>
      </c>
      <c r="L2243" s="17" t="n">
        <f aca="false">MAX(B2242-B2243,0)</f>
        <v>0</v>
      </c>
      <c r="M2243" s="17" t="n">
        <f aca="false">(M2242*13+K2243)/14</f>
        <v>126.864181357487</v>
      </c>
      <c r="N2243" s="17" t="n">
        <f aca="false">(N2242*13+L2243)/14</f>
        <v>57.2672090675459</v>
      </c>
      <c r="O2243" s="17" t="n">
        <f aca="false">IF(N2243=0,100,100-100/(1+M2243/N2243))</f>
        <v>68.898725559311</v>
      </c>
      <c r="P2243" s="17" t="n">
        <f aca="false">AVERAGE(B2224:B2243)+2*STDEV(B2224:B2243)</f>
        <v>22174.8417847955</v>
      </c>
      <c r="Q2243" s="17" t="n">
        <f aca="false">AVERAGE(B2224:B2243)-2*STDEV(B2224:B2243)</f>
        <v>20063.0642152045</v>
      </c>
      <c r="R2243" s="19" t="n">
        <f aca="false">B2243/B2223-1</f>
        <v>0.0975461502120876</v>
      </c>
      <c r="S2243" s="17" t="n">
        <f aca="false">STDEV(C2224:C2243)*SQRT(252)*100</f>
        <v>18.5134535716357</v>
      </c>
      <c r="T2243" s="19" t="n">
        <f aca="false">B2222/B1992-1</f>
        <v>0.0734891782525318</v>
      </c>
      <c r="U2243" s="19" t="n">
        <f aca="false">B2243/MAX(B1992:B2243)-1</f>
        <v>-0.0204585219791122</v>
      </c>
      <c r="V2243" s="17" t="n">
        <f aca="false">(B2243-AVERAGE(B2224:B2243))/STDEV(B2224:B2243)</f>
        <v>1.14210323792159</v>
      </c>
    </row>
    <row r="2244" customFormat="false" ht="15" hidden="false" customHeight="false" outlineLevel="0" collapsed="false">
      <c r="A2244" s="17" t="s">
        <v>2808</v>
      </c>
      <c r="B2244" s="17" t="n">
        <v>21547.43</v>
      </c>
      <c r="C2244" s="19" t="n">
        <f aca="false">B2244/B2243-1</f>
        <v>-0.00803289948586483</v>
      </c>
      <c r="D2244" s="17" t="n">
        <f aca="false">AVERAGE(B2195:B2244)</f>
        <v>19871.9572</v>
      </c>
      <c r="E2244" s="17" t="n">
        <f aca="false">AVERAGE(B2045:B2244)</f>
        <v>20412.681</v>
      </c>
      <c r="F2244" s="17" t="n">
        <f aca="false">B2244*2/13+F2243*11/13</f>
        <v>21358.9544342742</v>
      </c>
      <c r="G2244" s="17" t="n">
        <f aca="false">B2244*2/27+G2243*25/27</f>
        <v>20896.9131114209</v>
      </c>
      <c r="H2244" s="17" t="n">
        <f aca="false">F2244-G2244</f>
        <v>462.041322853362</v>
      </c>
      <c r="I2244" s="17" t="n">
        <f aca="false">H2244*2/10+I2243*8/10</f>
        <v>481.514897362706</v>
      </c>
      <c r="J2244" s="17" t="n">
        <f aca="false">H2244-I2244</f>
        <v>-19.473574509344</v>
      </c>
      <c r="K2244" s="17" t="n">
        <f aca="false">MAX(B2244-B2243,0)</f>
        <v>0</v>
      </c>
      <c r="L2244" s="17" t="n">
        <f aca="false">MAX(B2243-B2244,0)</f>
        <v>174.489999999998</v>
      </c>
      <c r="M2244" s="17" t="n">
        <f aca="false">(M2243*13+K2244)/14</f>
        <v>117.802454117666</v>
      </c>
      <c r="N2244" s="17" t="n">
        <f aca="false">(N2243*13+L2244)/14</f>
        <v>65.6402655627211</v>
      </c>
      <c r="O2244" s="17" t="n">
        <f aca="false">IF(N2244=0,100,100-100/(1+M2244/N2244))</f>
        <v>64.2175684720079</v>
      </c>
      <c r="P2244" s="17" t="n">
        <f aca="false">AVERAGE(B2225:B2244)+2*STDEV(B2225:B2244)</f>
        <v>22094.215441614</v>
      </c>
      <c r="Q2244" s="17" t="n">
        <f aca="false">AVERAGE(B2225:B2244)-2*STDEV(B2225:B2244)</f>
        <v>20311.636558386</v>
      </c>
      <c r="R2244" s="19" t="n">
        <f aca="false">B2244/B2224-1</f>
        <v>0.0845310316051413</v>
      </c>
      <c r="S2244" s="17" t="n">
        <f aca="false">STDEV(C2225:C2244)*SQRT(252)*100</f>
        <v>19.0606832671749</v>
      </c>
      <c r="T2244" s="19" t="n">
        <f aca="false">B2223/B1993-1</f>
        <v>0.0609230633980242</v>
      </c>
      <c r="U2244" s="19" t="n">
        <f aca="false">B2244/MAX(B1993:B2244)-1</f>
        <v>-0.0283270802142895</v>
      </c>
      <c r="V2244" s="17" t="n">
        <f aca="false">(B2244-AVERAGE(B2225:B2244))/STDEV(B2225:B2244)</f>
        <v>0.773046294312979</v>
      </c>
    </row>
    <row r="2245" customFormat="false" ht="15" hidden="false" customHeight="false" outlineLevel="0" collapsed="false">
      <c r="A2245" s="17" t="s">
        <v>2809</v>
      </c>
      <c r="B2245" s="17" t="n">
        <v>21761.79</v>
      </c>
      <c r="C2245" s="19" t="n">
        <f aca="false">B2245/B2244-1</f>
        <v>0.00994828617612398</v>
      </c>
      <c r="D2245" s="17" t="n">
        <f aca="false">AVERAGE(B2196:B2245)</f>
        <v>19908.8532</v>
      </c>
      <c r="E2245" s="17" t="n">
        <f aca="false">AVERAGE(B2046:B2245)</f>
        <v>20422.6575</v>
      </c>
      <c r="F2245" s="17" t="n">
        <f aca="false">B2245*2/13+F2244*11/13</f>
        <v>21420.9291366936</v>
      </c>
      <c r="G2245" s="17" t="n">
        <f aca="false">B2245*2/27+G2244*25/27</f>
        <v>20960.9780661304</v>
      </c>
      <c r="H2245" s="17" t="n">
        <f aca="false">F2245-G2245</f>
        <v>459.95107056314</v>
      </c>
      <c r="I2245" s="17" t="n">
        <f aca="false">H2245*2/10+I2244*8/10</f>
        <v>477.202132002793</v>
      </c>
      <c r="J2245" s="17" t="n">
        <f aca="false">H2245-I2245</f>
        <v>-17.2510614396524</v>
      </c>
      <c r="K2245" s="17" t="n">
        <f aca="false">MAX(B2245-B2244,0)</f>
        <v>214.360000000001</v>
      </c>
      <c r="L2245" s="17" t="n">
        <f aca="false">MAX(B2244-B2245,0)</f>
        <v>0</v>
      </c>
      <c r="M2245" s="17" t="n">
        <f aca="false">(M2244*13+K2245)/14</f>
        <v>124.69942168069</v>
      </c>
      <c r="N2245" s="17" t="n">
        <f aca="false">(N2244*13+L2245)/14</f>
        <v>60.9516751653839</v>
      </c>
      <c r="O2245" s="17" t="n">
        <f aca="false">IF(N2245=0,100,100-100/(1+M2245/N2245))</f>
        <v>67.1686964414114</v>
      </c>
      <c r="P2245" s="17" t="n">
        <f aca="false">AVERAGE(B2226:B2245)+2*STDEV(B2226:B2245)</f>
        <v>22033.8246536039</v>
      </c>
      <c r="Q2245" s="17" t="n">
        <f aca="false">AVERAGE(B2226:B2245)-2*STDEV(B2226:B2245)</f>
        <v>20541.8503463961</v>
      </c>
      <c r="R2245" s="19" t="n">
        <f aca="false">B2245/B2225-1</f>
        <v>0.0846425061155647</v>
      </c>
      <c r="S2245" s="17" t="n">
        <f aca="false">STDEV(C2226:C2245)*SQRT(252)*100</f>
        <v>19.0648435622262</v>
      </c>
      <c r="T2245" s="19" t="n">
        <f aca="false">B2224/B1994-1</f>
        <v>0.0437571742653684</v>
      </c>
      <c r="U2245" s="19" t="n">
        <f aca="false">B2245/MAX(B1994:B2245)-1</f>
        <v>-0.0186605999386712</v>
      </c>
      <c r="V2245" s="17" t="n">
        <f aca="false">(B2245-AVERAGE(B2226:B2245))/STDEV(B2226:B2245)</f>
        <v>1.27067201549058</v>
      </c>
    </row>
    <row r="2246" customFormat="false" ht="15" hidden="false" customHeight="false" outlineLevel="0" collapsed="false">
      <c r="A2246" s="17" t="s">
        <v>2810</v>
      </c>
      <c r="B2246" s="17" t="n">
        <v>21797.87</v>
      </c>
      <c r="C2246" s="19" t="n">
        <f aca="false">B2246/B2245-1</f>
        <v>0.00165795185046802</v>
      </c>
      <c r="D2246" s="17" t="n">
        <f aca="false">AVERAGE(B2197:B2246)</f>
        <v>19948.8382</v>
      </c>
      <c r="E2246" s="17" t="n">
        <f aca="false">AVERAGE(B2047:B2246)</f>
        <v>20433.04775</v>
      </c>
      <c r="F2246" s="17" t="n">
        <f aca="false">B2246*2/13+F2245*11/13</f>
        <v>21478.9200387407</v>
      </c>
      <c r="G2246" s="17" t="n">
        <f aca="false">B2246*2/27+G2245*25/27</f>
        <v>21022.9700612319</v>
      </c>
      <c r="H2246" s="17" t="n">
        <f aca="false">F2246-G2246</f>
        <v>455.949977508833</v>
      </c>
      <c r="I2246" s="17" t="n">
        <f aca="false">H2246*2/10+I2245*8/10</f>
        <v>472.951701104001</v>
      </c>
      <c r="J2246" s="17" t="n">
        <f aca="false">H2246-I2246</f>
        <v>-17.0017235951673</v>
      </c>
      <c r="K2246" s="17" t="n">
        <f aca="false">MAX(B2246-B2245,0)</f>
        <v>36.0799999999981</v>
      </c>
      <c r="L2246" s="17" t="n">
        <f aca="false">MAX(B2245-B2246,0)</f>
        <v>0</v>
      </c>
      <c r="M2246" s="17" t="n">
        <f aca="false">(M2245*13+K2246)/14</f>
        <v>118.369462989212</v>
      </c>
      <c r="N2246" s="17" t="n">
        <f aca="false">(N2245*13+L2246)/14</f>
        <v>56.5979840821422</v>
      </c>
      <c r="O2246" s="17" t="n">
        <f aca="false">IF(N2246=0,100,100-100/(1+M2246/N2246))</f>
        <v>67.6522775924937</v>
      </c>
      <c r="P2246" s="17" t="n">
        <f aca="false">AVERAGE(B2227:B2246)+2*STDEV(B2227:B2246)</f>
        <v>21887.3827181575</v>
      </c>
      <c r="Q2246" s="17" t="n">
        <f aca="false">AVERAGE(B2227:B2246)-2*STDEV(B2227:B2246)</f>
        <v>20861.9342818425</v>
      </c>
      <c r="R2246" s="19" t="n">
        <f aca="false">B2246/B2226-1</f>
        <v>0.086555059579442</v>
      </c>
      <c r="S2246" s="17" t="n">
        <f aca="false">STDEV(C2227:C2246)*SQRT(252)*100</f>
        <v>19.023020814612</v>
      </c>
      <c r="T2246" s="19" t="n">
        <f aca="false">B2225/B1995-1</f>
        <v>0.054800462011052</v>
      </c>
      <c r="U2246" s="19" t="n">
        <f aca="false">B2246/MAX(B1995:B2246)-1</f>
        <v>-0.0170335864644023</v>
      </c>
      <c r="V2246" s="17" t="n">
        <f aca="false">(B2246-AVERAGE(B2227:B2246))/STDEV(B2227:B2246)</f>
        <v>1.65083483483889</v>
      </c>
    </row>
    <row r="2247" customFormat="false" ht="15" hidden="false" customHeight="false" outlineLevel="0" collapsed="false">
      <c r="A2247" s="17" t="s">
        <v>2811</v>
      </c>
      <c r="B2247" s="17" t="n">
        <v>21941.92</v>
      </c>
      <c r="C2247" s="19" t="n">
        <f aca="false">B2247/B2246-1</f>
        <v>0.00660844385254156</v>
      </c>
      <c r="D2247" s="17" t="n">
        <f aca="false">AVERAGE(B2198:B2247)</f>
        <v>20002.0486</v>
      </c>
      <c r="E2247" s="17" t="n">
        <f aca="false">AVERAGE(B2048:B2247)</f>
        <v>20443.63315</v>
      </c>
      <c r="F2247" s="17" t="n">
        <f aca="false">B2247*2/13+F2246*11/13</f>
        <v>21550.1508020114</v>
      </c>
      <c r="G2247" s="17" t="n">
        <f aca="false">B2247*2/27+G2246*25/27</f>
        <v>21091.0404270666</v>
      </c>
      <c r="H2247" s="17" t="n">
        <f aca="false">F2247-G2247</f>
        <v>459.110374944816</v>
      </c>
      <c r="I2247" s="17" t="n">
        <f aca="false">H2247*2/10+I2246*8/10</f>
        <v>470.183435872164</v>
      </c>
      <c r="J2247" s="17" t="n">
        <f aca="false">H2247-I2247</f>
        <v>-11.073060927348</v>
      </c>
      <c r="K2247" s="17" t="n">
        <f aca="false">MAX(B2247-B2246,0)</f>
        <v>144.049999999999</v>
      </c>
      <c r="L2247" s="17" t="n">
        <f aca="false">MAX(B2246-B2247,0)</f>
        <v>0</v>
      </c>
      <c r="M2247" s="17" t="n">
        <f aca="false">(M2246*13+K2247)/14</f>
        <v>120.203787061411</v>
      </c>
      <c r="N2247" s="17" t="n">
        <f aca="false">(N2246*13+L2247)/14</f>
        <v>52.5552709334177</v>
      </c>
      <c r="O2247" s="17" t="n">
        <f aca="false">IF(N2247=0,100,100-100/(1+M2247/N2247))</f>
        <v>69.5788622932924</v>
      </c>
      <c r="P2247" s="17" t="n">
        <f aca="false">AVERAGE(B2228:B2247)+2*STDEV(B2228:B2247)</f>
        <v>21942.6262067023</v>
      </c>
      <c r="Q2247" s="17" t="n">
        <f aca="false">AVERAGE(B2228:B2247)-2*STDEV(B2228:B2247)</f>
        <v>20914.0677932977</v>
      </c>
      <c r="R2247" s="19" t="n">
        <f aca="false">B2247/B2227-1</f>
        <v>0.0514549684567149</v>
      </c>
      <c r="S2247" s="17" t="n">
        <f aca="false">STDEV(C2228:C2247)*SQRT(252)*100</f>
        <v>13.5422429291685</v>
      </c>
      <c r="T2247" s="19" t="n">
        <f aca="false">B2226/B1996-1</f>
        <v>0.055812998823743</v>
      </c>
      <c r="U2247" s="19" t="n">
        <f aca="false">B2247/MAX(B1996:B2247)-1</f>
        <v>-0.0105377081116181</v>
      </c>
      <c r="V2247" s="17" t="n">
        <f aca="false">(B2247-AVERAGE(B2228:B2247))/STDEV(B2228:B2247)</f>
        <v>1.99725360585041</v>
      </c>
    </row>
    <row r="2248" customFormat="false" ht="15" hidden="false" customHeight="false" outlineLevel="0" collapsed="false">
      <c r="A2248" s="17" t="s">
        <v>2812</v>
      </c>
      <c r="B2248" s="17" t="n">
        <v>21860.8</v>
      </c>
      <c r="C2248" s="19" t="n">
        <f aca="false">B2248/B2247-1</f>
        <v>-0.00369703289411316</v>
      </c>
      <c r="D2248" s="17" t="n">
        <f aca="false">AVERAGE(B2199:B2248)</f>
        <v>20053.6956</v>
      </c>
      <c r="E2248" s="17" t="n">
        <f aca="false">AVERAGE(B2049:B2248)</f>
        <v>20455.47795</v>
      </c>
      <c r="F2248" s="17" t="n">
        <f aca="false">B2248*2/13+F2247*11/13</f>
        <v>21597.9429863173</v>
      </c>
      <c r="G2248" s="17" t="n">
        <f aca="false">B2248*2/27+G2247*25/27</f>
        <v>21148.0596546913</v>
      </c>
      <c r="H2248" s="17" t="n">
        <f aca="false">F2248-G2248</f>
        <v>449.883331626061</v>
      </c>
      <c r="I2248" s="17" t="n">
        <f aca="false">H2248*2/10+I2247*8/10</f>
        <v>466.123415022943</v>
      </c>
      <c r="J2248" s="17" t="n">
        <f aca="false">H2248-I2248</f>
        <v>-16.2400833968824</v>
      </c>
      <c r="K2248" s="17" t="n">
        <f aca="false">MAX(B2248-B2247,0)</f>
        <v>0</v>
      </c>
      <c r="L2248" s="17" t="n">
        <f aca="false">MAX(B2247-B2248,0)</f>
        <v>81.119999999999</v>
      </c>
      <c r="M2248" s="17" t="n">
        <f aca="false">(M2247*13+K2248)/14</f>
        <v>111.61780227131</v>
      </c>
      <c r="N2248" s="17" t="n">
        <f aca="false">(N2247*13+L2248)/14</f>
        <v>54.5956087238878</v>
      </c>
      <c r="O2248" s="17" t="n">
        <f aca="false">IF(N2248=0,100,100-100/(1+M2248/N2248))</f>
        <v>67.1533070665008</v>
      </c>
      <c r="P2248" s="17" t="n">
        <f aca="false">AVERAGE(B2229:B2248)+2*STDEV(B2229:B2248)</f>
        <v>21998.1832667183</v>
      </c>
      <c r="Q2248" s="17" t="n">
        <f aca="false">AVERAGE(B2229:B2248)-2*STDEV(B2229:B2248)</f>
        <v>20924.8207332817</v>
      </c>
      <c r="R2248" s="19" t="n">
        <f aca="false">B2248/B2228-1</f>
        <v>0.0312816956556607</v>
      </c>
      <c r="S2248" s="17" t="n">
        <f aca="false">STDEV(C2229:C2248)*SQRT(252)*100</f>
        <v>12.7582639851361</v>
      </c>
      <c r="T2248" s="19" t="n">
        <f aca="false">B2227/B1997-1</f>
        <v>0.0940241692254704</v>
      </c>
      <c r="U2248" s="19" t="n">
        <f aca="false">B2248/MAX(B1997:B2248)-1</f>
        <v>-0.0141957827522141</v>
      </c>
      <c r="V2248" s="17" t="n">
        <f aca="false">(B2248-AVERAGE(B2229:B2248))/STDEV(B2229:B2248)</f>
        <v>1.48802659888488</v>
      </c>
    </row>
    <row r="2249" customFormat="false" ht="15" hidden="false" customHeight="false" outlineLevel="0" collapsed="false">
      <c r="A2249" s="17" t="s">
        <v>2813</v>
      </c>
      <c r="B2249" s="17" t="n">
        <v>21913.32</v>
      </c>
      <c r="C2249" s="19" t="n">
        <f aca="false">B2249/B2248-1</f>
        <v>0.00240247383444348</v>
      </c>
      <c r="D2249" s="17" t="n">
        <f aca="false">AVERAGE(B2200:B2249)</f>
        <v>20103.2336</v>
      </c>
      <c r="E2249" s="17" t="n">
        <f aca="false">AVERAGE(B2050:B2249)</f>
        <v>20466.4402</v>
      </c>
      <c r="F2249" s="17" t="n">
        <f aca="false">B2249*2/13+F2248*11/13</f>
        <v>21646.4625268839</v>
      </c>
      <c r="G2249" s="17" t="n">
        <f aca="false">B2249*2/27+G2248*25/27</f>
        <v>21204.7456061956</v>
      </c>
      <c r="H2249" s="17" t="n">
        <f aca="false">F2249-G2249</f>
        <v>441.716920688272</v>
      </c>
      <c r="I2249" s="17" t="n">
        <f aca="false">H2249*2/10+I2248*8/10</f>
        <v>461.242116156009</v>
      </c>
      <c r="J2249" s="17" t="n">
        <f aca="false">H2249-I2249</f>
        <v>-19.525195467737</v>
      </c>
      <c r="K2249" s="17" t="n">
        <f aca="false">MAX(B2249-B2248,0)</f>
        <v>52.5200000000004</v>
      </c>
      <c r="L2249" s="17" t="n">
        <f aca="false">MAX(B2248-B2249,0)</f>
        <v>0</v>
      </c>
      <c r="M2249" s="17" t="n">
        <f aca="false">(M2248*13+K2249)/14</f>
        <v>107.396530680503</v>
      </c>
      <c r="N2249" s="17" t="n">
        <f aca="false">(N2248*13+L2249)/14</f>
        <v>50.6959223864672</v>
      </c>
      <c r="O2249" s="17" t="n">
        <f aca="false">IF(N2249=0,100,100-100/(1+M2249/N2249))</f>
        <v>67.9327372034693</v>
      </c>
      <c r="P2249" s="17" t="n">
        <f aca="false">AVERAGE(B2230:B2249)+2*STDEV(B2230:B2249)</f>
        <v>22059.5608689482</v>
      </c>
      <c r="Q2249" s="17" t="n">
        <f aca="false">AVERAGE(B2230:B2249)-2*STDEV(B2230:B2249)</f>
        <v>20922.8541310518</v>
      </c>
      <c r="R2249" s="19" t="n">
        <f aca="false">B2249/B2229-1</f>
        <v>0.0278673553100701</v>
      </c>
      <c r="S2249" s="17" t="n">
        <f aca="false">STDEV(C2230:C2249)*SQRT(252)*100</f>
        <v>12.668685351214</v>
      </c>
      <c r="T2249" s="19" t="n">
        <f aca="false">B2228/B1998-1</f>
        <v>0.103461810352636</v>
      </c>
      <c r="U2249" s="19" t="n">
        <f aca="false">B2249/MAX(B1998:B2249)-1</f>
        <v>-0.0118274139143923</v>
      </c>
      <c r="V2249" s="17" t="n">
        <f aca="false">(B2249-AVERAGE(B2230:B2249))/STDEV(B2230:B2249)</f>
        <v>1.48538751791403</v>
      </c>
    </row>
    <row r="2250" customFormat="false" ht="15" hidden="false" customHeight="false" outlineLevel="0" collapsed="false">
      <c r="A2250" s="17" t="s">
        <v>2814</v>
      </c>
      <c r="B2250" s="17" t="n">
        <v>21631.04</v>
      </c>
      <c r="C2250" s="19" t="n">
        <f aca="false">B2250/B2249-1</f>
        <v>-0.0128816628425085</v>
      </c>
      <c r="D2250" s="17" t="n">
        <f aca="false">AVERAGE(B2201:B2250)</f>
        <v>20144.2188</v>
      </c>
      <c r="E2250" s="17" t="n">
        <f aca="false">AVERAGE(B2051:B2250)</f>
        <v>20477.0132</v>
      </c>
      <c r="F2250" s="17" t="n">
        <f aca="false">B2250*2/13+F2249*11/13</f>
        <v>21644.0898304402</v>
      </c>
      <c r="G2250" s="17" t="n">
        <f aca="false">B2250*2/27+G2249*25/27</f>
        <v>21236.3229686996</v>
      </c>
      <c r="H2250" s="17" t="n">
        <f aca="false">F2250-G2250</f>
        <v>407.766861740569</v>
      </c>
      <c r="I2250" s="17" t="n">
        <f aca="false">H2250*2/10+I2249*8/10</f>
        <v>450.547065272921</v>
      </c>
      <c r="J2250" s="17" t="n">
        <f aca="false">H2250-I2250</f>
        <v>-42.780203532352</v>
      </c>
      <c r="K2250" s="17" t="n">
        <f aca="false">MAX(B2250-B2249,0)</f>
        <v>0</v>
      </c>
      <c r="L2250" s="17" t="n">
        <f aca="false">MAX(B2249-B2250,0)</f>
        <v>282.279999999999</v>
      </c>
      <c r="M2250" s="17" t="n">
        <f aca="false">(M2249*13+K2250)/14</f>
        <v>99.7253499176096</v>
      </c>
      <c r="N2250" s="17" t="n">
        <f aca="false">(N2249*13+L2250)/14</f>
        <v>67.2376422160052</v>
      </c>
      <c r="O2250" s="17" t="n">
        <f aca="false">IF(N2250=0,100,100-100/(1+M2250/N2250))</f>
        <v>59.729014581748</v>
      </c>
      <c r="P2250" s="17" t="n">
        <f aca="false">AVERAGE(B2231:B2250)+2*STDEV(B2231:B2250)</f>
        <v>22072.6618604052</v>
      </c>
      <c r="Q2250" s="17" t="n">
        <f aca="false">AVERAGE(B2231:B2250)-2*STDEV(B2231:B2250)</f>
        <v>20939.2751395948</v>
      </c>
      <c r="R2250" s="19" t="n">
        <f aca="false">B2250/B2230-1</f>
        <v>0.0138368246451273</v>
      </c>
      <c r="S2250" s="17" t="n">
        <f aca="false">STDEV(C2231:C2250)*SQRT(252)*100</f>
        <v>13.6483921361462</v>
      </c>
      <c r="T2250" s="19" t="n">
        <f aca="false">B2229/B1999-1</f>
        <v>0.0952485412413344</v>
      </c>
      <c r="U2250" s="19" t="n">
        <f aca="false">B2250/MAX(B1999:B2250)-1</f>
        <v>-0.0245567199985569</v>
      </c>
      <c r="V2250" s="17" t="n">
        <f aca="false">(B2250-AVERAGE(B2231:B2250))/STDEV(B2231:B2250)</f>
        <v>0.44140803029902</v>
      </c>
    </row>
    <row r="2251" customFormat="false" ht="15" hidden="false" customHeight="false" outlineLevel="0" collapsed="false">
      <c r="A2251" s="17" t="s">
        <v>2815</v>
      </c>
      <c r="B2251" s="17" t="n">
        <v>21937.57</v>
      </c>
      <c r="C2251" s="19" t="n">
        <f aca="false">B2251/B2250-1</f>
        <v>0.0141708396822344</v>
      </c>
      <c r="D2251" s="17" t="n">
        <f aca="false">AVERAGE(B2202:B2251)</f>
        <v>20212.5408</v>
      </c>
      <c r="E2251" s="17" t="n">
        <f aca="false">AVERAGE(B2052:B2251)</f>
        <v>20488.79345</v>
      </c>
      <c r="F2251" s="17" t="n">
        <f aca="false">B2251*2/13+F2250*11/13</f>
        <v>21689.2406257571</v>
      </c>
      <c r="G2251" s="17" t="n">
        <f aca="false">B2251*2/27+G2250*25/27</f>
        <v>21288.2671932404</v>
      </c>
      <c r="H2251" s="17" t="n">
        <f aca="false">F2251-G2251</f>
        <v>400.973432516694</v>
      </c>
      <c r="I2251" s="17" t="n">
        <f aca="false">H2251*2/10+I2250*8/10</f>
        <v>440.632338721675</v>
      </c>
      <c r="J2251" s="17" t="n">
        <f aca="false">H2251-I2251</f>
        <v>-39.6589062049817</v>
      </c>
      <c r="K2251" s="17" t="n">
        <f aca="false">MAX(B2251-B2250,0)</f>
        <v>306.529999999999</v>
      </c>
      <c r="L2251" s="17" t="n">
        <f aca="false">MAX(B2250-B2251,0)</f>
        <v>0</v>
      </c>
      <c r="M2251" s="17" t="n">
        <f aca="false">(M2250*13+K2251)/14</f>
        <v>114.49711063778</v>
      </c>
      <c r="N2251" s="17" t="n">
        <f aca="false">(N2250*13+L2251)/14</f>
        <v>62.4349534862906</v>
      </c>
      <c r="O2251" s="17" t="n">
        <f aca="false">IF(N2251=0,100,100-100/(1+M2251/N2251))</f>
        <v>64.712470972752</v>
      </c>
      <c r="P2251" s="17" t="n">
        <f aca="false">AVERAGE(B2232:B2251)+2*STDEV(B2232:B2251)</f>
        <v>22128.3942808522</v>
      </c>
      <c r="Q2251" s="17" t="n">
        <f aca="false">AVERAGE(B2232:B2251)-2*STDEV(B2232:B2251)</f>
        <v>20934.5057191478</v>
      </c>
      <c r="R2251" s="19" t="n">
        <f aca="false">B2251/B2231-1</f>
        <v>0.0237834341518597</v>
      </c>
      <c r="S2251" s="17" t="n">
        <f aca="false">STDEV(C2232:C2251)*SQRT(252)*100</f>
        <v>14.419031644583</v>
      </c>
      <c r="T2251" s="19" t="n">
        <f aca="false">B2230/B2000-1</f>
        <v>0.0898455936888949</v>
      </c>
      <c r="U2251" s="19" t="n">
        <f aca="false">B2251/MAX(B2000:B2251)-1</f>
        <v>-0.0107338696585436</v>
      </c>
      <c r="V2251" s="17" t="n">
        <f aca="false">(B2251-AVERAGE(B2232:B2251))/STDEV(B2232:B2251)</f>
        <v>1.36066300667207</v>
      </c>
    </row>
    <row r="2252" customFormat="false" ht="15" hidden="false" customHeight="false" outlineLevel="0" collapsed="false">
      <c r="A2252" s="17" t="s">
        <v>2816</v>
      </c>
      <c r="B2252" s="17" t="n">
        <v>21719.08</v>
      </c>
      <c r="C2252" s="19" t="n">
        <f aca="false">B2252/B2251-1</f>
        <v>-0.00995962633965375</v>
      </c>
      <c r="D2252" s="17" t="n">
        <f aca="false">AVERAGE(B2203:B2252)</f>
        <v>20298.9684</v>
      </c>
      <c r="E2252" s="17" t="n">
        <f aca="false">AVERAGE(B2053:B2252)</f>
        <v>20500.63495</v>
      </c>
      <c r="F2252" s="17" t="n">
        <f aca="false">B2252*2/13+F2251*11/13</f>
        <v>21693.8312987176</v>
      </c>
      <c r="G2252" s="17" t="n">
        <f aca="false">B2252*2/27+G2251*25/27</f>
        <v>21320.1792530004</v>
      </c>
      <c r="H2252" s="17" t="n">
        <f aca="false">F2252-G2252</f>
        <v>373.652045717172</v>
      </c>
      <c r="I2252" s="17" t="n">
        <f aca="false">H2252*2/10+I2251*8/10</f>
        <v>427.236280120775</v>
      </c>
      <c r="J2252" s="17" t="n">
        <f aca="false">H2252-I2252</f>
        <v>-53.5842344036029</v>
      </c>
      <c r="K2252" s="17" t="n">
        <f aca="false">MAX(B2252-B2251,0)</f>
        <v>0</v>
      </c>
      <c r="L2252" s="17" t="n">
        <f aca="false">MAX(B2251-B2252,0)</f>
        <v>218.489999999998</v>
      </c>
      <c r="M2252" s="17" t="n">
        <f aca="false">(M2251*13+K2252)/14</f>
        <v>106.318745592224</v>
      </c>
      <c r="N2252" s="17" t="n">
        <f aca="false">(N2251*13+L2252)/14</f>
        <v>73.581742522984</v>
      </c>
      <c r="O2252" s="17" t="n">
        <f aca="false">IF(N2252=0,100,100-100/(1+M2252/N2252))</f>
        <v>59.0986420915867</v>
      </c>
      <c r="P2252" s="17" t="n">
        <f aca="false">AVERAGE(B2233:B2252)+2*STDEV(B2233:B2252)</f>
        <v>22146.2797856488</v>
      </c>
      <c r="Q2252" s="17" t="n">
        <f aca="false">AVERAGE(B2233:B2252)-2*STDEV(B2233:B2252)</f>
        <v>20943.8232143512</v>
      </c>
      <c r="R2252" s="19" t="n">
        <f aca="false">B2252/B2232-1</f>
        <v>0.0126837956735311</v>
      </c>
      <c r="S2252" s="17" t="n">
        <f aca="false">STDEV(C2233:C2252)*SQRT(252)*100</f>
        <v>14.9557901607771</v>
      </c>
      <c r="T2252" s="19" t="n">
        <f aca="false">B2231/B2001-1</f>
        <v>0.089936825400055</v>
      </c>
      <c r="U2252" s="19" t="n">
        <f aca="false">B2252/MAX(B2001:B2252)-1</f>
        <v>-0.0205865906672197</v>
      </c>
      <c r="V2252" s="17" t="n">
        <f aca="false">(B2252-AVERAGE(B2233:B2252))/STDEV(B2233:B2252)</f>
        <v>0.578909888819347</v>
      </c>
    </row>
    <row r="2253" customFormat="false" ht="15" hidden="false" customHeight="false" outlineLevel="0" collapsed="false">
      <c r="A2253" s="17" t="s">
        <v>2817</v>
      </c>
      <c r="B2253" s="17" t="n">
        <v>21719.69</v>
      </c>
      <c r="C2253" s="19" t="n">
        <f aca="false">B2253/B2252-1</f>
        <v>2.80859041910109E-005</v>
      </c>
      <c r="D2253" s="17" t="n">
        <f aca="false">AVERAGE(B2204:B2253)</f>
        <v>20384.7486</v>
      </c>
      <c r="E2253" s="17" t="n">
        <f aca="false">AVERAGE(B2054:B2253)</f>
        <v>20512.60615</v>
      </c>
      <c r="F2253" s="17" t="n">
        <f aca="false">B2253*2/13+F2252*11/13</f>
        <v>21697.8095604533</v>
      </c>
      <c r="G2253" s="17" t="n">
        <f aca="false">B2253*2/27+G2252*25/27</f>
        <v>21349.772641667</v>
      </c>
      <c r="H2253" s="17" t="n">
        <f aca="false">F2253-G2253</f>
        <v>348.036918786293</v>
      </c>
      <c r="I2253" s="17" t="n">
        <f aca="false">H2253*2/10+I2252*8/10</f>
        <v>411.396407853878</v>
      </c>
      <c r="J2253" s="17" t="n">
        <f aca="false">H2253-I2253</f>
        <v>-63.3594890675857</v>
      </c>
      <c r="K2253" s="17" t="n">
        <f aca="false">MAX(B2253-B2252,0)</f>
        <v>0.609999999996944</v>
      </c>
      <c r="L2253" s="17" t="n">
        <f aca="false">MAX(B2252-B2253,0)</f>
        <v>0</v>
      </c>
      <c r="M2253" s="17" t="n">
        <f aca="false">(M2252*13+K2253)/14</f>
        <v>98.7681209070654</v>
      </c>
      <c r="N2253" s="17" t="n">
        <f aca="false">(N2252*13+L2253)/14</f>
        <v>68.3259037713422</v>
      </c>
      <c r="O2253" s="17" t="n">
        <f aca="false">IF(N2253=0,100,100-100/(1+M2253/N2253))</f>
        <v>59.1093075273975</v>
      </c>
      <c r="P2253" s="17" t="n">
        <f aca="false">AVERAGE(B2234:B2253)+2*STDEV(B2234:B2253)</f>
        <v>22162.6200973512</v>
      </c>
      <c r="Q2253" s="17" t="n">
        <f aca="false">AVERAGE(B2234:B2253)-2*STDEV(B2234:B2253)</f>
        <v>20962.7149026488</v>
      </c>
      <c r="R2253" s="19" t="n">
        <f aca="false">B2253/B2233-1</f>
        <v>0.0164886928058998</v>
      </c>
      <c r="S2253" s="17" t="n">
        <f aca="false">STDEV(C2234:C2253)*SQRT(252)*100</f>
        <v>14.8689106848722</v>
      </c>
      <c r="T2253" s="19" t="n">
        <f aca="false">B2232/B2002-1</f>
        <v>0.0775922925223902</v>
      </c>
      <c r="U2253" s="19" t="n">
        <f aca="false">B2253/MAX(B2002:B2253)-1</f>
        <v>-0.0205590829560418</v>
      </c>
      <c r="V2253" s="17" t="n">
        <f aca="false">(B2253-AVERAGE(B2234:B2253))/STDEV(B2234:B2253)</f>
        <v>0.523449688169574</v>
      </c>
    </row>
    <row r="2254" customFormat="false" ht="15" hidden="false" customHeight="false" outlineLevel="0" collapsed="false">
      <c r="A2254" s="17" t="s">
        <v>2818</v>
      </c>
      <c r="B2254" s="17" t="n">
        <v>21626.39</v>
      </c>
      <c r="C2254" s="19" t="n">
        <f aca="false">B2254/B2253-1</f>
        <v>-0.00429564142029648</v>
      </c>
      <c r="D2254" s="17" t="n">
        <f aca="false">AVERAGE(B2205:B2254)</f>
        <v>20475.4684</v>
      </c>
      <c r="E2254" s="17" t="n">
        <f aca="false">AVERAGE(B2055:B2254)</f>
        <v>20522.8649</v>
      </c>
      <c r="F2254" s="17" t="n">
        <f aca="false">B2254*2/13+F2253*11/13</f>
        <v>21686.8219357682</v>
      </c>
      <c r="G2254" s="17" t="n">
        <f aca="false">B2254*2/27+G2253*25/27</f>
        <v>21370.2628163584</v>
      </c>
      <c r="H2254" s="17" t="n">
        <f aca="false">F2254-G2254</f>
        <v>316.559119409838</v>
      </c>
      <c r="I2254" s="17" t="n">
        <f aca="false">H2254*2/10+I2253*8/10</f>
        <v>392.42895016507</v>
      </c>
      <c r="J2254" s="17" t="n">
        <f aca="false">H2254-I2254</f>
        <v>-75.8698307552323</v>
      </c>
      <c r="K2254" s="17" t="n">
        <f aca="false">MAX(B2254-B2253,0)</f>
        <v>0</v>
      </c>
      <c r="L2254" s="17" t="n">
        <f aca="false">MAX(B2253-B2254,0)</f>
        <v>93.2999999999993</v>
      </c>
      <c r="M2254" s="17" t="n">
        <f aca="false">(M2253*13+K2254)/14</f>
        <v>91.7132551279893</v>
      </c>
      <c r="N2254" s="17" t="n">
        <f aca="false">(N2253*13+L2254)/14</f>
        <v>70.1097677876749</v>
      </c>
      <c r="O2254" s="17" t="n">
        <f aca="false">IF(N2254=0,100,100-100/(1+M2254/N2254))</f>
        <v>56.6750351560214</v>
      </c>
      <c r="P2254" s="17" t="n">
        <f aca="false">AVERAGE(B2235:B2254)+2*STDEV(B2235:B2254)</f>
        <v>22145.5649171499</v>
      </c>
      <c r="Q2254" s="17" t="n">
        <f aca="false">AVERAGE(B2235:B2254)-2*STDEV(B2235:B2254)</f>
        <v>21034.3730828501</v>
      </c>
      <c r="R2254" s="19" t="n">
        <f aca="false">B2254/B2234-1</f>
        <v>0.0259023090687256</v>
      </c>
      <c r="S2254" s="17" t="n">
        <f aca="false">STDEV(C2235:C2254)*SQRT(252)*100</f>
        <v>14.0344326146596</v>
      </c>
      <c r="T2254" s="19" t="n">
        <f aca="false">B2233/B2003-1</f>
        <v>0.0732593428252546</v>
      </c>
      <c r="U2254" s="19" t="n">
        <f aca="false">B2254/MAX(B2003:B2254)-1</f>
        <v>-0.0247664099280289</v>
      </c>
      <c r="V2254" s="17" t="n">
        <f aca="false">(B2254-AVERAGE(B2235:B2254))/STDEV(B2235:B2254)</f>
        <v>0.131106075029595</v>
      </c>
    </row>
    <row r="2255" customFormat="false" ht="15" hidden="false" customHeight="false" outlineLevel="0" collapsed="false">
      <c r="A2255" s="17" t="s">
        <v>2819</v>
      </c>
      <c r="B2255" s="17" t="n">
        <v>21856.33</v>
      </c>
      <c r="C2255" s="19" t="n">
        <f aca="false">B2255/B2254-1</f>
        <v>0.0106323801614603</v>
      </c>
      <c r="D2255" s="17" t="n">
        <f aca="false">AVERAGE(B2206:B2255)</f>
        <v>20529.6938</v>
      </c>
      <c r="E2255" s="17" t="n">
        <f aca="false">AVERAGE(B2056:B2255)</f>
        <v>20537.35285</v>
      </c>
      <c r="F2255" s="17" t="n">
        <f aca="false">B2255*2/13+F2254*11/13</f>
        <v>21712.9000994962</v>
      </c>
      <c r="G2255" s="17" t="n">
        <f aca="false">B2255*2/27+G2254*25/27</f>
        <v>21406.2677929244</v>
      </c>
      <c r="H2255" s="17" t="n">
        <f aca="false">F2255-G2255</f>
        <v>306.632306571766</v>
      </c>
      <c r="I2255" s="17" t="n">
        <f aca="false">H2255*2/10+I2254*8/10</f>
        <v>375.269621446409</v>
      </c>
      <c r="J2255" s="17" t="n">
        <f aca="false">H2255-I2255</f>
        <v>-68.6373148746433</v>
      </c>
      <c r="K2255" s="17" t="n">
        <f aca="false">MAX(B2255-B2254,0)</f>
        <v>229.940000000002</v>
      </c>
      <c r="L2255" s="17" t="n">
        <f aca="false">MAX(B2254-B2255,0)</f>
        <v>0</v>
      </c>
      <c r="M2255" s="17" t="n">
        <f aca="false">(M2254*13+K2255)/14</f>
        <v>101.586594047419</v>
      </c>
      <c r="N2255" s="17" t="n">
        <f aca="false">(N2254*13+L2255)/14</f>
        <v>65.1019272314124</v>
      </c>
      <c r="O2255" s="17" t="n">
        <f aca="false">IF(N2255=0,100,100-100/(1+M2255/N2255))</f>
        <v>60.9439649881398</v>
      </c>
      <c r="P2255" s="17" t="n">
        <f aca="false">AVERAGE(B2236:B2255)+2*STDEV(B2236:B2255)</f>
        <v>22146.58250956</v>
      </c>
      <c r="Q2255" s="17" t="n">
        <f aca="false">AVERAGE(B2236:B2255)-2*STDEV(B2236:B2255)</f>
        <v>21107.74149044</v>
      </c>
      <c r="R2255" s="19" t="n">
        <f aca="false">B2255/B2235-1</f>
        <v>0.035233205778386</v>
      </c>
      <c r="S2255" s="17" t="n">
        <f aca="false">STDEV(C2236:C2255)*SQRT(252)*100</f>
        <v>14.4194361582346</v>
      </c>
      <c r="T2255" s="19" t="n">
        <f aca="false">B2234/B2004-1</f>
        <v>0.0672357143218765</v>
      </c>
      <c r="U2255" s="19" t="n">
        <f aca="false">B2255/MAX(B2004:B2255)-1</f>
        <v>-0.0143973556521581</v>
      </c>
      <c r="V2255" s="17" t="n">
        <f aca="false">(B2255-AVERAGE(B2236:B2255))/STDEV(B2236:B2255)</f>
        <v>0.882398733904927</v>
      </c>
    </row>
    <row r="2256" customFormat="false" ht="15" hidden="false" customHeight="false" outlineLevel="0" collapsed="false">
      <c r="A2256" s="17" t="s">
        <v>2820</v>
      </c>
      <c r="B2256" s="17" t="n">
        <v>22190.52</v>
      </c>
      <c r="C2256" s="19" t="n">
        <f aca="false">B2256/B2255-1</f>
        <v>0.0152903072016206</v>
      </c>
      <c r="D2256" s="17" t="n">
        <f aca="false">AVERAGE(B2207:B2256)</f>
        <v>20606.6328</v>
      </c>
      <c r="E2256" s="17" t="n">
        <f aca="false">AVERAGE(B2057:B2256)</f>
        <v>20553.69845</v>
      </c>
      <c r="F2256" s="17" t="n">
        <f aca="false">B2256*2/13+F2255*11/13</f>
        <v>21786.3800841891</v>
      </c>
      <c r="G2256" s="17" t="n">
        <f aca="false">B2256*2/27+G2255*25/27</f>
        <v>21464.3605490041</v>
      </c>
      <c r="H2256" s="17" t="n">
        <f aca="false">F2256-G2256</f>
        <v>322.019535184987</v>
      </c>
      <c r="I2256" s="17" t="n">
        <f aca="false">H2256*2/10+I2255*8/10</f>
        <v>364.619604194125</v>
      </c>
      <c r="J2256" s="17" t="n">
        <f aca="false">H2256-I2256</f>
        <v>-42.6000690091378</v>
      </c>
      <c r="K2256" s="17" t="n">
        <f aca="false">MAX(B2256-B2255,0)</f>
        <v>334.189999999999</v>
      </c>
      <c r="L2256" s="17" t="n">
        <f aca="false">MAX(B2255-B2256,0)</f>
        <v>0</v>
      </c>
      <c r="M2256" s="17" t="n">
        <f aca="false">(M2255*13+K2256)/14</f>
        <v>118.201123044032</v>
      </c>
      <c r="N2256" s="17" t="n">
        <f aca="false">(N2255*13+L2256)/14</f>
        <v>60.4517895720258</v>
      </c>
      <c r="O2256" s="17" t="n">
        <f aca="false">IF(N2256=0,100,100-100/(1+M2256/N2256))</f>
        <v>66.162438279446</v>
      </c>
      <c r="P2256" s="17" t="n">
        <f aca="false">AVERAGE(B2237:B2256)+2*STDEV(B2237:B2256)</f>
        <v>22152.3472816162</v>
      </c>
      <c r="Q2256" s="17" t="n">
        <f aca="false">AVERAGE(B2237:B2256)-2*STDEV(B2237:B2256)</f>
        <v>21229.4627183838</v>
      </c>
      <c r="R2256" s="19" t="n">
        <f aca="false">B2256/B2236-1</f>
        <v>0.060952415558486</v>
      </c>
      <c r="S2256" s="17" t="n">
        <f aca="false">STDEV(C2237:C2256)*SQRT(252)*100</f>
        <v>14.5539629717797</v>
      </c>
      <c r="T2256" s="19" t="n">
        <f aca="false">B2235/B2005-1</f>
        <v>0.0716755928677699</v>
      </c>
      <c r="U2256" s="19" t="n">
        <f aca="false">B2256/MAX(B2005:B2256)-1</f>
        <v>0</v>
      </c>
      <c r="V2256" s="17" t="n">
        <f aca="false">(B2256-AVERAGE(B2237:B2256))/STDEV(B2237:B2256)</f>
        <v>2.16544959100891</v>
      </c>
    </row>
    <row r="2257" customFormat="false" ht="15" hidden="false" customHeight="false" outlineLevel="0" collapsed="false">
      <c r="A2257" s="17" t="s">
        <v>2821</v>
      </c>
      <c r="B2257" s="17" t="n">
        <v>22237.74</v>
      </c>
      <c r="C2257" s="19" t="n">
        <f aca="false">B2257/B2256-1</f>
        <v>0.00212793571308834</v>
      </c>
      <c r="D2257" s="17" t="n">
        <f aca="false">AVERAGE(B2208:B2257)</f>
        <v>20677.5866</v>
      </c>
      <c r="E2257" s="17" t="n">
        <f aca="false">AVERAGE(B2058:B2257)</f>
        <v>20570.2355</v>
      </c>
      <c r="F2257" s="17" t="n">
        <f aca="false">B2257*2/13+F2256*11/13</f>
        <v>21855.8200712369</v>
      </c>
      <c r="G2257" s="17" t="n">
        <f aca="false">B2257*2/27+G2256*25/27</f>
        <v>21521.6479157445</v>
      </c>
      <c r="H2257" s="17" t="n">
        <f aca="false">F2257-G2257</f>
        <v>334.172155492382</v>
      </c>
      <c r="I2257" s="17" t="n">
        <f aca="false">H2257*2/10+I2256*8/10</f>
        <v>358.530114453776</v>
      </c>
      <c r="J2257" s="17" t="n">
        <f aca="false">H2257-I2257</f>
        <v>-24.3579589613939</v>
      </c>
      <c r="K2257" s="17" t="n">
        <f aca="false">MAX(B2257-B2256,0)</f>
        <v>47.2200000000012</v>
      </c>
      <c r="L2257" s="17" t="n">
        <f aca="false">MAX(B2256-B2257,0)</f>
        <v>0</v>
      </c>
      <c r="M2257" s="17" t="n">
        <f aca="false">(M2256*13+K2257)/14</f>
        <v>113.131042826601</v>
      </c>
      <c r="N2257" s="17" t="n">
        <f aca="false">(N2256*13+L2257)/14</f>
        <v>56.1338046025954</v>
      </c>
      <c r="O2257" s="17" t="n">
        <f aca="false">IF(N2257=0,100,100-100/(1+M2257/N2257))</f>
        <v>66.8367026850769</v>
      </c>
      <c r="P2257" s="17" t="n">
        <f aca="false">AVERAGE(B2238:B2257)+2*STDEV(B2238:B2257)</f>
        <v>22234.7648160218</v>
      </c>
      <c r="Q2257" s="17" t="n">
        <f aca="false">AVERAGE(B2238:B2257)-2*STDEV(B2238:B2257)</f>
        <v>21229.3201839782</v>
      </c>
      <c r="R2257" s="19" t="n">
        <f aca="false">B2257/B2237-1</f>
        <v>0.0384193501841468</v>
      </c>
      <c r="S2257" s="17" t="n">
        <f aca="false">STDEV(C2238:C2257)*SQRT(252)*100</f>
        <v>12.2885748719274</v>
      </c>
      <c r="T2257" s="19" t="n">
        <f aca="false">B2236/B2006-1</f>
        <v>0.0739957955533921</v>
      </c>
      <c r="U2257" s="19" t="n">
        <f aca="false">B2257/MAX(B2006:B2257)-1</f>
        <v>0</v>
      </c>
      <c r="V2257" s="17" t="n">
        <f aca="false">(B2257-AVERAGE(B2238:B2257))/STDEV(B2238:B2257)</f>
        <v>2.01183629165999</v>
      </c>
    </row>
    <row r="2258" customFormat="false" ht="15" hidden="false" customHeight="false" outlineLevel="0" collapsed="false">
      <c r="A2258" s="17" t="s">
        <v>2822</v>
      </c>
      <c r="B2258" s="17" t="n">
        <v>22447.29</v>
      </c>
      <c r="C2258" s="19" t="n">
        <f aca="false">B2258/B2257-1</f>
        <v>0.00942316980052826</v>
      </c>
      <c r="D2258" s="17" t="n">
        <f aca="false">AVERAGE(B2209:B2258)</f>
        <v>20750.612</v>
      </c>
      <c r="E2258" s="17" t="n">
        <f aca="false">AVERAGE(B2059:B2258)</f>
        <v>20590.3654</v>
      </c>
      <c r="F2258" s="17" t="n">
        <f aca="false">B2258*2/13+F2257*11/13</f>
        <v>21946.8154448928</v>
      </c>
      <c r="G2258" s="17" t="n">
        <f aca="false">B2258*2/27+G2257*25/27</f>
        <v>21590.2139960597</v>
      </c>
      <c r="H2258" s="17" t="n">
        <f aca="false">F2258-G2258</f>
        <v>356.601448833026</v>
      </c>
      <c r="I2258" s="17" t="n">
        <f aca="false">H2258*2/10+I2257*8/10</f>
        <v>358.144381329626</v>
      </c>
      <c r="J2258" s="17" t="n">
        <f aca="false">H2258-I2258</f>
        <v>-1.5429324966006</v>
      </c>
      <c r="K2258" s="17" t="n">
        <f aca="false">MAX(B2258-B2257,0)</f>
        <v>209.549999999999</v>
      </c>
      <c r="L2258" s="17" t="n">
        <f aca="false">MAX(B2257-B2258,0)</f>
        <v>0</v>
      </c>
      <c r="M2258" s="17" t="n">
        <f aca="false">(M2257*13+K2258)/14</f>
        <v>120.018111196129</v>
      </c>
      <c r="N2258" s="17" t="n">
        <f aca="false">(N2257*13+L2258)/14</f>
        <v>52.1242471309814</v>
      </c>
      <c r="O2258" s="17" t="n">
        <f aca="false">IF(N2258=0,100,100-100/(1+M2258/N2258))</f>
        <v>69.7202666226211</v>
      </c>
      <c r="P2258" s="17" t="n">
        <f aca="false">AVERAGE(B2239:B2258)+2*STDEV(B2239:B2258)</f>
        <v>22346.1267754771</v>
      </c>
      <c r="Q2258" s="17" t="n">
        <f aca="false">AVERAGE(B2239:B2258)-2*STDEV(B2239:B2258)</f>
        <v>21230.8702245229</v>
      </c>
      <c r="R2258" s="19" t="n">
        <f aca="false">B2258/B2238-1</f>
        <v>0.0529651466331305</v>
      </c>
      <c r="S2258" s="17" t="n">
        <f aca="false">STDEV(C2239:C2258)*SQRT(252)*100</f>
        <v>12.316720394908</v>
      </c>
      <c r="T2258" s="19" t="n">
        <f aca="false">B2237/B2007-1</f>
        <v>0.0869929795905109</v>
      </c>
      <c r="U2258" s="19" t="n">
        <f aca="false">B2258/MAX(B2007:B2258)-1</f>
        <v>0</v>
      </c>
      <c r="V2258" s="17" t="n">
        <f aca="false">(B2258-AVERAGE(B2239:B2258))/STDEV(B2239:B2258)</f>
        <v>2.36283391273992</v>
      </c>
    </row>
    <row r="2259" customFormat="false" ht="15" hidden="false" customHeight="false" outlineLevel="0" collapsed="false">
      <c r="A2259" s="17" t="s">
        <v>2823</v>
      </c>
      <c r="B2259" s="17" t="n">
        <v>22534.2</v>
      </c>
      <c r="C2259" s="19" t="n">
        <f aca="false">B2259/B2258-1</f>
        <v>0.00387173685554032</v>
      </c>
      <c r="D2259" s="17" t="n">
        <f aca="false">AVERAGE(B2210:B2259)</f>
        <v>20824.6914</v>
      </c>
      <c r="E2259" s="17" t="n">
        <f aca="false">AVERAGE(B2060:B2259)</f>
        <v>20609.7325</v>
      </c>
      <c r="F2259" s="17" t="n">
        <f aca="false">B2259*2/13+F2258*11/13</f>
        <v>22037.1822995246</v>
      </c>
      <c r="G2259" s="17" t="n">
        <f aca="false">B2259*2/27+G2258*25/27</f>
        <v>21660.1388852405</v>
      </c>
      <c r="H2259" s="17" t="n">
        <f aca="false">F2259-G2259</f>
        <v>377.043414284144</v>
      </c>
      <c r="I2259" s="17" t="n">
        <f aca="false">H2259*2/10+I2258*8/10</f>
        <v>361.92418792053</v>
      </c>
      <c r="J2259" s="17" t="n">
        <f aca="false">H2259-I2259</f>
        <v>15.1192263636143</v>
      </c>
      <c r="K2259" s="17" t="n">
        <f aca="false">MAX(B2259-B2258,0)</f>
        <v>86.9099999999999</v>
      </c>
      <c r="L2259" s="17" t="n">
        <f aca="false">MAX(B2258-B2259,0)</f>
        <v>0</v>
      </c>
      <c r="M2259" s="17" t="n">
        <f aca="false">(M2258*13+K2259)/14</f>
        <v>117.653246110692</v>
      </c>
      <c r="N2259" s="17" t="n">
        <f aca="false">(N2258*13+L2259)/14</f>
        <v>48.4010866216256</v>
      </c>
      <c r="O2259" s="17" t="n">
        <f aca="false">IF(N2259=0,100,100-100/(1+M2259/N2259))</f>
        <v>70.852259121929</v>
      </c>
      <c r="P2259" s="17" t="n">
        <f aca="false">AVERAGE(B2240:B2259)+2*STDEV(B2240:B2259)</f>
        <v>22459.918512518</v>
      </c>
      <c r="Q2259" s="17" t="n">
        <f aca="false">AVERAGE(B2240:B2259)-2*STDEV(B2240:B2259)</f>
        <v>21234.103487482</v>
      </c>
      <c r="R2259" s="19" t="n">
        <f aca="false">B2259/B2239-1</f>
        <v>0.0547768554036121</v>
      </c>
      <c r="S2259" s="17" t="n">
        <f aca="false">STDEV(C2240:C2259)*SQRT(252)*100</f>
        <v>12.3232933176025</v>
      </c>
      <c r="T2259" s="19" t="n">
        <f aca="false">B2238/B2008-1</f>
        <v>0.079343629832338</v>
      </c>
      <c r="U2259" s="19" t="n">
        <f aca="false">B2259/MAX(B2008:B2259)-1</f>
        <v>0</v>
      </c>
      <c r="V2259" s="17" t="n">
        <f aca="false">(B2259-AVERAGE(B2240:B2259))/STDEV(B2240:B2259)</f>
        <v>2.24239052700393</v>
      </c>
    </row>
    <row r="2260" customFormat="false" ht="15" hidden="false" customHeight="false" outlineLevel="0" collapsed="false">
      <c r="A2260" s="17" t="s">
        <v>2824</v>
      </c>
      <c r="B2260" s="17" t="n">
        <v>22679.01</v>
      </c>
      <c r="C2260" s="19" t="n">
        <f aca="false">B2260/B2259-1</f>
        <v>0.00642623212716664</v>
      </c>
      <c r="D2260" s="17" t="n">
        <f aca="false">AVERAGE(B2211:B2260)</f>
        <v>20913.1188</v>
      </c>
      <c r="E2260" s="17" t="n">
        <f aca="false">AVERAGE(B2061:B2260)</f>
        <v>20628.98185</v>
      </c>
      <c r="F2260" s="17" t="n">
        <f aca="false">B2260*2/13+F2259*11/13</f>
        <v>22135.9250226747</v>
      </c>
      <c r="G2260" s="17" t="n">
        <f aca="false">B2260*2/27+G2259*25/27</f>
        <v>21735.6108196671</v>
      </c>
      <c r="H2260" s="17" t="n">
        <f aca="false">F2260-G2260</f>
        <v>400.314203007572</v>
      </c>
      <c r="I2260" s="17" t="n">
        <f aca="false">H2260*2/10+I2259*8/10</f>
        <v>369.602190937938</v>
      </c>
      <c r="J2260" s="17" t="n">
        <f aca="false">H2260-I2260</f>
        <v>30.7120120696341</v>
      </c>
      <c r="K2260" s="17" t="n">
        <f aca="false">MAX(B2260-B2259,0)</f>
        <v>144.809999999998</v>
      </c>
      <c r="L2260" s="17" t="n">
        <f aca="false">MAX(B2259-B2260,0)</f>
        <v>0</v>
      </c>
      <c r="M2260" s="17" t="n">
        <f aca="false">(M2259*13+K2260)/14</f>
        <v>119.593014245642</v>
      </c>
      <c r="N2260" s="17" t="n">
        <f aca="false">(N2259*13+L2260)/14</f>
        <v>44.9438661486524</v>
      </c>
      <c r="O2260" s="17" t="n">
        <f aca="false">IF(N2260=0,100,100-100/(1+M2260/N2260))</f>
        <v>72.6846248446249</v>
      </c>
      <c r="P2260" s="17" t="n">
        <f aca="false">AVERAGE(B2241:B2260)+2*STDEV(B2241:B2260)</f>
        <v>22583.7139184521</v>
      </c>
      <c r="Q2260" s="17" t="n">
        <f aca="false">AVERAGE(B2241:B2260)-2*STDEV(B2241:B2260)</f>
        <v>21244.1100815479</v>
      </c>
      <c r="R2260" s="19" t="n">
        <f aca="false">B2260/B2240-1</f>
        <v>0.0626971850884142</v>
      </c>
      <c r="S2260" s="17" t="n">
        <f aca="false">STDEV(C2241:C2260)*SQRT(252)*100</f>
        <v>12.3062979003743</v>
      </c>
      <c r="T2260" s="19" t="n">
        <f aca="false">B2239/B2009-1</f>
        <v>0.0795855077282717</v>
      </c>
      <c r="U2260" s="19" t="n">
        <f aca="false">B2260/MAX(B2009:B2260)-1</f>
        <v>0</v>
      </c>
      <c r="V2260" s="17" t="n">
        <f aca="false">(B2260-AVERAGE(B2241:B2260))/STDEV(B2241:B2260)</f>
        <v>2.28455004060942</v>
      </c>
    </row>
    <row r="2261" customFormat="false" ht="15" hidden="false" customHeight="false" outlineLevel="0" collapsed="false">
      <c r="A2261" s="17" t="s">
        <v>2825</v>
      </c>
      <c r="B2261" s="17" t="n">
        <v>22478.13</v>
      </c>
      <c r="C2261" s="19" t="n">
        <f aca="false">B2261/B2260-1</f>
        <v>-0.00885752949533503</v>
      </c>
      <c r="D2261" s="17" t="n">
        <f aca="false">AVERAGE(B2212:B2261)</f>
        <v>20997.5196</v>
      </c>
      <c r="E2261" s="17" t="n">
        <f aca="false">AVERAGE(B2062:B2261)</f>
        <v>20645.186</v>
      </c>
      <c r="F2261" s="17" t="n">
        <f aca="false">B2261*2/13+F2260*11/13</f>
        <v>22188.5719422632</v>
      </c>
      <c r="G2261" s="17" t="n">
        <f aca="false">B2261*2/27+G2260*25/27</f>
        <v>21790.6122404325</v>
      </c>
      <c r="H2261" s="17" t="n">
        <f aca="false">F2261-G2261</f>
        <v>397.959701830685</v>
      </c>
      <c r="I2261" s="17" t="n">
        <f aca="false">H2261*2/10+I2260*8/10</f>
        <v>375.273693116488</v>
      </c>
      <c r="J2261" s="17" t="n">
        <f aca="false">H2261-I2261</f>
        <v>22.6860087141973</v>
      </c>
      <c r="K2261" s="17" t="n">
        <f aca="false">MAX(B2261-B2260,0)</f>
        <v>0</v>
      </c>
      <c r="L2261" s="17" t="n">
        <f aca="false">MAX(B2260-B2261,0)</f>
        <v>200.879999999997</v>
      </c>
      <c r="M2261" s="17" t="n">
        <f aca="false">(M2260*13+K2261)/14</f>
        <v>111.050656085239</v>
      </c>
      <c r="N2261" s="17" t="n">
        <f aca="false">(N2260*13+L2261)/14</f>
        <v>56.0821614237484</v>
      </c>
      <c r="O2261" s="17" t="n">
        <f aca="false">IF(N2261=0,100,100-100/(1+M2261/N2261))</f>
        <v>66.4445545407426</v>
      </c>
      <c r="P2261" s="17" t="n">
        <f aca="false">AVERAGE(B2242:B2261)+2*STDEV(B2242:B2261)</f>
        <v>22647.2575183194</v>
      </c>
      <c r="Q2261" s="17" t="n">
        <f aca="false">AVERAGE(B2242:B2261)-2*STDEV(B2242:B2261)</f>
        <v>21279.2044816806</v>
      </c>
      <c r="R2261" s="19" t="n">
        <f aca="false">B2261/B2241-1</f>
        <v>0.0458957506950342</v>
      </c>
      <c r="S2261" s="17" t="n">
        <f aca="false">STDEV(C2242:C2261)*SQRT(252)*100</f>
        <v>12.9047334227427</v>
      </c>
      <c r="T2261" s="19" t="n">
        <f aca="false">B2240/B2010-1</f>
        <v>0.084241779781099</v>
      </c>
      <c r="U2261" s="19" t="n">
        <f aca="false">B2261/MAX(B2010:B2261)-1</f>
        <v>-0.00885752949533503</v>
      </c>
      <c r="V2261" s="17" t="n">
        <f aca="false">(B2261-AVERAGE(B2242:B2261))/STDEV(B2242:B2261)</f>
        <v>1.50549426435993</v>
      </c>
    </row>
    <row r="2262" customFormat="false" ht="15" hidden="false" customHeight="false" outlineLevel="0" collapsed="false">
      <c r="A2262" s="17" t="s">
        <v>2826</v>
      </c>
      <c r="B2262" s="17" t="n">
        <v>22641.89</v>
      </c>
      <c r="C2262" s="19" t="n">
        <f aca="false">B2262/B2261-1</f>
        <v>0.00728530353726042</v>
      </c>
      <c r="D2262" s="17" t="n">
        <f aca="false">AVERAGE(B2213:B2262)</f>
        <v>21094.1914</v>
      </c>
      <c r="E2262" s="17" t="n">
        <f aca="false">AVERAGE(B2063:B2262)</f>
        <v>20661.2801</v>
      </c>
      <c r="F2262" s="17" t="n">
        <f aca="false">B2262*2/13+F2261*11/13</f>
        <v>22258.313181915</v>
      </c>
      <c r="G2262" s="17" t="n">
        <f aca="false">B2262*2/27+G2261*25/27</f>
        <v>21853.6698522523</v>
      </c>
      <c r="H2262" s="17" t="n">
        <f aca="false">F2262-G2262</f>
        <v>404.643329662686</v>
      </c>
      <c r="I2262" s="17" t="n">
        <f aca="false">H2262*2/10+I2261*8/10</f>
        <v>381.147620425727</v>
      </c>
      <c r="J2262" s="17" t="n">
        <f aca="false">H2262-I2262</f>
        <v>23.4957092369584</v>
      </c>
      <c r="K2262" s="17" t="n">
        <f aca="false">MAX(B2262-B2261,0)</f>
        <v>163.759999999998</v>
      </c>
      <c r="L2262" s="17" t="n">
        <f aca="false">MAX(B2261-B2262,0)</f>
        <v>0</v>
      </c>
      <c r="M2262" s="17" t="n">
        <f aca="false">(M2261*13+K2262)/14</f>
        <v>114.815609222007</v>
      </c>
      <c r="N2262" s="17" t="n">
        <f aca="false">(N2261*13+L2262)/14</f>
        <v>52.0762927506235</v>
      </c>
      <c r="O2262" s="17" t="n">
        <f aca="false">IF(N2262=0,100,100-100/(1+M2262/N2262))</f>
        <v>68.7963932730759</v>
      </c>
      <c r="P2262" s="17" t="n">
        <f aca="false">AVERAGE(B2243:B2262)+2*STDEV(B2243:B2262)</f>
        <v>22744.133070455</v>
      </c>
      <c r="Q2262" s="17" t="n">
        <f aca="false">AVERAGE(B2243:B2262)-2*STDEV(B2243:B2262)</f>
        <v>21280.259929545</v>
      </c>
      <c r="R2262" s="19" t="n">
        <f aca="false">B2262/B2242-1</f>
        <v>0.0452074498974728</v>
      </c>
      <c r="S2262" s="17" t="n">
        <f aca="false">STDEV(C2243:C2262)*SQRT(252)*100</f>
        <v>12.8681671205719</v>
      </c>
      <c r="T2262" s="19" t="n">
        <f aca="false">B2241/B2011-1</f>
        <v>0.0847724283295863</v>
      </c>
      <c r="U2262" s="19" t="n">
        <f aca="false">B2262/MAX(B2011:B2262)-1</f>
        <v>-0.00163675574903843</v>
      </c>
      <c r="V2262" s="17" t="n">
        <f aca="false">(B2262-AVERAGE(B2243:B2262))/STDEV(B2243:B2262)</f>
        <v>1.7206231398126</v>
      </c>
    </row>
    <row r="2263" customFormat="false" ht="15" hidden="false" customHeight="false" outlineLevel="0" collapsed="false">
      <c r="A2263" s="17" t="s">
        <v>2827</v>
      </c>
      <c r="B2263" s="17" t="n">
        <v>22866.97</v>
      </c>
      <c r="C2263" s="19" t="n">
        <f aca="false">B2263/B2262-1</f>
        <v>0.00994086624393997</v>
      </c>
      <c r="D2263" s="17" t="n">
        <f aca="false">AVERAGE(B2214:B2263)</f>
        <v>21186.0026</v>
      </c>
      <c r="E2263" s="17" t="n">
        <f aca="false">AVERAGE(B2064:B2263)</f>
        <v>20678.042</v>
      </c>
      <c r="F2263" s="17" t="n">
        <f aca="false">B2263*2/13+F2262*11/13</f>
        <v>22351.9526923896</v>
      </c>
      <c r="G2263" s="17" t="n">
        <f aca="false">B2263*2/27+G2262*25/27</f>
        <v>21928.7291224559</v>
      </c>
      <c r="H2263" s="17" t="n">
        <f aca="false">F2263-G2263</f>
        <v>423.223569933769</v>
      </c>
      <c r="I2263" s="17" t="n">
        <f aca="false">H2263*2/10+I2262*8/10</f>
        <v>389.562810327336</v>
      </c>
      <c r="J2263" s="17" t="n">
        <f aca="false">H2263-I2263</f>
        <v>33.6607596064333</v>
      </c>
      <c r="K2263" s="17" t="n">
        <f aca="false">MAX(B2263-B2262,0)</f>
        <v>225.080000000002</v>
      </c>
      <c r="L2263" s="17" t="n">
        <f aca="false">MAX(B2262-B2263,0)</f>
        <v>0</v>
      </c>
      <c r="M2263" s="17" t="n">
        <f aca="false">(M2262*13+K2263)/14</f>
        <v>122.691637134721</v>
      </c>
      <c r="N2263" s="17" t="n">
        <f aca="false">(N2262*13+L2263)/14</f>
        <v>48.3565575541504</v>
      </c>
      <c r="O2263" s="17" t="n">
        <f aca="false">IF(N2263=0,100,100-100/(1+M2263/N2263))</f>
        <v>71.7292791998719</v>
      </c>
      <c r="P2263" s="17" t="n">
        <f aca="false">AVERAGE(B2244:B2263)+2*STDEV(B2244:B2263)</f>
        <v>22880.6266033423</v>
      </c>
      <c r="Q2263" s="17" t="n">
        <f aca="false">AVERAGE(B2244:B2263)-2*STDEV(B2244:B2263)</f>
        <v>21258.2713966577</v>
      </c>
      <c r="R2263" s="19" t="n">
        <f aca="false">B2263/B2243-1</f>
        <v>0.0527140326453648</v>
      </c>
      <c r="S2263" s="17" t="n">
        <f aca="false">STDEV(C2244:C2263)*SQRT(252)*100</f>
        <v>13.1556001891518</v>
      </c>
      <c r="T2263" s="19" t="n">
        <f aca="false">B2242/B2012-1</f>
        <v>0.0824854623926077</v>
      </c>
      <c r="U2263" s="19" t="n">
        <f aca="false">B2263/MAX(B2012:B2263)-1</f>
        <v>0</v>
      </c>
      <c r="V2263" s="17" t="n">
        <f aca="false">(B2263-AVERAGE(B2244:B2263))/STDEV(B2244:B2263)</f>
        <v>1.96632894378232</v>
      </c>
    </row>
    <row r="2264" customFormat="false" ht="15" hidden="false" customHeight="false" outlineLevel="0" collapsed="false">
      <c r="A2264" s="17" t="s">
        <v>2828</v>
      </c>
      <c r="B2264" s="17" t="n">
        <v>22685.57</v>
      </c>
      <c r="C2264" s="19" t="n">
        <f aca="false">B2264/B2263-1</f>
        <v>-0.00793283937487133</v>
      </c>
      <c r="D2264" s="17" t="n">
        <f aca="false">AVERAGE(B2215:B2264)</f>
        <v>21265.8488</v>
      </c>
      <c r="E2264" s="17" t="n">
        <f aca="false">AVERAGE(B2065:B2264)</f>
        <v>20694.35455</v>
      </c>
      <c r="F2264" s="17" t="n">
        <f aca="false">B2264*2/13+F2263*11/13</f>
        <v>22403.278432022</v>
      </c>
      <c r="G2264" s="17" t="n">
        <f aca="false">B2264*2/27+G2263*25/27</f>
        <v>21984.7914096814</v>
      </c>
      <c r="H2264" s="17" t="n">
        <f aca="false">F2264-G2264</f>
        <v>418.487022340643</v>
      </c>
      <c r="I2264" s="17" t="n">
        <f aca="false">H2264*2/10+I2263*8/10</f>
        <v>395.347652729997</v>
      </c>
      <c r="J2264" s="17" t="n">
        <f aca="false">H2264-I2264</f>
        <v>23.1393696106462</v>
      </c>
      <c r="K2264" s="17" t="n">
        <f aca="false">MAX(B2264-B2263,0)</f>
        <v>0</v>
      </c>
      <c r="L2264" s="17" t="n">
        <f aca="false">MAX(B2263-B2264,0)</f>
        <v>181.400000000001</v>
      </c>
      <c r="M2264" s="17" t="n">
        <f aca="false">(M2263*13+K2264)/14</f>
        <v>113.927948767956</v>
      </c>
      <c r="N2264" s="17" t="n">
        <f aca="false">(N2263*13+L2264)/14</f>
        <v>57.8596605859969</v>
      </c>
      <c r="O2264" s="17" t="n">
        <f aca="false">IF(N2264=0,100,100-100/(1+M2264/N2264))</f>
        <v>66.3190722523052</v>
      </c>
      <c r="P2264" s="17" t="n">
        <f aca="false">AVERAGE(B2245:B2264)+2*STDEV(B2245:B2264)</f>
        <v>22943.0085205896</v>
      </c>
      <c r="Q2264" s="17" t="n">
        <f aca="false">AVERAGE(B2245:B2264)-2*STDEV(B2245:B2264)</f>
        <v>21309.7034794105</v>
      </c>
      <c r="R2264" s="19" t="n">
        <f aca="false">B2264/B2244-1</f>
        <v>0.0528202203232588</v>
      </c>
      <c r="S2264" s="17" t="n">
        <f aca="false">STDEV(C2245:C2264)*SQRT(252)*100</f>
        <v>13.1449129978866</v>
      </c>
      <c r="T2264" s="19" t="n">
        <f aca="false">B2243/B2013-1</f>
        <v>0.0760547946834116</v>
      </c>
      <c r="U2264" s="19" t="n">
        <f aca="false">B2264/MAX(B2013:B2264)-1</f>
        <v>-0.00793283937487133</v>
      </c>
      <c r="V2264" s="17" t="n">
        <f aca="false">(B2264-AVERAGE(B2245:B2264))/STDEV(B2245:B2264)</f>
        <v>1.36952739604918</v>
      </c>
    </row>
    <row r="2265" customFormat="false" ht="15" hidden="false" customHeight="false" outlineLevel="0" collapsed="false">
      <c r="A2265" s="17" t="s">
        <v>2829</v>
      </c>
      <c r="B2265" s="17" t="n">
        <v>22702.25</v>
      </c>
      <c r="C2265" s="19" t="n">
        <f aca="false">B2265/B2264-1</f>
        <v>0.00073526916008726</v>
      </c>
      <c r="D2265" s="17" t="n">
        <f aca="false">AVERAGE(B2216:B2265)</f>
        <v>21335.6058</v>
      </c>
      <c r="E2265" s="17" t="n">
        <f aca="false">AVERAGE(B2066:B2265)</f>
        <v>20710.7038</v>
      </c>
      <c r="F2265" s="17" t="n">
        <f aca="false">B2265*2/13+F2264*11/13</f>
        <v>22449.2740578648</v>
      </c>
      <c r="G2265" s="17" t="n">
        <f aca="false">B2265*2/27+G2264*25/27</f>
        <v>22037.9364904457</v>
      </c>
      <c r="H2265" s="17" t="n">
        <f aca="false">F2265-G2265</f>
        <v>411.337567419068</v>
      </c>
      <c r="I2265" s="17" t="n">
        <f aca="false">H2265*2/10+I2264*8/10</f>
        <v>398.545635667811</v>
      </c>
      <c r="J2265" s="17" t="n">
        <f aca="false">H2265-I2265</f>
        <v>12.791931751257</v>
      </c>
      <c r="K2265" s="17" t="n">
        <f aca="false">MAX(B2265-B2264,0)</f>
        <v>16.6800000000003</v>
      </c>
      <c r="L2265" s="17" t="n">
        <f aca="false">MAX(B2264-B2265,0)</f>
        <v>0</v>
      </c>
      <c r="M2265" s="17" t="n">
        <f aca="false">(M2264*13+K2265)/14</f>
        <v>106.981666713102</v>
      </c>
      <c r="N2265" s="17" t="n">
        <f aca="false">(N2264*13+L2265)/14</f>
        <v>53.7268276869972</v>
      </c>
      <c r="O2265" s="17" t="n">
        <f aca="false">IF(N2265=0,100,100-100/(1+M2265/N2265))</f>
        <v>66.5687691944651</v>
      </c>
      <c r="P2265" s="17" t="n">
        <f aca="false">AVERAGE(B2246:B2265)+2*STDEV(B2246:B2265)</f>
        <v>23009.7116764896</v>
      </c>
      <c r="Q2265" s="17" t="n">
        <f aca="false">AVERAGE(B2246:B2265)-2*STDEV(B2246:B2265)</f>
        <v>21337.0463235104</v>
      </c>
      <c r="R2265" s="19" t="n">
        <f aca="false">B2265/B2245-1</f>
        <v>0.0432161141156127</v>
      </c>
      <c r="S2265" s="17" t="n">
        <f aca="false">STDEV(C2246:C2265)*SQRT(252)*100</f>
        <v>12.8665640345392</v>
      </c>
      <c r="T2265" s="19" t="n">
        <f aca="false">B2244/B2014-1</f>
        <v>0.0566624999938701</v>
      </c>
      <c r="U2265" s="19" t="n">
        <f aca="false">B2265/MAX(B2014:B2265)-1</f>
        <v>-0.00720340298692834</v>
      </c>
      <c r="V2265" s="17" t="n">
        <f aca="false">(B2265-AVERAGE(B2246:B2265))/STDEV(B2246:B2265)</f>
        <v>1.26473833886268</v>
      </c>
    </row>
    <row r="2266" customFormat="false" ht="15" hidden="false" customHeight="false" outlineLevel="0" collapsed="false">
      <c r="A2266" s="17" t="s">
        <v>2830</v>
      </c>
      <c r="B2266" s="17" t="n">
        <v>22864.91</v>
      </c>
      <c r="C2266" s="19" t="n">
        <f aca="false">B2266/B2265-1</f>
        <v>0.00716492858637352</v>
      </c>
      <c r="D2266" s="17" t="n">
        <f aca="false">AVERAGE(B2217:B2266)</f>
        <v>21404.2528</v>
      </c>
      <c r="E2266" s="17" t="n">
        <f aca="false">AVERAGE(B2067:B2266)</f>
        <v>20728.3059</v>
      </c>
      <c r="F2266" s="17" t="n">
        <f aca="false">B2266*2/13+F2265*11/13</f>
        <v>22513.2180489625</v>
      </c>
      <c r="G2266" s="17" t="n">
        <f aca="false">B2266*2/27+G2265*25/27</f>
        <v>22099.1937874497</v>
      </c>
      <c r="H2266" s="17" t="n">
        <f aca="false">F2266-G2266</f>
        <v>414.024261512775</v>
      </c>
      <c r="I2266" s="17" t="n">
        <f aca="false">H2266*2/10+I2265*8/10</f>
        <v>401.641360836804</v>
      </c>
      <c r="J2266" s="17" t="n">
        <f aca="false">H2266-I2266</f>
        <v>12.3829006759713</v>
      </c>
      <c r="K2266" s="17" t="n">
        <f aca="false">MAX(B2266-B2265,0)</f>
        <v>162.66</v>
      </c>
      <c r="L2266" s="17" t="n">
        <f aca="false">MAX(B2265-B2266,0)</f>
        <v>0</v>
      </c>
      <c r="M2266" s="17" t="n">
        <f aca="false">(M2265*13+K2266)/14</f>
        <v>110.958690519309</v>
      </c>
      <c r="N2266" s="17" t="n">
        <f aca="false">(N2265*13+L2266)/14</f>
        <v>49.8891971379259</v>
      </c>
      <c r="O2266" s="17" t="n">
        <f aca="false">IF(N2266=0,100,100-100/(1+M2266/N2266))</f>
        <v>68.9836168416216</v>
      </c>
      <c r="P2266" s="17" t="n">
        <f aca="false">AVERAGE(B2247:B2266)+2*STDEV(B2247:B2266)</f>
        <v>23097.6262489044</v>
      </c>
      <c r="Q2266" s="17" t="n">
        <f aca="false">AVERAGE(B2247:B2266)-2*STDEV(B2247:B2266)</f>
        <v>21355.8357510956</v>
      </c>
      <c r="R2266" s="19" t="n">
        <f aca="false">B2266/B2246-1</f>
        <v>0.0489515718737656</v>
      </c>
      <c r="S2266" s="17" t="n">
        <f aca="false">STDEV(C2247:C2266)*SQRT(252)*100</f>
        <v>12.9866303352027</v>
      </c>
      <c r="T2266" s="19" t="n">
        <f aca="false">B2245/B2015-1</f>
        <v>0.064690790497242</v>
      </c>
      <c r="U2266" s="19" t="n">
        <f aca="false">B2266/MAX(B2015:B2266)-1</f>
        <v>-9.00862685350168E-005</v>
      </c>
      <c r="V2266" s="17" t="n">
        <f aca="false">(B2266-AVERAGE(B2247:B2266))/STDEV(B2247:B2266)</f>
        <v>1.46557005748478</v>
      </c>
    </row>
    <row r="2267" customFormat="false" ht="15" hidden="false" customHeight="false" outlineLevel="0" collapsed="false">
      <c r="A2267" s="17" t="s">
        <v>2831</v>
      </c>
      <c r="B2267" s="17" t="n">
        <v>22829.26</v>
      </c>
      <c r="C2267" s="19" t="n">
        <f aca="false">B2267/B2266-1</f>
        <v>-0.00155915767873138</v>
      </c>
      <c r="D2267" s="17" t="n">
        <f aca="false">AVERAGE(B2218:B2267)</f>
        <v>21472.2922</v>
      </c>
      <c r="E2267" s="17" t="n">
        <f aca="false">AVERAGE(B2068:B2267)</f>
        <v>20743.25305</v>
      </c>
      <c r="F2267" s="17" t="n">
        <f aca="false">B2267*2/13+F2266*11/13</f>
        <v>22561.8398875836</v>
      </c>
      <c r="G2267" s="17" t="n">
        <f aca="false">B2267*2/27+G2266*25/27</f>
        <v>22153.2727661571</v>
      </c>
      <c r="H2267" s="17" t="n">
        <f aca="false">F2267-G2267</f>
        <v>408.567121426502</v>
      </c>
      <c r="I2267" s="17" t="n">
        <f aca="false">H2267*2/10+I2266*8/10</f>
        <v>403.026512954744</v>
      </c>
      <c r="J2267" s="17" t="n">
        <f aca="false">H2267-I2267</f>
        <v>5.54060847175845</v>
      </c>
      <c r="K2267" s="17" t="n">
        <f aca="false">MAX(B2267-B2266,0)</f>
        <v>0</v>
      </c>
      <c r="L2267" s="17" t="n">
        <f aca="false">MAX(B2266-B2267,0)</f>
        <v>35.6500000000015</v>
      </c>
      <c r="M2267" s="17" t="n">
        <f aca="false">(M2266*13+K2267)/14</f>
        <v>103.033069767929</v>
      </c>
      <c r="N2267" s="17" t="n">
        <f aca="false">(N2266*13+L2267)/14</f>
        <v>48.8721116280742</v>
      </c>
      <c r="O2267" s="17" t="n">
        <f aca="false">IF(N2267=0,100,100-100/(1+M2267/N2267))</f>
        <v>67.8272253922209</v>
      </c>
      <c r="P2267" s="17" t="n">
        <f aca="false">AVERAGE(B2248:B2267)+2*STDEV(B2248:B2267)</f>
        <v>23170.8328516465</v>
      </c>
      <c r="Q2267" s="17" t="n">
        <f aca="false">AVERAGE(B2248:B2267)-2*STDEV(B2248:B2267)</f>
        <v>21371.3631483535</v>
      </c>
      <c r="R2267" s="19" t="n">
        <f aca="false">B2267/B2247-1</f>
        <v>0.0404403990170414</v>
      </c>
      <c r="S2267" s="17" t="n">
        <f aca="false">STDEV(C2248:C2267)*SQRT(252)*100</f>
        <v>12.9611929004741</v>
      </c>
      <c r="T2267" s="19" t="n">
        <f aca="false">B2246/B2016-1</f>
        <v>0.065753125944237</v>
      </c>
      <c r="U2267" s="19" t="n">
        <f aca="false">B2267/MAX(B2016:B2267)-1</f>
        <v>-0.00164910348856906</v>
      </c>
      <c r="V2267" s="17" t="n">
        <f aca="false">(B2267-AVERAGE(B2248:B2267))/STDEV(B2248:B2267)</f>
        <v>1.2407255292569</v>
      </c>
    </row>
    <row r="2268" customFormat="false" ht="15" hidden="false" customHeight="false" outlineLevel="0" collapsed="false">
      <c r="A2268" s="17" t="s">
        <v>2832</v>
      </c>
      <c r="B2268" s="17" t="n">
        <v>22780.6</v>
      </c>
      <c r="C2268" s="19" t="n">
        <f aca="false">B2268/B2267-1</f>
        <v>-0.00213147513322809</v>
      </c>
      <c r="D2268" s="17" t="n">
        <f aca="false">AVERAGE(B2219:B2268)</f>
        <v>21537.0052</v>
      </c>
      <c r="E2268" s="17" t="n">
        <f aca="false">AVERAGE(B2069:B2268)</f>
        <v>20758.1986</v>
      </c>
      <c r="F2268" s="17" t="n">
        <f aca="false">B2268*2/13+F2267*11/13</f>
        <v>22595.4952894939</v>
      </c>
      <c r="G2268" s="17" t="n">
        <f aca="false">B2268*2/27+G2267*25/27</f>
        <v>22199.7414501455</v>
      </c>
      <c r="H2268" s="17" t="n">
        <f aca="false">F2268-G2268</f>
        <v>395.753839348348</v>
      </c>
      <c r="I2268" s="17" t="n">
        <f aca="false">H2268*2/10+I2267*8/10</f>
        <v>401.571978233465</v>
      </c>
      <c r="J2268" s="17" t="n">
        <f aca="false">H2268-I2268</f>
        <v>-5.81813888511636</v>
      </c>
      <c r="K2268" s="17" t="n">
        <f aca="false">MAX(B2268-B2267,0)</f>
        <v>0</v>
      </c>
      <c r="L2268" s="17" t="n">
        <f aca="false">MAX(B2267-B2268,0)</f>
        <v>48.6599999999999</v>
      </c>
      <c r="M2268" s="17" t="n">
        <f aca="false">(M2267*13+K2268)/14</f>
        <v>95.6735647845059</v>
      </c>
      <c r="N2268" s="17" t="n">
        <f aca="false">(N2267*13+L2268)/14</f>
        <v>48.8569607974974</v>
      </c>
      <c r="O2268" s="17" t="n">
        <f aca="false">IF(N2268=0,100,100-100/(1+M2268/N2268))</f>
        <v>66.1960955301604</v>
      </c>
      <c r="P2268" s="17" t="n">
        <f aca="false">AVERAGE(B2249:B2268)+2*STDEV(B2249:B2268)</f>
        <v>23222.5311369539</v>
      </c>
      <c r="Q2268" s="17" t="n">
        <f aca="false">AVERAGE(B2249:B2268)-2*STDEV(B2249:B2268)</f>
        <v>21411.6448630461</v>
      </c>
      <c r="R2268" s="19" t="n">
        <f aca="false">B2268/B2248-1</f>
        <v>0.0420753128888238</v>
      </c>
      <c r="S2268" s="17" t="n">
        <f aca="false">STDEV(C2249:C2268)*SQRT(252)*100</f>
        <v>12.8813388402408</v>
      </c>
      <c r="T2268" s="19" t="n">
        <f aca="false">B2247/B2017-1</f>
        <v>0.0612583662307535</v>
      </c>
      <c r="U2268" s="19" t="n">
        <f aca="false">B2268/MAX(B2017:B2268)-1</f>
        <v>-0.0037770635987191</v>
      </c>
      <c r="V2268" s="17" t="n">
        <f aca="false">(B2268-AVERAGE(B2249:B2268))/STDEV(B2249:B2268)</f>
        <v>1.02383458680657</v>
      </c>
    </row>
    <row r="2269" customFormat="false" ht="15" hidden="false" customHeight="false" outlineLevel="0" collapsed="false">
      <c r="A2269" s="17" t="s">
        <v>2833</v>
      </c>
      <c r="B2269" s="17" t="n">
        <v>22855.63</v>
      </c>
      <c r="C2269" s="19" t="n">
        <f aca="false">B2269/B2268-1</f>
        <v>0.00329359191592848</v>
      </c>
      <c r="D2269" s="17" t="n">
        <f aca="false">AVERAGE(B2220:B2269)</f>
        <v>21602.6974</v>
      </c>
      <c r="E2269" s="17" t="n">
        <f aca="false">AVERAGE(B2070:B2269)</f>
        <v>20773.21575</v>
      </c>
      <c r="F2269" s="17" t="n">
        <f aca="false">B2269*2/13+F2268*11/13</f>
        <v>22635.5160141871</v>
      </c>
      <c r="G2269" s="17" t="n">
        <f aca="false">B2269*2/27+G2268*25/27</f>
        <v>22248.3257871718</v>
      </c>
      <c r="H2269" s="17" t="n">
        <f aca="false">F2269-G2269</f>
        <v>387.190227015344</v>
      </c>
      <c r="I2269" s="17" t="n">
        <f aca="false">H2269*2/10+I2268*8/10</f>
        <v>398.695627989841</v>
      </c>
      <c r="J2269" s="17" t="n">
        <f aca="false">H2269-I2269</f>
        <v>-11.5054009744964</v>
      </c>
      <c r="K2269" s="17" t="n">
        <f aca="false">MAX(B2269-B2268,0)</f>
        <v>75.0300000000025</v>
      </c>
      <c r="L2269" s="17" t="n">
        <f aca="false">MAX(B2268-B2269,0)</f>
        <v>0</v>
      </c>
      <c r="M2269" s="17" t="n">
        <f aca="false">(M2268*13+K2269)/14</f>
        <v>94.1990244427556</v>
      </c>
      <c r="N2269" s="17" t="n">
        <f aca="false">(N2268*13+L2269)/14</f>
        <v>45.3671778833905</v>
      </c>
      <c r="O2269" s="17" t="n">
        <f aca="false">IF(N2269=0,100,100-100/(1+M2269/N2269))</f>
        <v>67.4941517879996</v>
      </c>
      <c r="P2269" s="17" t="n">
        <f aca="false">AVERAGE(B2250:B2269)+2*STDEV(B2250:B2269)</f>
        <v>23279.1991610602</v>
      </c>
      <c r="Q2269" s="17" t="n">
        <f aca="false">AVERAGE(B2250:B2269)-2*STDEV(B2250:B2269)</f>
        <v>21449.2078389398</v>
      </c>
      <c r="R2269" s="19" t="n">
        <f aca="false">B2269/B2249-1</f>
        <v>0.0430016994229994</v>
      </c>
      <c r="S2269" s="17" t="n">
        <f aca="false">STDEV(C2250:C2269)*SQRT(252)*100</f>
        <v>12.8880504444696</v>
      </c>
      <c r="T2269" s="19" t="n">
        <f aca="false">B2248/B2018-1</f>
        <v>0.0816095502727179</v>
      </c>
      <c r="U2269" s="19" t="n">
        <f aca="false">B2269/MAX(B2018:B2269)-1</f>
        <v>-0.000495911788925274</v>
      </c>
      <c r="V2269" s="17" t="n">
        <f aca="false">(B2269-AVERAGE(B2250:B2269))/STDEV(B2250:B2269)</f>
        <v>1.0741613778378</v>
      </c>
    </row>
    <row r="2270" customFormat="false" ht="15" hidden="false" customHeight="false" outlineLevel="0" collapsed="false">
      <c r="A2270" s="17" t="s">
        <v>2834</v>
      </c>
      <c r="B2270" s="17" t="n">
        <v>22884.59</v>
      </c>
      <c r="C2270" s="19" t="n">
        <f aca="false">B2270/B2269-1</f>
        <v>0.00126708386511321</v>
      </c>
      <c r="D2270" s="17" t="n">
        <f aca="false">AVERAGE(B2221:B2270)</f>
        <v>21664.655</v>
      </c>
      <c r="E2270" s="17" t="n">
        <f aca="false">AVERAGE(B2071:B2270)</f>
        <v>20787.9145</v>
      </c>
      <c r="F2270" s="17" t="n">
        <f aca="false">B2270*2/13+F2269*11/13</f>
        <v>22673.8350889276</v>
      </c>
      <c r="G2270" s="17" t="n">
        <f aca="false">B2270*2/27+G2269*25/27</f>
        <v>22295.4564696035</v>
      </c>
      <c r="H2270" s="17" t="n">
        <f aca="false">F2270-G2270</f>
        <v>378.37861932407</v>
      </c>
      <c r="I2270" s="17" t="n">
        <f aca="false">H2270*2/10+I2269*8/10</f>
        <v>394.632226256687</v>
      </c>
      <c r="J2270" s="17" t="n">
        <f aca="false">H2270-I2270</f>
        <v>-16.2536069326162</v>
      </c>
      <c r="K2270" s="17" t="n">
        <f aca="false">MAX(B2270-B2269,0)</f>
        <v>28.9599999999991</v>
      </c>
      <c r="L2270" s="17" t="n">
        <f aca="false">MAX(B2269-B2270,0)</f>
        <v>0</v>
      </c>
      <c r="M2270" s="17" t="n">
        <f aca="false">(M2269*13+K2270)/14</f>
        <v>89.5390941254159</v>
      </c>
      <c r="N2270" s="17" t="n">
        <f aca="false">(N2269*13+L2270)/14</f>
        <v>42.126665177434</v>
      </c>
      <c r="O2270" s="17" t="n">
        <f aca="false">IF(N2270=0,100,100-100/(1+M2270/N2270))</f>
        <v>68.004843931719</v>
      </c>
      <c r="P2270" s="17" t="n">
        <f aca="false">AVERAGE(B2251:B2270)+2*STDEV(B2251:B2270)</f>
        <v>23301.2511547105</v>
      </c>
      <c r="Q2270" s="17" t="n">
        <f aca="false">AVERAGE(B2251:B2270)-2*STDEV(B2251:B2270)</f>
        <v>21552.5108452895</v>
      </c>
      <c r="R2270" s="19" t="n">
        <f aca="false">B2270/B2250-1</f>
        <v>0.0579514438510584</v>
      </c>
      <c r="S2270" s="17" t="n">
        <f aca="false">STDEV(C2251:C2270)*SQRT(252)*100</f>
        <v>11.6168889371495</v>
      </c>
      <c r="T2270" s="19" t="n">
        <f aca="false">B2249/B2019-1</f>
        <v>0.0778019712278832</v>
      </c>
      <c r="U2270" s="19" t="n">
        <f aca="false">B2270/MAX(B2019:B2270)-1</f>
        <v>0</v>
      </c>
      <c r="V2270" s="17" t="n">
        <f aca="false">(B2270-AVERAGE(B2251:B2270))/STDEV(B2251:B2270)</f>
        <v>1.04694561573081</v>
      </c>
    </row>
    <row r="2271" customFormat="false" ht="15" hidden="false" customHeight="false" outlineLevel="0" collapsed="false">
      <c r="A2271" s="17" t="s">
        <v>2835</v>
      </c>
      <c r="B2271" s="17" t="n">
        <v>22907.97</v>
      </c>
      <c r="C2271" s="19" t="n">
        <f aca="false">B2271/B2270-1</f>
        <v>0.00102164819208039</v>
      </c>
      <c r="D2271" s="17" t="n">
        <f aca="false">AVERAGE(B2222:B2271)</f>
        <v>21720.7622</v>
      </c>
      <c r="E2271" s="17" t="n">
        <f aca="false">AVERAGE(B2072:B2271)</f>
        <v>20802.5913</v>
      </c>
      <c r="F2271" s="17" t="n">
        <f aca="false">B2271*2/13+F2270*11/13</f>
        <v>22709.8558444772</v>
      </c>
      <c r="G2271" s="17" t="n">
        <f aca="false">B2271*2/27+G2270*25/27</f>
        <v>22340.8278422254</v>
      </c>
      <c r="H2271" s="17" t="n">
        <f aca="false">F2271-G2271</f>
        <v>369.028002251715</v>
      </c>
      <c r="I2271" s="17" t="n">
        <f aca="false">H2271*2/10+I2270*8/10</f>
        <v>389.511381455692</v>
      </c>
      <c r="J2271" s="17" t="n">
        <f aca="false">H2271-I2271</f>
        <v>-20.4833792039776</v>
      </c>
      <c r="K2271" s="17" t="n">
        <f aca="false">MAX(B2271-B2270,0)</f>
        <v>23.380000000001</v>
      </c>
      <c r="L2271" s="17" t="n">
        <f aca="false">MAX(B2270-B2271,0)</f>
        <v>0</v>
      </c>
      <c r="M2271" s="17" t="n">
        <f aca="false">(M2270*13+K2271)/14</f>
        <v>84.8134445450291</v>
      </c>
      <c r="N2271" s="17" t="n">
        <f aca="false">(N2270*13+L2271)/14</f>
        <v>39.1176176647602</v>
      </c>
      <c r="O2271" s="17" t="n">
        <f aca="false">IF(N2271=0,100,100-100/(1+M2271/N2271))</f>
        <v>68.4359861303034</v>
      </c>
      <c r="P2271" s="17" t="n">
        <f aca="false">AVERAGE(B2252:B2271)+2*STDEV(B2252:B2271)</f>
        <v>23343.1170108529</v>
      </c>
      <c r="Q2271" s="17" t="n">
        <f aca="false">AVERAGE(B2252:B2271)-2*STDEV(B2252:B2271)</f>
        <v>21607.6849891471</v>
      </c>
      <c r="R2271" s="19" t="n">
        <f aca="false">B2271/B2251-1</f>
        <v>0.0442346166872631</v>
      </c>
      <c r="S2271" s="17" t="n">
        <f aca="false">STDEV(C2252:C2271)*SQRT(252)*100</f>
        <v>10.8276000618324</v>
      </c>
      <c r="T2271" s="19" t="n">
        <f aca="false">B2250/B2020-1</f>
        <v>0.0610274843428715</v>
      </c>
      <c r="U2271" s="19" t="n">
        <f aca="false">B2271/MAX(B2020:B2271)-1</f>
        <v>0</v>
      </c>
      <c r="V2271" s="17" t="n">
        <f aca="false">(B2271-AVERAGE(B2252:B2271))/STDEV(B2252:B2271)</f>
        <v>0.997028969362454</v>
      </c>
    </row>
    <row r="2272" customFormat="false" ht="15" hidden="false" customHeight="false" outlineLevel="0" collapsed="false">
      <c r="A2272" s="17" t="s">
        <v>2836</v>
      </c>
      <c r="B2272" s="17" t="n">
        <v>23081.05</v>
      </c>
      <c r="C2272" s="19" t="n">
        <f aca="false">B2272/B2271-1</f>
        <v>0.00755544904240746</v>
      </c>
      <c r="D2272" s="17" t="n">
        <f aca="false">AVERAGE(B2223:B2272)</f>
        <v>21783.0244</v>
      </c>
      <c r="E2272" s="17" t="n">
        <f aca="false">AVERAGE(B2073:B2272)</f>
        <v>20817.41885</v>
      </c>
      <c r="F2272" s="17" t="n">
        <f aca="false">B2272*2/13+F2271*11/13</f>
        <v>22766.9626376345</v>
      </c>
      <c r="G2272" s="17" t="n">
        <f aca="false">B2272*2/27+G2271*25/27</f>
        <v>22395.6591131717</v>
      </c>
      <c r="H2272" s="17" t="n">
        <f aca="false">F2272-G2272</f>
        <v>371.303524462812</v>
      </c>
      <c r="I2272" s="17" t="n">
        <f aca="false">H2272*2/10+I2271*8/10</f>
        <v>385.869810057116</v>
      </c>
      <c r="J2272" s="17" t="n">
        <f aca="false">H2272-I2272</f>
        <v>-14.5662855943043</v>
      </c>
      <c r="K2272" s="17" t="n">
        <f aca="false">MAX(B2272-B2271,0)</f>
        <v>173.079999999998</v>
      </c>
      <c r="L2272" s="17" t="n">
        <f aca="false">MAX(B2271-B2272,0)</f>
        <v>0</v>
      </c>
      <c r="M2272" s="17" t="n">
        <f aca="false">(M2271*13+K2272)/14</f>
        <v>91.1181985060983</v>
      </c>
      <c r="N2272" s="17" t="n">
        <f aca="false">(N2271*13+L2272)/14</f>
        <v>36.3235021172773</v>
      </c>
      <c r="O2272" s="17" t="n">
        <f aca="false">IF(N2272=0,100,100-100/(1+M2272/N2272))</f>
        <v>71.497946167069</v>
      </c>
      <c r="P2272" s="17" t="n">
        <f aca="false">AVERAGE(B2253:B2272)+2*STDEV(B2253:B2272)</f>
        <v>23374.2840056831</v>
      </c>
      <c r="Q2272" s="17" t="n">
        <f aca="false">AVERAGE(B2253:B2272)-2*STDEV(B2253:B2272)</f>
        <v>21712.7149943169</v>
      </c>
      <c r="R2272" s="19" t="n">
        <f aca="false">B2272/B2252-1</f>
        <v>0.062708457264304</v>
      </c>
      <c r="S2272" s="17" t="n">
        <f aca="false">STDEV(C2253:C2272)*SQRT(252)*100</f>
        <v>9.97240923693517</v>
      </c>
      <c r="T2272" s="19" t="n">
        <f aca="false">B2251/B2021-1</f>
        <v>0.0754438290433372</v>
      </c>
      <c r="U2272" s="19" t="n">
        <f aca="false">B2272/MAX(B2021:B2272)-1</f>
        <v>0</v>
      </c>
      <c r="V2272" s="17" t="n">
        <f aca="false">(B2272-AVERAGE(B2253:B2272))/STDEV(B2253:B2272)</f>
        <v>1.29407926200547</v>
      </c>
    </row>
    <row r="2273" customFormat="false" ht="15" hidden="false" customHeight="false" outlineLevel="0" collapsed="false">
      <c r="A2273" s="17" t="s">
        <v>2837</v>
      </c>
      <c r="B2273" s="17" t="n">
        <v>23065.47</v>
      </c>
      <c r="C2273" s="19" t="n">
        <f aca="false">B2273/B2272-1</f>
        <v>-0.000675012618576609</v>
      </c>
      <c r="D2273" s="17" t="n">
        <f aca="false">AVERAGE(B2224:B2273)</f>
        <v>21848.5068</v>
      </c>
      <c r="E2273" s="17" t="n">
        <f aca="false">AVERAGE(B2074:B2273)</f>
        <v>20832.7031</v>
      </c>
      <c r="F2273" s="17" t="n">
        <f aca="false">B2273*2/13+F2272*11/13</f>
        <v>22812.8868472292</v>
      </c>
      <c r="G2273" s="17" t="n">
        <f aca="false">B2273*2/27+G2272*25/27</f>
        <v>22445.2747344183</v>
      </c>
      <c r="H2273" s="17" t="n">
        <f aca="false">F2273-G2273</f>
        <v>367.612112810959</v>
      </c>
      <c r="I2273" s="17" t="n">
        <f aca="false">H2273*2/10+I2272*8/10</f>
        <v>382.218270607885</v>
      </c>
      <c r="J2273" s="17" t="n">
        <f aca="false">H2273-I2273</f>
        <v>-14.6061577969257</v>
      </c>
      <c r="K2273" s="17" t="n">
        <f aca="false">MAX(B2273-B2272,0)</f>
        <v>0</v>
      </c>
      <c r="L2273" s="17" t="n">
        <f aca="false">MAX(B2272-B2273,0)</f>
        <v>15.5799999999981</v>
      </c>
      <c r="M2273" s="17" t="n">
        <f aca="false">(M2272*13+K2273)/14</f>
        <v>84.6097557556627</v>
      </c>
      <c r="N2273" s="17" t="n">
        <f aca="false">(N2272*13+L2273)/14</f>
        <v>34.8418233946145</v>
      </c>
      <c r="O2273" s="17" t="n">
        <f aca="false">IF(N2273=0,100,100-100/(1+M2273/N2273))</f>
        <v>70.8318436286377</v>
      </c>
      <c r="P2273" s="17" t="n">
        <f aca="false">AVERAGE(B2254:B2273)+2*STDEV(B2254:B2273)</f>
        <v>23376.0471313212</v>
      </c>
      <c r="Q2273" s="17" t="n">
        <f aca="false">AVERAGE(B2254:B2273)-2*STDEV(B2254:B2273)</f>
        <v>21845.5298686788</v>
      </c>
      <c r="R2273" s="19" t="n">
        <f aca="false">B2273/B2253-1</f>
        <v>0.0619612895027508</v>
      </c>
      <c r="S2273" s="17" t="n">
        <f aca="false">STDEV(C2254:C2273)*SQRT(252)*100</f>
        <v>10.0038751929879</v>
      </c>
      <c r="T2273" s="19" t="n">
        <f aca="false">B2252/B2022-1</f>
        <v>0.096970878533108</v>
      </c>
      <c r="U2273" s="19" t="n">
        <f aca="false">B2273/MAX(B2022:B2273)-1</f>
        <v>-0.000675012618576609</v>
      </c>
      <c r="V2273" s="17" t="n">
        <f aca="false">(B2273-AVERAGE(B2254:B2273))/STDEV(B2254:B2273)</f>
        <v>1.18830806054421</v>
      </c>
    </row>
    <row r="2274" customFormat="false" ht="15" hidden="false" customHeight="false" outlineLevel="0" collapsed="false">
      <c r="A2274" s="17" t="s">
        <v>2838</v>
      </c>
      <c r="B2274" s="17" t="n">
        <v>23180.06</v>
      </c>
      <c r="C2274" s="19" t="n">
        <f aca="false">B2274/B2273-1</f>
        <v>0.00496803230109766</v>
      </c>
      <c r="D2274" s="17" t="n">
        <f aca="false">AVERAGE(B2225:B2274)</f>
        <v>21914.7486</v>
      </c>
      <c r="E2274" s="17" t="n">
        <f aca="false">AVERAGE(B2075:B2274)</f>
        <v>20848.29995</v>
      </c>
      <c r="F2274" s="17" t="n">
        <f aca="false">B2274*2/13+F2273*11/13</f>
        <v>22869.3750245786</v>
      </c>
      <c r="G2274" s="17" t="n">
        <f aca="false">B2274*2/27+G2273*25/27</f>
        <v>22499.7032726095</v>
      </c>
      <c r="H2274" s="17" t="n">
        <f aca="false">F2274-G2274</f>
        <v>369.671751969068</v>
      </c>
      <c r="I2274" s="17" t="n">
        <f aca="false">H2274*2/10+I2273*8/10</f>
        <v>379.708966880121</v>
      </c>
      <c r="J2274" s="17" t="n">
        <f aca="false">H2274-I2274</f>
        <v>-10.0372149110531</v>
      </c>
      <c r="K2274" s="17" t="n">
        <f aca="false">MAX(B2274-B2273,0)</f>
        <v>114.59</v>
      </c>
      <c r="L2274" s="17" t="n">
        <f aca="false">MAX(B2273-B2274,0)</f>
        <v>0</v>
      </c>
      <c r="M2274" s="17" t="n">
        <f aca="false">(M2273*13+K2274)/14</f>
        <v>86.7512017731154</v>
      </c>
      <c r="N2274" s="17" t="n">
        <f aca="false">(N2273*13+L2274)/14</f>
        <v>32.3531217235706</v>
      </c>
      <c r="O2274" s="17" t="n">
        <f aca="false">IF(N2274=0,100,100-100/(1+M2274/N2274))</f>
        <v>72.8363162866453</v>
      </c>
      <c r="P2274" s="17" t="n">
        <f aca="false">AVERAGE(B2255:B2274)+2*STDEV(B2255:B2274)</f>
        <v>23339.9535150781</v>
      </c>
      <c r="Q2274" s="17" t="n">
        <f aca="false">AVERAGE(B2255:B2274)-2*STDEV(B2255:B2274)</f>
        <v>22036.9904849219</v>
      </c>
      <c r="R2274" s="19" t="n">
        <f aca="false">B2274/B2254-1</f>
        <v>0.0718413937786195</v>
      </c>
      <c r="S2274" s="17" t="n">
        <f aca="false">STDEV(C2255:C2274)*SQRT(252)*100</f>
        <v>9.63798965803258</v>
      </c>
      <c r="T2274" s="19" t="n">
        <f aca="false">B2253/B2023-1</f>
        <v>0.102237543700638</v>
      </c>
      <c r="U2274" s="19" t="n">
        <f aca="false">B2274/MAX(B2023:B2274)-1</f>
        <v>0</v>
      </c>
      <c r="V2274" s="17" t="n">
        <f aca="false">(B2274-AVERAGE(B2255:B2274))/STDEV(B2255:B2274)</f>
        <v>1.50913875105448</v>
      </c>
    </row>
    <row r="2275" customFormat="false" ht="15" hidden="false" customHeight="false" outlineLevel="0" collapsed="false">
      <c r="A2275" s="17" t="s">
        <v>2839</v>
      </c>
      <c r="B2275" s="17" t="n">
        <v>23063.58</v>
      </c>
      <c r="C2275" s="19" t="n">
        <f aca="false">B2275/B2274-1</f>
        <v>-0.00502500856339461</v>
      </c>
      <c r="D2275" s="17" t="n">
        <f aca="false">AVERAGE(B2226:B2275)</f>
        <v>21974.749</v>
      </c>
      <c r="E2275" s="17" t="n">
        <f aca="false">AVERAGE(B2076:B2275)</f>
        <v>20864.75135</v>
      </c>
      <c r="F2275" s="17" t="n">
        <f aca="false">B2275*2/13+F2274*11/13</f>
        <v>22899.2527131049</v>
      </c>
      <c r="G2275" s="17" t="n">
        <f aca="false">B2275*2/27+G2274*25/27</f>
        <v>22541.4719190829</v>
      </c>
      <c r="H2275" s="17" t="n">
        <f aca="false">F2275-G2275</f>
        <v>357.780794022074</v>
      </c>
      <c r="I2275" s="17" t="n">
        <f aca="false">H2275*2/10+I2274*8/10</f>
        <v>375.323332308512</v>
      </c>
      <c r="J2275" s="17" t="n">
        <f aca="false">H2275-I2275</f>
        <v>-17.5425382864381</v>
      </c>
      <c r="K2275" s="17" t="n">
        <f aca="false">MAX(B2275-B2274,0)</f>
        <v>0</v>
      </c>
      <c r="L2275" s="17" t="n">
        <f aca="false">MAX(B2274-B2275,0)</f>
        <v>116.48</v>
      </c>
      <c r="M2275" s="17" t="n">
        <f aca="false">(M2274*13+K2275)/14</f>
        <v>80.55468736075</v>
      </c>
      <c r="N2275" s="17" t="n">
        <f aca="false">(N2274*13+L2275)/14</f>
        <v>38.3621844576012</v>
      </c>
      <c r="O2275" s="17" t="n">
        <f aca="false">IF(N2275=0,100,100-100/(1+M2275/N2275))</f>
        <v>67.7403350163798</v>
      </c>
      <c r="P2275" s="17" t="n">
        <f aca="false">AVERAGE(B2256:B2275)+2*STDEV(B2256:B2275)</f>
        <v>23290.0625104579</v>
      </c>
      <c r="Q2275" s="17" t="n">
        <f aca="false">AVERAGE(B2256:B2275)-2*STDEV(B2256:B2275)</f>
        <v>22207.6064895421</v>
      </c>
      <c r="R2275" s="19" t="n">
        <f aca="false">B2275/B2255-1</f>
        <v>0.0552357143216633</v>
      </c>
      <c r="S2275" s="17" t="n">
        <f aca="false">STDEV(C2256:C2275)*SQRT(252)*100</f>
        <v>9.70183113803125</v>
      </c>
      <c r="T2275" s="19" t="n">
        <f aca="false">B2254/B2024-1</f>
        <v>0.107760638684767</v>
      </c>
      <c r="U2275" s="19" t="n">
        <f aca="false">B2275/MAX(B2024:B2275)-1</f>
        <v>-0.00502500856339461</v>
      </c>
      <c r="V2275" s="17" t="n">
        <f aca="false">(B2275-AVERAGE(B2256:B2275))/STDEV(B2256:B2275)</f>
        <v>1.16307912346856</v>
      </c>
    </row>
    <row r="2276" customFormat="false" ht="15" hidden="false" customHeight="false" outlineLevel="0" collapsed="false">
      <c r="A2276" s="17" t="s">
        <v>2840</v>
      </c>
      <c r="B2276" s="17" t="n">
        <v>23162.41</v>
      </c>
      <c r="C2276" s="19" t="n">
        <f aca="false">B2276/B2275-1</f>
        <v>0.00428511098450457</v>
      </c>
      <c r="D2276" s="17" t="n">
        <f aca="false">AVERAGE(B2227:B2276)</f>
        <v>22036.7682</v>
      </c>
      <c r="E2276" s="17" t="n">
        <f aca="false">AVERAGE(B2077:B2276)</f>
        <v>20881.55045</v>
      </c>
      <c r="F2276" s="17" t="n">
        <f aca="false">B2276*2/13+F2275*11/13</f>
        <v>22939.7384495503</v>
      </c>
      <c r="G2276" s="17" t="n">
        <f aca="false">B2276*2/27+G2275*25/27</f>
        <v>22587.4673324841</v>
      </c>
      <c r="H2276" s="17" t="n">
        <f aca="false">F2276-G2276</f>
        <v>352.271117066201</v>
      </c>
      <c r="I2276" s="17" t="n">
        <f aca="false">H2276*2/10+I2275*8/10</f>
        <v>370.71288926005</v>
      </c>
      <c r="J2276" s="17" t="n">
        <f aca="false">H2276-I2276</f>
        <v>-18.441772193849</v>
      </c>
      <c r="K2276" s="17" t="n">
        <f aca="false">MAX(B2276-B2275,0)</f>
        <v>98.8299999999981</v>
      </c>
      <c r="L2276" s="17" t="n">
        <f aca="false">MAX(B2275-B2276,0)</f>
        <v>0</v>
      </c>
      <c r="M2276" s="17" t="n">
        <f aca="false">(M2275*13+K2276)/14</f>
        <v>81.860066834982</v>
      </c>
      <c r="N2276" s="17" t="n">
        <f aca="false">(N2275*13+L2276)/14</f>
        <v>35.6220284249154</v>
      </c>
      <c r="O2276" s="17" t="n">
        <f aca="false">IF(N2276=0,100,100-100/(1+M2276/N2276))</f>
        <v>69.6787596900521</v>
      </c>
      <c r="P2276" s="17" t="n">
        <f aca="false">AVERAGE(B2257:B2276)+2*STDEV(B2257:B2276)</f>
        <v>23300.7878154911</v>
      </c>
      <c r="Q2276" s="17" t="n">
        <f aca="false">AVERAGE(B2257:B2276)-2*STDEV(B2257:B2276)</f>
        <v>22294.0701845089</v>
      </c>
      <c r="R2276" s="19" t="n">
        <f aca="false">B2276/B2256-1</f>
        <v>0.0437975315585213</v>
      </c>
      <c r="S2276" s="17" t="n">
        <f aca="false">STDEV(C2257:C2276)*SQRT(252)*100</f>
        <v>8.52403661945533</v>
      </c>
      <c r="T2276" s="19" t="n">
        <f aca="false">B2255/B2025-1</f>
        <v>0.102581513171403</v>
      </c>
      <c r="U2276" s="19" t="n">
        <f aca="false">B2276/MAX(B2025:B2276)-1</f>
        <v>-0.00076143029828224</v>
      </c>
      <c r="V2276" s="17" t="n">
        <f aca="false">(B2276-AVERAGE(B2257:B2276))/STDEV(B2257:B2276)</f>
        <v>1.45018221104914</v>
      </c>
    </row>
    <row r="2277" customFormat="false" ht="15" hidden="false" customHeight="false" outlineLevel="0" collapsed="false">
      <c r="A2277" s="17" t="s">
        <v>2841</v>
      </c>
      <c r="B2277" s="17" t="n">
        <v>23219.87</v>
      </c>
      <c r="C2277" s="19" t="n">
        <f aca="false">B2277/B2276-1</f>
        <v>0.00248074358410877</v>
      </c>
      <c r="D2277" s="17" t="n">
        <f aca="false">AVERAGE(B2228:B2277)</f>
        <v>22083.8026</v>
      </c>
      <c r="E2277" s="17" t="n">
        <f aca="false">AVERAGE(B2078:B2277)</f>
        <v>20898.6831</v>
      </c>
      <c r="F2277" s="17" t="n">
        <f aca="false">B2277*2/13+F2276*11/13</f>
        <v>22982.835611158</v>
      </c>
      <c r="G2277" s="17" t="n">
        <f aca="false">B2277*2/27+G2276*25/27</f>
        <v>22634.3119745223</v>
      </c>
      <c r="H2277" s="17" t="n">
        <f aca="false">F2277-G2277</f>
        <v>348.523636635629</v>
      </c>
      <c r="I2277" s="17" t="n">
        <f aca="false">H2277*2/10+I2276*8/10</f>
        <v>366.275038735166</v>
      </c>
      <c r="J2277" s="17" t="n">
        <f aca="false">H2277-I2277</f>
        <v>-17.7514020995361</v>
      </c>
      <c r="K2277" s="17" t="n">
        <f aca="false">MAX(B2277-B2276,0)</f>
        <v>57.4599999999991</v>
      </c>
      <c r="L2277" s="17" t="n">
        <f aca="false">MAX(B2276-B2277,0)</f>
        <v>0</v>
      </c>
      <c r="M2277" s="17" t="n">
        <f aca="false">(M2276*13+K2277)/14</f>
        <v>80.1172049181975</v>
      </c>
      <c r="N2277" s="17" t="n">
        <f aca="false">(N2276*13+L2277)/14</f>
        <v>33.0775978231358</v>
      </c>
      <c r="O2277" s="17" t="n">
        <f aca="false">IF(N2277=0,100,100-100/(1+M2277/N2277))</f>
        <v>70.7781655852849</v>
      </c>
      <c r="P2277" s="17" t="n">
        <f aca="false">AVERAGE(B2258:B2277)+2*STDEV(B2258:B2277)</f>
        <v>23310.0424104793</v>
      </c>
      <c r="Q2277" s="17" t="n">
        <f aca="false">AVERAGE(B2258:B2277)-2*STDEV(B2258:B2277)</f>
        <v>22383.0285895207</v>
      </c>
      <c r="R2277" s="19" t="n">
        <f aca="false">B2277/B2257-1</f>
        <v>0.0441650095738144</v>
      </c>
      <c r="S2277" s="17" t="n">
        <f aca="false">STDEV(C2258:C2277)*SQRT(252)*100</f>
        <v>8.52478455796543</v>
      </c>
      <c r="T2277" s="19" t="n">
        <f aca="false">B2256/B2026-1</f>
        <v>0.123323786064227</v>
      </c>
      <c r="U2277" s="19" t="n">
        <f aca="false">B2277/MAX(B2026:B2277)-1</f>
        <v>0</v>
      </c>
      <c r="V2277" s="17" t="n">
        <f aca="false">(B2277-AVERAGE(B2258:B2277))/STDEV(B2258:B2277)</f>
        <v>1.61091233618894</v>
      </c>
    </row>
    <row r="2278" customFormat="false" ht="15" hidden="false" customHeight="false" outlineLevel="0" collapsed="false">
      <c r="A2278" s="17" t="s">
        <v>2842</v>
      </c>
      <c r="B2278" s="17" t="n">
        <v>23272.25</v>
      </c>
      <c r="C2278" s="19" t="n">
        <f aca="false">B2278/B2277-1</f>
        <v>0.00225582658300838</v>
      </c>
      <c r="D2278" s="17" t="n">
        <f aca="false">AVERAGE(B2229:B2278)</f>
        <v>22125.2936</v>
      </c>
      <c r="E2278" s="17" t="n">
        <f aca="false">AVERAGE(B2079:B2278)</f>
        <v>20914.86925</v>
      </c>
      <c r="F2278" s="17" t="n">
        <f aca="false">B2278*2/13+F2277*11/13</f>
        <v>23027.3609017491</v>
      </c>
      <c r="G2278" s="17" t="n">
        <f aca="false">B2278*2/27+G2277*25/27</f>
        <v>22681.5666430762</v>
      </c>
      <c r="H2278" s="17" t="n">
        <f aca="false">F2278-G2278</f>
        <v>345.79425867281</v>
      </c>
      <c r="I2278" s="17" t="n">
        <f aca="false">H2278*2/10+I2277*8/10</f>
        <v>362.178882722694</v>
      </c>
      <c r="J2278" s="17" t="n">
        <f aca="false">H2278-I2278</f>
        <v>-16.3846240498847</v>
      </c>
      <c r="K2278" s="17" t="n">
        <f aca="false">MAX(B2278-B2277,0)</f>
        <v>52.380000000001</v>
      </c>
      <c r="L2278" s="17" t="n">
        <f aca="false">MAX(B2277-B2278,0)</f>
        <v>0</v>
      </c>
      <c r="M2278" s="17" t="n">
        <f aca="false">(M2277*13+K2278)/14</f>
        <v>78.1359759954692</v>
      </c>
      <c r="N2278" s="17" t="n">
        <f aca="false">(N2277*13+L2278)/14</f>
        <v>30.7149122643404</v>
      </c>
      <c r="O2278" s="17" t="n">
        <f aca="false">IF(N2278=0,100,100-100/(1+M2278/N2278))</f>
        <v>71.7825800456228</v>
      </c>
      <c r="P2278" s="17" t="n">
        <f aca="false">AVERAGE(B2259:B2278)+2*STDEV(B2259:B2278)</f>
        <v>23348.5132489521</v>
      </c>
      <c r="Q2278" s="17" t="n">
        <f aca="false">AVERAGE(B2259:B2278)-2*STDEV(B2259:B2278)</f>
        <v>22427.0537510479</v>
      </c>
      <c r="R2278" s="19" t="n">
        <f aca="false">B2278/B2258-1</f>
        <v>0.0367509841945286</v>
      </c>
      <c r="S2278" s="17" t="n">
        <f aca="false">STDEV(C2259:C2278)*SQRT(252)*100</f>
        <v>8.0850384399523</v>
      </c>
      <c r="T2278" s="19" t="n">
        <f aca="false">B2257/B2027-1</f>
        <v>0.168415527424564</v>
      </c>
      <c r="U2278" s="19" t="n">
        <f aca="false">B2278/MAX(B2027:B2278)-1</f>
        <v>0</v>
      </c>
      <c r="V2278" s="17" t="n">
        <f aca="false">(B2278-AVERAGE(B2259:B2278))/STDEV(B2259:B2278)</f>
        <v>1.66894584460603</v>
      </c>
    </row>
    <row r="2279" customFormat="false" ht="15" hidden="false" customHeight="false" outlineLevel="0" collapsed="false">
      <c r="A2279" s="17" t="s">
        <v>2843</v>
      </c>
      <c r="B2279" s="17" t="n">
        <v>23356.27</v>
      </c>
      <c r="C2279" s="19" t="n">
        <f aca="false">B2279/B2278-1</f>
        <v>0.00361030841452803</v>
      </c>
      <c r="D2279" s="17" t="n">
        <f aca="false">AVERAGE(B2230:B2279)</f>
        <v>22166.0348</v>
      </c>
      <c r="E2279" s="17" t="n">
        <f aca="false">AVERAGE(B2080:B2279)</f>
        <v>20932.6469</v>
      </c>
      <c r="F2279" s="17" t="n">
        <f aca="false">B2279*2/13+F2278*11/13</f>
        <v>23077.96230148</v>
      </c>
      <c r="G2279" s="17" t="n">
        <f aca="false">B2279*2/27+G2278*25/27</f>
        <v>22731.544669515</v>
      </c>
      <c r="H2279" s="17" t="n">
        <f aca="false">F2279-G2279</f>
        <v>346.417631964927</v>
      </c>
      <c r="I2279" s="17" t="n">
        <f aca="false">H2279*2/10+I2278*8/10</f>
        <v>359.026632571141</v>
      </c>
      <c r="J2279" s="17" t="n">
        <f aca="false">H2279-I2279</f>
        <v>-12.609000606214</v>
      </c>
      <c r="K2279" s="17" t="n">
        <f aca="false">MAX(B2279-B2278,0)</f>
        <v>84.0200000000004</v>
      </c>
      <c r="L2279" s="17" t="n">
        <f aca="false">MAX(B2278-B2279,0)</f>
        <v>0</v>
      </c>
      <c r="M2279" s="17" t="n">
        <f aca="false">(M2278*13+K2279)/14</f>
        <v>78.5562634243643</v>
      </c>
      <c r="N2279" s="17" t="n">
        <f aca="false">(N2278*13+L2279)/14</f>
        <v>28.5209899597446</v>
      </c>
      <c r="O2279" s="17" t="n">
        <f aca="false">IF(N2279=0,100,100-100/(1+M2279/N2279))</f>
        <v>73.3641001628668</v>
      </c>
      <c r="P2279" s="17" t="n">
        <f aca="false">AVERAGE(B2260:B2279)+2*STDEV(B2260:B2279)</f>
        <v>23403.2752237422</v>
      </c>
      <c r="Q2279" s="17" t="n">
        <f aca="false">AVERAGE(B2260:B2279)-2*STDEV(B2260:B2279)</f>
        <v>22454.4987762578</v>
      </c>
      <c r="R2279" s="19" t="n">
        <f aca="false">B2279/B2259-1</f>
        <v>0.0364809933345758</v>
      </c>
      <c r="S2279" s="17" t="n">
        <f aca="false">STDEV(C2260:C2279)*SQRT(252)*100</f>
        <v>8.07676137425774</v>
      </c>
      <c r="T2279" s="19" t="n">
        <f aca="false">B2258/B2028-1</f>
        <v>0.192065778111986</v>
      </c>
      <c r="U2279" s="19" t="n">
        <f aca="false">B2279/MAX(B2028:B2279)-1</f>
        <v>0</v>
      </c>
      <c r="V2279" s="17" t="n">
        <f aca="false">(B2279-AVERAGE(B2260:B2279))/STDEV(B2260:B2279)</f>
        <v>1.80182803286564</v>
      </c>
    </row>
    <row r="2280" customFormat="false" ht="15" hidden="false" customHeight="false" outlineLevel="0" collapsed="false">
      <c r="A2280" s="17" t="s">
        <v>2844</v>
      </c>
      <c r="B2280" s="17" t="n">
        <v>23308.3</v>
      </c>
      <c r="C2280" s="19" t="n">
        <f aca="false">B2280/B2279-1</f>
        <v>-0.00205383821988703</v>
      </c>
      <c r="D2280" s="17" t="n">
        <f aca="false">AVERAGE(B2231:B2280)</f>
        <v>22205.4844</v>
      </c>
      <c r="E2280" s="17" t="n">
        <f aca="false">AVERAGE(B2081:B2280)</f>
        <v>20948.6495</v>
      </c>
      <c r="F2280" s="17" t="n">
        <f aca="false">B2280*2/13+F2279*11/13</f>
        <v>23113.398870483</v>
      </c>
      <c r="G2280" s="17" t="n">
        <f aca="false">B2280*2/27+G2279*25/27</f>
        <v>22774.267286588</v>
      </c>
      <c r="H2280" s="17" t="n">
        <f aca="false">F2280-G2280</f>
        <v>339.13158389505</v>
      </c>
      <c r="I2280" s="17" t="n">
        <f aca="false">H2280*2/10+I2279*8/10</f>
        <v>355.047622835923</v>
      </c>
      <c r="J2280" s="17" t="n">
        <f aca="false">H2280-I2280</f>
        <v>-15.9160389408723</v>
      </c>
      <c r="K2280" s="17" t="n">
        <f aca="false">MAX(B2280-B2279,0)</f>
        <v>0</v>
      </c>
      <c r="L2280" s="17" t="n">
        <f aca="false">MAX(B2279-B2280,0)</f>
        <v>47.9700000000012</v>
      </c>
      <c r="M2280" s="17" t="n">
        <f aca="false">(M2279*13+K2280)/14</f>
        <v>72.9451017511954</v>
      </c>
      <c r="N2280" s="17" t="n">
        <f aca="false">(N2279*13+L2280)/14</f>
        <v>29.9102049626201</v>
      </c>
      <c r="O2280" s="17" t="n">
        <f aca="false">IF(N2280=0,100,100-100/(1+M2280/N2280))</f>
        <v>70.9201149476495</v>
      </c>
      <c r="P2280" s="17" t="n">
        <f aca="false">AVERAGE(B2261:B2280)+2*STDEV(B2261:B2280)</f>
        <v>23448.241759804</v>
      </c>
      <c r="Q2280" s="17" t="n">
        <f aca="false">AVERAGE(B2261:B2280)-2*STDEV(B2261:B2280)</f>
        <v>22472.461240196</v>
      </c>
      <c r="R2280" s="19" t="n">
        <f aca="false">B2280/B2260-1</f>
        <v>0.0277476838715622</v>
      </c>
      <c r="S2280" s="17" t="n">
        <f aca="false">STDEV(C2261:C2280)*SQRT(252)*100</f>
        <v>7.99379492900021</v>
      </c>
      <c r="T2280" s="19" t="n">
        <f aca="false">B2259/B2029-1</f>
        <v>0.184535467938346</v>
      </c>
      <c r="U2280" s="19" t="n">
        <f aca="false">B2280/MAX(B2029:B2280)-1</f>
        <v>-0.00205383821988703</v>
      </c>
      <c r="V2280" s="17" t="n">
        <f aca="false">(B2280-AVERAGE(B2261:B2280))/STDEV(B2261:B2280)</f>
        <v>1.42633919414504</v>
      </c>
    </row>
    <row r="2281" customFormat="false" ht="15" hidden="false" customHeight="false" outlineLevel="0" collapsed="false">
      <c r="A2281" s="17" t="s">
        <v>2845</v>
      </c>
      <c r="B2281" s="17" t="n">
        <v>23345.41</v>
      </c>
      <c r="C2281" s="19" t="n">
        <f aca="false">B2281/B2280-1</f>
        <v>0.00159213670666669</v>
      </c>
      <c r="D2281" s="17" t="n">
        <f aca="false">AVERAGE(B2232:B2281)</f>
        <v>22243.8338</v>
      </c>
      <c r="E2281" s="17" t="n">
        <f aca="false">AVERAGE(B2082:B2281)</f>
        <v>20964.03225</v>
      </c>
      <c r="F2281" s="17" t="n">
        <f aca="false">B2281*2/13+F2280*11/13</f>
        <v>23149.0928904087</v>
      </c>
      <c r="G2281" s="17" t="n">
        <f aca="false">B2281*2/27+G2280*25/27</f>
        <v>22816.5741542481</v>
      </c>
      <c r="H2281" s="17" t="n">
        <f aca="false">F2281-G2281</f>
        <v>332.518736160589</v>
      </c>
      <c r="I2281" s="17" t="n">
        <f aca="false">H2281*2/10+I2280*8/10</f>
        <v>350.541845500856</v>
      </c>
      <c r="J2281" s="17" t="n">
        <f aca="false">H2281-I2281</f>
        <v>-18.0231093402666</v>
      </c>
      <c r="K2281" s="17" t="n">
        <f aca="false">MAX(B2281-B2280,0)</f>
        <v>37.1100000000006</v>
      </c>
      <c r="L2281" s="17" t="n">
        <f aca="false">MAX(B2280-B2281,0)</f>
        <v>0</v>
      </c>
      <c r="M2281" s="17" t="n">
        <f aca="false">(M2280*13+K2281)/14</f>
        <v>70.3854516261101</v>
      </c>
      <c r="N2281" s="17" t="n">
        <f aca="false">(N2280*13+L2281)/14</f>
        <v>27.7737617510044</v>
      </c>
      <c r="O2281" s="17" t="n">
        <f aca="false">IF(N2281=0,100,100-100/(1+M2281/N2281))</f>
        <v>71.7053949441289</v>
      </c>
      <c r="P2281" s="17" t="n">
        <f aca="false">AVERAGE(B2262:B2281)+2*STDEV(B2262:B2281)</f>
        <v>23464.5611860336</v>
      </c>
      <c r="Q2281" s="17" t="n">
        <f aca="false">AVERAGE(B2262:B2281)-2*STDEV(B2262:B2281)</f>
        <v>22542.8698139664</v>
      </c>
      <c r="R2281" s="19" t="n">
        <f aca="false">B2281/B2261-1</f>
        <v>0.038583280726644</v>
      </c>
      <c r="S2281" s="17" t="n">
        <f aca="false">STDEV(C2262:C2281)*SQRT(252)*100</f>
        <v>7.01981531360408</v>
      </c>
      <c r="T2281" s="19" t="n">
        <f aca="false">B2260/B2030-1</f>
        <v>0.189906445555468</v>
      </c>
      <c r="U2281" s="19" t="n">
        <f aca="false">B2281/MAX(B2030:B2281)-1</f>
        <v>-0.000464971504439693</v>
      </c>
      <c r="V2281" s="17" t="n">
        <f aca="false">(B2281-AVERAGE(B2262:B2281))/STDEV(B2262:B2281)</f>
        <v>1.48290202276117</v>
      </c>
    </row>
    <row r="2282" customFormat="false" ht="15" hidden="false" customHeight="false" outlineLevel="0" collapsed="false">
      <c r="A2282" s="17" t="s">
        <v>2846</v>
      </c>
      <c r="B2282" s="17" t="n">
        <v>23218.12</v>
      </c>
      <c r="C2282" s="19" t="n">
        <f aca="false">B2282/B2281-1</f>
        <v>-0.00545246367487229</v>
      </c>
      <c r="D2282" s="17" t="n">
        <f aca="false">AVERAGE(B2233:B2282)</f>
        <v>22279.2552</v>
      </c>
      <c r="E2282" s="17" t="n">
        <f aca="false">AVERAGE(B2083:B2282)</f>
        <v>20978.91405</v>
      </c>
      <c r="F2282" s="17" t="n">
        <f aca="false">B2282*2/13+F2281*11/13</f>
        <v>23159.7124457305</v>
      </c>
      <c r="G2282" s="17" t="n">
        <f aca="false">B2282*2/27+G2281*25/27</f>
        <v>22846.3182909705</v>
      </c>
      <c r="H2282" s="17" t="n">
        <f aca="false">F2282-G2282</f>
        <v>313.394154759964</v>
      </c>
      <c r="I2282" s="17" t="n">
        <f aca="false">H2282*2/10+I2281*8/10</f>
        <v>343.112307352678</v>
      </c>
      <c r="J2282" s="17" t="n">
        <f aca="false">H2282-I2282</f>
        <v>-29.7181525927134</v>
      </c>
      <c r="K2282" s="17" t="n">
        <f aca="false">MAX(B2282-B2281,0)</f>
        <v>0</v>
      </c>
      <c r="L2282" s="17" t="n">
        <f aca="false">MAX(B2281-B2282,0)</f>
        <v>127.290000000001</v>
      </c>
      <c r="M2282" s="17" t="n">
        <f aca="false">(M2281*13+K2282)/14</f>
        <v>65.3579193671022</v>
      </c>
      <c r="N2282" s="17" t="n">
        <f aca="false">(N2281*13+L2282)/14</f>
        <v>34.8820644830755</v>
      </c>
      <c r="O2282" s="17" t="n">
        <f aca="false">IF(N2282=0,100,100-100/(1+M2282/N2282))</f>
        <v>65.2014464255985</v>
      </c>
      <c r="P2282" s="17" t="n">
        <f aca="false">AVERAGE(B2263:B2282)+2*STDEV(B2263:B2282)</f>
        <v>23469.5621284496</v>
      </c>
      <c r="Q2282" s="17" t="n">
        <f aca="false">AVERAGE(B2263:B2282)-2*STDEV(B2263:B2282)</f>
        <v>22595.4918715504</v>
      </c>
      <c r="R2282" s="19" t="n">
        <f aca="false">B2282/B2262-1</f>
        <v>0.0254497305657788</v>
      </c>
      <c r="S2282" s="17" t="n">
        <f aca="false">STDEV(C2263:C2282)*SQRT(252)*100</f>
        <v>7.17903540415844</v>
      </c>
      <c r="T2282" s="19" t="n">
        <f aca="false">B2261/B2031-1</f>
        <v>0.195882480939037</v>
      </c>
      <c r="U2282" s="19" t="n">
        <f aca="false">B2282/MAX(B2031:B2282)-1</f>
        <v>-0.00591489993907424</v>
      </c>
      <c r="V2282" s="17" t="n">
        <f aca="false">(B2282-AVERAGE(B2263:B2282))/STDEV(B2263:B2282)</f>
        <v>0.849327607409523</v>
      </c>
    </row>
    <row r="2283" customFormat="false" ht="15" hidden="false" customHeight="false" outlineLevel="0" collapsed="false">
      <c r="A2283" s="17" t="s">
        <v>2847</v>
      </c>
      <c r="B2283" s="17" t="n">
        <v>22763.31</v>
      </c>
      <c r="C2283" s="19" t="n">
        <f aca="false">B2283/B2282-1</f>
        <v>-0.0195885799539325</v>
      </c>
      <c r="D2283" s="17" t="n">
        <f aca="false">AVERAGE(B2234:B2283)</f>
        <v>22307.174</v>
      </c>
      <c r="E2283" s="17" t="n">
        <f aca="false">AVERAGE(B2084:B2283)</f>
        <v>20991.37075</v>
      </c>
      <c r="F2283" s="17" t="n">
        <f aca="false">B2283*2/13+F2282*11/13</f>
        <v>23098.7274540796</v>
      </c>
      <c r="G2283" s="17" t="n">
        <f aca="false">B2283*2/27+G2282*25/27</f>
        <v>22840.1695286764</v>
      </c>
      <c r="H2283" s="17" t="n">
        <f aca="false">F2283-G2283</f>
        <v>258.557925403238</v>
      </c>
      <c r="I2283" s="17" t="n">
        <f aca="false">H2283*2/10+I2282*8/10</f>
        <v>326.20143096279</v>
      </c>
      <c r="J2283" s="17" t="n">
        <f aca="false">H2283-I2283</f>
        <v>-67.6435055595516</v>
      </c>
      <c r="K2283" s="17" t="n">
        <f aca="false">MAX(B2283-B2282,0)</f>
        <v>0</v>
      </c>
      <c r="L2283" s="17" t="n">
        <f aca="false">MAX(B2282-B2283,0)</f>
        <v>454.809999999998</v>
      </c>
      <c r="M2283" s="17" t="n">
        <f aca="false">(M2282*13+K2283)/14</f>
        <v>60.6894965551663</v>
      </c>
      <c r="N2283" s="17" t="n">
        <f aca="false">(N2282*13+L2283)/14</f>
        <v>64.8769170199986</v>
      </c>
      <c r="O2283" s="17" t="n">
        <f aca="false">IF(N2283=0,100,100-100/(1+M2283/N2283))</f>
        <v>48.3325873752357</v>
      </c>
      <c r="P2283" s="17" t="n">
        <f aca="false">AVERAGE(B2264:B2283)+2*STDEV(B2264:B2283)</f>
        <v>23474.9763667052</v>
      </c>
      <c r="Q2283" s="17" t="n">
        <f aca="false">AVERAGE(B2264:B2283)-2*STDEV(B2264:B2283)</f>
        <v>22579.7116332948</v>
      </c>
      <c r="R2283" s="19" t="n">
        <f aca="false">B2283/B2263-1</f>
        <v>-0.00453317601763592</v>
      </c>
      <c r="S2283" s="17" t="n">
        <f aca="false">STDEV(C2264:C2283)*SQRT(252)*100</f>
        <v>9.66780710808872</v>
      </c>
      <c r="T2283" s="19" t="n">
        <f aca="false">B2262/B2032-1</f>
        <v>0.16937233601361</v>
      </c>
      <c r="U2283" s="19" t="n">
        <f aca="false">B2283/MAX(B2032:B2283)-1</f>
        <v>-0.0253876154026306</v>
      </c>
      <c r="V2283" s="17" t="n">
        <f aca="false">(B2283-AVERAGE(B2264:B2283))/STDEV(B2264:B2283)</f>
        <v>-1.17969128078659</v>
      </c>
    </row>
    <row r="2284" customFormat="false" ht="15" hidden="false" customHeight="false" outlineLevel="0" collapsed="false">
      <c r="A2284" s="17" t="s">
        <v>2848</v>
      </c>
      <c r="B2284" s="17" t="n">
        <v>23188.61</v>
      </c>
      <c r="C2284" s="19" t="n">
        <f aca="false">B2284/B2283-1</f>
        <v>0.0186835745768079</v>
      </c>
      <c r="D2284" s="17" t="n">
        <f aca="false">AVERAGE(B2235:B2284)</f>
        <v>22349.339</v>
      </c>
      <c r="E2284" s="17" t="n">
        <f aca="false">AVERAGE(B2085:B2284)</f>
        <v>21005.11855</v>
      </c>
      <c r="F2284" s="17" t="n">
        <f aca="false">B2284*2/13+F2283*11/13</f>
        <v>23112.5555380674</v>
      </c>
      <c r="G2284" s="17" t="n">
        <f aca="false">B2284*2/27+G2283*25/27</f>
        <v>22865.9799339596</v>
      </c>
      <c r="H2284" s="17" t="n">
        <f aca="false">F2284-G2284</f>
        <v>246.575604107758</v>
      </c>
      <c r="I2284" s="17" t="n">
        <f aca="false">H2284*2/10+I2283*8/10</f>
        <v>310.276265591784</v>
      </c>
      <c r="J2284" s="17" t="n">
        <f aca="false">H2284-I2284</f>
        <v>-63.7006614840251</v>
      </c>
      <c r="K2284" s="17" t="n">
        <f aca="false">MAX(B2284-B2283,0)</f>
        <v>425.299999999999</v>
      </c>
      <c r="L2284" s="17" t="n">
        <f aca="false">MAX(B2283-B2284,0)</f>
        <v>0</v>
      </c>
      <c r="M2284" s="17" t="n">
        <f aca="false">(M2283*13+K2284)/14</f>
        <v>86.733103944083</v>
      </c>
      <c r="N2284" s="17" t="n">
        <f aca="false">(N2283*13+L2284)/14</f>
        <v>60.2428515185701</v>
      </c>
      <c r="O2284" s="17" t="n">
        <f aca="false">IF(N2284=0,100,100-100/(1+M2284/N2284))</f>
        <v>59.011763979396</v>
      </c>
      <c r="P2284" s="17" t="n">
        <f aca="false">AVERAGE(B2265:B2284)+2*STDEV(B2265:B2284)</f>
        <v>23475.1006524466</v>
      </c>
      <c r="Q2284" s="17" t="n">
        <f aca="false">AVERAGE(B2265:B2284)-2*STDEV(B2265:B2284)</f>
        <v>22629.8913475534</v>
      </c>
      <c r="R2284" s="19" t="n">
        <f aca="false">B2284/B2264-1</f>
        <v>0.0221744483387458</v>
      </c>
      <c r="S2284" s="17" t="n">
        <f aca="false">STDEV(C2265:C2284)*SQRT(252)*100</f>
        <v>11.3224990534128</v>
      </c>
      <c r="T2284" s="19" t="n">
        <f aca="false">B2263/B2033-1</f>
        <v>0.210508094327327</v>
      </c>
      <c r="U2284" s="19" t="n">
        <f aca="false">B2284/MAX(B2033:B2284)-1</f>
        <v>-0.00717837223152495</v>
      </c>
      <c r="V2284" s="17" t="n">
        <f aca="false">(B2284-AVERAGE(B2265:B2284))/STDEV(B2265:B2284)</f>
        <v>0.64416706826111</v>
      </c>
    </row>
    <row r="2285" customFormat="false" ht="15" hidden="false" customHeight="false" outlineLevel="0" collapsed="false">
      <c r="A2285" s="17" t="s">
        <v>2849</v>
      </c>
      <c r="B2285" s="17" t="n">
        <v>23018.56</v>
      </c>
      <c r="C2285" s="19" t="n">
        <f aca="false">B2285/B2284-1</f>
        <v>-0.00733334167075983</v>
      </c>
      <c r="D2285" s="17" t="n">
        <f aca="false">AVERAGE(B2236:B2285)</f>
        <v>22387.4608</v>
      </c>
      <c r="E2285" s="17" t="n">
        <f aca="false">AVERAGE(B2086:B2285)</f>
        <v>21019.4122</v>
      </c>
      <c r="F2285" s="17" t="n">
        <f aca="false">B2285*2/13+F2284*11/13</f>
        <v>23098.094686057</v>
      </c>
      <c r="G2285" s="17" t="n">
        <f aca="false">B2285*2/27+G2284*25/27</f>
        <v>22877.2821610737</v>
      </c>
      <c r="H2285" s="17" t="n">
        <f aca="false">F2285-G2285</f>
        <v>220.812524983288</v>
      </c>
      <c r="I2285" s="17" t="n">
        <f aca="false">H2285*2/10+I2284*8/10</f>
        <v>292.383517470085</v>
      </c>
      <c r="J2285" s="17" t="n">
        <f aca="false">H2285-I2285</f>
        <v>-71.5709924867962</v>
      </c>
      <c r="K2285" s="17" t="n">
        <f aca="false">MAX(B2285-B2284,0)</f>
        <v>0</v>
      </c>
      <c r="L2285" s="17" t="n">
        <f aca="false">MAX(B2284-B2285,0)</f>
        <v>170.049999999999</v>
      </c>
      <c r="M2285" s="17" t="n">
        <f aca="false">(M2284*13+K2285)/14</f>
        <v>80.5378822337913</v>
      </c>
      <c r="N2285" s="17" t="n">
        <f aca="false">(N2284*13+L2285)/14</f>
        <v>68.0862192672436</v>
      </c>
      <c r="O2285" s="17" t="n">
        <f aca="false">IF(N2285=0,100,100-100/(1+M2285/N2285))</f>
        <v>54.1889783826417</v>
      </c>
      <c r="P2285" s="17" t="n">
        <f aca="false">AVERAGE(B2266:B2285)+2*STDEV(B2266:B2285)</f>
        <v>23458.1296975864</v>
      </c>
      <c r="Q2285" s="17" t="n">
        <f aca="false">AVERAGE(B2266:B2285)-2*STDEV(B2266:B2285)</f>
        <v>22678.4933024136</v>
      </c>
      <c r="R2285" s="19" t="n">
        <f aca="false">B2285/B2265-1</f>
        <v>0.0139329802112127</v>
      </c>
      <c r="S2285" s="17" t="n">
        <f aca="false">STDEV(C2266:C2285)*SQRT(252)*100</f>
        <v>11.7144506151173</v>
      </c>
      <c r="T2285" s="19" t="n">
        <f aca="false">B2264/B2034-1</f>
        <v>0.23018027910861</v>
      </c>
      <c r="U2285" s="19" t="n">
        <f aca="false">B2285/MAX(B2034:B2285)-1</f>
        <v>-0.0144590724460711</v>
      </c>
      <c r="V2285" s="17" t="n">
        <f aca="false">(B2285-AVERAGE(B2266:B2285))/STDEV(B2266:B2285)</f>
        <v>-0.255254887062974</v>
      </c>
    </row>
    <row r="2286" customFormat="false" ht="15" hidden="false" customHeight="false" outlineLevel="0" collapsed="false">
      <c r="A2286" s="17" t="s">
        <v>2850</v>
      </c>
      <c r="B2286" s="17" t="n">
        <v>23315.04</v>
      </c>
      <c r="C2286" s="19" t="n">
        <f aca="false">B2286/B2285-1</f>
        <v>0.012880041149403</v>
      </c>
      <c r="D2286" s="17" t="n">
        <f aca="false">AVERAGE(B2237:B2286)</f>
        <v>22435.4484</v>
      </c>
      <c r="E2286" s="17" t="n">
        <f aca="false">AVERAGE(B2087:B2286)</f>
        <v>21035.11715</v>
      </c>
      <c r="F2286" s="17" t="n">
        <f aca="false">B2286*2/13+F2285*11/13</f>
        <v>23131.4708882021</v>
      </c>
      <c r="G2286" s="17" t="n">
        <f aca="false">B2286*2/27+G2285*25/27</f>
        <v>22909.7086676609</v>
      </c>
      <c r="H2286" s="17" t="n">
        <f aca="false">F2286-G2286</f>
        <v>221.76222054123</v>
      </c>
      <c r="I2286" s="17" t="n">
        <f aca="false">H2286*2/10+I2285*8/10</f>
        <v>278.259258084314</v>
      </c>
      <c r="J2286" s="17" t="n">
        <f aca="false">H2286-I2286</f>
        <v>-56.4970375430837</v>
      </c>
      <c r="K2286" s="17" t="n">
        <f aca="false">MAX(B2286-B2285,0)</f>
        <v>296.48</v>
      </c>
      <c r="L2286" s="17" t="n">
        <f aca="false">MAX(B2285-B2286,0)</f>
        <v>0</v>
      </c>
      <c r="M2286" s="17" t="n">
        <f aca="false">(M2285*13+K2286)/14</f>
        <v>95.9623192170919</v>
      </c>
      <c r="N2286" s="17" t="n">
        <f aca="false">(N2285*13+L2286)/14</f>
        <v>63.2229178910119</v>
      </c>
      <c r="O2286" s="17" t="n">
        <f aca="false">IF(N2286=0,100,100-100/(1+M2286/N2286))</f>
        <v>60.2834288910367</v>
      </c>
      <c r="P2286" s="17" t="n">
        <f aca="false">AVERAGE(B2267:B2286)+2*STDEV(B2267:B2286)</f>
        <v>23483.158751662</v>
      </c>
      <c r="Q2286" s="17" t="n">
        <f aca="false">AVERAGE(B2267:B2286)-2*STDEV(B2267:B2286)</f>
        <v>22698.477248338</v>
      </c>
      <c r="R2286" s="19" t="n">
        <f aca="false">B2286/B2266-1</f>
        <v>0.0196864977819724</v>
      </c>
      <c r="S2286" s="17" t="n">
        <f aca="false">STDEV(C2267:C2286)*SQRT(252)*100</f>
        <v>12.2929843304196</v>
      </c>
      <c r="T2286" s="19" t="n">
        <f aca="false">B2265/B2035-1</f>
        <v>0.268625147805328</v>
      </c>
      <c r="U2286" s="19" t="n">
        <f aca="false">B2286/MAX(B2035:B2286)-1</f>
        <v>-0.00176526474475591</v>
      </c>
      <c r="V2286" s="17" t="n">
        <f aca="false">(B2286-AVERAGE(B2267:B2286))/STDEV(B2267:B2286)</f>
        <v>1.14299622993608</v>
      </c>
    </row>
    <row r="2287" customFormat="false" ht="15" hidden="false" customHeight="false" outlineLevel="0" collapsed="false">
      <c r="A2287" s="17" t="s">
        <v>2851</v>
      </c>
      <c r="B2287" s="17" t="n">
        <v>23389.53</v>
      </c>
      <c r="C2287" s="19" t="n">
        <f aca="false">B2287/B2286-1</f>
        <v>0.0031949333992134</v>
      </c>
      <c r="D2287" s="17" t="n">
        <f aca="false">AVERAGE(B2238:B2287)</f>
        <v>22474.9392</v>
      </c>
      <c r="E2287" s="17" t="n">
        <f aca="false">AVERAGE(B2088:B2287)</f>
        <v>21051.1127</v>
      </c>
      <c r="F2287" s="17" t="n">
        <f aca="false">B2287*2/13+F2286*11/13</f>
        <v>23171.1722900171</v>
      </c>
      <c r="G2287" s="17" t="n">
        <f aca="false">B2287*2/27+G2286*25/27</f>
        <v>22945.2509885749</v>
      </c>
      <c r="H2287" s="17" t="n">
        <f aca="false">F2287-G2287</f>
        <v>225.921301442286</v>
      </c>
      <c r="I2287" s="17" t="n">
        <f aca="false">H2287*2/10+I2286*8/10</f>
        <v>267.791666755908</v>
      </c>
      <c r="J2287" s="17" t="n">
        <f aca="false">H2287-I2287</f>
        <v>-41.8703653136222</v>
      </c>
      <c r="K2287" s="17" t="n">
        <f aca="false">MAX(B2287-B2286,0)</f>
        <v>74.489999999998</v>
      </c>
      <c r="L2287" s="17" t="n">
        <f aca="false">MAX(B2286-B2287,0)</f>
        <v>0</v>
      </c>
      <c r="M2287" s="17" t="n">
        <f aca="false">(M2286*13+K2287)/14</f>
        <v>94.4285821301567</v>
      </c>
      <c r="N2287" s="17" t="n">
        <f aca="false">(N2286*13+L2287)/14</f>
        <v>58.7069951845111</v>
      </c>
      <c r="O2287" s="17" t="n">
        <f aca="false">IF(N2287=0,100,100-100/(1+M2287/N2287))</f>
        <v>61.6633859916967</v>
      </c>
      <c r="P2287" s="17" t="n">
        <f aca="false">AVERAGE(B2268:B2287)+2*STDEV(B2268:B2287)</f>
        <v>23512.5438338455</v>
      </c>
      <c r="Q2287" s="17" t="n">
        <f aca="false">AVERAGE(B2268:B2287)-2*STDEV(B2268:B2287)</f>
        <v>22725.1191661545</v>
      </c>
      <c r="R2287" s="19" t="n">
        <f aca="false">B2287/B2267-1</f>
        <v>0.0245417503677299</v>
      </c>
      <c r="S2287" s="17" t="n">
        <f aca="false">STDEV(C2268:C2287)*SQRT(252)*100</f>
        <v>12.2773455487514</v>
      </c>
      <c r="T2287" s="19" t="n">
        <f aca="false">B2266/B2036-1</f>
        <v>0.264797609459496</v>
      </c>
      <c r="U2287" s="19" t="n">
        <f aca="false">B2287/MAX(B2036:B2287)-1</f>
        <v>0</v>
      </c>
      <c r="V2287" s="17" t="n">
        <f aca="false">(B2287-AVERAGE(B2268:B2287))/STDEV(B2268:B2287)</f>
        <v>1.37510805087552</v>
      </c>
    </row>
    <row r="2288" customFormat="false" ht="15" hidden="false" customHeight="false" outlineLevel="0" collapsed="false">
      <c r="A2288" s="17" t="s">
        <v>2852</v>
      </c>
      <c r="B2288" s="17" t="n">
        <v>23611.27</v>
      </c>
      <c r="C2288" s="19" t="n">
        <f aca="false">B2288/B2287-1</f>
        <v>0.00948031020717388</v>
      </c>
      <c r="D2288" s="17" t="n">
        <f aca="false">AVERAGE(B2239:B2288)</f>
        <v>22520.8012</v>
      </c>
      <c r="E2288" s="17" t="n">
        <f aca="false">AVERAGE(B2089:B2288)</f>
        <v>21067.54885</v>
      </c>
      <c r="F2288" s="17" t="n">
        <f aca="false">B2288*2/13+F2287*11/13</f>
        <v>23238.8796300145</v>
      </c>
      <c r="G2288" s="17" t="n">
        <f aca="false">B2288*2/27+G2287*25/27</f>
        <v>22994.5857301619</v>
      </c>
      <c r="H2288" s="17" t="n">
        <f aca="false">F2288-G2288</f>
        <v>244.293899852597</v>
      </c>
      <c r="I2288" s="17" t="n">
        <f aca="false">H2288*2/10+I2287*8/10</f>
        <v>263.092113375246</v>
      </c>
      <c r="J2288" s="17" t="n">
        <f aca="false">H2288-I2288</f>
        <v>-18.7982135226488</v>
      </c>
      <c r="K2288" s="17" t="n">
        <f aca="false">MAX(B2288-B2287,0)</f>
        <v>221.740000000002</v>
      </c>
      <c r="L2288" s="17" t="n">
        <f aca="false">MAX(B2287-B2288,0)</f>
        <v>0</v>
      </c>
      <c r="M2288" s="17" t="n">
        <f aca="false">(M2287*13+K2288)/14</f>
        <v>103.522254835146</v>
      </c>
      <c r="N2288" s="17" t="n">
        <f aca="false">(N2287*13+L2288)/14</f>
        <v>54.5136383856174</v>
      </c>
      <c r="O2288" s="17" t="n">
        <f aca="false">IF(N2288=0,100,100-100/(1+M2288/N2288))</f>
        <v>65.5055334110294</v>
      </c>
      <c r="P2288" s="17" t="n">
        <f aca="false">AVERAGE(B2269:B2288)+2*STDEV(B2269:B2288)</f>
        <v>23578.3524475325</v>
      </c>
      <c r="Q2288" s="17" t="n">
        <f aca="false">AVERAGE(B2269:B2288)-2*STDEV(B2269:B2288)</f>
        <v>22742.3775524675</v>
      </c>
      <c r="R2288" s="19" t="n">
        <f aca="false">B2288/B2268-1</f>
        <v>0.0364639210556352</v>
      </c>
      <c r="S2288" s="17" t="n">
        <f aca="false">STDEV(C2269:C2288)*SQRT(252)*100</f>
        <v>12.5432478372177</v>
      </c>
      <c r="T2288" s="19" t="n">
        <f aca="false">B2267/B2037-1</f>
        <v>0.27770679176622</v>
      </c>
      <c r="U2288" s="19" t="n">
        <f aca="false">B2288/MAX(B2037:B2288)-1</f>
        <v>0</v>
      </c>
      <c r="V2288" s="17" t="n">
        <f aca="false">(B2288-AVERAGE(B2269:B2288))/STDEV(B2269:B2288)</f>
        <v>2.15750498088793</v>
      </c>
    </row>
    <row r="2289" customFormat="false" ht="15" hidden="false" customHeight="false" outlineLevel="0" collapsed="false">
      <c r="A2289" s="17" t="s">
        <v>2853</v>
      </c>
      <c r="B2289" s="17" t="n">
        <v>23526.63</v>
      </c>
      <c r="C2289" s="19" t="n">
        <f aca="false">B2289/B2288-1</f>
        <v>-0.00358472881806016</v>
      </c>
      <c r="D2289" s="17" t="n">
        <f aca="false">AVERAGE(B2240:B2289)</f>
        <v>22564.0548</v>
      </c>
      <c r="E2289" s="17" t="n">
        <f aca="false">AVERAGE(B2090:B2289)</f>
        <v>21083.37465</v>
      </c>
      <c r="F2289" s="17" t="n">
        <f aca="false">B2289*2/13+F2288*11/13</f>
        <v>23283.1489177046</v>
      </c>
      <c r="G2289" s="17" t="n">
        <f aca="false">B2289*2/27+G2288*25/27</f>
        <v>23033.9964168166</v>
      </c>
      <c r="H2289" s="17" t="n">
        <f aca="false">F2289-G2289</f>
        <v>249.152500888002</v>
      </c>
      <c r="I2289" s="17" t="n">
        <f aca="false">H2289*2/10+I2288*8/10</f>
        <v>260.304190877797</v>
      </c>
      <c r="J2289" s="17" t="n">
        <f aca="false">H2289-I2289</f>
        <v>-11.1516899897953</v>
      </c>
      <c r="K2289" s="17" t="n">
        <f aca="false">MAX(B2289-B2288,0)</f>
        <v>0</v>
      </c>
      <c r="L2289" s="17" t="n">
        <f aca="false">MAX(B2288-B2289,0)</f>
        <v>84.6399999999994</v>
      </c>
      <c r="M2289" s="17" t="n">
        <f aca="false">(M2288*13+K2289)/14</f>
        <v>96.1278080612066</v>
      </c>
      <c r="N2289" s="17" t="n">
        <f aca="false">(N2288*13+L2289)/14</f>
        <v>56.6655213580733</v>
      </c>
      <c r="O2289" s="17" t="n">
        <f aca="false">IF(N2289=0,100,100-100/(1+M2289/N2289))</f>
        <v>62.9136156837204</v>
      </c>
      <c r="P2289" s="17" t="n">
        <f aca="false">AVERAGE(B2270:B2289)+2*STDEV(B2270:B2289)</f>
        <v>23616.6040694738</v>
      </c>
      <c r="Q2289" s="17" t="n">
        <f aca="false">AVERAGE(B2270:B2289)-2*STDEV(B2270:B2289)</f>
        <v>22771.2259305262</v>
      </c>
      <c r="R2289" s="19" t="n">
        <f aca="false">B2289/B2269-1</f>
        <v>0.0293581931454088</v>
      </c>
      <c r="S2289" s="17" t="n">
        <f aca="false">STDEV(C2270:C2289)*SQRT(252)*100</f>
        <v>12.6731734079307</v>
      </c>
      <c r="T2289" s="19" t="n">
        <f aca="false">B2268/B2038-1</f>
        <v>0.237146882070097</v>
      </c>
      <c r="U2289" s="19" t="n">
        <f aca="false">B2289/MAX(B2038:B2289)-1</f>
        <v>-0.00358472881806016</v>
      </c>
      <c r="V2289" s="17" t="n">
        <f aca="false">(B2289-AVERAGE(B2270:B2289))/STDEV(B2270:B2289)</f>
        <v>1.57427775652769</v>
      </c>
    </row>
    <row r="2290" customFormat="false" ht="15" hidden="false" customHeight="false" outlineLevel="0" collapsed="false">
      <c r="A2290" s="17" t="s">
        <v>2854</v>
      </c>
      <c r="B2290" s="17" t="n">
        <v>23839.2</v>
      </c>
      <c r="C2290" s="19" t="n">
        <f aca="false">B2290/B2289-1</f>
        <v>0.0132857957131982</v>
      </c>
      <c r="D2290" s="17" t="n">
        <f aca="false">AVERAGE(B2241:B2290)</f>
        <v>22614.019</v>
      </c>
      <c r="E2290" s="17" t="n">
        <f aca="false">AVERAGE(B2091:B2290)</f>
        <v>21100.61835</v>
      </c>
      <c r="F2290" s="17" t="n">
        <f aca="false">B2290*2/13+F2289*11/13</f>
        <v>23368.6952380577</v>
      </c>
      <c r="G2290" s="17" t="n">
        <f aca="false">B2290*2/27+G2289*25/27</f>
        <v>23093.641126682</v>
      </c>
      <c r="H2290" s="17" t="n">
        <f aca="false">F2290-G2290</f>
        <v>275.054111375703</v>
      </c>
      <c r="I2290" s="17" t="n">
        <f aca="false">H2290*2/10+I2289*8/10</f>
        <v>263.254174977378</v>
      </c>
      <c r="J2290" s="17" t="n">
        <f aca="false">H2290-I2290</f>
        <v>11.7999363983245</v>
      </c>
      <c r="K2290" s="17" t="n">
        <f aca="false">MAX(B2290-B2289,0)</f>
        <v>312.57</v>
      </c>
      <c r="L2290" s="17" t="n">
        <f aca="false">MAX(B2289-B2290,0)</f>
        <v>0</v>
      </c>
      <c r="M2290" s="17" t="n">
        <f aca="false">(M2289*13+K2290)/14</f>
        <v>111.587964628263</v>
      </c>
      <c r="N2290" s="17" t="n">
        <f aca="false">(N2289*13+L2290)/14</f>
        <v>52.6179841182109</v>
      </c>
      <c r="O2290" s="17" t="n">
        <f aca="false">IF(N2290=0,100,100-100/(1+M2290/N2290))</f>
        <v>67.9561035882747</v>
      </c>
      <c r="P2290" s="17" t="n">
        <f aca="false">AVERAGE(B2271:B2290)+2*STDEV(B2271:B2290)</f>
        <v>23728.0524117183</v>
      </c>
      <c r="Q2290" s="17" t="n">
        <f aca="false">AVERAGE(B2271:B2290)-2*STDEV(B2271:B2290)</f>
        <v>22755.2385882817</v>
      </c>
      <c r="R2290" s="19" t="n">
        <f aca="false">B2290/B2270-1</f>
        <v>0.041714096691267</v>
      </c>
      <c r="S2290" s="17" t="n">
        <f aca="false">STDEV(C2271:C2290)*SQRT(252)*100</f>
        <v>13.3468038106953</v>
      </c>
      <c r="T2290" s="19" t="n">
        <f aca="false">B2269/B2039-1</f>
        <v>0.23456525379326</v>
      </c>
      <c r="U2290" s="19" t="n">
        <f aca="false">B2290/MAX(B2039:B2290)-1</f>
        <v>0</v>
      </c>
      <c r="V2290" s="17" t="n">
        <f aca="false">(B2290-AVERAGE(B2271:B2290))/STDEV(B2271:B2290)</f>
        <v>2.45701483923825</v>
      </c>
    </row>
    <row r="2291" customFormat="false" ht="15" hidden="false" customHeight="false" outlineLevel="0" collapsed="false">
      <c r="A2291" s="17" t="s">
        <v>2855</v>
      </c>
      <c r="B2291" s="17" t="n">
        <v>23849.04</v>
      </c>
      <c r="C2291" s="19" t="n">
        <f aca="false">B2291/B2290-1</f>
        <v>0.000412765529044679</v>
      </c>
      <c r="D2291" s="17" t="n">
        <f aca="false">AVERAGE(B2242:B2291)</f>
        <v>22661.1648</v>
      </c>
      <c r="E2291" s="17" t="n">
        <f aca="false">AVERAGE(B2092:B2291)</f>
        <v>21119.52875</v>
      </c>
      <c r="F2291" s="17" t="n">
        <f aca="false">B2291*2/13+F2290*11/13</f>
        <v>23442.5944322027</v>
      </c>
      <c r="G2291" s="17" t="n">
        <f aca="false">B2291*2/27+G2290*25/27</f>
        <v>23149.5965987797</v>
      </c>
      <c r="H2291" s="17" t="n">
        <f aca="false">F2291-G2291</f>
        <v>292.99783342304</v>
      </c>
      <c r="I2291" s="17" t="n">
        <f aca="false">H2291*2/10+I2290*8/10</f>
        <v>269.202906666511</v>
      </c>
      <c r="J2291" s="17" t="n">
        <f aca="false">H2291-I2291</f>
        <v>23.7949267565295</v>
      </c>
      <c r="K2291" s="17" t="n">
        <f aca="false">MAX(B2291-B2290,0)</f>
        <v>9.84000000000015</v>
      </c>
      <c r="L2291" s="17" t="n">
        <f aca="false">MAX(B2290-B2291,0)</f>
        <v>0</v>
      </c>
      <c r="M2291" s="17" t="n">
        <f aca="false">(M2290*13+K2291)/14</f>
        <v>104.320252869102</v>
      </c>
      <c r="N2291" s="17" t="n">
        <f aca="false">(N2290*13+L2291)/14</f>
        <v>48.8595566811958</v>
      </c>
      <c r="O2291" s="17" t="n">
        <f aca="false">IF(N2291=0,100,100-100/(1+M2291/N2291))</f>
        <v>68.1031352469775</v>
      </c>
      <c r="P2291" s="17" t="n">
        <f aca="false">AVERAGE(B2272:B2291)+2*STDEV(B2272:B2291)</f>
        <v>23819.2634660429</v>
      </c>
      <c r="Q2291" s="17" t="n">
        <f aca="false">AVERAGE(B2272:B2291)-2*STDEV(B2272:B2291)</f>
        <v>22758.1345339571</v>
      </c>
      <c r="R2291" s="19" t="n">
        <f aca="false">B2291/B2271-1</f>
        <v>0.0410804623892906</v>
      </c>
      <c r="S2291" s="17" t="n">
        <f aca="false">STDEV(C2272:C2291)*SQRT(252)*100</f>
        <v>13.354949262236</v>
      </c>
      <c r="T2291" s="19" t="n">
        <f aca="false">B2270/B2040-1</f>
        <v>0.234200893861136</v>
      </c>
      <c r="U2291" s="19" t="n">
        <f aca="false">B2291/MAX(B2040:B2291)-1</f>
        <v>0</v>
      </c>
      <c r="V2291" s="17" t="n">
        <f aca="false">(B2291-AVERAGE(B2272:B2291))/STDEV(B2272:B2291)</f>
        <v>2.11224473504304</v>
      </c>
    </row>
    <row r="2292" customFormat="false" ht="15" hidden="false" customHeight="false" outlineLevel="0" collapsed="false">
      <c r="A2292" s="17" t="s">
        <v>2856</v>
      </c>
      <c r="B2292" s="17" t="n">
        <v>23832.44</v>
      </c>
      <c r="C2292" s="19" t="n">
        <f aca="false">B2292/B2291-1</f>
        <v>-0.000696044788385697</v>
      </c>
      <c r="D2292" s="17" t="n">
        <f aca="false">AVERAGE(B2243:B2292)</f>
        <v>22704.562</v>
      </c>
      <c r="E2292" s="17" t="n">
        <f aca="false">AVERAGE(B2093:B2292)</f>
        <v>21137.5266</v>
      </c>
      <c r="F2292" s="17" t="n">
        <f aca="false">B2292*2/13+F2291*11/13</f>
        <v>23502.5706734023</v>
      </c>
      <c r="G2292" s="17" t="n">
        <f aca="false">B2292*2/27+G2291*25/27</f>
        <v>23200.1775914626</v>
      </c>
      <c r="H2292" s="17" t="n">
        <f aca="false">F2292-G2292</f>
        <v>302.393081939634</v>
      </c>
      <c r="I2292" s="17" t="n">
        <f aca="false">H2292*2/10+I2291*8/10</f>
        <v>275.840941721135</v>
      </c>
      <c r="J2292" s="17" t="n">
        <f aca="false">H2292-I2292</f>
        <v>26.5521402184986</v>
      </c>
      <c r="K2292" s="17" t="n">
        <f aca="false">MAX(B2292-B2291,0)</f>
        <v>0</v>
      </c>
      <c r="L2292" s="17" t="n">
        <f aca="false">MAX(B2291-B2292,0)</f>
        <v>16.6000000000022</v>
      </c>
      <c r="M2292" s="17" t="n">
        <f aca="false">(M2291*13+K2292)/14</f>
        <v>96.8688062355943</v>
      </c>
      <c r="N2292" s="17" t="n">
        <f aca="false">(N2291*13+L2292)/14</f>
        <v>46.5553026325391</v>
      </c>
      <c r="O2292" s="17" t="n">
        <f aca="false">IF(N2292=0,100,100-100/(1+M2292/N2292))</f>
        <v>67.5401137229008</v>
      </c>
      <c r="P2292" s="17" t="n">
        <f aca="false">AVERAGE(B2273:B2292)+2*STDEV(B2273:B2292)</f>
        <v>23899.610580539</v>
      </c>
      <c r="Q2292" s="17" t="n">
        <f aca="false">AVERAGE(B2273:B2292)-2*STDEV(B2273:B2292)</f>
        <v>22752.926419461</v>
      </c>
      <c r="R2292" s="19" t="n">
        <f aca="false">B2292/B2272-1</f>
        <v>0.0325544115194065</v>
      </c>
      <c r="S2292" s="17" t="n">
        <f aca="false">STDEV(C2273:C2292)*SQRT(252)*100</f>
        <v>13.224226639885</v>
      </c>
      <c r="T2292" s="19" t="n">
        <f aca="false">B2271/B2041-1</f>
        <v>0.205274741232309</v>
      </c>
      <c r="U2292" s="19" t="n">
        <f aca="false">B2292/MAX(B2041:B2292)-1</f>
        <v>-0.000696044788385697</v>
      </c>
      <c r="V2292" s="17" t="n">
        <f aca="false">(B2292-AVERAGE(B2273:B2292))/STDEV(B2273:B2292)</f>
        <v>1.76568759622216</v>
      </c>
    </row>
    <row r="2293" customFormat="false" ht="15" hidden="false" customHeight="false" outlineLevel="0" collapsed="false">
      <c r="A2293" s="17" t="s">
        <v>2857</v>
      </c>
      <c r="B2293" s="17" t="n">
        <v>23712.07</v>
      </c>
      <c r="C2293" s="19" t="n">
        <f aca="false">B2293/B2292-1</f>
        <v>-0.00505067882264676</v>
      </c>
      <c r="D2293" s="17" t="n">
        <f aca="false">AVERAGE(B2244:B2293)</f>
        <v>22744.365</v>
      </c>
      <c r="E2293" s="17" t="n">
        <f aca="false">AVERAGE(B2094:B2293)</f>
        <v>21154.32685</v>
      </c>
      <c r="F2293" s="17" t="n">
        <f aca="false">B2293*2/13+F2292*11/13</f>
        <v>23534.8013390327</v>
      </c>
      <c r="G2293" s="17" t="n">
        <f aca="false">B2293*2/27+G2292*25/27</f>
        <v>23238.0955476506</v>
      </c>
      <c r="H2293" s="17" t="n">
        <f aca="false">F2293-G2293</f>
        <v>296.705791382097</v>
      </c>
      <c r="I2293" s="17" t="n">
        <f aca="false">H2293*2/10+I2292*8/10</f>
        <v>280.013911653328</v>
      </c>
      <c r="J2293" s="17" t="n">
        <f aca="false">H2293-I2293</f>
        <v>16.6918797287697</v>
      </c>
      <c r="K2293" s="17" t="n">
        <f aca="false">MAX(B2293-B2292,0)</f>
        <v>0</v>
      </c>
      <c r="L2293" s="17" t="n">
        <f aca="false">MAX(B2292-B2293,0)</f>
        <v>120.369999999999</v>
      </c>
      <c r="M2293" s="17" t="n">
        <f aca="false">(M2292*13+K2293)/14</f>
        <v>89.9496057901947</v>
      </c>
      <c r="N2293" s="17" t="n">
        <f aca="false">(N2292*13+L2293)/14</f>
        <v>51.8277810159291</v>
      </c>
      <c r="O2293" s="17" t="n">
        <f aca="false">IF(N2293=0,100,100-100/(1+M2293/N2293))</f>
        <v>63.4442542753295</v>
      </c>
      <c r="P2293" s="17" t="n">
        <f aca="false">AVERAGE(B2274:B2293)+2*STDEV(B2274:B2293)</f>
        <v>23942.8384981001</v>
      </c>
      <c r="Q2293" s="17" t="n">
        <f aca="false">AVERAGE(B2274:B2293)-2*STDEV(B2274:B2293)</f>
        <v>22774.3585018999</v>
      </c>
      <c r="R2293" s="19" t="n">
        <f aca="false">B2293/B2273-1</f>
        <v>0.0280332462334389</v>
      </c>
      <c r="S2293" s="17" t="n">
        <f aca="false">STDEV(C2274:C2293)*SQRT(252)*100</f>
        <v>13.4154782034846</v>
      </c>
      <c r="T2293" s="19" t="n">
        <f aca="false">B2272/B2042-1</f>
        <v>0.213343755979704</v>
      </c>
      <c r="U2293" s="19" t="n">
        <f aca="false">B2293/MAX(B2042:B2293)-1</f>
        <v>-0.00574320811236018</v>
      </c>
      <c r="V2293" s="17" t="n">
        <f aca="false">(B2293-AVERAGE(B2274:B2293))/STDEV(B2274:B2293)</f>
        <v>1.21002157041443</v>
      </c>
    </row>
    <row r="2294" customFormat="false" ht="15" hidden="false" customHeight="false" outlineLevel="0" collapsed="false">
      <c r="A2294" s="17" t="s">
        <v>2858</v>
      </c>
      <c r="B2294" s="17" t="n">
        <v>23713.76</v>
      </c>
      <c r="C2294" s="19" t="n">
        <f aca="false">B2294/B2293-1</f>
        <v>7.12717194237822E-005</v>
      </c>
      <c r="D2294" s="17" t="n">
        <f aca="false">AVERAGE(B2245:B2294)</f>
        <v>22787.6916</v>
      </c>
      <c r="E2294" s="17" t="n">
        <f aca="false">AVERAGE(B2095:B2294)</f>
        <v>21171.1403</v>
      </c>
      <c r="F2294" s="17" t="n">
        <f aca="false">B2294*2/13+F2293*11/13</f>
        <v>23562.33344072</v>
      </c>
      <c r="G2294" s="17" t="n">
        <f aca="false">B2294*2/27+G2293*25/27</f>
        <v>23273.3299515283</v>
      </c>
      <c r="H2294" s="17" t="n">
        <f aca="false">F2294-G2294</f>
        <v>289.00348919164</v>
      </c>
      <c r="I2294" s="17" t="n">
        <f aca="false">H2294*2/10+I2293*8/10</f>
        <v>281.81182716099</v>
      </c>
      <c r="J2294" s="17" t="n">
        <f aca="false">H2294-I2294</f>
        <v>7.19166203065015</v>
      </c>
      <c r="K2294" s="17" t="n">
        <f aca="false">MAX(B2294-B2293,0)</f>
        <v>1.68999999999869</v>
      </c>
      <c r="L2294" s="17" t="n">
        <f aca="false">MAX(B2293-B2294,0)</f>
        <v>0</v>
      </c>
      <c r="M2294" s="17" t="n">
        <f aca="false">(M2293*13+K2294)/14</f>
        <v>83.6453482337522</v>
      </c>
      <c r="N2294" s="17" t="n">
        <f aca="false">(N2293*13+L2294)/14</f>
        <v>48.1257966576485</v>
      </c>
      <c r="O2294" s="17" t="n">
        <f aca="false">IF(N2294=0,100,100-100/(1+M2294/N2294))</f>
        <v>63.4777426444072</v>
      </c>
      <c r="P2294" s="17" t="n">
        <f aca="false">AVERAGE(B2275:B2294)+2*STDEV(B2275:B2294)</f>
        <v>23983.767495944</v>
      </c>
      <c r="Q2294" s="17" t="n">
        <f aca="false">AVERAGE(B2275:B2294)-2*STDEV(B2275:B2294)</f>
        <v>22786.799504056</v>
      </c>
      <c r="R2294" s="19" t="n">
        <f aca="false">B2294/B2274-1</f>
        <v>0.0230240991610893</v>
      </c>
      <c r="S2294" s="17" t="n">
        <f aca="false">STDEV(C2275:C2294)*SQRT(252)*100</f>
        <v>13.3560507485065</v>
      </c>
      <c r="T2294" s="19" t="n">
        <f aca="false">B2273/B2043-1</f>
        <v>0.18344240552279</v>
      </c>
      <c r="U2294" s="19" t="n">
        <f aca="false">B2294/MAX(B2043:B2294)-1</f>
        <v>-0.00567234572125341</v>
      </c>
      <c r="V2294" s="17" t="n">
        <f aca="false">(B2294-AVERAGE(B2275:B2294))/STDEV(B2275:B2294)</f>
        <v>1.09769518391853</v>
      </c>
    </row>
    <row r="2295" customFormat="false" ht="15" hidden="false" customHeight="false" outlineLevel="0" collapsed="false">
      <c r="A2295" s="17" t="s">
        <v>2859</v>
      </c>
      <c r="B2295" s="17" t="n">
        <v>23384.77</v>
      </c>
      <c r="C2295" s="19" t="n">
        <f aca="false">B2295/B2294-1</f>
        <v>-0.0138733798436013</v>
      </c>
      <c r="D2295" s="17" t="n">
        <f aca="false">AVERAGE(B2246:B2295)</f>
        <v>22820.1512</v>
      </c>
      <c r="E2295" s="17" t="n">
        <f aca="false">AVERAGE(B2096:B2295)</f>
        <v>21185.3109</v>
      </c>
      <c r="F2295" s="17" t="n">
        <f aca="false">B2295*2/13+F2294*11/13</f>
        <v>23535.0159883015</v>
      </c>
      <c r="G2295" s="17" t="n">
        <f aca="false">B2295*2/27+G2294*25/27</f>
        <v>23281.5847699336</v>
      </c>
      <c r="H2295" s="17" t="n">
        <f aca="false">F2295-G2295</f>
        <v>253.43121836787</v>
      </c>
      <c r="I2295" s="17" t="n">
        <f aca="false">H2295*2/10+I2294*8/10</f>
        <v>276.135705402366</v>
      </c>
      <c r="J2295" s="17" t="n">
        <f aca="false">H2295-I2295</f>
        <v>-22.7044870344958</v>
      </c>
      <c r="K2295" s="17" t="n">
        <f aca="false">MAX(B2295-B2294,0)</f>
        <v>0</v>
      </c>
      <c r="L2295" s="17" t="n">
        <f aca="false">MAX(B2294-B2295,0)</f>
        <v>328.989999999998</v>
      </c>
      <c r="M2295" s="17" t="n">
        <f aca="false">(M2294*13+K2295)/14</f>
        <v>77.6706805027699</v>
      </c>
      <c r="N2295" s="17" t="n">
        <f aca="false">(N2294*13+L2295)/14</f>
        <v>68.1875254678163</v>
      </c>
      <c r="O2295" s="17" t="n">
        <f aca="false">IF(N2295=0,100,100-100/(1+M2295/N2295))</f>
        <v>53.2508129974072</v>
      </c>
      <c r="P2295" s="17" t="n">
        <f aca="false">AVERAGE(B2276:B2295)+2*STDEV(B2276:B2295)</f>
        <v>23980.4018852194</v>
      </c>
      <c r="Q2295" s="17" t="n">
        <f aca="false">AVERAGE(B2276:B2295)-2*STDEV(B2276:B2295)</f>
        <v>22822.2841147806</v>
      </c>
      <c r="R2295" s="19" t="n">
        <f aca="false">B2295/B2275-1</f>
        <v>0.013926285511616</v>
      </c>
      <c r="S2295" s="17" t="n">
        <f aca="false">STDEV(C2276:C2295)*SQRT(252)*100</f>
        <v>14.2406228318729</v>
      </c>
      <c r="T2295" s="19" t="n">
        <f aca="false">B2274/B2044-1</f>
        <v>0.188201872822746</v>
      </c>
      <c r="U2295" s="19" t="n">
        <f aca="false">B2295/MAX(B2044:B2295)-1</f>
        <v>-0.0194670309580596</v>
      </c>
      <c r="V2295" s="17" t="n">
        <f aca="false">(B2295-AVERAGE(B2276:B2295))/STDEV(B2276:B2295)</f>
        <v>-0.0572411560310309</v>
      </c>
    </row>
    <row r="2296" customFormat="false" ht="15" hidden="false" customHeight="false" outlineLevel="0" collapsed="false">
      <c r="A2296" s="17" t="s">
        <v>2860</v>
      </c>
      <c r="B2296" s="17" t="n">
        <v>23249.57</v>
      </c>
      <c r="C2296" s="19" t="n">
        <f aca="false">B2296/B2295-1</f>
        <v>-0.00578154072073411</v>
      </c>
      <c r="D2296" s="17" t="n">
        <f aca="false">AVERAGE(B2247:B2296)</f>
        <v>22849.1852</v>
      </c>
      <c r="E2296" s="17" t="n">
        <f aca="false">AVERAGE(B2097:B2296)</f>
        <v>21199.62025</v>
      </c>
      <c r="F2296" s="17" t="n">
        <f aca="false">B2296*2/13+F2295*11/13</f>
        <v>23491.1012208705</v>
      </c>
      <c r="G2296" s="17" t="n">
        <f aca="false">B2296*2/27+G2295*25/27</f>
        <v>23279.2133054941</v>
      </c>
      <c r="H2296" s="17" t="n">
        <f aca="false">F2296-G2296</f>
        <v>211.887915376399</v>
      </c>
      <c r="I2296" s="17" t="n">
        <f aca="false">H2296*2/10+I2295*8/10</f>
        <v>263.286147397173</v>
      </c>
      <c r="J2296" s="17" t="n">
        <f aca="false">H2296-I2296</f>
        <v>-51.3982320207736</v>
      </c>
      <c r="K2296" s="17" t="n">
        <f aca="false">MAX(B2296-B2295,0)</f>
        <v>0</v>
      </c>
      <c r="L2296" s="17" t="n">
        <f aca="false">MAX(B2295-B2296,0)</f>
        <v>135.200000000001</v>
      </c>
      <c r="M2296" s="17" t="n">
        <f aca="false">(M2295*13+K2296)/14</f>
        <v>72.122774752572</v>
      </c>
      <c r="N2296" s="17" t="n">
        <f aca="false">(N2295*13+L2296)/14</f>
        <v>72.9741307915438</v>
      </c>
      <c r="O2296" s="17" t="n">
        <f aca="false">IF(N2296=0,100,100-100/(1+M2296/N2296))</f>
        <v>49.7066250187145</v>
      </c>
      <c r="P2296" s="17" t="n">
        <f aca="false">AVERAGE(B2277:B2296)+2*STDEV(B2277:B2296)</f>
        <v>23978.4662015268</v>
      </c>
      <c r="Q2296" s="17" t="n">
        <f aca="false">AVERAGE(B2277:B2296)-2*STDEV(B2277:B2296)</f>
        <v>22832.9357984732</v>
      </c>
      <c r="R2296" s="19" t="n">
        <f aca="false">B2296/B2276-1</f>
        <v>0.00376299357450272</v>
      </c>
      <c r="S2296" s="17" t="n">
        <f aca="false">STDEV(C2277:C2296)*SQRT(252)*100</f>
        <v>14.3551584500578</v>
      </c>
      <c r="T2296" s="19" t="n">
        <f aca="false">B2275/B2045-1</f>
        <v>0.166801996712618</v>
      </c>
      <c r="U2296" s="19" t="n">
        <f aca="false">B2296/MAX(B2045:B2296)-1</f>
        <v>-0.0251360222465978</v>
      </c>
      <c r="V2296" s="17" t="n">
        <f aca="false">(B2296-AVERAGE(B2277:B2296))/STDEV(B2277:B2296)</f>
        <v>-0.545183260379007</v>
      </c>
    </row>
    <row r="2297" customFormat="false" ht="15" hidden="false" customHeight="false" outlineLevel="0" collapsed="false">
      <c r="A2297" s="17" t="s">
        <v>2861</v>
      </c>
      <c r="B2297" s="17" t="n">
        <v>23142.58</v>
      </c>
      <c r="C2297" s="19" t="n">
        <f aca="false">B2297/B2296-1</f>
        <v>-0.00460180553876899</v>
      </c>
      <c r="D2297" s="17" t="n">
        <f aca="false">AVERAGE(B2248:B2297)</f>
        <v>22873.1984</v>
      </c>
      <c r="E2297" s="17" t="n">
        <f aca="false">AVERAGE(B2098:B2297)</f>
        <v>21215.88105</v>
      </c>
      <c r="F2297" s="17" t="n">
        <f aca="false">B2297*2/13+F2296*11/13</f>
        <v>23437.4825715058</v>
      </c>
      <c r="G2297" s="17" t="n">
        <f aca="false">B2297*2/27+G2296*25/27</f>
        <v>23269.092319902</v>
      </c>
      <c r="H2297" s="17" t="n">
        <f aca="false">F2297-G2297</f>
        <v>168.390251603862</v>
      </c>
      <c r="I2297" s="17" t="n">
        <f aca="false">H2297*2/10+I2296*8/10</f>
        <v>244.306968238511</v>
      </c>
      <c r="J2297" s="17" t="n">
        <f aca="false">H2297-I2297</f>
        <v>-75.916716634649</v>
      </c>
      <c r="K2297" s="17" t="n">
        <f aca="false">MAX(B2297-B2296,0)</f>
        <v>0</v>
      </c>
      <c r="L2297" s="17" t="n">
        <f aca="false">MAX(B2296-B2297,0)</f>
        <v>106.989999999998</v>
      </c>
      <c r="M2297" s="17" t="n">
        <f aca="false">(M2296*13+K2297)/14</f>
        <v>66.9711479845312</v>
      </c>
      <c r="N2297" s="17" t="n">
        <f aca="false">(N2296*13+L2297)/14</f>
        <v>75.4038357350048</v>
      </c>
      <c r="O2297" s="17" t="n">
        <f aca="false">IF(N2297=0,100,100-100/(1+M2297/N2297))</f>
        <v>47.0385641036893</v>
      </c>
      <c r="P2297" s="17" t="n">
        <f aca="false">AVERAGE(B2278:B2297)+2*STDEV(B2278:B2297)</f>
        <v>23980.88939264</v>
      </c>
      <c r="Q2297" s="17" t="n">
        <f aca="false">AVERAGE(B2278:B2297)-2*STDEV(B2278:B2297)</f>
        <v>22822.78360736</v>
      </c>
      <c r="R2297" s="19" t="n">
        <f aca="false">B2297/B2277-1</f>
        <v>-0.00332861467355317</v>
      </c>
      <c r="S2297" s="17" t="n">
        <f aca="false">STDEV(C2278:C2297)*SQRT(252)*100</f>
        <v>14.4276195373658</v>
      </c>
      <c r="T2297" s="19" t="n">
        <f aca="false">B2276/B2046-1</f>
        <v>0.174575122896659</v>
      </c>
      <c r="U2297" s="19" t="n">
        <f aca="false">B2297/MAX(B2046:B2297)-1</f>
        <v>-0.0296221566989698</v>
      </c>
      <c r="V2297" s="17" t="n">
        <f aca="false">(B2297-AVERAGE(B2278:B2297))/STDEV(B2278:B2297)</f>
        <v>-0.895450150738416</v>
      </c>
    </row>
    <row r="2298" customFormat="false" ht="15" hidden="false" customHeight="false" outlineLevel="0" collapsed="false">
      <c r="A2298" s="17" t="s">
        <v>2862</v>
      </c>
      <c r="B2298" s="17" t="n">
        <v>23498.12</v>
      </c>
      <c r="C2298" s="19" t="n">
        <f aca="false">B2298/B2297-1</f>
        <v>0.0153630234831206</v>
      </c>
      <c r="D2298" s="17" t="n">
        <f aca="false">AVERAGE(B2249:B2298)</f>
        <v>22905.9448</v>
      </c>
      <c r="E2298" s="17" t="n">
        <f aca="false">AVERAGE(B2099:B2298)</f>
        <v>21233.20595</v>
      </c>
      <c r="F2298" s="17" t="n">
        <f aca="false">B2298*2/13+F2297*11/13</f>
        <v>23446.8114066588</v>
      </c>
      <c r="G2298" s="17" t="n">
        <f aca="false">B2298*2/27+G2297*25/27</f>
        <v>23286.0573332426</v>
      </c>
      <c r="H2298" s="17" t="n">
        <f aca="false">F2298-G2298</f>
        <v>160.754073416214</v>
      </c>
      <c r="I2298" s="17" t="n">
        <f aca="false">H2298*2/10+I2297*8/10</f>
        <v>227.596389274051</v>
      </c>
      <c r="J2298" s="17" t="n">
        <f aca="false">H2298-I2298</f>
        <v>-66.8423158578373</v>
      </c>
      <c r="K2298" s="17" t="n">
        <f aca="false">MAX(B2298-B2297,0)</f>
        <v>355.539999999997</v>
      </c>
      <c r="L2298" s="17" t="n">
        <f aca="false">MAX(B2297-B2298,0)</f>
        <v>0</v>
      </c>
      <c r="M2298" s="17" t="n">
        <f aca="false">(M2297*13+K2298)/14</f>
        <v>87.5832088427788</v>
      </c>
      <c r="N2298" s="17" t="n">
        <f aca="false">(N2297*13+L2298)/14</f>
        <v>70.0178474682187</v>
      </c>
      <c r="O2298" s="17" t="n">
        <f aca="false">IF(N2298=0,100,100-100/(1+M2298/N2298))</f>
        <v>55.5727295824395</v>
      </c>
      <c r="P2298" s="17" t="n">
        <f aca="false">AVERAGE(B2279:B2298)+2*STDEV(B2279:B2298)</f>
        <v>23990.3488653225</v>
      </c>
      <c r="Q2298" s="17" t="n">
        <f aca="false">AVERAGE(B2279:B2298)-2*STDEV(B2279:B2298)</f>
        <v>22835.9111346775</v>
      </c>
      <c r="R2298" s="19" t="n">
        <f aca="false">B2298/B2278-1</f>
        <v>0.00970555060211198</v>
      </c>
      <c r="S2298" s="17" t="n">
        <f aca="false">STDEV(C2279:C2298)*SQRT(252)*100</f>
        <v>15.4301398936711</v>
      </c>
      <c r="T2298" s="19" t="n">
        <f aca="false">B2277/B2047-1</f>
        <v>0.17125131905226</v>
      </c>
      <c r="U2298" s="19" t="n">
        <f aca="false">B2298/MAX(B2047:B2298)-1</f>
        <v>-0.0147142191048362</v>
      </c>
      <c r="V2298" s="17" t="n">
        <f aca="false">(B2298-AVERAGE(B2279:B2298))/STDEV(B2279:B2298)</f>
        <v>0.294481019612949</v>
      </c>
    </row>
    <row r="2299" customFormat="false" ht="15" hidden="false" customHeight="false" outlineLevel="0" collapsed="false">
      <c r="A2299" s="17" t="s">
        <v>2863</v>
      </c>
      <c r="B2299" s="17" t="n">
        <v>23425.61</v>
      </c>
      <c r="C2299" s="19" t="n">
        <f aca="false">B2299/B2298-1</f>
        <v>-0.00308577877719574</v>
      </c>
      <c r="D2299" s="17" t="n">
        <f aca="false">AVERAGE(B2250:B2299)</f>
        <v>22936.1906</v>
      </c>
      <c r="E2299" s="17" t="n">
        <f aca="false">AVERAGE(B2100:B2299)</f>
        <v>21250.516</v>
      </c>
      <c r="F2299" s="17" t="n">
        <f aca="false">B2299*2/13+F2298*11/13</f>
        <v>23443.5496517882</v>
      </c>
      <c r="G2299" s="17" t="n">
        <f aca="false">B2299*2/27+G2298*25/27</f>
        <v>23296.3945678172</v>
      </c>
      <c r="H2299" s="17" t="n">
        <f aca="false">F2299-G2299</f>
        <v>147.155083971011</v>
      </c>
      <c r="I2299" s="17" t="n">
        <f aca="false">H2299*2/10+I2298*8/10</f>
        <v>211.508128213443</v>
      </c>
      <c r="J2299" s="17" t="n">
        <f aca="false">H2299-I2299</f>
        <v>-64.3530442424324</v>
      </c>
      <c r="K2299" s="17" t="n">
        <f aca="false">MAX(B2299-B2298,0)</f>
        <v>0</v>
      </c>
      <c r="L2299" s="17" t="n">
        <f aca="false">MAX(B2298-B2299,0)</f>
        <v>72.5099999999984</v>
      </c>
      <c r="M2299" s="17" t="n">
        <f aca="false">(M2298*13+K2299)/14</f>
        <v>81.3272653540088</v>
      </c>
      <c r="N2299" s="17" t="n">
        <f aca="false">(N2298*13+L2299)/14</f>
        <v>70.1958583633458</v>
      </c>
      <c r="O2299" s="17" t="n">
        <f aca="false">IF(N2299=0,100,100-100/(1+M2299/N2299))</f>
        <v>53.673171037388</v>
      </c>
      <c r="P2299" s="17" t="n">
        <f aca="false">AVERAGE(B2280:B2299)+2*STDEV(B2280:B2299)</f>
        <v>23993.2105213596</v>
      </c>
      <c r="Q2299" s="17" t="n">
        <f aca="false">AVERAGE(B2280:B2299)-2*STDEV(B2280:B2299)</f>
        <v>22839.9834786404</v>
      </c>
      <c r="R2299" s="19" t="n">
        <f aca="false">B2299/B2279-1</f>
        <v>0.00296879595928634</v>
      </c>
      <c r="S2299" s="17" t="n">
        <f aca="false">STDEV(C2280:C2299)*SQRT(252)*100</f>
        <v>15.4357921616385</v>
      </c>
      <c r="T2299" s="19" t="n">
        <f aca="false">B2278/B2048-1</f>
        <v>0.19394833940767</v>
      </c>
      <c r="U2299" s="19" t="n">
        <f aca="false">B2299/MAX(B2048:B2299)-1</f>
        <v>-0.0177545930569952</v>
      </c>
      <c r="V2299" s="17" t="n">
        <f aca="false">(B2299-AVERAGE(B2280:B2299))/STDEV(B2280:B2299)</f>
        <v>0.0312618406129186</v>
      </c>
    </row>
    <row r="2300" customFormat="false" ht="15" hidden="false" customHeight="false" outlineLevel="0" collapsed="false">
      <c r="A2300" s="17" t="s">
        <v>2864</v>
      </c>
      <c r="B2300" s="17" t="n">
        <v>23525.29</v>
      </c>
      <c r="C2300" s="19" t="n">
        <f aca="false">B2300/B2299-1</f>
        <v>0.00425517201046199</v>
      </c>
      <c r="D2300" s="17" t="n">
        <f aca="false">AVERAGE(B2251:B2300)</f>
        <v>22974.0756</v>
      </c>
      <c r="E2300" s="17" t="n">
        <f aca="false">AVERAGE(B2101:B2300)</f>
        <v>21267.00515</v>
      </c>
      <c r="F2300" s="17" t="n">
        <f aca="false">B2300*2/13+F2299*11/13</f>
        <v>23456.1250899746</v>
      </c>
      <c r="G2300" s="17" t="n">
        <f aca="false">B2300*2/27+G2299*25/27</f>
        <v>23313.3497850159</v>
      </c>
      <c r="H2300" s="17" t="n">
        <f aca="false">F2300-G2300</f>
        <v>142.775304958719</v>
      </c>
      <c r="I2300" s="17" t="n">
        <f aca="false">H2300*2/10+I2299*8/10</f>
        <v>197.761563562498</v>
      </c>
      <c r="J2300" s="17" t="n">
        <f aca="false">H2300-I2300</f>
        <v>-54.9862586037792</v>
      </c>
      <c r="K2300" s="17" t="n">
        <f aca="false">MAX(B2300-B2299,0)</f>
        <v>99.6800000000003</v>
      </c>
      <c r="L2300" s="17" t="n">
        <f aca="false">MAX(B2299-B2300,0)</f>
        <v>0</v>
      </c>
      <c r="M2300" s="17" t="n">
        <f aca="false">(M2299*13+K2300)/14</f>
        <v>82.6381749715797</v>
      </c>
      <c r="N2300" s="17" t="n">
        <f aca="false">(N2299*13+L2300)/14</f>
        <v>65.1818684802497</v>
      </c>
      <c r="O2300" s="17" t="n">
        <f aca="false">IF(N2300=0,100,100-100/(1+M2300/N2300))</f>
        <v>55.9045803544966</v>
      </c>
      <c r="P2300" s="17" t="n">
        <f aca="false">AVERAGE(B2281:B2300)+2*STDEV(B2281:B2300)</f>
        <v>24003.6457842128</v>
      </c>
      <c r="Q2300" s="17" t="n">
        <f aca="false">AVERAGE(B2281:B2300)-2*STDEV(B2281:B2300)</f>
        <v>22851.2472157872</v>
      </c>
      <c r="R2300" s="19" t="n">
        <f aca="false">B2300/B2280-1</f>
        <v>0.00930955925571575</v>
      </c>
      <c r="S2300" s="17" t="n">
        <f aca="false">STDEV(C2281:C2300)*SQRT(252)*100</f>
        <v>15.476388567465</v>
      </c>
      <c r="T2300" s="19" t="n">
        <f aca="false">B2279/B2049-1</f>
        <v>0.184342780009199</v>
      </c>
      <c r="U2300" s="19" t="n">
        <f aca="false">B2300/MAX(B2049:B2300)-1</f>
        <v>-0.0135749698939663</v>
      </c>
      <c r="V2300" s="17" t="n">
        <f aca="false">(B2300-AVERAGE(B2281:B2300))/STDEV(B2281:B2300)</f>
        <v>0.339616874511298</v>
      </c>
    </row>
    <row r="2301" customFormat="false" ht="15" hidden="false" customHeight="false" outlineLevel="0" collapsed="false">
      <c r="A2301" s="17" t="s">
        <v>2865</v>
      </c>
      <c r="B2301" s="17" t="n">
        <v>23565.85</v>
      </c>
      <c r="C2301" s="19" t="n">
        <f aca="false">B2301/B2300-1</f>
        <v>0.00172410201957107</v>
      </c>
      <c r="D2301" s="17" t="n">
        <f aca="false">AVERAGE(B2252:B2301)</f>
        <v>23006.6412</v>
      </c>
      <c r="E2301" s="17" t="n">
        <f aca="false">AVERAGE(B2102:B2301)</f>
        <v>21280.92775</v>
      </c>
      <c r="F2301" s="17" t="n">
        <f aca="false">B2301*2/13+F2300*11/13</f>
        <v>23473.0058453631</v>
      </c>
      <c r="G2301" s="17" t="n">
        <f aca="false">B2301*2/27+G2300*25/27</f>
        <v>23332.0535046444</v>
      </c>
      <c r="H2301" s="17" t="n">
        <f aca="false">F2301-G2301</f>
        <v>140.952340718788</v>
      </c>
      <c r="I2301" s="17" t="n">
        <f aca="false">H2301*2/10+I2300*8/10</f>
        <v>186.399718993756</v>
      </c>
      <c r="J2301" s="17" t="n">
        <f aca="false">H2301-I2301</f>
        <v>-45.4473782749682</v>
      </c>
      <c r="K2301" s="17" t="n">
        <f aca="false">MAX(B2301-B2300,0)</f>
        <v>40.5599999999977</v>
      </c>
      <c r="L2301" s="17" t="n">
        <f aca="false">MAX(B2300-B2301,0)</f>
        <v>0</v>
      </c>
      <c r="M2301" s="17" t="n">
        <f aca="false">(M2300*13+K2301)/14</f>
        <v>79.6325910450381</v>
      </c>
      <c r="N2301" s="17" t="n">
        <f aca="false">(N2300*13+L2301)/14</f>
        <v>60.5260207316604</v>
      </c>
      <c r="O2301" s="17" t="n">
        <f aca="false">IF(N2301=0,100,100-100/(1+M2301/N2301))</f>
        <v>56.8160529243178</v>
      </c>
      <c r="P2301" s="17" t="n">
        <f aca="false">AVERAGE(B2282:B2301)+2*STDEV(B2282:B2301)</f>
        <v>24016.4909952197</v>
      </c>
      <c r="Q2301" s="17" t="n">
        <f aca="false">AVERAGE(B2282:B2301)-2*STDEV(B2282:B2301)</f>
        <v>22860.4460047803</v>
      </c>
      <c r="R2301" s="19" t="n">
        <f aca="false">B2301/B2281-1</f>
        <v>0.00944254138179623</v>
      </c>
      <c r="S2301" s="17" t="n">
        <f aca="false">STDEV(C2282:C2301)*SQRT(252)*100</f>
        <v>15.4776848866794</v>
      </c>
      <c r="T2301" s="19" t="n">
        <f aca="false">B2280/B2050-1</f>
        <v>0.194290557089305</v>
      </c>
      <c r="U2301" s="19" t="n">
        <f aca="false">B2301/MAX(B2050:B2301)-1</f>
        <v>-0.011874272507405</v>
      </c>
      <c r="V2301" s="17" t="n">
        <f aca="false">(B2301-AVERAGE(B2282:B2301))/STDEV(B2282:B2301)</f>
        <v>0.440749282436093</v>
      </c>
    </row>
    <row r="2302" customFormat="false" ht="15" hidden="false" customHeight="false" outlineLevel="0" collapsed="false">
      <c r="A2302" s="17" t="s">
        <v>2866</v>
      </c>
      <c r="B2302" s="17" t="n">
        <v>23703.45</v>
      </c>
      <c r="C2302" s="19" t="n">
        <f aca="false">B2302/B2301-1</f>
        <v>0.00583895764421838</v>
      </c>
      <c r="D2302" s="17" t="n">
        <f aca="false">AVERAGE(B2253:B2302)</f>
        <v>23046.3286</v>
      </c>
      <c r="E2302" s="17" t="n">
        <f aca="false">AVERAGE(B2103:B2302)</f>
        <v>21293.93715</v>
      </c>
      <c r="F2302" s="17" t="n">
        <f aca="false">B2302*2/13+F2301*11/13</f>
        <v>23508.4587922304</v>
      </c>
      <c r="G2302" s="17" t="n">
        <f aca="false">B2302*2/27+G2301*25/27</f>
        <v>23359.5643561522</v>
      </c>
      <c r="H2302" s="17" t="n">
        <f aca="false">F2302-G2302</f>
        <v>148.894436078175</v>
      </c>
      <c r="I2302" s="17" t="n">
        <f aca="false">H2302*2/10+I2301*8/10</f>
        <v>178.89866241064</v>
      </c>
      <c r="J2302" s="17" t="n">
        <f aca="false">H2302-I2302</f>
        <v>-30.0042263324648</v>
      </c>
      <c r="K2302" s="17" t="n">
        <f aca="false">MAX(B2302-B2301,0)</f>
        <v>137.600000000002</v>
      </c>
      <c r="L2302" s="17" t="n">
        <f aca="false">MAX(B2301-B2302,0)</f>
        <v>0</v>
      </c>
      <c r="M2302" s="17" t="n">
        <f aca="false">(M2301*13+K2302)/14</f>
        <v>83.773120256107</v>
      </c>
      <c r="N2302" s="17" t="n">
        <f aca="false">(N2301*13+L2302)/14</f>
        <v>56.2027335365418</v>
      </c>
      <c r="O2302" s="17" t="n">
        <f aca="false">IF(N2302=0,100,100-100/(1+M2302/N2302))</f>
        <v>59.8482652445207</v>
      </c>
      <c r="P2302" s="17" t="n">
        <f aca="false">AVERAGE(B2283:B2302)+2*STDEV(B2283:B2302)</f>
        <v>24042.5547536803</v>
      </c>
      <c r="Q2302" s="17" t="n">
        <f aca="false">AVERAGE(B2283:B2302)-2*STDEV(B2283:B2302)</f>
        <v>22882.9152463197</v>
      </c>
      <c r="R2302" s="19" t="n">
        <f aca="false">B2302/B2282-1</f>
        <v>0.0209030705328426</v>
      </c>
      <c r="S2302" s="17" t="n">
        <f aca="false">STDEV(C2283:C2302)*SQRT(252)*100</f>
        <v>15.4191153413324</v>
      </c>
      <c r="T2302" s="19" t="n">
        <f aca="false">B2281/B2051-1</f>
        <v>0.192216436721971</v>
      </c>
      <c r="U2302" s="19" t="n">
        <f aca="false">B2302/MAX(B2051:B2302)-1</f>
        <v>-0.0061046482374133</v>
      </c>
      <c r="V2302" s="17" t="n">
        <f aca="false">(B2302-AVERAGE(B2283:B2302))/STDEV(B2283:B2302)</f>
        <v>0.830309759100486</v>
      </c>
    </row>
    <row r="2303" customFormat="false" ht="15" hidden="false" customHeight="false" outlineLevel="0" collapsed="false">
      <c r="A2303" s="17" t="s">
        <v>2867</v>
      </c>
      <c r="B2303" s="17" t="n">
        <v>23415.42</v>
      </c>
      <c r="C2303" s="19" t="n">
        <f aca="false">B2303/B2302-1</f>
        <v>-0.012151395682907</v>
      </c>
      <c r="D2303" s="17" t="n">
        <f aca="false">AVERAGE(B2254:B2303)</f>
        <v>23080.2432</v>
      </c>
      <c r="E2303" s="17" t="n">
        <f aca="false">AVERAGE(B2104:B2303)</f>
        <v>21305.42835</v>
      </c>
      <c r="F2303" s="17" t="n">
        <f aca="false">B2303*2/13+F2302*11/13</f>
        <v>23494.1451318872</v>
      </c>
      <c r="G2303" s="17" t="n">
        <f aca="false">B2303*2/27+G2302*25/27</f>
        <v>23363.701811252</v>
      </c>
      <c r="H2303" s="17" t="n">
        <f aca="false">F2303-G2303</f>
        <v>130.443320635208</v>
      </c>
      <c r="I2303" s="17" t="n">
        <f aca="false">H2303*2/10+I2302*8/10</f>
        <v>169.207594055554</v>
      </c>
      <c r="J2303" s="17" t="n">
        <f aca="false">H2303-I2303</f>
        <v>-38.7642734203458</v>
      </c>
      <c r="K2303" s="17" t="n">
        <f aca="false">MAX(B2303-B2302,0)</f>
        <v>0</v>
      </c>
      <c r="L2303" s="17" t="n">
        <f aca="false">MAX(B2302-B2303,0)</f>
        <v>288.030000000003</v>
      </c>
      <c r="M2303" s="17" t="n">
        <f aca="false">(M2302*13+K2303)/14</f>
        <v>77.7893259520993</v>
      </c>
      <c r="N2303" s="17" t="n">
        <f aca="false">(N2302*13+L2303)/14</f>
        <v>72.7618239982176</v>
      </c>
      <c r="O2303" s="17" t="n">
        <f aca="false">IF(N2303=0,100,100-100/(1+M2303/N2303))</f>
        <v>51.6696989546546</v>
      </c>
      <c r="P2303" s="17" t="n">
        <f aca="false">AVERAGE(B2284:B2303)+2*STDEV(B2284:B2303)</f>
        <v>23974.0862303578</v>
      </c>
      <c r="Q2303" s="17" t="n">
        <f aca="false">AVERAGE(B2284:B2303)-2*STDEV(B2284:B2303)</f>
        <v>23016.5947696422</v>
      </c>
      <c r="R2303" s="19" t="n">
        <f aca="false">B2303/B2283-1</f>
        <v>0.0286474155120673</v>
      </c>
      <c r="S2303" s="17" t="n">
        <f aca="false">STDEV(C2284:C2303)*SQRT(252)*100</f>
        <v>14.2808885175128</v>
      </c>
      <c r="T2303" s="19" t="n">
        <f aca="false">B2282/B2052-1</f>
        <v>0.199854476150315</v>
      </c>
      <c r="U2303" s="19" t="n">
        <f aca="false">B2303/MAX(B2052:B2303)-1</f>
        <v>-0.0181818639240826</v>
      </c>
      <c r="V2303" s="17" t="n">
        <f aca="false">(B2303-AVERAGE(B2284:B2303))/STDEV(B2284:B2303)</f>
        <v>-0.333874518067351</v>
      </c>
    </row>
    <row r="2304" customFormat="false" ht="15" hidden="false" customHeight="false" outlineLevel="0" collapsed="false">
      <c r="A2304" s="17" t="s">
        <v>2868</v>
      </c>
      <c r="B2304" s="17" t="n">
        <v>23231.11</v>
      </c>
      <c r="C2304" s="19" t="n">
        <f aca="false">B2304/B2303-1</f>
        <v>-0.00787130873586717</v>
      </c>
      <c r="D2304" s="17" t="n">
        <f aca="false">AVERAGE(B2255:B2304)</f>
        <v>23112.3376</v>
      </c>
      <c r="E2304" s="17" t="n">
        <f aca="false">AVERAGE(B2105:B2304)</f>
        <v>21316.05095</v>
      </c>
      <c r="F2304" s="17" t="n">
        <f aca="false">B2304*2/13+F2303*11/13</f>
        <v>23453.67818852</v>
      </c>
      <c r="G2304" s="17" t="n">
        <f aca="false">B2304*2/27+G2303*25/27</f>
        <v>23353.8801956037</v>
      </c>
      <c r="H2304" s="17" t="n">
        <f aca="false">F2304-G2304</f>
        <v>99.7979929162393</v>
      </c>
      <c r="I2304" s="17" t="n">
        <f aca="false">H2304*2/10+I2303*8/10</f>
        <v>155.325673827691</v>
      </c>
      <c r="J2304" s="17" t="n">
        <f aca="false">H2304-I2304</f>
        <v>-55.5276809114515</v>
      </c>
      <c r="K2304" s="17" t="n">
        <f aca="false">MAX(B2304-B2303,0)</f>
        <v>0</v>
      </c>
      <c r="L2304" s="17" t="n">
        <f aca="false">MAX(B2303-B2304,0)</f>
        <v>184.309999999998</v>
      </c>
      <c r="M2304" s="17" t="n">
        <f aca="false">(M2303*13+K2304)/14</f>
        <v>72.2329455269494</v>
      </c>
      <c r="N2304" s="17" t="n">
        <f aca="false">(N2303*13+L2304)/14</f>
        <v>80.7295508554876</v>
      </c>
      <c r="O2304" s="17" t="n">
        <f aca="false">IF(N2304=0,100,100-100/(1+M2304/N2304))</f>
        <v>47.2226508034705</v>
      </c>
      <c r="P2304" s="17" t="n">
        <f aca="false">AVERAGE(B2285:B2304)+2*STDEV(B2285:B2304)</f>
        <v>23970.8256829018</v>
      </c>
      <c r="Q2304" s="17" t="n">
        <f aca="false">AVERAGE(B2285:B2304)-2*STDEV(B2285:B2304)</f>
        <v>23024.1053170982</v>
      </c>
      <c r="R2304" s="19" t="n">
        <f aca="false">B2304/B2284-1</f>
        <v>0.00183279635993716</v>
      </c>
      <c r="S2304" s="17" t="n">
        <f aca="false">STDEV(C2285:C2304)*SQRT(252)*100</f>
        <v>13.0924146016485</v>
      </c>
      <c r="T2304" s="19" t="n">
        <f aca="false">B2283/B2053-1</f>
        <v>0.177892882183856</v>
      </c>
      <c r="U2304" s="19" t="n">
        <f aca="false">B2304/MAX(B2053:B2304)-1</f>
        <v>-0.0259100575956097</v>
      </c>
      <c r="V2304" s="17" t="n">
        <f aca="false">(B2304-AVERAGE(B2285:B2304))/STDEV(B2285:B2304)</f>
        <v>-1.12538193798714</v>
      </c>
    </row>
    <row r="2305" customFormat="false" ht="15" hidden="false" customHeight="false" outlineLevel="0" collapsed="false">
      <c r="A2305" s="17" t="s">
        <v>2869</v>
      </c>
      <c r="B2305" s="17" t="n">
        <v>23414.84</v>
      </c>
      <c r="C2305" s="19" t="n">
        <f aca="false">B2305/B2304-1</f>
        <v>0.00790879127170419</v>
      </c>
      <c r="D2305" s="17" t="n">
        <f aca="false">AVERAGE(B2256:B2305)</f>
        <v>23143.5078</v>
      </c>
      <c r="E2305" s="17" t="n">
        <f aca="false">AVERAGE(B2106:B2305)</f>
        <v>21327.7712</v>
      </c>
      <c r="F2305" s="17" t="n">
        <f aca="false">B2305*2/13+F2304*11/13</f>
        <v>23447.7030825938</v>
      </c>
      <c r="G2305" s="17" t="n">
        <f aca="false">B2305*2/27+G2304*25/27</f>
        <v>23358.3957366701</v>
      </c>
      <c r="H2305" s="17" t="n">
        <f aca="false">F2305-G2305</f>
        <v>89.3073459237021</v>
      </c>
      <c r="I2305" s="17" t="n">
        <f aca="false">H2305*2/10+I2304*8/10</f>
        <v>142.122008246893</v>
      </c>
      <c r="J2305" s="17" t="n">
        <f aca="false">H2305-I2305</f>
        <v>-52.814662323191</v>
      </c>
      <c r="K2305" s="17" t="n">
        <f aca="false">MAX(B2305-B2304,0)</f>
        <v>183.73</v>
      </c>
      <c r="L2305" s="17" t="n">
        <f aca="false">MAX(B2304-B2305,0)</f>
        <v>0</v>
      </c>
      <c r="M2305" s="17" t="n">
        <f aca="false">(M2304*13+K2305)/14</f>
        <v>80.197020846453</v>
      </c>
      <c r="N2305" s="17" t="n">
        <f aca="false">(N2304*13+L2305)/14</f>
        <v>74.9631543658099</v>
      </c>
      <c r="O2305" s="17" t="n">
        <f aca="false">IF(N2305=0,100,100-100/(1+M2305/N2305))</f>
        <v>51.6866011118778</v>
      </c>
      <c r="P2305" s="17" t="n">
        <f aca="false">AVERAGE(B2286:B2305)+2*STDEV(B2286:B2305)</f>
        <v>23936.2899763155</v>
      </c>
      <c r="Q2305" s="17" t="n">
        <f aca="false">AVERAGE(B2286:B2305)-2*STDEV(B2286:B2305)</f>
        <v>23098.2690236845</v>
      </c>
      <c r="R2305" s="19" t="n">
        <f aca="false">B2305/B2285-1</f>
        <v>0.0172156729178541</v>
      </c>
      <c r="S2305" s="17" t="n">
        <f aca="false">STDEV(C2286:C2305)*SQRT(252)*100</f>
        <v>13.0588420813741</v>
      </c>
      <c r="T2305" s="19" t="n">
        <f aca="false">B2284/B2054-1</f>
        <v>0.184625106770802</v>
      </c>
      <c r="U2305" s="19" t="n">
        <f aca="false">B2305/MAX(B2054:B2305)-1</f>
        <v>-0.018206183561267</v>
      </c>
      <c r="V2305" s="17" t="n">
        <f aca="false">(B2305-AVERAGE(B2286:B2305))/STDEV(B2286:B2305)</f>
        <v>-0.488959134868399</v>
      </c>
    </row>
    <row r="2306" customFormat="false" ht="15" hidden="false" customHeight="false" outlineLevel="0" collapsed="false">
      <c r="A2306" s="17" t="s">
        <v>2870</v>
      </c>
      <c r="B2306" s="17" t="n">
        <v>23633.01</v>
      </c>
      <c r="C2306" s="19" t="n">
        <f aca="false">B2306/B2305-1</f>
        <v>0.00931759516614239</v>
      </c>
      <c r="D2306" s="17" t="n">
        <f aca="false">AVERAGE(B2257:B2306)</f>
        <v>23172.3576</v>
      </c>
      <c r="E2306" s="17" t="n">
        <f aca="false">AVERAGE(B2107:B2306)</f>
        <v>21340.75545</v>
      </c>
      <c r="F2306" s="17" t="n">
        <f aca="false">B2306*2/13+F2305*11/13</f>
        <v>23476.2118391178</v>
      </c>
      <c r="G2306" s="17" t="n">
        <f aca="false">B2306*2/27+G2305*25/27</f>
        <v>23378.7375339538</v>
      </c>
      <c r="H2306" s="17" t="n">
        <f aca="false">F2306-G2306</f>
        <v>97.4743051640326</v>
      </c>
      <c r="I2306" s="17" t="n">
        <f aca="false">H2306*2/10+I2305*8/10</f>
        <v>133.192467630321</v>
      </c>
      <c r="J2306" s="17" t="n">
        <f aca="false">H2306-I2306</f>
        <v>-35.7181624662884</v>
      </c>
      <c r="K2306" s="17" t="n">
        <f aca="false">MAX(B2306-B2305,0)</f>
        <v>218.169999999998</v>
      </c>
      <c r="L2306" s="17" t="n">
        <f aca="false">MAX(B2305-B2306,0)</f>
        <v>0</v>
      </c>
      <c r="M2306" s="17" t="n">
        <f aca="false">(M2305*13+K2306)/14</f>
        <v>90.0522336431348</v>
      </c>
      <c r="N2306" s="17" t="n">
        <f aca="false">(N2305*13+L2306)/14</f>
        <v>69.6086433396806</v>
      </c>
      <c r="O2306" s="17" t="n">
        <f aca="false">IF(N2306=0,100,100-100/(1+M2306/N2306))</f>
        <v>56.4021915355177</v>
      </c>
      <c r="P2306" s="17" t="n">
        <f aca="false">AVERAGE(B2287:B2306)+2*STDEV(B2287:B2306)</f>
        <v>23943.9267229618</v>
      </c>
      <c r="Q2306" s="17" t="n">
        <f aca="false">AVERAGE(B2287:B2306)-2*STDEV(B2287:B2306)</f>
        <v>23122.4292770382</v>
      </c>
      <c r="R2306" s="19" t="n">
        <f aca="false">B2306/B2286-1</f>
        <v>0.0136379778889506</v>
      </c>
      <c r="S2306" s="17" t="n">
        <f aca="false">STDEV(C2287:C2306)*SQRT(252)*100</f>
        <v>12.6806213338775</v>
      </c>
      <c r="T2306" s="19" t="n">
        <f aca="false">B2285/B2055-1</f>
        <v>0.214139758232878</v>
      </c>
      <c r="U2306" s="19" t="n">
        <f aca="false">B2306/MAX(B2055:B2306)-1</f>
        <v>-0.00905822624306896</v>
      </c>
      <c r="V2306" s="17" t="n">
        <f aca="false">(B2306-AVERAGE(B2287:B2306))/STDEV(B2287:B2306)</f>
        <v>0.486097676847978</v>
      </c>
    </row>
    <row r="2307" customFormat="false" ht="15" hidden="false" customHeight="false" outlineLevel="0" collapsed="false">
      <c r="A2307" s="17" t="s">
        <v>2871</v>
      </c>
      <c r="B2307" s="17" t="n">
        <v>23652.44</v>
      </c>
      <c r="C2307" s="19" t="n">
        <f aca="false">B2307/B2306-1</f>
        <v>0.00082215511270034</v>
      </c>
      <c r="D2307" s="17" t="n">
        <f aca="false">AVERAGE(B2258:B2307)</f>
        <v>23200.6516</v>
      </c>
      <c r="E2307" s="17" t="n">
        <f aca="false">AVERAGE(B2108:B2307)</f>
        <v>21354.5343</v>
      </c>
      <c r="F2307" s="17" t="n">
        <f aca="false">B2307*2/13+F2306*11/13</f>
        <v>23503.3238638689</v>
      </c>
      <c r="G2307" s="17" t="n">
        <f aca="false">B2307*2/27+G2306*25/27</f>
        <v>23399.011790698</v>
      </c>
      <c r="H2307" s="17" t="n">
        <f aca="false">F2307-G2307</f>
        <v>104.312073170971</v>
      </c>
      <c r="I2307" s="17" t="n">
        <f aca="false">H2307*2/10+I2306*8/10</f>
        <v>127.416388738451</v>
      </c>
      <c r="J2307" s="17" t="n">
        <f aca="false">H2307-I2307</f>
        <v>-23.1043155674796</v>
      </c>
      <c r="K2307" s="17" t="n">
        <f aca="false">MAX(B2307-B2306,0)</f>
        <v>19.4300000000003</v>
      </c>
      <c r="L2307" s="17" t="n">
        <f aca="false">MAX(B2306-B2307,0)</f>
        <v>0</v>
      </c>
      <c r="M2307" s="17" t="n">
        <f aca="false">(M2306*13+K2307)/14</f>
        <v>85.0077883829109</v>
      </c>
      <c r="N2307" s="17" t="n">
        <f aca="false">(N2306*13+L2307)/14</f>
        <v>64.6365973868463</v>
      </c>
      <c r="O2307" s="17" t="n">
        <f aca="false">IF(N2307=0,100,100-100/(1+M2307/N2307))</f>
        <v>56.806533666892</v>
      </c>
      <c r="P2307" s="17" t="n">
        <f aca="false">AVERAGE(B2288:B2307)+2*STDEV(B2288:B2307)</f>
        <v>23954.5356564128</v>
      </c>
      <c r="Q2307" s="17" t="n">
        <f aca="false">AVERAGE(B2288:B2307)-2*STDEV(B2288:B2307)</f>
        <v>23138.1113435872</v>
      </c>
      <c r="R2307" s="19" t="n">
        <f aca="false">B2307/B2287-1</f>
        <v>0.0112404994884463</v>
      </c>
      <c r="S2307" s="17" t="n">
        <f aca="false">STDEV(C2288:C2307)*SQRT(252)*100</f>
        <v>12.646822549091</v>
      </c>
      <c r="T2307" s="19" t="n">
        <f aca="false">B2286/B2056-1</f>
        <v>0.232204805141269</v>
      </c>
      <c r="U2307" s="19" t="n">
        <f aca="false">B2307/MAX(B2056:B2307)-1</f>
        <v>-0.00824351839738635</v>
      </c>
      <c r="V2307" s="17" t="n">
        <f aca="false">(B2307-AVERAGE(B2288:B2307))/STDEV(B2288:B2307)</f>
        <v>0.51990857368148</v>
      </c>
    </row>
    <row r="2308" customFormat="false" ht="15" hidden="false" customHeight="false" outlineLevel="0" collapsed="false">
      <c r="A2308" s="17" t="s">
        <v>2872</v>
      </c>
      <c r="B2308" s="17" t="n">
        <v>23762.3</v>
      </c>
      <c r="C2308" s="19" t="n">
        <f aca="false">B2308/B2307-1</f>
        <v>0.00464476392287638</v>
      </c>
      <c r="D2308" s="17" t="n">
        <f aca="false">AVERAGE(B2259:B2308)</f>
        <v>23226.9518</v>
      </c>
      <c r="E2308" s="17" t="n">
        <f aca="false">AVERAGE(B2109:B2308)</f>
        <v>21371.37515</v>
      </c>
      <c r="F2308" s="17" t="n">
        <f aca="false">B2308*2/13+F2307*11/13</f>
        <v>23543.1663463506</v>
      </c>
      <c r="G2308" s="17" t="n">
        <f aca="false">B2308*2/27+G2307*25/27</f>
        <v>23425.922028424</v>
      </c>
      <c r="H2308" s="17" t="n">
        <f aca="false">F2308-G2308</f>
        <v>117.244317926597</v>
      </c>
      <c r="I2308" s="17" t="n">
        <f aca="false">H2308*2/10+I2307*8/10</f>
        <v>125.38197457608</v>
      </c>
      <c r="J2308" s="17" t="n">
        <f aca="false">H2308-I2308</f>
        <v>-8.13765664948288</v>
      </c>
      <c r="K2308" s="17" t="n">
        <f aca="false">MAX(B2308-B2307,0)</f>
        <v>109.860000000001</v>
      </c>
      <c r="L2308" s="17" t="n">
        <f aca="false">MAX(B2307-B2308,0)</f>
        <v>0</v>
      </c>
      <c r="M2308" s="17" t="n">
        <f aca="false">(M2307*13+K2308)/14</f>
        <v>86.7829463555601</v>
      </c>
      <c r="N2308" s="17" t="n">
        <f aca="false">(N2307*13+L2308)/14</f>
        <v>60.0196975735001</v>
      </c>
      <c r="O2308" s="17" t="n">
        <f aca="false">IF(N2308=0,100,100-100/(1+M2308/N2308))</f>
        <v>59.1153837784396</v>
      </c>
      <c r="P2308" s="17" t="n">
        <f aca="false">AVERAGE(B2289:B2308)+2*STDEV(B2289:B2308)</f>
        <v>23972.5983302615</v>
      </c>
      <c r="Q2308" s="17" t="n">
        <f aca="false">AVERAGE(B2289:B2308)-2*STDEV(B2289:B2308)</f>
        <v>23135.1516697385</v>
      </c>
      <c r="R2308" s="19" t="n">
        <f aca="false">B2308/B2288-1</f>
        <v>0.0063965216610542</v>
      </c>
      <c r="S2308" s="17" t="n">
        <f aca="false">STDEV(C2289:C2308)*SQRT(252)*100</f>
        <v>12.3078719477633</v>
      </c>
      <c r="T2308" s="19" t="n">
        <f aca="false">B2287/B2057-1</f>
        <v>0.235558492641174</v>
      </c>
      <c r="U2308" s="19" t="n">
        <f aca="false">B2308/MAX(B2057:B2308)-1</f>
        <v>-0.00363704367135953</v>
      </c>
      <c r="V2308" s="17" t="n">
        <f aca="false">(B2308-AVERAGE(B2289:B2308))/STDEV(B2289:B2308)</f>
        <v>0.995526090556479</v>
      </c>
    </row>
    <row r="2309" customFormat="false" ht="15" hidden="false" customHeight="false" outlineLevel="0" collapsed="false">
      <c r="A2309" s="17" t="s">
        <v>2873</v>
      </c>
      <c r="B2309" s="17" t="n">
        <v>23839.8</v>
      </c>
      <c r="C2309" s="19" t="n">
        <f aca="false">B2309/B2308-1</f>
        <v>0.00326146879721234</v>
      </c>
      <c r="D2309" s="17" t="n">
        <f aca="false">AVERAGE(B2260:B2309)</f>
        <v>23253.0638</v>
      </c>
      <c r="E2309" s="17" t="n">
        <f aca="false">AVERAGE(B2110:B2309)</f>
        <v>21387.8782</v>
      </c>
      <c r="F2309" s="17" t="n">
        <f aca="false">B2309*2/13+F2308*11/13</f>
        <v>23588.8022930659</v>
      </c>
      <c r="G2309" s="17" t="n">
        <f aca="false">B2309*2/27+G2308*25/27</f>
        <v>23456.5796559482</v>
      </c>
      <c r="H2309" s="17" t="n">
        <f aca="false">F2309-G2309</f>
        <v>132.222637117739</v>
      </c>
      <c r="I2309" s="17" t="n">
        <f aca="false">H2309*2/10+I2308*8/10</f>
        <v>126.750107084412</v>
      </c>
      <c r="J2309" s="17" t="n">
        <f aca="false">H2309-I2309</f>
        <v>5.47253003332654</v>
      </c>
      <c r="K2309" s="17" t="n">
        <f aca="false">MAX(B2309-B2308,0)</f>
        <v>77.5</v>
      </c>
      <c r="L2309" s="17" t="n">
        <f aca="false">MAX(B2308-B2309,0)</f>
        <v>0</v>
      </c>
      <c r="M2309" s="17" t="n">
        <f aca="false">(M2308*13+K2309)/14</f>
        <v>86.1198787587344</v>
      </c>
      <c r="N2309" s="17" t="n">
        <f aca="false">(N2308*13+L2309)/14</f>
        <v>55.7325763182501</v>
      </c>
      <c r="O2309" s="17" t="n">
        <f aca="false">IF(N2309=0,100,100-100/(1+M2309/N2309))</f>
        <v>60.7108835106142</v>
      </c>
      <c r="P2309" s="17" t="n">
        <f aca="false">AVERAGE(B2290:B2309)+2*STDEV(B2290:B2309)</f>
        <v>24006.9712243749</v>
      </c>
      <c r="Q2309" s="17" t="n">
        <f aca="false">AVERAGE(B2290:B2309)-2*STDEV(B2290:B2309)</f>
        <v>23132.0957756251</v>
      </c>
      <c r="R2309" s="19" t="n">
        <f aca="false">B2309/B2289-1</f>
        <v>0.0133112987282922</v>
      </c>
      <c r="S2309" s="17" t="n">
        <f aca="false">STDEV(C2290:C2309)*SQRT(252)*100</f>
        <v>12.2575890954025</v>
      </c>
      <c r="T2309" s="19" t="n">
        <f aca="false">B2288/B2058-1</f>
        <v>0.281736749449415</v>
      </c>
      <c r="U2309" s="19" t="n">
        <f aca="false">B2309/MAX(B2058:B2309)-1</f>
        <v>-0.000387436978595446</v>
      </c>
      <c r="V2309" s="17" t="n">
        <f aca="false">(B2309-AVERAGE(B2290:B2309))/STDEV(B2290:B2309)</f>
        <v>1.23567989197181</v>
      </c>
    </row>
    <row r="2310" customFormat="false" ht="15" hidden="false" customHeight="false" outlineLevel="0" collapsed="false">
      <c r="A2310" s="17" t="s">
        <v>2874</v>
      </c>
      <c r="B2310" s="17" t="n">
        <v>23849.27</v>
      </c>
      <c r="C2310" s="19" t="n">
        <f aca="false">B2310/B2309-1</f>
        <v>0.000397234876131636</v>
      </c>
      <c r="D2310" s="17" t="n">
        <f aca="false">AVERAGE(B2261:B2310)</f>
        <v>23276.469</v>
      </c>
      <c r="E2310" s="17" t="n">
        <f aca="false">AVERAGE(B2111:B2310)</f>
        <v>21403.7016</v>
      </c>
      <c r="F2310" s="17" t="n">
        <f aca="false">B2310*2/13+F2309*11/13</f>
        <v>23628.8742479789</v>
      </c>
      <c r="G2310" s="17" t="n">
        <f aca="false">B2310*2/27+G2309*25/27</f>
        <v>23485.6678295817</v>
      </c>
      <c r="H2310" s="17" t="n">
        <f aca="false">F2310-G2310</f>
        <v>143.206418397207</v>
      </c>
      <c r="I2310" s="17" t="n">
        <f aca="false">H2310*2/10+I2309*8/10</f>
        <v>130.041369346971</v>
      </c>
      <c r="J2310" s="17" t="n">
        <f aca="false">H2310-I2310</f>
        <v>13.165049050236</v>
      </c>
      <c r="K2310" s="17" t="n">
        <f aca="false">MAX(B2310-B2309,0)</f>
        <v>9.47000000000116</v>
      </c>
      <c r="L2310" s="17" t="n">
        <f aca="false">MAX(B2309-B2310,0)</f>
        <v>0</v>
      </c>
      <c r="M2310" s="17" t="n">
        <f aca="false">(M2309*13+K2310)/14</f>
        <v>80.6448874188249</v>
      </c>
      <c r="N2310" s="17" t="n">
        <f aca="false">(N2309*13+L2310)/14</f>
        <v>51.7516780098037</v>
      </c>
      <c r="O2310" s="17" t="n">
        <f aca="false">IF(N2310=0,100,100-100/(1+M2310/N2310))</f>
        <v>60.9116159152168</v>
      </c>
      <c r="P2310" s="17" t="n">
        <f aca="false">AVERAGE(B2291:B2310)+2*STDEV(B2291:B2310)</f>
        <v>24008.8028027312</v>
      </c>
      <c r="Q2310" s="17" t="n">
        <f aca="false">AVERAGE(B2291:B2310)-2*STDEV(B2291:B2310)</f>
        <v>23131.2711972688</v>
      </c>
      <c r="R2310" s="19" t="n">
        <f aca="false">B2310/B2290-1</f>
        <v>0.000422413503808894</v>
      </c>
      <c r="S2310" s="17" t="n">
        <f aca="false">STDEV(C2291:C2310)*SQRT(252)*100</f>
        <v>11.3187753867443</v>
      </c>
      <c r="T2310" s="19" t="n">
        <f aca="false">B2289/B2059-1</f>
        <v>0.260752765961552</v>
      </c>
      <c r="U2310" s="19" t="n">
        <f aca="false">B2310/MAX(B2059:B2310)-1</f>
        <v>0</v>
      </c>
      <c r="V2310" s="17" t="n">
        <f aca="false">(B2310-AVERAGE(B2291:B2310))/STDEV(B2291:B2310)</f>
        <v>1.27281113642803</v>
      </c>
    </row>
    <row r="2311" customFormat="false" ht="15" hidden="false" customHeight="false" outlineLevel="0" collapsed="false">
      <c r="A2311" s="17" t="s">
        <v>2875</v>
      </c>
      <c r="B2311" s="17" t="n">
        <v>23992.56</v>
      </c>
      <c r="C2311" s="19" t="n">
        <f aca="false">B2311/B2310-1</f>
        <v>0.0060081503542877</v>
      </c>
      <c r="D2311" s="17" t="n">
        <f aca="false">AVERAGE(B2262:B2311)</f>
        <v>23306.7576</v>
      </c>
      <c r="E2311" s="17" t="n">
        <f aca="false">AVERAGE(B2112:B2311)</f>
        <v>21420.3289</v>
      </c>
      <c r="F2311" s="17" t="n">
        <f aca="false">B2311*2/13+F2310*11/13</f>
        <v>23684.825902136</v>
      </c>
      <c r="G2311" s="17" t="n">
        <f aca="false">B2311*2/27+G2310*25/27</f>
        <v>23523.2153977608</v>
      </c>
      <c r="H2311" s="17" t="n">
        <f aca="false">F2311-G2311</f>
        <v>161.610504375167</v>
      </c>
      <c r="I2311" s="17" t="n">
        <f aca="false">H2311*2/10+I2310*8/10</f>
        <v>136.35519635261</v>
      </c>
      <c r="J2311" s="17" t="n">
        <f aca="false">H2311-I2311</f>
        <v>25.2553080225566</v>
      </c>
      <c r="K2311" s="17" t="n">
        <f aca="false">MAX(B2311-B2310,0)</f>
        <v>143.290000000001</v>
      </c>
      <c r="L2311" s="17" t="n">
        <f aca="false">MAX(B2310-B2311,0)</f>
        <v>0</v>
      </c>
      <c r="M2311" s="17" t="n">
        <f aca="false">(M2310*13+K2311)/14</f>
        <v>85.1195383174803</v>
      </c>
      <c r="N2311" s="17" t="n">
        <f aca="false">(N2310*13+L2311)/14</f>
        <v>48.055129580532</v>
      </c>
      <c r="O2311" s="17" t="n">
        <f aca="false">IF(N2311=0,100,100-100/(1+M2311/N2311))</f>
        <v>63.9157128461296</v>
      </c>
      <c r="P2311" s="17" t="n">
        <f aca="false">AVERAGE(B2292:B2311)+2*STDEV(B2292:B2311)</f>
        <v>24039.2682263233</v>
      </c>
      <c r="Q2311" s="17" t="n">
        <f aca="false">AVERAGE(B2292:B2311)-2*STDEV(B2292:B2311)</f>
        <v>23115.1577736767</v>
      </c>
      <c r="R2311" s="19" t="n">
        <f aca="false">B2311/B2291-1</f>
        <v>0.00601785229090979</v>
      </c>
      <c r="S2311" s="17" t="n">
        <f aca="false">STDEV(C2292:C2311)*SQRT(252)*100</f>
        <v>11.5154237163951</v>
      </c>
      <c r="T2311" s="19" t="n">
        <f aca="false">B2290/B2060-1</f>
        <v>0.266080128991552</v>
      </c>
      <c r="U2311" s="19" t="n">
        <f aca="false">B2311/MAX(B2060:B2311)-1</f>
        <v>0</v>
      </c>
      <c r="V2311" s="17" t="n">
        <f aca="false">(B2311-AVERAGE(B2292:B2311))/STDEV(B2292:B2311)</f>
        <v>1.79782405365296</v>
      </c>
    </row>
    <row r="2312" customFormat="false" ht="15" hidden="false" customHeight="false" outlineLevel="0" collapsed="false">
      <c r="A2312" s="17" t="s">
        <v>2876</v>
      </c>
      <c r="B2312" s="17" t="n">
        <v>24092.19</v>
      </c>
      <c r="C2312" s="19" t="n">
        <f aca="false">B2312/B2311-1</f>
        <v>0.00415253728655873</v>
      </c>
      <c r="D2312" s="17" t="n">
        <f aca="false">AVERAGE(B2263:B2312)</f>
        <v>23335.7636</v>
      </c>
      <c r="E2312" s="17" t="n">
        <f aca="false">AVERAGE(B2113:B2312)</f>
        <v>21437.08595</v>
      </c>
      <c r="F2312" s="17" t="n">
        <f aca="false">B2312*2/13+F2311*11/13</f>
        <v>23747.4973018074</v>
      </c>
      <c r="G2312" s="17" t="n">
        <f aca="false">B2312*2/27+G2311*25/27</f>
        <v>23565.3616645933</v>
      </c>
      <c r="H2312" s="17" t="n">
        <f aca="false">F2312-G2312</f>
        <v>182.135637214022</v>
      </c>
      <c r="I2312" s="17" t="n">
        <f aca="false">H2312*2/10+I2311*8/10</f>
        <v>145.511284524892</v>
      </c>
      <c r="J2312" s="17" t="n">
        <f aca="false">H2312-I2312</f>
        <v>36.6243526891292</v>
      </c>
      <c r="K2312" s="17" t="n">
        <f aca="false">MAX(B2312-B2311,0)</f>
        <v>99.6299999999974</v>
      </c>
      <c r="L2312" s="17" t="n">
        <f aca="false">MAX(B2311-B2312,0)</f>
        <v>0</v>
      </c>
      <c r="M2312" s="17" t="n">
        <f aca="false">(M2311*13+K2312)/14</f>
        <v>86.1559998662315</v>
      </c>
      <c r="N2312" s="17" t="n">
        <f aca="false">(N2311*13+L2312)/14</f>
        <v>44.6226203247797</v>
      </c>
      <c r="O2312" s="17" t="n">
        <f aca="false">IF(N2312=0,100,100-100/(1+M2312/N2312))</f>
        <v>65.879269669916</v>
      </c>
      <c r="P2312" s="17" t="n">
        <f aca="false">AVERAGE(B2293:B2312)+2*STDEV(B2293:B2312)</f>
        <v>24095.079513896</v>
      </c>
      <c r="Q2312" s="17" t="n">
        <f aca="false">AVERAGE(B2293:B2312)-2*STDEV(B2293:B2312)</f>
        <v>23085.321486104</v>
      </c>
      <c r="R2312" s="19" t="n">
        <f aca="false">B2312/B2292-1</f>
        <v>0.0108990099209314</v>
      </c>
      <c r="S2312" s="17" t="n">
        <f aca="false">STDEV(C2293:C2312)*SQRT(252)*100</f>
        <v>11.5867950801184</v>
      </c>
      <c r="T2312" s="19" t="n">
        <f aca="false">B2291/B2061-1</f>
        <v>0.239729068008504</v>
      </c>
      <c r="U2312" s="19" t="n">
        <f aca="false">B2312/MAX(B2061:B2312)-1</f>
        <v>0</v>
      </c>
      <c r="V2312" s="17" t="n">
        <f aca="false">(B2312-AVERAGE(B2293:B2312))/STDEV(B2293:B2312)</f>
        <v>1.98855363833115</v>
      </c>
    </row>
    <row r="2313" customFormat="false" ht="15" hidden="false" customHeight="false" outlineLevel="0" collapsed="false">
      <c r="A2313" s="17" t="s">
        <v>2877</v>
      </c>
      <c r="B2313" s="17" t="n">
        <v>24293.78</v>
      </c>
      <c r="C2313" s="19" t="n">
        <f aca="false">B2313/B2312-1</f>
        <v>0.008367441897146</v>
      </c>
      <c r="D2313" s="17" t="n">
        <f aca="false">AVERAGE(B2264:B2313)</f>
        <v>23364.2998</v>
      </c>
      <c r="E2313" s="17" t="n">
        <f aca="false">AVERAGE(B2114:B2313)</f>
        <v>21454.6737</v>
      </c>
      <c r="F2313" s="17" t="n">
        <f aca="false">B2313*2/13+F2312*11/13</f>
        <v>23831.540793837</v>
      </c>
      <c r="G2313" s="17" t="n">
        <f aca="false">B2313*2/27+G2312*25/27</f>
        <v>23619.3185783272</v>
      </c>
      <c r="H2313" s="17" t="n">
        <f aca="false">F2313-G2313</f>
        <v>212.222215509835</v>
      </c>
      <c r="I2313" s="17" t="n">
        <f aca="false">H2313*2/10+I2312*8/10</f>
        <v>158.853470721881</v>
      </c>
      <c r="J2313" s="17" t="n">
        <f aca="false">H2313-I2313</f>
        <v>53.3687447879542</v>
      </c>
      <c r="K2313" s="17" t="n">
        <f aca="false">MAX(B2313-B2312,0)</f>
        <v>201.59</v>
      </c>
      <c r="L2313" s="17" t="n">
        <f aca="false">MAX(B2312-B2313,0)</f>
        <v>0</v>
      </c>
      <c r="M2313" s="17" t="n">
        <f aca="false">(M2312*13+K2313)/14</f>
        <v>94.4012855900722</v>
      </c>
      <c r="N2313" s="17" t="n">
        <f aca="false">(N2312*13+L2313)/14</f>
        <v>41.4352903015812</v>
      </c>
      <c r="O2313" s="17" t="n">
        <f aca="false">IF(N2313=0,100,100-100/(1+M2313/N2313))</f>
        <v>69.4962199763994</v>
      </c>
      <c r="P2313" s="17" t="n">
        <f aca="false">AVERAGE(B2294:B2313)+2*STDEV(B2294:B2313)</f>
        <v>24212.943884871</v>
      </c>
      <c r="Q2313" s="17" t="n">
        <f aca="false">AVERAGE(B2294:B2313)-2*STDEV(B2294:B2313)</f>
        <v>23025.628115129</v>
      </c>
      <c r="R2313" s="19" t="n">
        <f aca="false">B2313/B2293-1</f>
        <v>0.0245322318970886</v>
      </c>
      <c r="S2313" s="17" t="n">
        <f aca="false">STDEV(C2294:C2313)*SQRT(252)*100</f>
        <v>11.7022544919512</v>
      </c>
      <c r="T2313" s="19" t="n">
        <f aca="false">B2292/B2062-1</f>
        <v>0.227017150223935</v>
      </c>
      <c r="U2313" s="19" t="n">
        <f aca="false">B2313/MAX(B2062:B2313)-1</f>
        <v>0</v>
      </c>
      <c r="V2313" s="17" t="n">
        <f aca="false">(B2313-AVERAGE(B2294:B2313))/STDEV(B2294:B2313)</f>
        <v>2.27233232199586</v>
      </c>
    </row>
    <row r="2314" customFormat="false" ht="15" hidden="false" customHeight="false" outlineLevel="0" collapsed="false">
      <c r="A2314" s="17" t="s">
        <v>2878</v>
      </c>
      <c r="B2314" s="17" t="n">
        <v>24274.25</v>
      </c>
      <c r="C2314" s="19" t="n">
        <f aca="false">B2314/B2313-1</f>
        <v>-0.000803909478063858</v>
      </c>
      <c r="D2314" s="17" t="n">
        <f aca="false">AVERAGE(B2265:B2314)</f>
        <v>23396.0734</v>
      </c>
      <c r="E2314" s="17" t="n">
        <f aca="false">AVERAGE(B2115:B2314)</f>
        <v>21472.0205</v>
      </c>
      <c r="F2314" s="17" t="n">
        <f aca="false">B2314*2/13+F2313*11/13</f>
        <v>23899.6499024775</v>
      </c>
      <c r="G2314" s="17" t="n">
        <f aca="false">B2314*2/27+G2313*25/27</f>
        <v>23667.8320169696</v>
      </c>
      <c r="H2314" s="17" t="n">
        <f aca="false">F2314-G2314</f>
        <v>231.817885507866</v>
      </c>
      <c r="I2314" s="17" t="n">
        <f aca="false">H2314*2/10+I2313*8/10</f>
        <v>173.446353679078</v>
      </c>
      <c r="J2314" s="17" t="n">
        <f aca="false">H2314-I2314</f>
        <v>58.3715318287879</v>
      </c>
      <c r="K2314" s="17" t="n">
        <f aca="false">MAX(B2314-B2313,0)</f>
        <v>0</v>
      </c>
      <c r="L2314" s="17" t="n">
        <f aca="false">MAX(B2313-B2314,0)</f>
        <v>19.5299999999988</v>
      </c>
      <c r="M2314" s="17" t="n">
        <f aca="false">(M2313*13+K2314)/14</f>
        <v>87.6583366193527</v>
      </c>
      <c r="N2314" s="17" t="n">
        <f aca="false">(N2313*13+L2314)/14</f>
        <v>39.870626708611</v>
      </c>
      <c r="O2314" s="17" t="n">
        <f aca="false">IF(N2314=0,100,100-100/(1+M2314/N2314))</f>
        <v>68.7360222586641</v>
      </c>
      <c r="P2314" s="17" t="n">
        <f aca="false">AVERAGE(B2295:B2314)+2*STDEV(B2295:B2314)</f>
        <v>24308.7898711857</v>
      </c>
      <c r="Q2314" s="17" t="n">
        <f aca="false">AVERAGE(B2295:B2314)-2*STDEV(B2295:B2314)</f>
        <v>22985.8311288143</v>
      </c>
      <c r="R2314" s="19" t="n">
        <f aca="false">B2314/B2294-1</f>
        <v>0.0236356444528409</v>
      </c>
      <c r="S2314" s="17" t="n">
        <f aca="false">STDEV(C2295:C2314)*SQRT(252)*100</f>
        <v>11.7179441586737</v>
      </c>
      <c r="T2314" s="19" t="n">
        <f aca="false">B2293/B2063-1</f>
        <v>0.215094449844962</v>
      </c>
      <c r="U2314" s="19" t="n">
        <f aca="false">B2314/MAX(B2063:B2314)-1</f>
        <v>-0.000803909478063858</v>
      </c>
      <c r="V2314" s="17" t="n">
        <f aca="false">(B2314-AVERAGE(B2295:B2314))/STDEV(B2295:B2314)</f>
        <v>1.89556780546679</v>
      </c>
    </row>
    <row r="2315" customFormat="false" ht="15" hidden="false" customHeight="false" outlineLevel="0" collapsed="false">
      <c r="A2315" s="17" t="s">
        <v>2879</v>
      </c>
      <c r="B2315" s="17" t="n">
        <v>24223.69</v>
      </c>
      <c r="C2315" s="19" t="n">
        <f aca="false">B2315/B2314-1</f>
        <v>-0.00208286558802029</v>
      </c>
      <c r="D2315" s="17" t="n">
        <f aca="false">AVERAGE(B2266:B2315)</f>
        <v>23426.5022</v>
      </c>
      <c r="E2315" s="17" t="n">
        <f aca="false">AVERAGE(B2116:B2315)</f>
        <v>21488.52445</v>
      </c>
      <c r="F2315" s="17" t="n">
        <f aca="false">B2315*2/13+F2314*11/13</f>
        <v>23949.5022251732</v>
      </c>
      <c r="G2315" s="17" t="n">
        <f aca="false">B2315*2/27+G2314*25/27</f>
        <v>23709.0066823792</v>
      </c>
      <c r="H2315" s="17" t="n">
        <f aca="false">F2315-G2315</f>
        <v>240.495542793982</v>
      </c>
      <c r="I2315" s="17" t="n">
        <f aca="false">H2315*2/10+I2314*8/10</f>
        <v>186.856191502059</v>
      </c>
      <c r="J2315" s="17" t="n">
        <f aca="false">H2315-I2315</f>
        <v>53.6393512919233</v>
      </c>
      <c r="K2315" s="17" t="n">
        <f aca="false">MAX(B2315-B2314,0)</f>
        <v>0</v>
      </c>
      <c r="L2315" s="17" t="n">
        <f aca="false">MAX(B2314-B2315,0)</f>
        <v>50.5600000000013</v>
      </c>
      <c r="M2315" s="17" t="n">
        <f aca="false">(M2314*13+K2315)/14</f>
        <v>81.3970268608275</v>
      </c>
      <c r="N2315" s="17" t="n">
        <f aca="false">(N2314*13+L2315)/14</f>
        <v>40.6341533722817</v>
      </c>
      <c r="O2315" s="17" t="n">
        <f aca="false">IF(N2315=0,100,100-100/(1+M2315/N2315))</f>
        <v>66.7018271111853</v>
      </c>
      <c r="P2315" s="17" t="n">
        <f aca="false">AVERAGE(B2296:B2315)+2*STDEV(B2296:B2315)</f>
        <v>24386.0888106375</v>
      </c>
      <c r="Q2315" s="17" t="n">
        <f aca="false">AVERAGE(B2296:B2315)-2*STDEV(B2296:B2315)</f>
        <v>22992.4241893625</v>
      </c>
      <c r="R2315" s="19" t="n">
        <f aca="false">B2315/B2295-1</f>
        <v>0.0358746312236553</v>
      </c>
      <c r="S2315" s="17" t="n">
        <f aca="false">STDEV(C2296:C2315)*SQRT(252)*100</f>
        <v>10.3778498801725</v>
      </c>
      <c r="T2315" s="19" t="n">
        <f aca="false">B2294/B2064-1</f>
        <v>0.220907519206551</v>
      </c>
      <c r="U2315" s="19" t="n">
        <f aca="false">B2315/MAX(B2064:B2315)-1</f>
        <v>-0.00288510063069647</v>
      </c>
      <c r="V2315" s="17" t="n">
        <f aca="false">(B2315-AVERAGE(B2296:B2315))/STDEV(B2296:B2315)</f>
        <v>1.53389414308604</v>
      </c>
    </row>
    <row r="2316" customFormat="false" ht="15" hidden="false" customHeight="false" outlineLevel="0" collapsed="false">
      <c r="A2316" s="17" t="s">
        <v>2880</v>
      </c>
      <c r="B2316" s="17" t="n">
        <v>24454.89</v>
      </c>
      <c r="C2316" s="19" t="n">
        <f aca="false">B2316/B2315-1</f>
        <v>0.00954437577429368</v>
      </c>
      <c r="D2316" s="17" t="n">
        <f aca="false">AVERAGE(B2267:B2316)</f>
        <v>23458.3018</v>
      </c>
      <c r="E2316" s="17" t="n">
        <f aca="false">AVERAGE(B2117:B2316)</f>
        <v>21507.07645</v>
      </c>
      <c r="F2316" s="17" t="n">
        <f aca="false">B2316*2/13+F2315*11/13</f>
        <v>24027.2541905312</v>
      </c>
      <c r="G2316" s="17" t="n">
        <f aca="false">B2316*2/27+G2315*25/27</f>
        <v>23764.2572984993</v>
      </c>
      <c r="H2316" s="17" t="n">
        <f aca="false">F2316-G2316</f>
        <v>262.996892031893</v>
      </c>
      <c r="I2316" s="17" t="n">
        <f aca="false">H2316*2/10+I2315*8/10</f>
        <v>202.084331608026</v>
      </c>
      <c r="J2316" s="17" t="n">
        <f aca="false">H2316-I2316</f>
        <v>60.9125604238676</v>
      </c>
      <c r="K2316" s="17" t="n">
        <f aca="false">MAX(B2316-B2315,0)</f>
        <v>231.200000000001</v>
      </c>
      <c r="L2316" s="17" t="n">
        <f aca="false">MAX(B2315-B2316,0)</f>
        <v>0</v>
      </c>
      <c r="M2316" s="17" t="n">
        <f aca="false">(M2315*13+K2316)/14</f>
        <v>92.0972392279113</v>
      </c>
      <c r="N2316" s="17" t="n">
        <f aca="false">(N2315*13+L2316)/14</f>
        <v>37.7317138456902</v>
      </c>
      <c r="O2316" s="17" t="n">
        <f aca="false">IF(N2316=0,100,100-100/(1+M2316/N2316))</f>
        <v>70.9373657012395</v>
      </c>
      <c r="P2316" s="17" t="n">
        <f aca="false">AVERAGE(B2297:B2316)+2*STDEV(B2297:B2316)</f>
        <v>24493.1569817145</v>
      </c>
      <c r="Q2316" s="17" t="n">
        <f aca="false">AVERAGE(B2297:B2316)-2*STDEV(B2297:B2316)</f>
        <v>23005.8880182855</v>
      </c>
      <c r="R2316" s="19" t="n">
        <f aca="false">B2316/B2296-1</f>
        <v>0.0518426792409494</v>
      </c>
      <c r="S2316" s="17" t="n">
        <f aca="false">STDEV(C2297:C2316)*SQRT(252)*100</f>
        <v>10.3217049247061</v>
      </c>
      <c r="T2316" s="19" t="n">
        <f aca="false">B2295/B2065-1</f>
        <v>0.203390728885778</v>
      </c>
      <c r="U2316" s="19" t="n">
        <f aca="false">B2316/MAX(B2065:B2316)-1</f>
        <v>0</v>
      </c>
      <c r="V2316" s="17" t="n">
        <f aca="false">(B2316-AVERAGE(B2297:B2316))/STDEV(B2297:B2316)</f>
        <v>1.89708120681484</v>
      </c>
    </row>
    <row r="2317" customFormat="false" ht="15" hidden="false" customHeight="false" outlineLevel="0" collapsed="false">
      <c r="A2317" s="17" t="s">
        <v>2881</v>
      </c>
      <c r="B2317" s="17" t="n">
        <v>24626.25</v>
      </c>
      <c r="C2317" s="19" t="n">
        <f aca="false">B2317/B2316-1</f>
        <v>0.00700718751955143</v>
      </c>
      <c r="D2317" s="17" t="n">
        <f aca="false">AVERAGE(B2268:B2317)</f>
        <v>23494.2416</v>
      </c>
      <c r="E2317" s="17" t="n">
        <f aca="false">AVERAGE(B2118:B2317)</f>
        <v>21525.55585</v>
      </c>
      <c r="F2317" s="17" t="n">
        <f aca="false">B2317*2/13+F2316*11/13</f>
        <v>24119.4073919879</v>
      </c>
      <c r="G2317" s="17" t="n">
        <f aca="false">B2317*2/27+G2316*25/27</f>
        <v>23828.1086097216</v>
      </c>
      <c r="H2317" s="17" t="n">
        <f aca="false">F2317-G2317</f>
        <v>291.298782266356</v>
      </c>
      <c r="I2317" s="17" t="n">
        <f aca="false">H2317*2/10+I2316*8/10</f>
        <v>219.927221739692</v>
      </c>
      <c r="J2317" s="17" t="n">
        <f aca="false">H2317-I2317</f>
        <v>71.3715605266644</v>
      </c>
      <c r="K2317" s="17" t="n">
        <f aca="false">MAX(B2317-B2316,0)</f>
        <v>171.360000000001</v>
      </c>
      <c r="L2317" s="17" t="n">
        <f aca="false">MAX(B2316-B2317,0)</f>
        <v>0</v>
      </c>
      <c r="M2317" s="17" t="n">
        <f aca="false">(M2316*13+K2317)/14</f>
        <v>97.7588649973463</v>
      </c>
      <c r="N2317" s="17" t="n">
        <f aca="false">(N2316*13+L2317)/14</f>
        <v>35.0365914281409</v>
      </c>
      <c r="O2317" s="17" t="n">
        <f aca="false">IF(N2317=0,100,100-100/(1+M2317/N2317))</f>
        <v>73.6161218378731</v>
      </c>
      <c r="P2317" s="17" t="n">
        <f aca="false">AVERAGE(B2298:B2317)+2*STDEV(B2298:B2317)</f>
        <v>24607.3441050997</v>
      </c>
      <c r="Q2317" s="17" t="n">
        <f aca="false">AVERAGE(B2298:B2317)-2*STDEV(B2298:B2317)</f>
        <v>23040.0678949003</v>
      </c>
      <c r="R2317" s="19" t="n">
        <f aca="false">B2317/B2297-1</f>
        <v>0.0641099652674853</v>
      </c>
      <c r="S2317" s="17" t="n">
        <f aca="false">STDEV(C2298:C2317)*SQRT(252)*100</f>
        <v>10.0744016160184</v>
      </c>
      <c r="T2317" s="19" t="n">
        <f aca="false">B2296/B2066-1</f>
        <v>0.201870403406861</v>
      </c>
      <c r="U2317" s="19" t="n">
        <f aca="false">B2317/MAX(B2066:B2317)-1</f>
        <v>0</v>
      </c>
      <c r="V2317" s="17" t="n">
        <f aca="false">(B2317-AVERAGE(B2298:B2317))/STDEV(B2298:B2317)</f>
        <v>2.04825159669315</v>
      </c>
    </row>
    <row r="2318" customFormat="false" ht="15" hidden="false" customHeight="false" outlineLevel="0" collapsed="false">
      <c r="A2318" s="17" t="s">
        <v>2882</v>
      </c>
      <c r="B2318" s="17" t="n">
        <v>24761.07</v>
      </c>
      <c r="C2318" s="19" t="n">
        <f aca="false">B2318/B2317-1</f>
        <v>0.00547464595705804</v>
      </c>
      <c r="D2318" s="17" t="n">
        <f aca="false">AVERAGE(B2269:B2318)</f>
        <v>23533.851</v>
      </c>
      <c r="E2318" s="17" t="n">
        <f aca="false">AVERAGE(B2119:B2318)</f>
        <v>21543.5382</v>
      </c>
      <c r="F2318" s="17" t="n">
        <f aca="false">B2318*2/13+F2317*11/13</f>
        <v>24218.1247162975</v>
      </c>
      <c r="G2318" s="17" t="n">
        <f aca="false">B2318*2/27+G2317*25/27</f>
        <v>23897.2168608533</v>
      </c>
      <c r="H2318" s="17" t="n">
        <f aca="false">F2318-G2318</f>
        <v>320.907855444169</v>
      </c>
      <c r="I2318" s="17" t="n">
        <f aca="false">H2318*2/10+I2317*8/10</f>
        <v>240.123348480587</v>
      </c>
      <c r="J2318" s="17" t="n">
        <f aca="false">H2318-I2318</f>
        <v>80.784506963582</v>
      </c>
      <c r="K2318" s="17" t="n">
        <f aca="false">MAX(B2318-B2317,0)</f>
        <v>134.82</v>
      </c>
      <c r="L2318" s="17" t="n">
        <f aca="false">MAX(B2317-B2318,0)</f>
        <v>0</v>
      </c>
      <c r="M2318" s="17" t="n">
        <f aca="false">(M2317*13+K2318)/14</f>
        <v>100.406088926107</v>
      </c>
      <c r="N2318" s="17" t="n">
        <f aca="false">(N2317*13+L2318)/14</f>
        <v>32.5339777547023</v>
      </c>
      <c r="O2318" s="17" t="n">
        <f aca="false">IF(N2318=0,100,100-100/(1+M2318/N2318))</f>
        <v>75.5273345598534</v>
      </c>
      <c r="P2318" s="17" t="n">
        <f aca="false">AVERAGE(B2299:B2318)+2*STDEV(B2299:B2318)</f>
        <v>24758.6108441775</v>
      </c>
      <c r="Q2318" s="17" t="n">
        <f aca="false">AVERAGE(B2299:B2318)-2*STDEV(B2299:B2318)</f>
        <v>23015.0961558225</v>
      </c>
      <c r="R2318" s="19" t="n">
        <f aca="false">B2318/B2298-1</f>
        <v>0.0537468529397245</v>
      </c>
      <c r="S2318" s="17" t="n">
        <f aca="false">STDEV(C2299:C2318)*SQRT(252)*100</f>
        <v>9.04039145453259</v>
      </c>
      <c r="T2318" s="19" t="n">
        <f aca="false">B2297/B2067-1</f>
        <v>0.166470680444339</v>
      </c>
      <c r="U2318" s="19" t="n">
        <f aca="false">B2318/MAX(B2067:B2318)-1</f>
        <v>0</v>
      </c>
      <c r="V2318" s="17" t="n">
        <f aca="false">(B2318-AVERAGE(B2299:B2318))/STDEV(B2299:B2318)</f>
        <v>2.00564183562994</v>
      </c>
    </row>
    <row r="2319" customFormat="false" ht="15" hidden="false" customHeight="false" outlineLevel="0" collapsed="false">
      <c r="A2319" s="17" t="s">
        <v>2883</v>
      </c>
      <c r="B2319" s="17" t="n">
        <v>24580.17</v>
      </c>
      <c r="C2319" s="19" t="n">
        <f aca="false">B2319/B2318-1</f>
        <v>-0.00730582321361728</v>
      </c>
      <c r="D2319" s="17" t="n">
        <f aca="false">AVERAGE(B2270:B2319)</f>
        <v>23568.3418</v>
      </c>
      <c r="E2319" s="17" t="n">
        <f aca="false">AVERAGE(B2120:B2319)</f>
        <v>21560.29245</v>
      </c>
      <c r="F2319" s="17" t="n">
        <f aca="false">B2319*2/13+F2318*11/13</f>
        <v>24273.8239907133</v>
      </c>
      <c r="G2319" s="17" t="n">
        <f aca="false">B2319*2/27+G2318*25/27</f>
        <v>23947.8059822716</v>
      </c>
      <c r="H2319" s="17" t="n">
        <f aca="false">F2319-G2319</f>
        <v>326.018008441664</v>
      </c>
      <c r="I2319" s="17" t="n">
        <f aca="false">H2319*2/10+I2318*8/10</f>
        <v>257.302280472803</v>
      </c>
      <c r="J2319" s="17" t="n">
        <f aca="false">H2319-I2319</f>
        <v>68.7157279688615</v>
      </c>
      <c r="K2319" s="17" t="n">
        <f aca="false">MAX(B2319-B2318,0)</f>
        <v>0</v>
      </c>
      <c r="L2319" s="17" t="n">
        <f aca="false">MAX(B2318-B2319,0)</f>
        <v>180.900000000001</v>
      </c>
      <c r="M2319" s="17" t="n">
        <f aca="false">(M2318*13+K2319)/14</f>
        <v>93.2342254313853</v>
      </c>
      <c r="N2319" s="17" t="n">
        <f aca="false">(N2318*13+L2319)/14</f>
        <v>43.1315507722236</v>
      </c>
      <c r="O2319" s="17" t="n">
        <f aca="false">IF(N2319=0,100,100-100/(1+M2319/N2319))</f>
        <v>68.370692432518</v>
      </c>
      <c r="P2319" s="17" t="n">
        <f aca="false">AVERAGE(B2300:B2319)+2*STDEV(B2300:B2319)</f>
        <v>24840.3147641097</v>
      </c>
      <c r="Q2319" s="17" t="n">
        <f aca="false">AVERAGE(B2300:B2319)-2*STDEV(B2300:B2319)</f>
        <v>23048.8482358903</v>
      </c>
      <c r="R2319" s="19" t="n">
        <f aca="false">B2319/B2299-1</f>
        <v>0.0492862298996695</v>
      </c>
      <c r="S2319" s="17" t="n">
        <f aca="false">STDEV(C2300:C2319)*SQRT(252)*100</f>
        <v>9.50674454638226</v>
      </c>
      <c r="T2319" s="19" t="n">
        <f aca="false">B2298/B2068-1</f>
        <v>0.187284029651128</v>
      </c>
      <c r="U2319" s="19" t="n">
        <f aca="false">B2319/MAX(B2068:B2319)-1</f>
        <v>-0.00730582321361728</v>
      </c>
      <c r="V2319" s="17" t="n">
        <f aca="false">(B2319-AVERAGE(B2300:B2319))/STDEV(B2300:B2319)</f>
        <v>1.41914680511888</v>
      </c>
    </row>
    <row r="2320" customFormat="false" ht="15" hidden="false" customHeight="false" outlineLevel="0" collapsed="false">
      <c r="A2320" s="17" t="s">
        <v>2884</v>
      </c>
      <c r="B2320" s="17" t="n">
        <v>24503.57</v>
      </c>
      <c r="C2320" s="19" t="n">
        <f aca="false">B2320/B2319-1</f>
        <v>-0.00311633320680849</v>
      </c>
      <c r="D2320" s="17" t="n">
        <f aca="false">AVERAGE(B2271:B2320)</f>
        <v>23600.7214</v>
      </c>
      <c r="E2320" s="17" t="n">
        <f aca="false">AVERAGE(B2121:B2320)</f>
        <v>21575.3485</v>
      </c>
      <c r="F2320" s="17" t="n">
        <f aca="false">B2320*2/13+F2319*11/13</f>
        <v>24309.1695306035</v>
      </c>
      <c r="G2320" s="17" t="n">
        <f aca="false">B2320*2/27+G2319*25/27</f>
        <v>23988.9736872885</v>
      </c>
      <c r="H2320" s="17" t="n">
        <f aca="false">F2320-G2320</f>
        <v>320.195843315018</v>
      </c>
      <c r="I2320" s="17" t="n">
        <f aca="false">H2320*2/10+I2319*8/10</f>
        <v>269.880993041246</v>
      </c>
      <c r="J2320" s="17" t="n">
        <f aca="false">H2320-I2320</f>
        <v>50.3148502737719</v>
      </c>
      <c r="K2320" s="17" t="n">
        <f aca="false">MAX(B2320-B2319,0)</f>
        <v>0</v>
      </c>
      <c r="L2320" s="17" t="n">
        <f aca="false">MAX(B2319-B2320,0)</f>
        <v>76.5999999999985</v>
      </c>
      <c r="M2320" s="17" t="n">
        <f aca="false">(M2319*13+K2320)/14</f>
        <v>86.574637900572</v>
      </c>
      <c r="N2320" s="17" t="n">
        <f aca="false">(N2319*13+L2320)/14</f>
        <v>45.5221542884933</v>
      </c>
      <c r="O2320" s="17" t="n">
        <f aca="false">IF(N2320=0,100,100-100/(1+M2320/N2320))</f>
        <v>65.538788993953</v>
      </c>
      <c r="P2320" s="17" t="n">
        <f aca="false">AVERAGE(B2301:B2320)+2*STDEV(B2301:B2320)</f>
        <v>24899.6054126189</v>
      </c>
      <c r="Q2320" s="17" t="n">
        <f aca="false">AVERAGE(B2301:B2320)-2*STDEV(B2301:B2320)</f>
        <v>23087.3855873811</v>
      </c>
      <c r="R2320" s="19" t="n">
        <f aca="false">B2320/B2300-1</f>
        <v>0.0415841845095215</v>
      </c>
      <c r="S2320" s="17" t="n">
        <f aca="false">STDEV(C2301:C2320)*SQRT(252)*100</f>
        <v>9.67714453439758</v>
      </c>
      <c r="T2320" s="19" t="n">
        <f aca="false">B2299/B2069-1</f>
        <v>0.180000705211513</v>
      </c>
      <c r="U2320" s="19" t="n">
        <f aca="false">B2320/MAX(B2069:B2320)-1</f>
        <v>-0.0103993890409421</v>
      </c>
      <c r="V2320" s="17" t="n">
        <f aca="false">(B2320-AVERAGE(B2301:B2320))/STDEV(B2301:B2320)</f>
        <v>1.12585568902061</v>
      </c>
    </row>
    <row r="2321" customFormat="false" ht="15" hidden="false" customHeight="false" outlineLevel="0" collapsed="false">
      <c r="A2321" s="17" t="s">
        <v>2885</v>
      </c>
      <c r="B2321" s="17" t="n">
        <v>24397.31</v>
      </c>
      <c r="C2321" s="19" t="n">
        <f aca="false">B2321/B2320-1</f>
        <v>-0.00433651096554499</v>
      </c>
      <c r="D2321" s="17" t="n">
        <f aca="false">AVERAGE(B2272:B2321)</f>
        <v>23630.5082</v>
      </c>
      <c r="E2321" s="17" t="n">
        <f aca="false">AVERAGE(B2122:B2321)</f>
        <v>21590.20895</v>
      </c>
      <c r="F2321" s="17" t="n">
        <f aca="false">B2321*2/13+F2320*11/13</f>
        <v>24322.7296028184</v>
      </c>
      <c r="G2321" s="17" t="n">
        <f aca="false">B2321*2/27+G2320*25/27</f>
        <v>24019.2208215634</v>
      </c>
      <c r="H2321" s="17" t="n">
        <f aca="false">F2321-G2321</f>
        <v>303.508781254932</v>
      </c>
      <c r="I2321" s="17" t="n">
        <f aca="false">H2321*2/10+I2320*8/10</f>
        <v>276.606550683983</v>
      </c>
      <c r="J2321" s="17" t="n">
        <f aca="false">H2321-I2321</f>
        <v>26.9022305709489</v>
      </c>
      <c r="K2321" s="17" t="n">
        <f aca="false">MAX(B2321-B2320,0)</f>
        <v>0</v>
      </c>
      <c r="L2321" s="17" t="n">
        <f aca="false">MAX(B2320-B2321,0)</f>
        <v>106.259999999998</v>
      </c>
      <c r="M2321" s="17" t="n">
        <f aca="false">(M2320*13+K2321)/14</f>
        <v>80.3907351933883</v>
      </c>
      <c r="N2321" s="17" t="n">
        <f aca="false">(N2320*13+L2321)/14</f>
        <v>49.8605718393151</v>
      </c>
      <c r="O2321" s="17" t="n">
        <f aca="false">IF(N2321=0,100,100-100/(1+M2321/N2321))</f>
        <v>61.7197147766079</v>
      </c>
      <c r="P2321" s="17" t="n">
        <f aca="false">AVERAGE(B2302:B2321)+2*STDEV(B2302:B2321)</f>
        <v>24934.8387941313</v>
      </c>
      <c r="Q2321" s="17" t="n">
        <f aca="false">AVERAGE(B2302:B2321)-2*STDEV(B2302:B2321)</f>
        <v>23135.2982058687</v>
      </c>
      <c r="R2321" s="19" t="n">
        <f aca="false">B2321/B2301-1</f>
        <v>0.0352824107766112</v>
      </c>
      <c r="S2321" s="17" t="n">
        <f aca="false">STDEV(C2302:C2321)*SQRT(252)*100</f>
        <v>9.94033414190033</v>
      </c>
      <c r="T2321" s="19" t="n">
        <f aca="false">B2300/B2070-1</f>
        <v>0.179517609567186</v>
      </c>
      <c r="U2321" s="19" t="n">
        <f aca="false">B2321/MAX(B2070:B2321)-1</f>
        <v>-0.0146908029418761</v>
      </c>
      <c r="V2321" s="17" t="n">
        <f aca="false">(B2321-AVERAGE(B2302:B2321))/STDEV(B2302:B2321)</f>
        <v>0.80518661787951</v>
      </c>
    </row>
    <row r="2322" customFormat="false" ht="15" hidden="false" customHeight="false" outlineLevel="0" collapsed="false">
      <c r="A2322" s="17" t="s">
        <v>2886</v>
      </c>
      <c r="B2322" s="17" t="n">
        <v>24503.85</v>
      </c>
      <c r="C2322" s="19" t="n">
        <f aca="false">B2322/B2321-1</f>
        <v>0.00436687487268062</v>
      </c>
      <c r="D2322" s="17" t="n">
        <f aca="false">AVERAGE(B2273:B2322)</f>
        <v>23658.9642</v>
      </c>
      <c r="E2322" s="17" t="n">
        <f aca="false">AVERAGE(B2123:B2322)</f>
        <v>21604.61695</v>
      </c>
      <c r="F2322" s="17" t="n">
        <f aca="false">B2322*2/13+F2321*11/13</f>
        <v>24350.5942793078</v>
      </c>
      <c r="G2322" s="17" t="n">
        <f aca="false">B2322*2/27+G2321*25/27</f>
        <v>24055.1192792254</v>
      </c>
      <c r="H2322" s="17" t="n">
        <f aca="false">F2322-G2322</f>
        <v>295.475000082446</v>
      </c>
      <c r="I2322" s="17" t="n">
        <f aca="false">H2322*2/10+I2321*8/10</f>
        <v>280.380240563676</v>
      </c>
      <c r="J2322" s="17" t="n">
        <f aca="false">H2322-I2322</f>
        <v>15.0947595187705</v>
      </c>
      <c r="K2322" s="17" t="n">
        <f aca="false">MAX(B2322-B2321,0)</f>
        <v>106.539999999997</v>
      </c>
      <c r="L2322" s="17" t="n">
        <f aca="false">MAX(B2321-B2322,0)</f>
        <v>0</v>
      </c>
      <c r="M2322" s="17" t="n">
        <f aca="false">(M2321*13+K2322)/14</f>
        <v>82.2585398224318</v>
      </c>
      <c r="N2322" s="17" t="n">
        <f aca="false">(N2321*13+L2322)/14</f>
        <v>46.2991024222211</v>
      </c>
      <c r="O2322" s="17" t="n">
        <f aca="false">IF(N2322=0,100,100-100/(1+M2322/N2322))</f>
        <v>63.9857253028092</v>
      </c>
      <c r="P2322" s="17" t="n">
        <f aca="false">AVERAGE(B2303:B2322)+2*STDEV(B2303:B2322)</f>
        <v>24983.9095434293</v>
      </c>
      <c r="Q2322" s="17" t="n">
        <f aca="false">AVERAGE(B2303:B2322)-2*STDEV(B2303:B2322)</f>
        <v>23166.2674565707</v>
      </c>
      <c r="R2322" s="19" t="n">
        <f aca="false">B2322/B2302-1</f>
        <v>0.0337672364149522</v>
      </c>
      <c r="S2322" s="17" t="n">
        <f aca="false">STDEV(C2303:C2322)*SQRT(252)*100</f>
        <v>9.87360625681676</v>
      </c>
      <c r="T2322" s="19" t="n">
        <f aca="false">B2301/B2071-1</f>
        <v>0.179908384532617</v>
      </c>
      <c r="U2322" s="19" t="n">
        <f aca="false">B2322/MAX(B2071:B2322)-1</f>
        <v>-0.0103880809674219</v>
      </c>
      <c r="V2322" s="17" t="n">
        <f aca="false">(B2322-AVERAGE(B2303:B2322))/STDEV(B2303:B2322)</f>
        <v>0.94355539652143</v>
      </c>
    </row>
    <row r="2323" customFormat="false" ht="15" hidden="false" customHeight="false" outlineLevel="0" collapsed="false">
      <c r="A2323" s="17" t="s">
        <v>2887</v>
      </c>
      <c r="B2323" s="17" t="n">
        <v>24611.35</v>
      </c>
      <c r="C2323" s="19" t="n">
        <f aca="false">B2323/B2322-1</f>
        <v>0.00438706570600123</v>
      </c>
      <c r="D2323" s="17" t="n">
        <f aca="false">AVERAGE(B2274:B2323)</f>
        <v>23689.8818</v>
      </c>
      <c r="E2323" s="17" t="n">
        <f aca="false">AVERAGE(B2124:B2323)</f>
        <v>21620.4696</v>
      </c>
      <c r="F2323" s="17" t="n">
        <f aca="false">B2323*2/13+F2322*11/13</f>
        <v>24390.7105440297</v>
      </c>
      <c r="G2323" s="17" t="n">
        <f aca="false">B2323*2/27+G2322*25/27</f>
        <v>24096.3215548383</v>
      </c>
      <c r="H2323" s="17" t="n">
        <f aca="false">F2323-G2323</f>
        <v>294.388989191379</v>
      </c>
      <c r="I2323" s="17" t="n">
        <f aca="false">H2323*2/10+I2322*8/10</f>
        <v>283.181990289216</v>
      </c>
      <c r="J2323" s="17" t="n">
        <f aca="false">H2323-I2323</f>
        <v>11.2069989021625</v>
      </c>
      <c r="K2323" s="17" t="n">
        <f aca="false">MAX(B2323-B2322,0)</f>
        <v>107.5</v>
      </c>
      <c r="L2323" s="17" t="n">
        <f aca="false">MAX(B2322-B2323,0)</f>
        <v>0</v>
      </c>
      <c r="M2323" s="17" t="n">
        <f aca="false">(M2322*13+K2323)/14</f>
        <v>84.0615012636867</v>
      </c>
      <c r="N2323" s="17" t="n">
        <f aca="false">(N2322*13+L2323)/14</f>
        <v>42.9920236777768</v>
      </c>
      <c r="O2323" s="17" t="n">
        <f aca="false">IF(N2323=0,100,100-100/(1+M2323/N2323))</f>
        <v>66.1622739726551</v>
      </c>
      <c r="P2323" s="17" t="n">
        <f aca="false">AVERAGE(B2304:B2323)+2*STDEV(B2304:B2323)</f>
        <v>25017.9646543795</v>
      </c>
      <c r="Q2323" s="17" t="n">
        <f aca="false">AVERAGE(B2304:B2323)-2*STDEV(B2304:B2323)</f>
        <v>23251.8053456205</v>
      </c>
      <c r="R2323" s="19" t="n">
        <f aca="false">B2323/B2303-1</f>
        <v>0.0510744628966724</v>
      </c>
      <c r="S2323" s="17" t="n">
        <f aca="false">STDEV(C2304:C2323)*SQRT(252)*100</f>
        <v>8.44225370711713</v>
      </c>
      <c r="T2323" s="19" t="n">
        <f aca="false">B2302/B2072-1</f>
        <v>0.178365084904507</v>
      </c>
      <c r="U2323" s="19" t="n">
        <f aca="false">B2323/MAX(B2072:B2323)-1</f>
        <v>-0.00604658845518391</v>
      </c>
      <c r="V2323" s="17" t="n">
        <f aca="false">(B2323-AVERAGE(B2304:B2323))/STDEV(B2304:B2323)</f>
        <v>1.07909857879085</v>
      </c>
    </row>
    <row r="2324" customFormat="false" ht="15" hidden="false" customHeight="false" outlineLevel="0" collapsed="false">
      <c r="A2324" s="17" t="s">
        <v>2888</v>
      </c>
      <c r="B2324" s="17" t="n">
        <v>24679.99</v>
      </c>
      <c r="C2324" s="19" t="n">
        <f aca="false">B2324/B2323-1</f>
        <v>0.00278895712750438</v>
      </c>
      <c r="D2324" s="17" t="n">
        <f aca="false">AVERAGE(B2275:B2324)</f>
        <v>23719.8804</v>
      </c>
      <c r="E2324" s="17" t="n">
        <f aca="false">AVERAGE(B2125:B2324)</f>
        <v>21637.02865</v>
      </c>
      <c r="F2324" s="17" t="n">
        <f aca="false">B2324*2/13+F2323*11/13</f>
        <v>24435.2150757174</v>
      </c>
      <c r="G2324" s="17" t="n">
        <f aca="false">B2324*2/27+G2323*25/27</f>
        <v>24139.5562544799</v>
      </c>
      <c r="H2324" s="17" t="n">
        <f aca="false">F2324-G2324</f>
        <v>295.65882123751</v>
      </c>
      <c r="I2324" s="17" t="n">
        <f aca="false">H2324*2/10+I2323*8/10</f>
        <v>285.677356478875</v>
      </c>
      <c r="J2324" s="17" t="n">
        <f aca="false">H2324-I2324</f>
        <v>9.98146475863501</v>
      </c>
      <c r="K2324" s="17" t="n">
        <f aca="false">MAX(B2324-B2323,0)</f>
        <v>68.6400000000031</v>
      </c>
      <c r="L2324" s="17" t="n">
        <f aca="false">MAX(B2323-B2324,0)</f>
        <v>0</v>
      </c>
      <c r="M2324" s="17" t="n">
        <f aca="false">(M2323*13+K2324)/14</f>
        <v>82.9599654591379</v>
      </c>
      <c r="N2324" s="17" t="n">
        <f aca="false">(N2323*13+L2324)/14</f>
        <v>39.9211648436498</v>
      </c>
      <c r="O2324" s="17" t="n">
        <f aca="false">IF(N2324=0,100,100-100/(1+M2324/N2324))</f>
        <v>67.5123717162421</v>
      </c>
      <c r="P2324" s="17" t="n">
        <f aca="false">AVERAGE(B2305:B2324)+2*STDEV(B2305:B2324)</f>
        <v>25012.5172432509</v>
      </c>
      <c r="Q2324" s="17" t="n">
        <f aca="false">AVERAGE(B2305:B2324)-2*STDEV(B2305:B2324)</f>
        <v>23402.1407567491</v>
      </c>
      <c r="R2324" s="19" t="n">
        <f aca="false">B2324/B2304-1</f>
        <v>0.0623680917528264</v>
      </c>
      <c r="S2324" s="17" t="n">
        <f aca="false">STDEV(C2305:C2324)*SQRT(252)*100</f>
        <v>7.49949446080288</v>
      </c>
      <c r="T2324" s="19" t="n">
        <f aca="false">B2303/B2073-1</f>
        <v>0.170266615088897</v>
      </c>
      <c r="U2324" s="19" t="n">
        <f aca="false">B2324/MAX(B2073:B2324)-1</f>
        <v>-0.00327449500364885</v>
      </c>
      <c r="V2324" s="17" t="n">
        <f aca="false">(B2324-AVERAGE(B2305:B2324))/STDEV(B2305:B2324)</f>
        <v>1.17403850332354</v>
      </c>
    </row>
    <row r="2325" customFormat="false" ht="15" hidden="false" customHeight="false" outlineLevel="0" collapsed="false">
      <c r="A2325" s="17" t="s">
        <v>2889</v>
      </c>
      <c r="B2325" s="17" t="n">
        <v>24800.86</v>
      </c>
      <c r="C2325" s="19" t="n">
        <f aca="false">B2325/B2324-1</f>
        <v>0.00489748982880456</v>
      </c>
      <c r="D2325" s="17" t="n">
        <f aca="false">AVERAGE(B2276:B2325)</f>
        <v>23754.626</v>
      </c>
      <c r="E2325" s="17" t="n">
        <f aca="false">AVERAGE(B2126:B2325)</f>
        <v>21652.21305</v>
      </c>
      <c r="F2325" s="17" t="n">
        <f aca="false">B2325*2/13+F2324*11/13</f>
        <v>24491.4681409917</v>
      </c>
      <c r="G2325" s="17" t="n">
        <f aca="false">B2325*2/27+G2324*25/27</f>
        <v>24188.5417171111</v>
      </c>
      <c r="H2325" s="17" t="n">
        <f aca="false">F2325-G2325</f>
        <v>302.926423880632</v>
      </c>
      <c r="I2325" s="17" t="n">
        <f aca="false">H2325*2/10+I2324*8/10</f>
        <v>289.127169959226</v>
      </c>
      <c r="J2325" s="17" t="n">
        <f aca="false">H2325-I2325</f>
        <v>13.7992539214055</v>
      </c>
      <c r="K2325" s="17" t="n">
        <f aca="false">MAX(B2325-B2324,0)</f>
        <v>120.869999999999</v>
      </c>
      <c r="L2325" s="17" t="n">
        <f aca="false">MAX(B2324-B2325,0)</f>
        <v>0</v>
      </c>
      <c r="M2325" s="17" t="n">
        <f aca="false">(M2324*13+K2325)/14</f>
        <v>85.6678250691994</v>
      </c>
      <c r="N2325" s="17" t="n">
        <f aca="false">(N2324*13+L2325)/14</f>
        <v>37.0696530691034</v>
      </c>
      <c r="O2325" s="17" t="n">
        <f aca="false">IF(N2325=0,100,100-100/(1+M2325/N2325))</f>
        <v>69.7976089851442</v>
      </c>
      <c r="P2325" s="17" t="n">
        <f aca="false">AVERAGE(B2306:B2325)+2*STDEV(B2306:B2325)</f>
        <v>25031.6477647823</v>
      </c>
      <c r="Q2325" s="17" t="n">
        <f aca="false">AVERAGE(B2306:B2325)-2*STDEV(B2306:B2325)</f>
        <v>23521.6122352177</v>
      </c>
      <c r="R2325" s="19" t="n">
        <f aca="false">B2325/B2305-1</f>
        <v>0.0591940837520137</v>
      </c>
      <c r="S2325" s="17" t="n">
        <f aca="false">STDEV(C2306:C2325)*SQRT(252)*100</f>
        <v>7.31409599797994</v>
      </c>
      <c r="T2325" s="19" t="n">
        <f aca="false">B2304/B2074-1</f>
        <v>0.158041423300993</v>
      </c>
      <c r="U2325" s="19" t="n">
        <f aca="false">B2325/MAX(B2074:B2325)-1</f>
        <v>0</v>
      </c>
      <c r="V2325" s="17" t="n">
        <f aca="false">(B2325-AVERAGE(B2306:B2325))/STDEV(B2306:B2325)</f>
        <v>1.38865606732092</v>
      </c>
    </row>
    <row r="2326" customFormat="false" ht="15" hidden="false" customHeight="false" outlineLevel="0" collapsed="false">
      <c r="A2326" s="17" t="s">
        <v>2890</v>
      </c>
      <c r="B2326" s="17" t="n">
        <v>24892.76</v>
      </c>
      <c r="C2326" s="19" t="n">
        <f aca="false">B2326/B2325-1</f>
        <v>0.00370551666353491</v>
      </c>
      <c r="D2326" s="17" t="n">
        <f aca="false">AVERAGE(B2277:B2326)</f>
        <v>23789.233</v>
      </c>
      <c r="E2326" s="17" t="n">
        <f aca="false">AVERAGE(B2127:B2326)</f>
        <v>21668.6005</v>
      </c>
      <c r="F2326" s="17" t="n">
        <f aca="false">B2326*2/13+F2325*11/13</f>
        <v>24553.2053500699</v>
      </c>
      <c r="G2326" s="17" t="n">
        <f aca="false">B2326*2/27+G2325*25/27</f>
        <v>24240.7060343621</v>
      </c>
      <c r="H2326" s="17" t="n">
        <f aca="false">F2326-G2326</f>
        <v>312.499315707799</v>
      </c>
      <c r="I2326" s="17" t="n">
        <f aca="false">H2326*2/10+I2325*8/10</f>
        <v>293.801599108941</v>
      </c>
      <c r="J2326" s="17" t="n">
        <f aca="false">H2326-I2326</f>
        <v>18.697716598858</v>
      </c>
      <c r="K2326" s="17" t="n">
        <f aca="false">MAX(B2326-B2325,0)</f>
        <v>91.8999999999978</v>
      </c>
      <c r="L2326" s="17" t="n">
        <f aca="false">MAX(B2325-B2326,0)</f>
        <v>0</v>
      </c>
      <c r="M2326" s="17" t="n">
        <f aca="false">(M2325*13+K2326)/14</f>
        <v>86.1129804213992</v>
      </c>
      <c r="N2326" s="17" t="n">
        <f aca="false">(N2325*13+L2326)/14</f>
        <v>34.4218207070246</v>
      </c>
      <c r="O2326" s="17" t="n">
        <f aca="false">IF(N2326=0,100,100-100/(1+M2326/N2326))</f>
        <v>71.4424212884793</v>
      </c>
      <c r="P2326" s="17" t="n">
        <f aca="false">AVERAGE(B2307:B2326)+2*STDEV(B2307:B2326)</f>
        <v>25078.573682559</v>
      </c>
      <c r="Q2326" s="17" t="n">
        <f aca="false">AVERAGE(B2307:B2326)-2*STDEV(B2307:B2326)</f>
        <v>23600.661317441</v>
      </c>
      <c r="R2326" s="19" t="n">
        <f aca="false">B2326/B2306-1</f>
        <v>0.0533046784984224</v>
      </c>
      <c r="S2326" s="17" t="n">
        <f aca="false">STDEV(C2307:C2326)*SQRT(252)*100</f>
        <v>6.92063930132052</v>
      </c>
      <c r="T2326" s="19" t="n">
        <f aca="false">B2305/B2075-1</f>
        <v>0.184164504660325</v>
      </c>
      <c r="U2326" s="19" t="n">
        <f aca="false">B2326/MAX(B2075:B2326)-1</f>
        <v>0</v>
      </c>
      <c r="V2326" s="17" t="n">
        <f aca="false">(B2326-AVERAGE(B2307:B2326))/STDEV(B2307:B2326)</f>
        <v>1.49709147323053</v>
      </c>
    </row>
    <row r="2327" customFormat="false" ht="15" hidden="false" customHeight="false" outlineLevel="0" collapsed="false">
      <c r="A2327" s="17" t="s">
        <v>2891</v>
      </c>
      <c r="B2327" s="17" t="n">
        <v>24785.52</v>
      </c>
      <c r="C2327" s="19" t="n">
        <f aca="false">B2327/B2326-1</f>
        <v>-0.00430807993970928</v>
      </c>
      <c r="D2327" s="17" t="n">
        <f aca="false">AVERAGE(B2278:B2327)</f>
        <v>23820.546</v>
      </c>
      <c r="E2327" s="17" t="n">
        <f aca="false">AVERAGE(B2128:B2327)</f>
        <v>21683.62685</v>
      </c>
      <c r="F2327" s="17" t="n">
        <f aca="false">B2327*2/13+F2326*11/13</f>
        <v>24588.9460654438</v>
      </c>
      <c r="G2327" s="17" t="n">
        <f aca="false">B2327*2/27+G2326*25/27</f>
        <v>24281.0626244093</v>
      </c>
      <c r="H2327" s="17" t="n">
        <f aca="false">F2327-G2327</f>
        <v>307.883441034406</v>
      </c>
      <c r="I2327" s="17" t="n">
        <f aca="false">H2327*2/10+I2326*8/10</f>
        <v>296.617967494034</v>
      </c>
      <c r="J2327" s="17" t="n">
        <f aca="false">H2327-I2327</f>
        <v>11.2654735403722</v>
      </c>
      <c r="K2327" s="17" t="n">
        <f aca="false">MAX(B2327-B2326,0)</f>
        <v>0</v>
      </c>
      <c r="L2327" s="17" t="n">
        <f aca="false">MAX(B2326-B2327,0)</f>
        <v>107.239999999998</v>
      </c>
      <c r="M2327" s="17" t="n">
        <f aca="false">(M2326*13+K2327)/14</f>
        <v>79.9620532484422</v>
      </c>
      <c r="N2327" s="17" t="n">
        <f aca="false">(N2326*13+L2327)/14</f>
        <v>39.6231192279513</v>
      </c>
      <c r="O2327" s="17" t="n">
        <f aca="false">IF(N2327=0,100,100-100/(1+M2327/N2327))</f>
        <v>66.8661938537798</v>
      </c>
      <c r="P2327" s="17" t="n">
        <f aca="false">AVERAGE(B2308:B2327)+2*STDEV(B2308:B2327)</f>
        <v>25085.4647350609</v>
      </c>
      <c r="Q2327" s="17" t="n">
        <f aca="false">AVERAGE(B2308:B2327)-2*STDEV(B2308:B2327)</f>
        <v>23707.0782649391</v>
      </c>
      <c r="R2327" s="19" t="n">
        <f aca="false">B2327/B2307-1</f>
        <v>0.0479054169464124</v>
      </c>
      <c r="S2327" s="17" t="n">
        <f aca="false">STDEV(C2308:C2327)*SQRT(252)*100</f>
        <v>7.32414912088113</v>
      </c>
      <c r="T2327" s="19" t="n">
        <f aca="false">B2306/B2076-1</f>
        <v>0.193430253315349</v>
      </c>
      <c r="U2327" s="19" t="n">
        <f aca="false">B2327/MAX(B2076:B2327)-1</f>
        <v>-0.00430807993970928</v>
      </c>
      <c r="V2327" s="17" t="n">
        <f aca="false">(B2327-AVERAGE(B2308:B2327))/STDEV(B2308:B2327)</f>
        <v>1.12957725119172</v>
      </c>
    </row>
    <row r="2328" customFormat="false" ht="15" hidden="false" customHeight="false" outlineLevel="0" collapsed="false">
      <c r="A2328" s="17" t="s">
        <v>2892</v>
      </c>
      <c r="B2328" s="17" t="n">
        <v>24978.56</v>
      </c>
      <c r="C2328" s="19" t="n">
        <f aca="false">B2328/B2327-1</f>
        <v>0.00778841839912992</v>
      </c>
      <c r="D2328" s="17" t="n">
        <f aca="false">AVERAGE(B2279:B2328)</f>
        <v>23854.6722</v>
      </c>
      <c r="E2328" s="17" t="n">
        <f aca="false">AVERAGE(B2129:B2328)</f>
        <v>21698.03635</v>
      </c>
      <c r="F2328" s="17" t="n">
        <f aca="false">B2328*2/13+F2327*11/13</f>
        <v>24648.8866707601</v>
      </c>
      <c r="G2328" s="17" t="n">
        <f aca="false">B2328*2/27+G2327*25/27</f>
        <v>24332.7290966753</v>
      </c>
      <c r="H2328" s="17" t="n">
        <f aca="false">F2328-G2328</f>
        <v>316.157574084773</v>
      </c>
      <c r="I2328" s="17" t="n">
        <f aca="false">H2328*2/10+I2327*8/10</f>
        <v>300.525888812182</v>
      </c>
      <c r="J2328" s="17" t="n">
        <f aca="false">H2328-I2328</f>
        <v>15.6316852725912</v>
      </c>
      <c r="K2328" s="17" t="n">
        <f aca="false">MAX(B2328-B2327,0)</f>
        <v>193.040000000001</v>
      </c>
      <c r="L2328" s="17" t="n">
        <f aca="false">MAX(B2327-B2328,0)</f>
        <v>0</v>
      </c>
      <c r="M2328" s="17" t="n">
        <f aca="false">(M2327*13+K2328)/14</f>
        <v>88.0390494449821</v>
      </c>
      <c r="N2328" s="17" t="n">
        <f aca="false">(N2327*13+L2328)/14</f>
        <v>36.7928964259548</v>
      </c>
      <c r="O2328" s="17" t="n">
        <f aca="false">IF(N2328=0,100,100-100/(1+M2328/N2328))</f>
        <v>70.5260571168259</v>
      </c>
      <c r="P2328" s="17" t="n">
        <f aca="false">AVERAGE(B2309:B2328)+2*STDEV(B2309:B2328)</f>
        <v>25125.0531980525</v>
      </c>
      <c r="Q2328" s="17" t="n">
        <f aca="false">AVERAGE(B2309:B2328)-2*STDEV(B2309:B2328)</f>
        <v>23789.1158019475</v>
      </c>
      <c r="R2328" s="19" t="n">
        <f aca="false">B2328/B2308-1</f>
        <v>0.0511844392167427</v>
      </c>
      <c r="S2328" s="17" t="n">
        <f aca="false">STDEV(C2309:C2328)*SQRT(252)*100</f>
        <v>7.53656848671638</v>
      </c>
      <c r="T2328" s="19" t="n">
        <f aca="false">B2307/B2077-1</f>
        <v>0.194969621094772</v>
      </c>
      <c r="U2328" s="19" t="n">
        <f aca="false">B2328/MAX(B2077:B2328)-1</f>
        <v>0</v>
      </c>
      <c r="V2328" s="17" t="n">
        <f aca="false">(B2328-AVERAGE(B2309:B2328))/STDEV(B2309:B2328)</f>
        <v>1.56137705709991</v>
      </c>
    </row>
    <row r="2329" customFormat="false" ht="15" hidden="false" customHeight="false" outlineLevel="0" collapsed="false">
      <c r="A2329" s="17" t="s">
        <v>2893</v>
      </c>
      <c r="B2329" s="17" t="n">
        <v>24840.23</v>
      </c>
      <c r="C2329" s="19" t="n">
        <f aca="false">B2329/B2328-1</f>
        <v>-0.00553794934535867</v>
      </c>
      <c r="D2329" s="17" t="n">
        <f aca="false">AVERAGE(B2280:B2329)</f>
        <v>23884.3514</v>
      </c>
      <c r="E2329" s="17" t="n">
        <f aca="false">AVERAGE(B2130:B2329)</f>
        <v>21712.2321</v>
      </c>
      <c r="F2329" s="17" t="n">
        <f aca="false">B2329*2/13+F2328*11/13</f>
        <v>24678.3241060278</v>
      </c>
      <c r="G2329" s="17" t="n">
        <f aca="false">B2329*2/27+G2328*25/27</f>
        <v>24370.3217561809</v>
      </c>
      <c r="H2329" s="17" t="n">
        <f aca="false">F2329-G2329</f>
        <v>308.002349846924</v>
      </c>
      <c r="I2329" s="17" t="n">
        <f aca="false">H2329*2/10+I2328*8/10</f>
        <v>302.02118101913</v>
      </c>
      <c r="J2329" s="17" t="n">
        <f aca="false">H2329-I2329</f>
        <v>5.98116882779351</v>
      </c>
      <c r="K2329" s="17" t="n">
        <f aca="false">MAX(B2329-B2328,0)</f>
        <v>0</v>
      </c>
      <c r="L2329" s="17" t="n">
        <f aca="false">MAX(B2328-B2329,0)</f>
        <v>138.330000000002</v>
      </c>
      <c r="M2329" s="17" t="n">
        <f aca="false">(M2328*13+K2329)/14</f>
        <v>81.7505459131976</v>
      </c>
      <c r="N2329" s="17" t="n">
        <f aca="false">(N2328*13+L2329)/14</f>
        <v>44.0455466812438</v>
      </c>
      <c r="O2329" s="17" t="n">
        <f aca="false">IF(N2329=0,100,100-100/(1+M2329/N2329))</f>
        <v>64.9865542141727</v>
      </c>
      <c r="P2329" s="17" t="n">
        <f aca="false">AVERAGE(B2310:B2329)+2*STDEV(B2310:B2329)</f>
        <v>25128.6630725338</v>
      </c>
      <c r="Q2329" s="17" t="n">
        <f aca="false">AVERAGE(B2310:B2329)-2*STDEV(B2310:B2329)</f>
        <v>23885.5489274662</v>
      </c>
      <c r="R2329" s="19" t="n">
        <f aca="false">B2329/B2309-1</f>
        <v>0.0419646976904169</v>
      </c>
      <c r="S2329" s="17" t="n">
        <f aca="false">STDEV(C2310:C2329)*SQRT(252)*100</f>
        <v>8.04992212181798</v>
      </c>
      <c r="T2329" s="19" t="n">
        <f aca="false">B2308/B2078-1</f>
        <v>0.186038247029451</v>
      </c>
      <c r="U2329" s="19" t="n">
        <f aca="false">B2329/MAX(B2078:B2329)-1</f>
        <v>-0.00553794934535867</v>
      </c>
      <c r="V2329" s="17" t="n">
        <f aca="false">(B2329-AVERAGE(B2310:B2329))/STDEV(B2310:B2329)</f>
        <v>1.07190156695341</v>
      </c>
    </row>
    <row r="2330" customFormat="false" ht="15" hidden="false" customHeight="false" outlineLevel="0" collapsed="false">
      <c r="A2330" s="17" t="s">
        <v>2894</v>
      </c>
      <c r="B2330" s="17" t="n">
        <v>25136.62</v>
      </c>
      <c r="C2330" s="19" t="n">
        <f aca="false">B2330/B2329-1</f>
        <v>0.0119318540931384</v>
      </c>
      <c r="D2330" s="17" t="n">
        <f aca="false">AVERAGE(B2281:B2330)</f>
        <v>23920.9178</v>
      </c>
      <c r="E2330" s="17" t="n">
        <f aca="false">AVERAGE(B2131:B2330)</f>
        <v>21731.8686</v>
      </c>
      <c r="F2330" s="17" t="n">
        <f aca="false">B2330*2/13+F2329*11/13</f>
        <v>24748.8311666389</v>
      </c>
      <c r="G2330" s="17" t="n">
        <f aca="false">B2330*2/27+G2329*25/27</f>
        <v>24427.0845890563</v>
      </c>
      <c r="H2330" s="17" t="n">
        <f aca="false">F2330-G2330</f>
        <v>321.746577582544</v>
      </c>
      <c r="I2330" s="17" t="n">
        <f aca="false">H2330*2/10+I2329*8/10</f>
        <v>305.966260331813</v>
      </c>
      <c r="J2330" s="17" t="n">
        <f aca="false">H2330-I2330</f>
        <v>15.7803172507311</v>
      </c>
      <c r="K2330" s="17" t="n">
        <f aca="false">MAX(B2330-B2329,0)</f>
        <v>296.389999999999</v>
      </c>
      <c r="L2330" s="17" t="n">
        <f aca="false">MAX(B2329-B2330,0)</f>
        <v>0</v>
      </c>
      <c r="M2330" s="17" t="n">
        <f aca="false">(M2329*13+K2330)/14</f>
        <v>97.0819354908263</v>
      </c>
      <c r="N2330" s="17" t="n">
        <f aca="false">(N2329*13+L2330)/14</f>
        <v>40.8994362040121</v>
      </c>
      <c r="O2330" s="17" t="n">
        <f aca="false">IF(N2330=0,100,100-100/(1+M2330/N2330))</f>
        <v>70.3587261804688</v>
      </c>
      <c r="P2330" s="17" t="n">
        <f aca="false">AVERAGE(B2311:B2330)+2*STDEV(B2311:B2330)</f>
        <v>25172.4829746</v>
      </c>
      <c r="Q2330" s="17" t="n">
        <f aca="false">AVERAGE(B2311:B2330)-2*STDEV(B2311:B2330)</f>
        <v>23970.4640254</v>
      </c>
      <c r="R2330" s="19" t="n">
        <f aca="false">B2330/B2310-1</f>
        <v>0.0539785913782684</v>
      </c>
      <c r="S2330" s="17" t="n">
        <f aca="false">STDEV(C2311:C2330)*SQRT(252)*100</f>
        <v>8.74344904844103</v>
      </c>
      <c r="T2330" s="19" t="n">
        <f aca="false">B2309/B2079-1</f>
        <v>0.20398530559969</v>
      </c>
      <c r="U2330" s="19" t="n">
        <f aca="false">B2330/MAX(B2079:B2330)-1</f>
        <v>0</v>
      </c>
      <c r="V2330" s="17" t="n">
        <f aca="false">(B2330-AVERAGE(B2311:B2330))/STDEV(B2311:B2330)</f>
        <v>1.88065753997022</v>
      </c>
    </row>
    <row r="2331" customFormat="false" ht="15" hidden="false" customHeight="false" outlineLevel="0" collapsed="false">
      <c r="A2331" s="17" t="s">
        <v>2895</v>
      </c>
      <c r="B2331" s="17" t="n">
        <v>25098.18</v>
      </c>
      <c r="C2331" s="19" t="n">
        <f aca="false">B2331/B2330-1</f>
        <v>-0.00152924299289237</v>
      </c>
      <c r="D2331" s="17" t="n">
        <f aca="false">AVERAGE(B2282:B2331)</f>
        <v>23955.9732</v>
      </c>
      <c r="E2331" s="17" t="n">
        <f aca="false">AVERAGE(B2132:B2331)</f>
        <v>21751.80695</v>
      </c>
      <c r="F2331" s="17" t="n">
        <f aca="false">B2331*2/13+F2330*11/13</f>
        <v>24802.5771410021</v>
      </c>
      <c r="G2331" s="17" t="n">
        <f aca="false">B2331*2/27+G2330*25/27</f>
        <v>24476.7953602374</v>
      </c>
      <c r="H2331" s="17" t="n">
        <f aca="false">F2331-G2331</f>
        <v>325.781780764781</v>
      </c>
      <c r="I2331" s="17" t="n">
        <f aca="false">H2331*2/10+I2330*8/10</f>
        <v>309.929364418406</v>
      </c>
      <c r="J2331" s="17" t="n">
        <f aca="false">H2331-I2331</f>
        <v>15.8524163463743</v>
      </c>
      <c r="K2331" s="17" t="n">
        <f aca="false">MAX(B2331-B2330,0)</f>
        <v>0</v>
      </c>
      <c r="L2331" s="17" t="n">
        <f aca="false">MAX(B2330-B2331,0)</f>
        <v>38.4399999999987</v>
      </c>
      <c r="M2331" s="17" t="n">
        <f aca="false">(M2330*13+K2331)/14</f>
        <v>90.1475115271959</v>
      </c>
      <c r="N2331" s="17" t="n">
        <f aca="false">(N2330*13+L2331)/14</f>
        <v>40.7237621894397</v>
      </c>
      <c r="O2331" s="17" t="n">
        <f aca="false">IF(N2331=0,100,100-100/(1+M2331/N2331))</f>
        <v>68.8825813083967</v>
      </c>
      <c r="P2331" s="17" t="n">
        <f aca="false">AVERAGE(B2312:B2331)+2*STDEV(B2312:B2331)</f>
        <v>25206.5762444943</v>
      </c>
      <c r="Q2331" s="17" t="n">
        <f aca="false">AVERAGE(B2312:B2331)-2*STDEV(B2312:B2331)</f>
        <v>24046.9327555057</v>
      </c>
      <c r="R2331" s="19" t="n">
        <f aca="false">B2331/B2311-1</f>
        <v>0.0460817853534596</v>
      </c>
      <c r="S2331" s="17" t="n">
        <f aca="false">STDEV(C2312:C2331)*SQRT(252)*100</f>
        <v>8.76840326900656</v>
      </c>
      <c r="T2331" s="19" t="n">
        <f aca="false">B2310/B2080-1</f>
        <v>0.186071759289191</v>
      </c>
      <c r="U2331" s="19" t="n">
        <f aca="false">B2331/MAX(B2080:B2331)-1</f>
        <v>-0.00152924299289237</v>
      </c>
      <c r="V2331" s="17" t="n">
        <f aca="false">(B2331-AVERAGE(B2312:B2331))/STDEV(B2312:B2331)</f>
        <v>1.62610493475424</v>
      </c>
    </row>
    <row r="2332" customFormat="false" ht="15" hidden="false" customHeight="false" outlineLevel="0" collapsed="false">
      <c r="A2332" s="17" t="s">
        <v>2896</v>
      </c>
      <c r="B2332" s="17" t="n">
        <v>24221.74</v>
      </c>
      <c r="C2332" s="19" t="n">
        <f aca="false">B2332/B2331-1</f>
        <v>-0.0349204603680425</v>
      </c>
      <c r="D2332" s="17" t="n">
        <f aca="false">AVERAGE(B2283:B2332)</f>
        <v>23976.0456</v>
      </c>
      <c r="E2332" s="17" t="n">
        <f aca="false">AVERAGE(B2133:B2332)</f>
        <v>21766.4699</v>
      </c>
      <c r="F2332" s="17" t="n">
        <f aca="false">B2332*2/13+F2331*11/13</f>
        <v>24713.217580848</v>
      </c>
      <c r="G2332" s="17" t="n">
        <f aca="false">B2332*2/27+G2331*25/27</f>
        <v>24457.9023705901</v>
      </c>
      <c r="H2332" s="17" t="n">
        <f aca="false">F2332-G2332</f>
        <v>255.315210257821</v>
      </c>
      <c r="I2332" s="17" t="n">
        <f aca="false">H2332*2/10+I2331*8/10</f>
        <v>299.006533586289</v>
      </c>
      <c r="J2332" s="17" t="n">
        <f aca="false">H2332-I2332</f>
        <v>-43.6913233284687</v>
      </c>
      <c r="K2332" s="17" t="n">
        <f aca="false">MAX(B2332-B2331,0)</f>
        <v>0</v>
      </c>
      <c r="L2332" s="17" t="n">
        <f aca="false">MAX(B2331-B2332,0)</f>
        <v>876.439999999999</v>
      </c>
      <c r="M2332" s="17" t="n">
        <f aca="false">(M2331*13+K2332)/14</f>
        <v>83.7084035609676</v>
      </c>
      <c r="N2332" s="17" t="n">
        <f aca="false">(N2331*13+L2332)/14</f>
        <v>100.417779175908</v>
      </c>
      <c r="O2332" s="17" t="n">
        <f aca="false">IF(N2332=0,100,100-100/(1+M2332/N2332))</f>
        <v>45.4625204936717</v>
      </c>
      <c r="P2332" s="17" t="n">
        <f aca="false">AVERAGE(B2313:B2332)+2*STDEV(B2313:B2332)</f>
        <v>25190.35928273</v>
      </c>
      <c r="Q2332" s="17" t="n">
        <f aca="false">AVERAGE(B2313:B2332)-2*STDEV(B2313:B2332)</f>
        <v>24076.10471727</v>
      </c>
      <c r="R2332" s="19" t="n">
        <f aca="false">B2332/B2312-1</f>
        <v>0.00537726126184479</v>
      </c>
      <c r="S2332" s="17" t="n">
        <f aca="false">STDEV(C2313:C2332)*SQRT(252)*100</f>
        <v>15.8029384897339</v>
      </c>
      <c r="T2332" s="19" t="n">
        <f aca="false">B2311/B2081-1</f>
        <v>0.183715315020184</v>
      </c>
      <c r="U2332" s="19" t="n">
        <f aca="false">B2332/MAX(B2081:B2332)-1</f>
        <v>-0.0363963014916086</v>
      </c>
      <c r="V2332" s="17" t="n">
        <f aca="false">(B2332-AVERAGE(B2313:B2332))/STDEV(B2313:B2332)</f>
        <v>-1.47719206276755</v>
      </c>
    </row>
    <row r="2333" customFormat="false" ht="15" hidden="false" customHeight="false" outlineLevel="0" collapsed="false">
      <c r="A2333" s="17" t="s">
        <v>2897</v>
      </c>
      <c r="B2333" s="17" t="n">
        <v>24750.25</v>
      </c>
      <c r="C2333" s="19" t="n">
        <f aca="false">B2333/B2332-1</f>
        <v>0.0218196545747744</v>
      </c>
      <c r="D2333" s="17" t="n">
        <f aca="false">AVERAGE(B2284:B2333)</f>
        <v>24015.7844</v>
      </c>
      <c r="E2333" s="17" t="n">
        <f aca="false">AVERAGE(B2134:B2333)</f>
        <v>21782.7053</v>
      </c>
      <c r="F2333" s="17" t="n">
        <f aca="false">B2333*2/13+F2332*11/13</f>
        <v>24718.9148761021</v>
      </c>
      <c r="G2333" s="17" t="n">
        <f aca="false">B2333*2/27+G2332*25/27</f>
        <v>24479.5577505464</v>
      </c>
      <c r="H2333" s="17" t="n">
        <f aca="false">F2333-G2333</f>
        <v>239.357125555693</v>
      </c>
      <c r="I2333" s="17" t="n">
        <f aca="false">H2333*2/10+I2332*8/10</f>
        <v>287.07665198017</v>
      </c>
      <c r="J2333" s="17" t="n">
        <f aca="false">H2333-I2333</f>
        <v>-47.7195264244773</v>
      </c>
      <c r="K2333" s="17" t="n">
        <f aca="false">MAX(B2333-B2332,0)</f>
        <v>528.509999999998</v>
      </c>
      <c r="L2333" s="17" t="n">
        <f aca="false">MAX(B2332-B2333,0)</f>
        <v>0</v>
      </c>
      <c r="M2333" s="17" t="n">
        <f aca="false">(M2332*13+K2333)/14</f>
        <v>115.479946163756</v>
      </c>
      <c r="N2333" s="17" t="n">
        <f aca="false">(N2332*13+L2333)/14</f>
        <v>93.2450806633434</v>
      </c>
      <c r="O2333" s="17" t="n">
        <f aca="false">IF(N2333=0,100,100-100/(1+M2333/N2333))</f>
        <v>55.3263534896634</v>
      </c>
      <c r="P2333" s="17" t="n">
        <f aca="false">AVERAGE(B2314:B2333)+2*STDEV(B2314:B2333)</f>
        <v>25191.6129867163</v>
      </c>
      <c r="Q2333" s="17" t="n">
        <f aca="false">AVERAGE(B2314:B2333)-2*STDEV(B2314:B2333)</f>
        <v>24120.4980132837</v>
      </c>
      <c r="R2333" s="19" t="n">
        <f aca="false">B2333/B2313-1</f>
        <v>0.0187895831772578</v>
      </c>
      <c r="S2333" s="17" t="n">
        <f aca="false">STDEV(C2314:C2333)*SQRT(252)*100</f>
        <v>17.3569840678044</v>
      </c>
      <c r="T2333" s="19" t="n">
        <f aca="false">B2312/B2082-1</f>
        <v>0.19022209531187</v>
      </c>
      <c r="U2333" s="19" t="n">
        <f aca="false">B2333/MAX(B2082:B2333)-1</f>
        <v>-0.0153708016431803</v>
      </c>
      <c r="V2333" s="17" t="n">
        <f aca="false">(B2333-AVERAGE(B2314:B2333))/STDEV(B2314:B2333)</f>
        <v>0.351762424525293</v>
      </c>
    </row>
    <row r="2334" customFormat="false" ht="15" hidden="false" customHeight="false" outlineLevel="0" collapsed="false">
      <c r="A2334" s="17" t="s">
        <v>2898</v>
      </c>
      <c r="B2334" s="17" t="n">
        <v>24579.32</v>
      </c>
      <c r="C2334" s="19" t="n">
        <f aca="false">B2334/B2333-1</f>
        <v>-0.00690619286673877</v>
      </c>
      <c r="D2334" s="17" t="n">
        <f aca="false">AVERAGE(B2285:B2334)</f>
        <v>24043.5986</v>
      </c>
      <c r="E2334" s="17" t="n">
        <f aca="false">AVERAGE(B2135:B2334)</f>
        <v>21796.61365</v>
      </c>
      <c r="F2334" s="17" t="n">
        <f aca="false">B2334*2/13+F2333*11/13</f>
        <v>24697.4387413172</v>
      </c>
      <c r="G2334" s="17" t="n">
        <f aca="false">B2334*2/27+G2333*25/27</f>
        <v>24486.9475468023</v>
      </c>
      <c r="H2334" s="17" t="n">
        <f aca="false">F2334-G2334</f>
        <v>210.491194514929</v>
      </c>
      <c r="I2334" s="17" t="n">
        <f aca="false">H2334*2/10+I2333*8/10</f>
        <v>271.759560487122</v>
      </c>
      <c r="J2334" s="17" t="n">
        <f aca="false">H2334-I2334</f>
        <v>-61.2683659721929</v>
      </c>
      <c r="K2334" s="17" t="n">
        <f aca="false">MAX(B2334-B2333,0)</f>
        <v>0</v>
      </c>
      <c r="L2334" s="17" t="n">
        <f aca="false">MAX(B2333-B2334,0)</f>
        <v>170.93</v>
      </c>
      <c r="M2334" s="17" t="n">
        <f aca="false">(M2333*13+K2334)/14</f>
        <v>107.23137858063</v>
      </c>
      <c r="N2334" s="17" t="n">
        <f aca="false">(N2333*13+L2334)/14</f>
        <v>98.7940034731046</v>
      </c>
      <c r="O2334" s="17" t="n">
        <f aca="false">IF(N2334=0,100,100-100/(1+M2334/N2334))</f>
        <v>52.0476542801229</v>
      </c>
      <c r="P2334" s="17" t="n">
        <f aca="false">AVERAGE(B2315:B2334)+2*STDEV(B2315:B2334)</f>
        <v>25177.6608985179</v>
      </c>
      <c r="Q2334" s="17" t="n">
        <f aca="false">AVERAGE(B2315:B2334)-2*STDEV(B2315:B2334)</f>
        <v>24164.9571014822</v>
      </c>
      <c r="R2334" s="19" t="n">
        <f aca="false">B2334/B2314-1</f>
        <v>0.0125676385470199</v>
      </c>
      <c r="S2334" s="17" t="n">
        <f aca="false">STDEV(C2315:C2334)*SQRT(252)*100</f>
        <v>17.5743656934118</v>
      </c>
      <c r="T2334" s="19" t="n">
        <f aca="false">B2313/B2083-1</f>
        <v>0.198392657447697</v>
      </c>
      <c r="U2334" s="19" t="n">
        <f aca="false">B2334/MAX(B2083:B2334)-1</f>
        <v>-0.0221708407892548</v>
      </c>
      <c r="V2334" s="17" t="n">
        <f aca="false">(B2334-AVERAGE(B2315:B2334))/STDEV(B2315:B2334)</f>
        <v>-0.363340199846248</v>
      </c>
    </row>
    <row r="2335" customFormat="false" ht="15" hidden="false" customHeight="false" outlineLevel="0" collapsed="false">
      <c r="A2335" s="17" t="s">
        <v>2899</v>
      </c>
      <c r="B2335" s="17" t="n">
        <v>24745.36</v>
      </c>
      <c r="C2335" s="19" t="n">
        <f aca="false">B2335/B2334-1</f>
        <v>0.00675527231835549</v>
      </c>
      <c r="D2335" s="17" t="n">
        <f aca="false">AVERAGE(B2286:B2335)</f>
        <v>24078.1346</v>
      </c>
      <c r="E2335" s="17" t="n">
        <f aca="false">AVERAGE(B2136:B2335)</f>
        <v>21811.4989</v>
      </c>
      <c r="F2335" s="17" t="n">
        <f aca="false">B2335*2/13+F2334*11/13</f>
        <v>24704.811242653</v>
      </c>
      <c r="G2335" s="17" t="n">
        <f aca="false">B2335*2/27+G2334*25/27</f>
        <v>24506.0892100021</v>
      </c>
      <c r="H2335" s="17" t="n">
        <f aca="false">F2335-G2335</f>
        <v>198.722032650916</v>
      </c>
      <c r="I2335" s="17" t="n">
        <f aca="false">H2335*2/10+I2334*8/10</f>
        <v>257.152054919881</v>
      </c>
      <c r="J2335" s="17" t="n">
        <f aca="false">H2335-I2335</f>
        <v>-58.4300222689646</v>
      </c>
      <c r="K2335" s="17" t="n">
        <f aca="false">MAX(B2335-B2334,0)</f>
        <v>166.040000000001</v>
      </c>
      <c r="L2335" s="17" t="n">
        <f aca="false">MAX(B2334-B2335,0)</f>
        <v>0</v>
      </c>
      <c r="M2335" s="17" t="n">
        <f aca="false">(M2334*13+K2335)/14</f>
        <v>111.431994396299</v>
      </c>
      <c r="N2335" s="17" t="n">
        <f aca="false">(N2334*13+L2335)/14</f>
        <v>91.7372889393114</v>
      </c>
      <c r="O2335" s="17" t="n">
        <f aca="false">IF(N2335=0,100,100-100/(1+M2335/N2335))</f>
        <v>54.8468708294981</v>
      </c>
      <c r="P2335" s="17" t="n">
        <f aca="false">AVERAGE(B2316:B2335)+2*STDEV(B2316:B2335)</f>
        <v>25158.3701718819</v>
      </c>
      <c r="Q2335" s="17" t="n">
        <f aca="false">AVERAGE(B2316:B2335)-2*STDEV(B2316:B2335)</f>
        <v>24236.4148281181</v>
      </c>
      <c r="R2335" s="19" t="n">
        <f aca="false">B2335/B2315-1</f>
        <v>0.0215355298883035</v>
      </c>
      <c r="S2335" s="17" t="n">
        <f aca="false">STDEV(C2316:C2335)*SQRT(252)*100</f>
        <v>17.6696105388958</v>
      </c>
      <c r="T2335" s="19" t="n">
        <f aca="false">B2314/B2084-1</f>
        <v>0.187640815008525</v>
      </c>
      <c r="U2335" s="19" t="n">
        <f aca="false">B2335/MAX(B2084:B2335)-1</f>
        <v>-0.0155653385379577</v>
      </c>
      <c r="V2335" s="17" t="n">
        <f aca="false">(B2335-AVERAGE(B2316:B2335))/STDEV(B2316:B2335)</f>
        <v>0.208112031995721</v>
      </c>
    </row>
    <row r="2336" customFormat="false" ht="15" hidden="false" customHeight="false" outlineLevel="0" collapsed="false">
      <c r="A2336" s="17" t="s">
        <v>2900</v>
      </c>
      <c r="B2336" s="17" t="n">
        <v>24657.24</v>
      </c>
      <c r="C2336" s="19" t="n">
        <f aca="false">B2336/B2335-1</f>
        <v>-0.00356107165141262</v>
      </c>
      <c r="D2336" s="17" t="n">
        <f aca="false">AVERAGE(B2287:B2336)</f>
        <v>24104.9786</v>
      </c>
      <c r="E2336" s="17" t="n">
        <f aca="false">AVERAGE(B2137:B2336)</f>
        <v>21827.42</v>
      </c>
      <c r="F2336" s="17" t="n">
        <f aca="false">B2336*2/13+F2335*11/13</f>
        <v>24697.4925899372</v>
      </c>
      <c r="G2336" s="17" t="n">
        <f aca="false">B2336*2/27+G2335*25/27</f>
        <v>24517.2855648167</v>
      </c>
      <c r="H2336" s="17" t="n">
        <f aca="false">F2336-G2336</f>
        <v>180.207025120406</v>
      </c>
      <c r="I2336" s="17" t="n">
        <f aca="false">H2336*2/10+I2335*8/10</f>
        <v>241.763048959986</v>
      </c>
      <c r="J2336" s="17" t="n">
        <f aca="false">H2336-I2336</f>
        <v>-61.5560238395797</v>
      </c>
      <c r="K2336" s="17" t="n">
        <f aca="false">MAX(B2336-B2335,0)</f>
        <v>0</v>
      </c>
      <c r="L2336" s="17" t="n">
        <f aca="false">MAX(B2335-B2336,0)</f>
        <v>88.119999999999</v>
      </c>
      <c r="M2336" s="17" t="n">
        <f aca="false">(M2335*13+K2336)/14</f>
        <v>103.472566225135</v>
      </c>
      <c r="N2336" s="17" t="n">
        <f aca="false">(N2335*13+L2336)/14</f>
        <v>91.478911157932</v>
      </c>
      <c r="O2336" s="17" t="n">
        <f aca="false">IF(N2336=0,100,100-100/(1+M2336/N2336))</f>
        <v>53.0760615995837</v>
      </c>
      <c r="P2336" s="17" t="n">
        <f aca="false">AVERAGE(B2317:B2336)+2*STDEV(B2317:B2336)</f>
        <v>25154.755240862</v>
      </c>
      <c r="Q2336" s="17" t="n">
        <f aca="false">AVERAGE(B2317:B2336)-2*STDEV(B2317:B2336)</f>
        <v>24260.264759138</v>
      </c>
      <c r="R2336" s="19" t="n">
        <f aca="false">B2336/B2316-1</f>
        <v>0.00827441873588475</v>
      </c>
      <c r="S2336" s="17" t="n">
        <f aca="false">STDEV(C2317:C2336)*SQRT(252)*100</f>
        <v>17.4524524847874</v>
      </c>
      <c r="T2336" s="19" t="n">
        <f aca="false">B2315/B2085-1</f>
        <v>0.201582056991552</v>
      </c>
      <c r="U2336" s="19" t="n">
        <f aca="false">B2336/MAX(B2085:B2336)-1</f>
        <v>-0.0190709809035581</v>
      </c>
      <c r="V2336" s="17" t="n">
        <f aca="false">(B2336-AVERAGE(B2317:B2336))/STDEV(B2317:B2336)</f>
        <v>-0.224798367459944</v>
      </c>
    </row>
    <row r="2337" customFormat="false" ht="15" hidden="false" customHeight="false" outlineLevel="0" collapsed="false">
      <c r="A2337" s="17" t="s">
        <v>2901</v>
      </c>
      <c r="B2337" s="17" t="n">
        <v>24817.95</v>
      </c>
      <c r="C2337" s="19" t="n">
        <f aca="false">B2337/B2336-1</f>
        <v>0.00651776111194913</v>
      </c>
      <c r="D2337" s="17" t="n">
        <f aca="false">AVERAGE(B2288:B2337)</f>
        <v>24133.547</v>
      </c>
      <c r="E2337" s="17" t="n">
        <f aca="false">AVERAGE(B2138:B2337)</f>
        <v>21845.5243</v>
      </c>
      <c r="F2337" s="17" t="n">
        <f aca="false">B2337*2/13+F2336*11/13</f>
        <v>24716.0244991776</v>
      </c>
      <c r="G2337" s="17" t="n">
        <f aca="false">B2337*2/27+G2336*25/27</f>
        <v>24539.55700446</v>
      </c>
      <c r="H2337" s="17" t="n">
        <f aca="false">F2337-G2337</f>
        <v>176.467494717639</v>
      </c>
      <c r="I2337" s="17" t="n">
        <f aca="false">H2337*2/10+I2336*8/10</f>
        <v>228.703938111516</v>
      </c>
      <c r="J2337" s="17" t="n">
        <f aca="false">H2337-I2337</f>
        <v>-52.2364433938772</v>
      </c>
      <c r="K2337" s="17" t="n">
        <f aca="false">MAX(B2337-B2336,0)</f>
        <v>160.709999999999</v>
      </c>
      <c r="L2337" s="17" t="n">
        <f aca="false">MAX(B2336-B2337,0)</f>
        <v>0</v>
      </c>
      <c r="M2337" s="17" t="n">
        <f aca="false">(M2336*13+K2337)/14</f>
        <v>107.560954351911</v>
      </c>
      <c r="N2337" s="17" t="n">
        <f aca="false">(N2336*13+L2337)/14</f>
        <v>84.9447032180797</v>
      </c>
      <c r="O2337" s="17" t="n">
        <f aca="false">IF(N2337=0,100,100-100/(1+M2337/N2337))</f>
        <v>55.8741783019049</v>
      </c>
      <c r="P2337" s="17" t="n">
        <f aca="false">AVERAGE(B2318:B2337)+2*STDEV(B2318:B2337)</f>
        <v>25165.2234619627</v>
      </c>
      <c r="Q2337" s="17" t="n">
        <f aca="false">AVERAGE(B2318:B2337)-2*STDEV(B2318:B2337)</f>
        <v>24268.9665380373</v>
      </c>
      <c r="R2337" s="19" t="n">
        <f aca="false">B2337/B2317-1</f>
        <v>0.00778437642759244</v>
      </c>
      <c r="S2337" s="17" t="n">
        <f aca="false">STDEV(C2318:C2337)*SQRT(252)*100</f>
        <v>17.4289869386612</v>
      </c>
      <c r="T2337" s="19" t="n">
        <f aca="false">B2316/B2086-1</f>
        <v>0.212195369794365</v>
      </c>
      <c r="U2337" s="19" t="n">
        <f aca="false">B2337/MAX(B2086:B2337)-1</f>
        <v>-0.0126775198893089</v>
      </c>
      <c r="V2337" s="17" t="n">
        <f aca="false">(B2337-AVERAGE(B2318:B2337))/STDEV(B2318:B2337)</f>
        <v>0.450116466864338</v>
      </c>
    </row>
    <row r="2338" customFormat="false" ht="15" hidden="false" customHeight="false" outlineLevel="0" collapsed="false">
      <c r="A2338" s="17" t="s">
        <v>2902</v>
      </c>
      <c r="B2338" s="17" t="n">
        <v>25141.02</v>
      </c>
      <c r="C2338" s="19" t="n">
        <f aca="false">B2338/B2337-1</f>
        <v>0.0130175941203847</v>
      </c>
      <c r="D2338" s="17" t="n">
        <f aca="false">AVERAGE(B2289:B2338)</f>
        <v>24164.142</v>
      </c>
      <c r="E2338" s="17" t="n">
        <f aca="false">AVERAGE(B2139:B2338)</f>
        <v>21866.16855</v>
      </c>
      <c r="F2338" s="17" t="n">
        <f aca="false">B2338*2/13+F2337*11/13</f>
        <v>24781.408422381</v>
      </c>
      <c r="G2338" s="17" t="n">
        <f aca="false">B2338*2/27+G2337*25/27</f>
        <v>24584.1098189444</v>
      </c>
      <c r="H2338" s="17" t="n">
        <f aca="false">F2338-G2338</f>
        <v>197.29860343664</v>
      </c>
      <c r="I2338" s="17" t="n">
        <f aca="false">H2338*2/10+I2337*8/10</f>
        <v>222.422871176541</v>
      </c>
      <c r="J2338" s="17" t="n">
        <f aca="false">H2338-I2338</f>
        <v>-25.1242677399007</v>
      </c>
      <c r="K2338" s="17" t="n">
        <f aca="false">MAX(B2338-B2337,0)</f>
        <v>323.07</v>
      </c>
      <c r="L2338" s="17" t="n">
        <f aca="false">MAX(B2337-B2338,0)</f>
        <v>0</v>
      </c>
      <c r="M2338" s="17" t="n">
        <f aca="false">(M2337*13+K2338)/14</f>
        <v>122.954457612489</v>
      </c>
      <c r="N2338" s="17" t="n">
        <f aca="false">(N2337*13+L2338)/14</f>
        <v>78.8772244167883</v>
      </c>
      <c r="O2338" s="17" t="n">
        <f aca="false">IF(N2338=0,100,100-100/(1+M2338/N2338))</f>
        <v>60.9193048268078</v>
      </c>
      <c r="P2338" s="17" t="n">
        <f aca="false">AVERAGE(B2319:B2338)+2*STDEV(B2319:B2338)</f>
        <v>25222.6380714849</v>
      </c>
      <c r="Q2338" s="17" t="n">
        <f aca="false">AVERAGE(B2319:B2338)-2*STDEV(B2319:B2338)</f>
        <v>24249.5469285151</v>
      </c>
      <c r="R2338" s="19" t="n">
        <f aca="false">B2338/B2318-1</f>
        <v>0.0153446519072076</v>
      </c>
      <c r="S2338" s="17" t="n">
        <f aca="false">STDEV(C2319:C2338)*SQRT(252)*100</f>
        <v>17.9164994870398</v>
      </c>
      <c r="T2338" s="19" t="n">
        <f aca="false">B2317/B2087-1</f>
        <v>0.219699738787009</v>
      </c>
      <c r="U2338" s="19" t="n">
        <f aca="false">B2338/MAX(B2087:B2338)-1</f>
        <v>0</v>
      </c>
      <c r="V2338" s="17" t="n">
        <f aca="false">(B2338-AVERAGE(B2319:B2338))/STDEV(B2319:B2338)</f>
        <v>1.66449978678949</v>
      </c>
    </row>
    <row r="2339" customFormat="false" ht="15" hidden="false" customHeight="false" outlineLevel="0" collapsed="false">
      <c r="A2339" s="17" t="s">
        <v>2903</v>
      </c>
      <c r="B2339" s="17" t="n">
        <v>25127.13</v>
      </c>
      <c r="C2339" s="19" t="n">
        <f aca="false">B2339/B2338-1</f>
        <v>-0.000552483550786742</v>
      </c>
      <c r="D2339" s="17" t="n">
        <f aca="false">AVERAGE(B2290:B2339)</f>
        <v>24196.152</v>
      </c>
      <c r="E2339" s="17" t="n">
        <f aca="false">AVERAGE(B2140:B2339)</f>
        <v>21886.9261</v>
      </c>
      <c r="F2339" s="17" t="n">
        <f aca="false">B2339*2/13+F2338*11/13</f>
        <v>24834.5963573993</v>
      </c>
      <c r="G2339" s="17" t="n">
        <f aca="false">B2339*2/27+G2338*25/27</f>
        <v>24624.3335360596</v>
      </c>
      <c r="H2339" s="17" t="n">
        <f aca="false">F2339-G2339</f>
        <v>210.262821339715</v>
      </c>
      <c r="I2339" s="17" t="n">
        <f aca="false">H2339*2/10+I2338*8/10</f>
        <v>219.990861209176</v>
      </c>
      <c r="J2339" s="17" t="n">
        <f aca="false">H2339-I2339</f>
        <v>-9.7280398694611</v>
      </c>
      <c r="K2339" s="17" t="n">
        <f aca="false">MAX(B2339-B2338,0)</f>
        <v>0</v>
      </c>
      <c r="L2339" s="17" t="n">
        <f aca="false">MAX(B2338-B2339,0)</f>
        <v>13.8899999999994</v>
      </c>
      <c r="M2339" s="17" t="n">
        <f aca="false">(M2338*13+K2339)/14</f>
        <v>114.171996354454</v>
      </c>
      <c r="N2339" s="17" t="n">
        <f aca="false">(N2338*13+L2339)/14</f>
        <v>74.2352798155891</v>
      </c>
      <c r="O2339" s="17" t="n">
        <f aca="false">IF(N2339=0,100,100-100/(1+M2339/N2339))</f>
        <v>60.5985069554376</v>
      </c>
      <c r="P2339" s="17" t="n">
        <f aca="false">AVERAGE(B2320:B2339)+2*STDEV(B2320:B2339)</f>
        <v>25273.9802671392</v>
      </c>
      <c r="Q2339" s="17" t="n">
        <f aca="false">AVERAGE(B2320:B2339)-2*STDEV(B2320:B2339)</f>
        <v>24252.9007328608</v>
      </c>
      <c r="R2339" s="19" t="n">
        <f aca="false">B2339/B2319-1</f>
        <v>0.0222520836918541</v>
      </c>
      <c r="S2339" s="17" t="n">
        <f aca="false">STDEV(C2320:C2339)*SQRT(252)*100</f>
        <v>17.6687833254605</v>
      </c>
      <c r="T2339" s="19" t="n">
        <f aca="false">B2318/B2088-1</f>
        <v>0.218314370568056</v>
      </c>
      <c r="U2339" s="19" t="n">
        <f aca="false">B2339/MAX(B2088:B2339)-1</f>
        <v>-0.000552483550786742</v>
      </c>
      <c r="V2339" s="17" t="n">
        <f aca="false">(B2339-AVERAGE(B2320:B2339))/STDEV(B2320:B2339)</f>
        <v>1.42472545101802</v>
      </c>
    </row>
    <row r="2340" customFormat="false" ht="15" hidden="false" customHeight="false" outlineLevel="0" collapsed="false">
      <c r="A2340" s="17" t="s">
        <v>2904</v>
      </c>
      <c r="B2340" s="17" t="n">
        <v>24879.01</v>
      </c>
      <c r="C2340" s="19" t="n">
        <f aca="false">B2340/B2339-1</f>
        <v>-0.00987458575651112</v>
      </c>
      <c r="D2340" s="17" t="n">
        <f aca="false">AVERAGE(B2291:B2340)</f>
        <v>24216.9482</v>
      </c>
      <c r="E2340" s="17" t="n">
        <f aca="false">AVERAGE(B2141:B2340)</f>
        <v>21904.69035</v>
      </c>
      <c r="F2340" s="17" t="n">
        <f aca="false">B2340*2/13+F2339*11/13</f>
        <v>24841.4292254918</v>
      </c>
      <c r="G2340" s="17" t="n">
        <f aca="false">B2340*2/27+G2339*25/27</f>
        <v>24643.1984593145</v>
      </c>
      <c r="H2340" s="17" t="n">
        <f aca="false">F2340-G2340</f>
        <v>198.230766177283</v>
      </c>
      <c r="I2340" s="17" t="n">
        <f aca="false">H2340*2/10+I2339*8/10</f>
        <v>215.638842202797</v>
      </c>
      <c r="J2340" s="17" t="n">
        <f aca="false">H2340-I2340</f>
        <v>-17.4080760255143</v>
      </c>
      <c r="K2340" s="17" t="n">
        <f aca="false">MAX(B2340-B2339,0)</f>
        <v>0</v>
      </c>
      <c r="L2340" s="17" t="n">
        <f aca="false">MAX(B2339-B2340,0)</f>
        <v>248.120000000003</v>
      </c>
      <c r="M2340" s="17" t="n">
        <f aca="false">(M2339*13+K2340)/14</f>
        <v>106.016853757707</v>
      </c>
      <c r="N2340" s="17" t="n">
        <f aca="false">(N2339*13+L2340)/14</f>
        <v>86.6556169716186</v>
      </c>
      <c r="O2340" s="17" t="n">
        <f aca="false">IF(N2340=0,100,100-100/(1+M2340/N2340))</f>
        <v>55.0243910592936</v>
      </c>
      <c r="P2340" s="17" t="n">
        <f aca="false">AVERAGE(B2321:B2340)+2*STDEV(B2321:B2340)</f>
        <v>25279.9690307563</v>
      </c>
      <c r="Q2340" s="17" t="n">
        <f aca="false">AVERAGE(B2321:B2340)-2*STDEV(B2321:B2340)</f>
        <v>24284.4559692437</v>
      </c>
      <c r="R2340" s="19" t="n">
        <f aca="false">B2340/B2320-1</f>
        <v>0.0153218490203673</v>
      </c>
      <c r="S2340" s="17" t="n">
        <f aca="false">STDEV(C2321:C2340)*SQRT(252)*100</f>
        <v>18.0446059229078</v>
      </c>
      <c r="T2340" s="19" t="n">
        <f aca="false">B2319/B2089-1</f>
        <v>0.207190345294323</v>
      </c>
      <c r="U2340" s="19" t="n">
        <f aca="false">B2340/MAX(B2089:B2340)-1</f>
        <v>-0.0104216137610965</v>
      </c>
      <c r="V2340" s="17" t="n">
        <f aca="false">(B2340-AVERAGE(B2321:B2340))/STDEV(B2321:B2340)</f>
        <v>0.388935127994907</v>
      </c>
    </row>
    <row r="2341" customFormat="false" ht="15" hidden="false" customHeight="false" outlineLevel="0" collapsed="false">
      <c r="A2341" s="17" t="s">
        <v>2905</v>
      </c>
      <c r="B2341" s="17" t="n">
        <v>25097.41</v>
      </c>
      <c r="C2341" s="19" t="n">
        <f aca="false">B2341/B2340-1</f>
        <v>0.00877848435287421</v>
      </c>
      <c r="D2341" s="17" t="n">
        <f aca="false">AVERAGE(B2292:B2341)</f>
        <v>24241.9156</v>
      </c>
      <c r="E2341" s="17" t="n">
        <f aca="false">AVERAGE(B2142:B2341)</f>
        <v>21922.3799</v>
      </c>
      <c r="F2341" s="17" t="n">
        <f aca="false">B2341*2/13+F2340*11/13</f>
        <v>24880.8108831084</v>
      </c>
      <c r="G2341" s="17" t="n">
        <f aca="false">B2341*2/27+G2340*25/27</f>
        <v>24676.8437586245</v>
      </c>
      <c r="H2341" s="17" t="n">
        <f aca="false">F2341-G2341</f>
        <v>203.96712448389</v>
      </c>
      <c r="I2341" s="17" t="n">
        <f aca="false">H2341*2/10+I2340*8/10</f>
        <v>213.304498659016</v>
      </c>
      <c r="J2341" s="17" t="n">
        <f aca="false">H2341-I2341</f>
        <v>-9.33737417512575</v>
      </c>
      <c r="K2341" s="17" t="n">
        <f aca="false">MAX(B2341-B2340,0)</f>
        <v>218.400000000001</v>
      </c>
      <c r="L2341" s="17" t="n">
        <f aca="false">MAX(B2340-B2341,0)</f>
        <v>0</v>
      </c>
      <c r="M2341" s="17" t="n">
        <f aca="false">(M2340*13+K2341)/14</f>
        <v>114.044221346443</v>
      </c>
      <c r="N2341" s="17" t="n">
        <f aca="false">(N2340*13+L2341)/14</f>
        <v>80.4659300450744</v>
      </c>
      <c r="O2341" s="17" t="n">
        <f aca="false">IF(N2341=0,100,100-100/(1+M2341/N2341))</f>
        <v>58.6315009939457</v>
      </c>
      <c r="P2341" s="17" t="n">
        <f aca="false">AVERAGE(B2322:B2341)+2*STDEV(B2322:B2341)</f>
        <v>25299.2220768673</v>
      </c>
      <c r="Q2341" s="17" t="n">
        <f aca="false">AVERAGE(B2322:B2341)-2*STDEV(B2322:B2341)</f>
        <v>24335.2129231327</v>
      </c>
      <c r="R2341" s="19" t="n">
        <f aca="false">B2341/B2321-1</f>
        <v>0.0286957865436803</v>
      </c>
      <c r="S2341" s="17" t="n">
        <f aca="false">STDEV(C2322:C2341)*SQRT(252)*100</f>
        <v>18.1475177867218</v>
      </c>
      <c r="T2341" s="19" t="n">
        <f aca="false">B2320/B2090-1</f>
        <v>0.201717371751299</v>
      </c>
      <c r="U2341" s="19" t="n">
        <f aca="false">B2341/MAX(B2090:B2341)-1</f>
        <v>-0.00173461538155573</v>
      </c>
      <c r="V2341" s="17" t="n">
        <f aca="false">(B2341-AVERAGE(B2322:B2341))/STDEV(B2322:B2341)</f>
        <v>1.16261344164424</v>
      </c>
    </row>
    <row r="2342" customFormat="false" ht="15" hidden="false" customHeight="false" outlineLevel="0" collapsed="false">
      <c r="A2342" s="17" t="s">
        <v>2906</v>
      </c>
      <c r="B2342" s="17" t="n">
        <v>25358.16</v>
      </c>
      <c r="C2342" s="19" t="n">
        <f aca="false">B2342/B2341-1</f>
        <v>0.0103895182809701</v>
      </c>
      <c r="D2342" s="17" t="n">
        <f aca="false">AVERAGE(B2293:B2342)</f>
        <v>24272.43</v>
      </c>
      <c r="E2342" s="17" t="n">
        <f aca="false">AVERAGE(B2143:B2342)</f>
        <v>21943.3055</v>
      </c>
      <c r="F2342" s="17" t="n">
        <f aca="false">B2342*2/13+F2341*11/13</f>
        <v>24954.249208784</v>
      </c>
      <c r="G2342" s="17" t="n">
        <f aca="false">B2342*2/27+G2341*25/27</f>
        <v>24727.311628356</v>
      </c>
      <c r="H2342" s="17" t="n">
        <f aca="false">F2342-G2342</f>
        <v>226.937580428006</v>
      </c>
      <c r="I2342" s="17" t="n">
        <f aca="false">H2342*2/10+I2341*8/10</f>
        <v>216.031115012814</v>
      </c>
      <c r="J2342" s="17" t="n">
        <f aca="false">H2342-I2342</f>
        <v>10.9064654151923</v>
      </c>
      <c r="K2342" s="17" t="n">
        <f aca="false">MAX(B2342-B2341,0)</f>
        <v>260.75</v>
      </c>
      <c r="L2342" s="17" t="n">
        <f aca="false">MAX(B2341-B2342,0)</f>
        <v>0</v>
      </c>
      <c r="M2342" s="17" t="n">
        <f aca="false">(M2341*13+K2342)/14</f>
        <v>124.523205535982</v>
      </c>
      <c r="N2342" s="17" t="n">
        <f aca="false">(N2341*13+L2342)/14</f>
        <v>74.7183636132834</v>
      </c>
      <c r="O2342" s="17" t="n">
        <f aca="false">IF(N2342=0,100,100-100/(1+M2342/N2342))</f>
        <v>62.4986071268558</v>
      </c>
      <c r="P2342" s="17" t="n">
        <f aca="false">AVERAGE(B2323:B2342)+2*STDEV(B2323:B2342)</f>
        <v>25375.2739248704</v>
      </c>
      <c r="Q2342" s="17" t="n">
        <f aca="false">AVERAGE(B2323:B2342)-2*STDEV(B2323:B2342)</f>
        <v>24344.5920751296</v>
      </c>
      <c r="R2342" s="19" t="n">
        <f aca="false">B2342/B2322-1</f>
        <v>0.0348643172399439</v>
      </c>
      <c r="S2342" s="17" t="n">
        <f aca="false">STDEV(C2323:C2342)*SQRT(252)*100</f>
        <v>18.3988461066159</v>
      </c>
      <c r="T2342" s="19" t="n">
        <f aca="false">B2321/B2091-1</f>
        <v>0.215795018278803</v>
      </c>
      <c r="U2342" s="19" t="n">
        <f aca="false">B2342/MAX(B2091:B2342)-1</f>
        <v>0</v>
      </c>
      <c r="V2342" s="17" t="n">
        <f aca="false">(B2342-AVERAGE(B2323:B2342))/STDEV(B2323:B2342)</f>
        <v>1.93358212381546</v>
      </c>
    </row>
    <row r="2343" customFormat="false" ht="15" hidden="false" customHeight="false" outlineLevel="0" collapsed="false">
      <c r="A2343" s="17" t="s">
        <v>2907</v>
      </c>
      <c r="B2343" s="17" t="n">
        <v>25821.55</v>
      </c>
      <c r="C2343" s="19" t="n">
        <f aca="false">B2343/B2342-1</f>
        <v>0.0182738022001596</v>
      </c>
      <c r="D2343" s="17" t="n">
        <f aca="false">AVERAGE(B2294:B2343)</f>
        <v>24314.6196</v>
      </c>
      <c r="E2343" s="17" t="n">
        <f aca="false">AVERAGE(B2144:B2343)</f>
        <v>21966.5084</v>
      </c>
      <c r="F2343" s="17" t="n">
        <f aca="false">B2343*2/13+F2342*11/13</f>
        <v>25087.6800997403</v>
      </c>
      <c r="G2343" s="17" t="n">
        <f aca="false">B2343*2/27+G2342*25/27</f>
        <v>24808.3663225519</v>
      </c>
      <c r="H2343" s="17" t="n">
        <f aca="false">F2343-G2343</f>
        <v>279.313777188458</v>
      </c>
      <c r="I2343" s="17" t="n">
        <f aca="false">H2343*2/10+I2342*8/10</f>
        <v>228.687647447943</v>
      </c>
      <c r="J2343" s="17" t="n">
        <f aca="false">H2343-I2343</f>
        <v>50.626129740515</v>
      </c>
      <c r="K2343" s="17" t="n">
        <f aca="false">MAX(B2343-B2342,0)</f>
        <v>463.389999999999</v>
      </c>
      <c r="L2343" s="17" t="n">
        <f aca="false">MAX(B2342-B2343,0)</f>
        <v>0</v>
      </c>
      <c r="M2343" s="17" t="n">
        <f aca="false">(M2342*13+K2343)/14</f>
        <v>148.727976569126</v>
      </c>
      <c r="N2343" s="17" t="n">
        <f aca="false">(N2342*13+L2343)/14</f>
        <v>69.381337640906</v>
      </c>
      <c r="O2343" s="17" t="n">
        <f aca="false">IF(N2343=0,100,100-100/(1+M2343/N2343))</f>
        <v>68.1896493544086</v>
      </c>
      <c r="P2343" s="17" t="n">
        <f aca="false">AVERAGE(B2324:B2343)+2*STDEV(B2324:B2343)</f>
        <v>25577.5774205708</v>
      </c>
      <c r="Q2343" s="17" t="n">
        <f aca="false">AVERAGE(B2324:B2343)-2*STDEV(B2324:B2343)</f>
        <v>24263.3085794292</v>
      </c>
      <c r="R2343" s="19" t="n">
        <f aca="false">B2343/B2323-1</f>
        <v>0.04917243466937</v>
      </c>
      <c r="S2343" s="17" t="n">
        <f aca="false">STDEV(C2324:C2343)*SQRT(252)*100</f>
        <v>19.2982214153081</v>
      </c>
      <c r="T2343" s="19" t="n">
        <f aca="false">B2322/B2092-1</f>
        <v>0.211091160077636</v>
      </c>
      <c r="U2343" s="19" t="n">
        <f aca="false">B2343/MAX(B2092:B2343)-1</f>
        <v>0</v>
      </c>
      <c r="V2343" s="17" t="n">
        <f aca="false">(B2343-AVERAGE(B2324:B2343))/STDEV(B2324:B2343)</f>
        <v>2.74253477459681</v>
      </c>
    </row>
    <row r="2344" customFormat="false" ht="15" hidden="false" customHeight="false" outlineLevel="0" collapsed="false">
      <c r="A2344" s="17" t="s">
        <v>2908</v>
      </c>
      <c r="B2344" s="17" t="n">
        <v>26012.15</v>
      </c>
      <c r="C2344" s="19" t="n">
        <f aca="false">B2344/B2343-1</f>
        <v>0.00738143140129077</v>
      </c>
      <c r="D2344" s="17" t="n">
        <f aca="false">AVERAGE(B2295:B2344)</f>
        <v>24360.5874</v>
      </c>
      <c r="E2344" s="17" t="n">
        <f aca="false">AVERAGE(B2145:B2344)</f>
        <v>21992.33125</v>
      </c>
      <c r="F2344" s="17" t="n">
        <f aca="false">B2344*2/13+F2343*11/13</f>
        <v>25229.9062382418</v>
      </c>
      <c r="G2344" s="17" t="n">
        <f aca="false">B2344*2/27+G2343*25/27</f>
        <v>24897.5354838443</v>
      </c>
      <c r="H2344" s="17" t="n">
        <f aca="false">F2344-G2344</f>
        <v>332.370754397492</v>
      </c>
      <c r="I2344" s="17" t="n">
        <f aca="false">H2344*2/10+I2343*8/10</f>
        <v>249.424268837853</v>
      </c>
      <c r="J2344" s="17" t="n">
        <f aca="false">H2344-I2344</f>
        <v>82.9464855596399</v>
      </c>
      <c r="K2344" s="17" t="n">
        <f aca="false">MAX(B2344-B2343,0)</f>
        <v>190.600000000002</v>
      </c>
      <c r="L2344" s="17" t="n">
        <f aca="false">MAX(B2343-B2344,0)</f>
        <v>0</v>
      </c>
      <c r="M2344" s="17" t="n">
        <f aca="false">(M2343*13+K2344)/14</f>
        <v>151.718835385618</v>
      </c>
      <c r="N2344" s="17" t="n">
        <f aca="false">(N2343*13+L2344)/14</f>
        <v>64.4255278094127</v>
      </c>
      <c r="O2344" s="17" t="n">
        <f aca="false">IF(N2344=0,100,100-100/(1+M2344/N2344))</f>
        <v>70.1932880149733</v>
      </c>
      <c r="P2344" s="17" t="n">
        <f aca="false">AVERAGE(B2325:B2344)+2*STDEV(B2325:B2344)</f>
        <v>25794.4439242588</v>
      </c>
      <c r="Q2344" s="17" t="n">
        <f aca="false">AVERAGE(B2325:B2344)-2*STDEV(B2325:B2344)</f>
        <v>24179.6580757412</v>
      </c>
      <c r="R2344" s="19" t="n">
        <f aca="false">B2344/B2324-1</f>
        <v>0.0539773314332785</v>
      </c>
      <c r="S2344" s="17" t="n">
        <f aca="false">STDEV(C2325:C2344)*SQRT(252)*100</f>
        <v>19.3768632187275</v>
      </c>
      <c r="T2344" s="19" t="n">
        <f aca="false">B2323/B2093-1</f>
        <v>0.209282911475126</v>
      </c>
      <c r="U2344" s="19" t="n">
        <f aca="false">B2344/MAX(B2093:B2344)-1</f>
        <v>0</v>
      </c>
      <c r="V2344" s="17" t="n">
        <f aca="false">(B2344-AVERAGE(B2325:B2344))/STDEV(B2325:B2344)</f>
        <v>2.53928160428474</v>
      </c>
    </row>
    <row r="2345" customFormat="false" ht="15" hidden="false" customHeight="false" outlineLevel="0" collapsed="false">
      <c r="A2345" s="17" t="s">
        <v>2909</v>
      </c>
      <c r="B2345" s="17" t="n">
        <v>26119.85</v>
      </c>
      <c r="C2345" s="19" t="n">
        <f aca="false">B2345/B2344-1</f>
        <v>0.00414037286421909</v>
      </c>
      <c r="D2345" s="17" t="n">
        <f aca="false">AVERAGE(B2296:B2345)</f>
        <v>24415.289</v>
      </c>
      <c r="E2345" s="17" t="n">
        <f aca="false">AVERAGE(B2146:B2345)</f>
        <v>22019.0069</v>
      </c>
      <c r="F2345" s="17" t="n">
        <f aca="false">B2345*2/13+F2344*11/13</f>
        <v>25366.8206631277</v>
      </c>
      <c r="G2345" s="17" t="n">
        <f aca="false">B2345*2/27+G2344*25/27</f>
        <v>24988.0772998559</v>
      </c>
      <c r="H2345" s="17" t="n">
        <f aca="false">F2345-G2345</f>
        <v>378.743363271831</v>
      </c>
      <c r="I2345" s="17" t="n">
        <f aca="false">H2345*2/10+I2344*8/10</f>
        <v>275.288087724648</v>
      </c>
      <c r="J2345" s="17" t="n">
        <f aca="false">H2345-I2345</f>
        <v>103.455275547183</v>
      </c>
      <c r="K2345" s="17" t="n">
        <f aca="false">MAX(B2345-B2344,0)</f>
        <v>107.699999999997</v>
      </c>
      <c r="L2345" s="17" t="n">
        <f aca="false">MAX(B2344-B2345,0)</f>
        <v>0</v>
      </c>
      <c r="M2345" s="17" t="n">
        <f aca="false">(M2344*13+K2345)/14</f>
        <v>148.574632858073</v>
      </c>
      <c r="N2345" s="17" t="n">
        <f aca="false">(N2344*13+L2345)/14</f>
        <v>59.8237043944546</v>
      </c>
      <c r="O2345" s="17" t="n">
        <f aca="false">IF(N2345=0,100,100-100/(1+M2345/N2345))</f>
        <v>71.2935788340946</v>
      </c>
      <c r="P2345" s="17" t="n">
        <f aca="false">AVERAGE(B2326:B2345)+2*STDEV(B2326:B2345)</f>
        <v>25999.7984934712</v>
      </c>
      <c r="Q2345" s="17" t="n">
        <f aca="false">AVERAGE(B2326:B2345)-2*STDEV(B2326:B2345)</f>
        <v>24106.2025065288</v>
      </c>
      <c r="R2345" s="19" t="n">
        <f aca="false">B2345/B2325-1</f>
        <v>0.0531832363877705</v>
      </c>
      <c r="S2345" s="17" t="n">
        <f aca="false">STDEV(C2326:C2345)*SQRT(252)*100</f>
        <v>19.3673537529208</v>
      </c>
      <c r="T2345" s="19" t="n">
        <f aca="false">B2324/B2094-1</f>
        <v>0.212712157149477</v>
      </c>
      <c r="U2345" s="19" t="n">
        <f aca="false">B2345/MAX(B2094:B2345)-1</f>
        <v>0</v>
      </c>
      <c r="V2345" s="17" t="n">
        <f aca="false">(B2345-AVERAGE(B2326:B2345))/STDEV(B2326:B2345)</f>
        <v>2.25359476331098</v>
      </c>
    </row>
    <row r="2346" customFormat="false" ht="15" hidden="false" customHeight="false" outlineLevel="0" collapsed="false">
      <c r="A2346" s="17" t="s">
        <v>2910</v>
      </c>
      <c r="B2346" s="17" t="n">
        <v>25734.81</v>
      </c>
      <c r="C2346" s="19" t="n">
        <f aca="false">B2346/B2345-1</f>
        <v>-0.0147412791421083</v>
      </c>
      <c r="D2346" s="17" t="n">
        <f aca="false">AVERAGE(B2297:B2346)</f>
        <v>24464.9938</v>
      </c>
      <c r="E2346" s="17" t="n">
        <f aca="false">AVERAGE(B2147:B2346)</f>
        <v>22043.8939</v>
      </c>
      <c r="F2346" s="17" t="n">
        <f aca="false">B2346*2/13+F2345*11/13</f>
        <v>25423.4344072619</v>
      </c>
      <c r="G2346" s="17" t="n">
        <f aca="false">B2346*2/27+G2345*25/27</f>
        <v>25043.3908331999</v>
      </c>
      <c r="H2346" s="17" t="n">
        <f aca="false">F2346-G2346</f>
        <v>380.04357406202</v>
      </c>
      <c r="I2346" s="17" t="n">
        <f aca="false">H2346*2/10+I2345*8/10</f>
        <v>296.239184992123</v>
      </c>
      <c r="J2346" s="17" t="n">
        <f aca="false">H2346-I2346</f>
        <v>83.8043890698971</v>
      </c>
      <c r="K2346" s="17" t="n">
        <f aca="false">MAX(B2346-B2345,0)</f>
        <v>0</v>
      </c>
      <c r="L2346" s="17" t="n">
        <f aca="false">MAX(B2345-B2346,0)</f>
        <v>385.039999999997</v>
      </c>
      <c r="M2346" s="17" t="n">
        <f aca="false">(M2345*13+K2346)/14</f>
        <v>137.962159082497</v>
      </c>
      <c r="N2346" s="17" t="n">
        <f aca="false">(N2345*13+L2346)/14</f>
        <v>83.0534397948506</v>
      </c>
      <c r="O2346" s="17" t="n">
        <f aca="false">IF(N2346=0,100,100-100/(1+M2346/N2346))</f>
        <v>62.421910391519</v>
      </c>
      <c r="P2346" s="17" t="n">
        <f aca="false">AVERAGE(B2327:B2346)+2*STDEV(B2327:B2346)</f>
        <v>26085.7710742568</v>
      </c>
      <c r="Q2346" s="17" t="n">
        <f aca="false">AVERAGE(B2327:B2346)-2*STDEV(B2327:B2346)</f>
        <v>24104.4349257432</v>
      </c>
      <c r="R2346" s="19" t="n">
        <f aca="false">B2346/B2326-1</f>
        <v>0.0338271047485295</v>
      </c>
      <c r="S2346" s="17" t="n">
        <f aca="false">STDEV(C2327:C2346)*SQRT(252)*100</f>
        <v>20.319474613814</v>
      </c>
      <c r="T2346" s="19" t="n">
        <f aca="false">B2325/B2095-1</f>
        <v>0.206816329410505</v>
      </c>
      <c r="U2346" s="19" t="n">
        <f aca="false">B2346/MAX(B2095:B2346)-1</f>
        <v>-0.0147412791421083</v>
      </c>
      <c r="V2346" s="17" t="n">
        <f aca="false">(B2346-AVERAGE(B2327:B2346))/STDEV(B2327:B2346)</f>
        <v>1.29146586353849</v>
      </c>
    </row>
    <row r="2347" customFormat="false" ht="15" hidden="false" customHeight="false" outlineLevel="0" collapsed="false">
      <c r="A2347" s="17" t="s">
        <v>2911</v>
      </c>
      <c r="B2347" s="17" t="n">
        <v>25858.13</v>
      </c>
      <c r="C2347" s="19" t="n">
        <f aca="false">B2347/B2346-1</f>
        <v>0.00479195300062441</v>
      </c>
      <c r="D2347" s="17" t="n">
        <f aca="false">AVERAGE(B2298:B2347)</f>
        <v>24519.3048</v>
      </c>
      <c r="E2347" s="17" t="n">
        <f aca="false">AVERAGE(B2148:B2347)</f>
        <v>22066.9953</v>
      </c>
      <c r="F2347" s="17" t="n">
        <f aca="false">B2347*2/13+F2346*11/13</f>
        <v>25490.3106522985</v>
      </c>
      <c r="G2347" s="17" t="n">
        <f aca="false">B2347*2/27+G2346*25/27</f>
        <v>25103.7418825925</v>
      </c>
      <c r="H2347" s="17" t="n">
        <f aca="false">F2347-G2347</f>
        <v>386.568769706049</v>
      </c>
      <c r="I2347" s="17" t="n">
        <f aca="false">H2347*2/10+I2346*8/10</f>
        <v>314.305101934908</v>
      </c>
      <c r="J2347" s="17" t="n">
        <f aca="false">H2347-I2347</f>
        <v>72.2636677711415</v>
      </c>
      <c r="K2347" s="17" t="n">
        <f aca="false">MAX(B2347-B2346,0)</f>
        <v>123.32</v>
      </c>
      <c r="L2347" s="17" t="n">
        <f aca="false">MAX(B2346-B2347,0)</f>
        <v>0</v>
      </c>
      <c r="M2347" s="17" t="n">
        <f aca="false">(M2346*13+K2347)/14</f>
        <v>136.916290576604</v>
      </c>
      <c r="N2347" s="17" t="n">
        <f aca="false">(N2346*13+L2347)/14</f>
        <v>77.1210512380755</v>
      </c>
      <c r="O2347" s="17" t="n">
        <f aca="false">IF(N2347=0,100,100-100/(1+M2347/N2347))</f>
        <v>63.9684129020583</v>
      </c>
      <c r="P2347" s="17" t="n">
        <f aca="false">AVERAGE(B2328:B2347)+2*STDEV(B2328:B2347)</f>
        <v>26183.9659241094</v>
      </c>
      <c r="Q2347" s="17" t="n">
        <f aca="false">AVERAGE(B2328:B2347)-2*STDEV(B2328:B2347)</f>
        <v>24113.5010758906</v>
      </c>
      <c r="R2347" s="19" t="n">
        <f aca="false">B2347/B2327-1</f>
        <v>0.0432756706334989</v>
      </c>
      <c r="S2347" s="17" t="n">
        <f aca="false">STDEV(C2328:C2347)*SQRT(252)*100</f>
        <v>20.2165308867937</v>
      </c>
      <c r="T2347" s="19" t="n">
        <f aca="false">B2326/B2096-1</f>
        <v>0.22096950612379</v>
      </c>
      <c r="U2347" s="19" t="n">
        <f aca="false">B2347/MAX(B2096:B2347)-1</f>
        <v>-0.0100199656583019</v>
      </c>
      <c r="V2347" s="17" t="n">
        <f aca="false">(B2347-AVERAGE(B2328:B2347))/STDEV(B2328:B2347)</f>
        <v>1.37050672579215</v>
      </c>
    </row>
    <row r="2348" customFormat="false" ht="15" hidden="false" customHeight="false" outlineLevel="0" collapsed="false">
      <c r="A2348" s="17" t="s">
        <v>2912</v>
      </c>
      <c r="B2348" s="17" t="n">
        <v>25972.94</v>
      </c>
      <c r="C2348" s="19" t="n">
        <f aca="false">B2348/B2347-1</f>
        <v>0.00443999624102731</v>
      </c>
      <c r="D2348" s="17" t="n">
        <f aca="false">AVERAGE(B2299:B2348)</f>
        <v>24568.8012</v>
      </c>
      <c r="E2348" s="17" t="n">
        <f aca="false">AVERAGE(B2149:B2348)</f>
        <v>22091.40375</v>
      </c>
      <c r="F2348" s="17" t="n">
        <f aca="false">B2348*2/13+F2347*11/13</f>
        <v>25564.5613211757</v>
      </c>
      <c r="G2348" s="17" t="n">
        <f aca="false">B2348*2/27+G2347*25/27</f>
        <v>25168.1269283264</v>
      </c>
      <c r="H2348" s="17" t="n">
        <f aca="false">F2348-G2348</f>
        <v>396.434392849314</v>
      </c>
      <c r="I2348" s="17" t="n">
        <f aca="false">H2348*2/10+I2347*8/10</f>
        <v>330.730960117789</v>
      </c>
      <c r="J2348" s="17" t="n">
        <f aca="false">H2348-I2348</f>
        <v>65.7034327315253</v>
      </c>
      <c r="K2348" s="17" t="n">
        <f aca="false">MAX(B2348-B2347,0)</f>
        <v>114.809999999998</v>
      </c>
      <c r="L2348" s="17" t="n">
        <f aca="false">MAX(B2347-B2348,0)</f>
        <v>0</v>
      </c>
      <c r="M2348" s="17" t="n">
        <f aca="false">(M2347*13+K2348)/14</f>
        <v>135.337269821132</v>
      </c>
      <c r="N2348" s="17" t="n">
        <f aca="false">(N2347*13+L2348)/14</f>
        <v>71.6124047210701</v>
      </c>
      <c r="O2348" s="17" t="n">
        <f aca="false">IF(N2348=0,100,100-100/(1+M2348/N2348))</f>
        <v>65.3962225939783</v>
      </c>
      <c r="P2348" s="17" t="n">
        <f aca="false">AVERAGE(B2329:B2348)+2*STDEV(B2329:B2348)</f>
        <v>26293.0826535438</v>
      </c>
      <c r="Q2348" s="17" t="n">
        <f aca="false">AVERAGE(B2329:B2348)-2*STDEV(B2329:B2348)</f>
        <v>24103.8223464562</v>
      </c>
      <c r="R2348" s="19" t="n">
        <f aca="false">B2348/B2328-1</f>
        <v>0.0398093404904045</v>
      </c>
      <c r="S2348" s="17" t="n">
        <f aca="false">STDEV(C2329:C2348)*SQRT(252)*100</f>
        <v>20.1284740732195</v>
      </c>
      <c r="T2348" s="19" t="n">
        <f aca="false">B2327/B2097-1</f>
        <v>0.246103400531512</v>
      </c>
      <c r="U2348" s="19" t="n">
        <f aca="false">B2348/MAX(B2097:B2348)-1</f>
        <v>-0.00562445802713263</v>
      </c>
      <c r="V2348" s="17" t="n">
        <f aca="false">(B2348-AVERAGE(B2329:B2348))/STDEV(B2329:B2348)</f>
        <v>1.41506699316226</v>
      </c>
    </row>
    <row r="2349" customFormat="false" ht="15" hidden="false" customHeight="false" outlineLevel="0" collapsed="false">
      <c r="A2349" s="17" t="s">
        <v>2913</v>
      </c>
      <c r="B2349" s="17" t="n">
        <v>25435.7</v>
      </c>
      <c r="C2349" s="19" t="n">
        <f aca="false">B2349/B2348-1</f>
        <v>-0.0206846048233276</v>
      </c>
      <c r="D2349" s="17" t="n">
        <f aca="false">AVERAGE(B2300:B2349)</f>
        <v>24609.003</v>
      </c>
      <c r="E2349" s="17" t="n">
        <f aca="false">AVERAGE(B2150:B2349)</f>
        <v>22111.37645</v>
      </c>
      <c r="F2349" s="17" t="n">
        <f aca="false">B2349*2/13+F2348*11/13</f>
        <v>25544.7365025333</v>
      </c>
      <c r="G2349" s="17" t="n">
        <f aca="false">B2349*2/27+G2348*25/27</f>
        <v>25187.9471558578</v>
      </c>
      <c r="H2349" s="17" t="n">
        <f aca="false">F2349-G2349</f>
        <v>356.789346675527</v>
      </c>
      <c r="I2349" s="17" t="n">
        <f aca="false">H2349*2/10+I2348*8/10</f>
        <v>335.942637429337</v>
      </c>
      <c r="J2349" s="17" t="n">
        <f aca="false">H2349-I2349</f>
        <v>20.8467092461901</v>
      </c>
      <c r="K2349" s="17" t="n">
        <f aca="false">MAX(B2349-B2348,0)</f>
        <v>0</v>
      </c>
      <c r="L2349" s="17" t="n">
        <f aca="false">MAX(B2348-B2349,0)</f>
        <v>537.239999999998</v>
      </c>
      <c r="M2349" s="17" t="n">
        <f aca="false">(M2348*13+K2349)/14</f>
        <v>125.670321976766</v>
      </c>
      <c r="N2349" s="17" t="n">
        <f aca="false">(N2348*13+L2349)/14</f>
        <v>104.871518669565</v>
      </c>
      <c r="O2349" s="17" t="n">
        <f aca="false">IF(N2349=0,100,100-100/(1+M2349/N2349))</f>
        <v>54.5108521839009</v>
      </c>
      <c r="P2349" s="17" t="n">
        <f aca="false">AVERAGE(B2330:B2349)+2*STDEV(B2330:B2349)</f>
        <v>26314.1896383057</v>
      </c>
      <c r="Q2349" s="17" t="n">
        <f aca="false">AVERAGE(B2330:B2349)-2*STDEV(B2330:B2349)</f>
        <v>24142.2623616943</v>
      </c>
      <c r="R2349" s="19" t="n">
        <f aca="false">B2349/B2329-1</f>
        <v>0.0239720002592569</v>
      </c>
      <c r="S2349" s="17" t="n">
        <f aca="false">STDEV(C2330:C2349)*SQRT(252)*100</f>
        <v>21.5516198369359</v>
      </c>
      <c r="T2349" s="19" t="n">
        <f aca="false">B2328/B2098-1</f>
        <v>0.246861949749266</v>
      </c>
      <c r="U2349" s="19" t="n">
        <f aca="false">B2349/MAX(B2098:B2349)-1</f>
        <v>-0.0261927231588236</v>
      </c>
      <c r="V2349" s="17" t="n">
        <f aca="false">(B2349-AVERAGE(B2330:B2349))/STDEV(B2330:B2349)</f>
        <v>0.382101191387402</v>
      </c>
    </row>
    <row r="2350" customFormat="false" ht="15" hidden="false" customHeight="false" outlineLevel="0" collapsed="false">
      <c r="A2350" s="17" t="s">
        <v>2914</v>
      </c>
      <c r="B2350" s="17" t="n">
        <v>25620.03</v>
      </c>
      <c r="C2350" s="19" t="n">
        <f aca="false">B2350/B2349-1</f>
        <v>0.00724690100921133</v>
      </c>
      <c r="D2350" s="17" t="n">
        <f aca="false">AVERAGE(B2301:B2350)</f>
        <v>24650.8978</v>
      </c>
      <c r="E2350" s="17" t="n">
        <f aca="false">AVERAGE(B2151:B2350)</f>
        <v>22131.64405</v>
      </c>
      <c r="F2350" s="17" t="n">
        <f aca="false">B2350*2/13+F2349*11/13</f>
        <v>25556.3201175282</v>
      </c>
      <c r="G2350" s="17" t="n">
        <f aca="false">B2350*2/27+G2349*25/27</f>
        <v>25219.9532924609</v>
      </c>
      <c r="H2350" s="17" t="n">
        <f aca="false">F2350-G2350</f>
        <v>336.366825067282</v>
      </c>
      <c r="I2350" s="17" t="n">
        <f aca="false">H2350*2/10+I2349*8/10</f>
        <v>336.027474956926</v>
      </c>
      <c r="J2350" s="17" t="n">
        <f aca="false">H2350-I2350</f>
        <v>0.339350110356008</v>
      </c>
      <c r="K2350" s="17" t="n">
        <f aca="false">MAX(B2350-B2349,0)</f>
        <v>184.329999999998</v>
      </c>
      <c r="L2350" s="17" t="n">
        <f aca="false">MAX(B2349-B2350,0)</f>
        <v>0</v>
      </c>
      <c r="M2350" s="17" t="n">
        <f aca="false">(M2349*13+K2350)/14</f>
        <v>129.860298978425</v>
      </c>
      <c r="N2350" s="17" t="n">
        <f aca="false">(N2349*13+L2350)/14</f>
        <v>97.3806959074532</v>
      </c>
      <c r="O2350" s="17" t="n">
        <f aca="false">IF(N2350=0,100,100-100/(1+M2350/N2350))</f>
        <v>57.1465104892899</v>
      </c>
      <c r="P2350" s="17" t="n">
        <f aca="false">AVERAGE(B2331:B2350)+2*STDEV(B2331:B2350)</f>
        <v>26351.217908453</v>
      </c>
      <c r="Q2350" s="17" t="n">
        <f aca="false">AVERAGE(B2331:B2350)-2*STDEV(B2331:B2350)</f>
        <v>24153.575091547</v>
      </c>
      <c r="R2350" s="19" t="n">
        <f aca="false">B2350/B2330-1</f>
        <v>0.0192313047657162</v>
      </c>
      <c r="S2350" s="17" t="n">
        <f aca="false">STDEV(C2331:C2350)*SQRT(252)*100</f>
        <v>21.3070904900662</v>
      </c>
      <c r="T2350" s="19" t="n">
        <f aca="false">B2329/B2099-1</f>
        <v>0.244276082470096</v>
      </c>
      <c r="U2350" s="19" t="n">
        <f aca="false">B2350/MAX(B2099:B2350)-1</f>
        <v>-0.0191356382215059</v>
      </c>
      <c r="V2350" s="17" t="n">
        <f aca="false">(B2350-AVERAGE(B2331:B2350))/STDEV(B2331:B2350)</f>
        <v>0.669141495008849</v>
      </c>
    </row>
    <row r="2351" customFormat="false" ht="15" hidden="false" customHeight="false" outlineLevel="0" collapsed="false">
      <c r="A2351" s="17" t="s">
        <v>2915</v>
      </c>
      <c r="B2351" s="17" t="n">
        <v>25130.04</v>
      </c>
      <c r="C2351" s="19" t="n">
        <f aca="false">B2351/B2350-1</f>
        <v>-0.0191252703451166</v>
      </c>
      <c r="D2351" s="17" t="n">
        <f aca="false">AVERAGE(B2302:B2351)</f>
        <v>24682.1816</v>
      </c>
      <c r="E2351" s="17" t="n">
        <f aca="false">AVERAGE(B2152:B2351)</f>
        <v>22148.02925</v>
      </c>
      <c r="F2351" s="17" t="n">
        <f aca="false">B2351*2/13+F2350*11/13</f>
        <v>25490.7385609854</v>
      </c>
      <c r="G2351" s="17" t="n">
        <f aca="false">B2351*2/27+G2350*25/27</f>
        <v>25213.2930485749</v>
      </c>
      <c r="H2351" s="17" t="n">
        <f aca="false">F2351-G2351</f>
        <v>277.445512410483</v>
      </c>
      <c r="I2351" s="17" t="n">
        <f aca="false">H2351*2/10+I2350*8/10</f>
        <v>324.311082447637</v>
      </c>
      <c r="J2351" s="17" t="n">
        <f aca="false">H2351-I2351</f>
        <v>-46.8655700371546</v>
      </c>
      <c r="K2351" s="17" t="n">
        <f aca="false">MAX(B2351-B2350,0)</f>
        <v>0</v>
      </c>
      <c r="L2351" s="17" t="n">
        <f aca="false">MAX(B2350-B2351,0)</f>
        <v>489.989999999998</v>
      </c>
      <c r="M2351" s="17" t="n">
        <f aca="false">(M2350*13+K2351)/14</f>
        <v>120.584563337109</v>
      </c>
      <c r="N2351" s="17" t="n">
        <f aca="false">(N2350*13+L2351)/14</f>
        <v>125.424217628349</v>
      </c>
      <c r="O2351" s="17" t="n">
        <f aca="false">IF(N2351=0,100,100-100/(1+M2351/N2351))</f>
        <v>49.0163655394236</v>
      </c>
      <c r="P2351" s="17" t="n">
        <f aca="false">AVERAGE(B2332:B2351)+2*STDEV(B2332:B2351)</f>
        <v>26351.9615970182</v>
      </c>
      <c r="Q2351" s="17" t="n">
        <f aca="false">AVERAGE(B2332:B2351)-2*STDEV(B2332:B2351)</f>
        <v>24156.0174029818</v>
      </c>
      <c r="R2351" s="19" t="n">
        <f aca="false">B2351/B2331-1</f>
        <v>0.00126941475437659</v>
      </c>
      <c r="S2351" s="17" t="n">
        <f aca="false">STDEV(C2332:C2351)*SQRT(252)*100</f>
        <v>22.4720355061372</v>
      </c>
      <c r="T2351" s="19" t="n">
        <f aca="false">B2330/B2100-1</f>
        <v>0.242697797943983</v>
      </c>
      <c r="U2351" s="19" t="n">
        <f aca="false">B2351/MAX(B2100:B2351)-1</f>
        <v>-0.0378949343124099</v>
      </c>
      <c r="V2351" s="17" t="n">
        <f aca="false">(B2351-AVERAGE(B2332:B2351))/STDEV(B2332:B2351)</f>
        <v>-0.225778961663258</v>
      </c>
    </row>
    <row r="2352" customFormat="false" ht="15" hidden="false" customHeight="false" outlineLevel="0" collapsed="false">
      <c r="A2352" s="17" t="s">
        <v>2916</v>
      </c>
      <c r="B2352" s="17" t="n">
        <v>25059.81</v>
      </c>
      <c r="C2352" s="19" t="n">
        <f aca="false">B2352/B2351-1</f>
        <v>-0.00279466327948541</v>
      </c>
      <c r="D2352" s="17" t="n">
        <f aca="false">AVERAGE(B2303:B2352)</f>
        <v>24709.3088</v>
      </c>
      <c r="E2352" s="17" t="n">
        <f aca="false">AVERAGE(B2153:B2352)</f>
        <v>22163.82365</v>
      </c>
      <c r="F2352" s="17" t="n">
        <f aca="false">B2352*2/13+F2351*11/13</f>
        <v>25424.4418592953</v>
      </c>
      <c r="G2352" s="17" t="n">
        <f aca="false">B2352*2/27+G2351*25/27</f>
        <v>25201.9239338656</v>
      </c>
      <c r="H2352" s="17" t="n">
        <f aca="false">F2352-G2352</f>
        <v>222.517925429678</v>
      </c>
      <c r="I2352" s="17" t="n">
        <f aca="false">H2352*2/10+I2351*8/10</f>
        <v>303.952451044045</v>
      </c>
      <c r="J2352" s="17" t="n">
        <f aca="false">H2352-I2352</f>
        <v>-81.4345256143672</v>
      </c>
      <c r="K2352" s="17" t="n">
        <f aca="false">MAX(B2352-B2351,0)</f>
        <v>0</v>
      </c>
      <c r="L2352" s="17" t="n">
        <f aca="false">MAX(B2351-B2352,0)</f>
        <v>70.2299999999996</v>
      </c>
      <c r="M2352" s="17" t="n">
        <f aca="false">(M2351*13+K2352)/14</f>
        <v>111.971380241601</v>
      </c>
      <c r="N2352" s="17" t="n">
        <f aca="false">(N2351*13+L2352)/14</f>
        <v>121.481773512039</v>
      </c>
      <c r="O2352" s="17" t="n">
        <f aca="false">IF(N2352=0,100,100-100/(1+M2352/N2352))</f>
        <v>47.9631045634805</v>
      </c>
      <c r="P2352" s="17" t="n">
        <f aca="false">AVERAGE(B2333:B2352)+2*STDEV(B2333:B2352)</f>
        <v>26286.7327851711</v>
      </c>
      <c r="Q2352" s="17" t="n">
        <f aca="false">AVERAGE(B2333:B2352)-2*STDEV(B2333:B2352)</f>
        <v>24305.0532148289</v>
      </c>
      <c r="R2352" s="19" t="n">
        <f aca="false">B2352/B2332-1</f>
        <v>0.0345999090073628</v>
      </c>
      <c r="S2352" s="17" t="n">
        <f aca="false">STDEV(C2333:C2352)*SQRT(252)*100</f>
        <v>18.3327602651424</v>
      </c>
      <c r="T2352" s="19" t="n">
        <f aca="false">B2331/B2101-1</f>
        <v>0.20772732062866</v>
      </c>
      <c r="U2352" s="19" t="n">
        <f aca="false">B2352/MAX(B2101:B2352)-1</f>
        <v>-0.0405836940104938</v>
      </c>
      <c r="V2352" s="17" t="n">
        <f aca="false">(B2352-AVERAGE(B2333:B2352))/STDEV(B2333:B2352)</f>
        <v>-0.476531127500565</v>
      </c>
    </row>
    <row r="2353" customFormat="false" ht="15" hidden="false" customHeight="false" outlineLevel="0" collapsed="false">
      <c r="A2353" s="17" t="s">
        <v>2917</v>
      </c>
      <c r="B2353" s="17" t="n">
        <v>25611.74</v>
      </c>
      <c r="C2353" s="19" t="n">
        <f aca="false">B2353/B2352-1</f>
        <v>0.0220245085657074</v>
      </c>
      <c r="D2353" s="17" t="n">
        <f aca="false">AVERAGE(B2304:B2353)</f>
        <v>24753.2352</v>
      </c>
      <c r="E2353" s="17" t="n">
        <f aca="false">AVERAGE(B2154:B2353)</f>
        <v>22183.0123</v>
      </c>
      <c r="F2353" s="17" t="n">
        <f aca="false">B2353*2/13+F2352*11/13</f>
        <v>25453.2569578653</v>
      </c>
      <c r="G2353" s="17" t="n">
        <f aca="false">B2353*2/27+G2352*25/27</f>
        <v>25232.2806795052</v>
      </c>
      <c r="H2353" s="17" t="n">
        <f aca="false">F2353-G2353</f>
        <v>220.976278360049</v>
      </c>
      <c r="I2353" s="17" t="n">
        <f aca="false">H2353*2/10+I2352*8/10</f>
        <v>287.357216507246</v>
      </c>
      <c r="J2353" s="17" t="n">
        <f aca="false">H2353-I2353</f>
        <v>-66.380938147197</v>
      </c>
      <c r="K2353" s="17" t="n">
        <f aca="false">MAX(B2353-B2352,0)</f>
        <v>551.93</v>
      </c>
      <c r="L2353" s="17" t="n">
        <f aca="false">MAX(B2352-B2353,0)</f>
        <v>0</v>
      </c>
      <c r="M2353" s="17" t="n">
        <f aca="false">(M2352*13+K2353)/14</f>
        <v>143.39699593863</v>
      </c>
      <c r="N2353" s="17" t="n">
        <f aca="false">(N2352*13+L2353)/14</f>
        <v>112.804503975464</v>
      </c>
      <c r="O2353" s="17" t="n">
        <f aca="false">IF(N2353=0,100,100-100/(1+M2353/N2353))</f>
        <v>55.9703967333179</v>
      </c>
      <c r="P2353" s="17" t="n">
        <f aca="false">AVERAGE(B2334:B2353)+2*STDEV(B2334:B2353)</f>
        <v>26304.5108509715</v>
      </c>
      <c r="Q2353" s="17" t="n">
        <f aca="false">AVERAGE(B2334:B2353)-2*STDEV(B2334:B2353)</f>
        <v>24373.4241490285</v>
      </c>
      <c r="R2353" s="19" t="n">
        <f aca="false">B2353/B2333-1</f>
        <v>0.0348073251785337</v>
      </c>
      <c r="S2353" s="17" t="n">
        <f aca="false">STDEV(C2334:C2353)*SQRT(252)*100</f>
        <v>18.3626013030285</v>
      </c>
      <c r="T2353" s="19" t="n">
        <f aca="false">B2332/B2102-1</f>
        <v>0.147864353221111</v>
      </c>
      <c r="U2353" s="19" t="n">
        <f aca="false">B2353/MAX(B2102:B2353)-1</f>
        <v>-0.0194530213611486</v>
      </c>
      <c r="V2353" s="17" t="n">
        <f aca="false">(B2353-AVERAGE(B2334:B2353))/STDEV(B2334:B2353)</f>
        <v>0.565013470861871</v>
      </c>
    </row>
    <row r="2354" customFormat="false" ht="15" hidden="false" customHeight="false" outlineLevel="0" collapsed="false">
      <c r="A2354" s="17" t="s">
        <v>2918</v>
      </c>
      <c r="B2354" s="17" t="n">
        <v>25533.49</v>
      </c>
      <c r="C2354" s="19" t="n">
        <f aca="false">B2354/B2353-1</f>
        <v>-0.00305523951125541</v>
      </c>
      <c r="D2354" s="17" t="n">
        <f aca="false">AVERAGE(B2305:B2354)</f>
        <v>24799.2828</v>
      </c>
      <c r="E2354" s="17" t="n">
        <f aca="false">AVERAGE(B2155:B2354)</f>
        <v>22205.04335</v>
      </c>
      <c r="F2354" s="17" t="n">
        <f aca="false">B2354*2/13+F2353*11/13</f>
        <v>25465.6005028091</v>
      </c>
      <c r="G2354" s="17" t="n">
        <f aca="false">B2354*2/27+G2353*25/27</f>
        <v>25254.5924810233</v>
      </c>
      <c r="H2354" s="17" t="n">
        <f aca="false">F2354-G2354</f>
        <v>211.008021785721</v>
      </c>
      <c r="I2354" s="17" t="n">
        <f aca="false">H2354*2/10+I2353*8/10</f>
        <v>272.087377562941</v>
      </c>
      <c r="J2354" s="17" t="n">
        <f aca="false">H2354-I2354</f>
        <v>-61.0793557772199</v>
      </c>
      <c r="K2354" s="17" t="n">
        <f aca="false">MAX(B2354-B2353,0)</f>
        <v>0</v>
      </c>
      <c r="L2354" s="17" t="n">
        <f aca="false">MAX(B2353-B2354,0)</f>
        <v>78.25</v>
      </c>
      <c r="M2354" s="17" t="n">
        <f aca="false">(M2353*13+K2354)/14</f>
        <v>133.154353371585</v>
      </c>
      <c r="N2354" s="17" t="n">
        <f aca="false">(N2353*13+L2354)/14</f>
        <v>110.336325120074</v>
      </c>
      <c r="O2354" s="17" t="n">
        <f aca="false">IF(N2354=0,100,100-100/(1+M2354/N2354))</f>
        <v>54.6856061170104</v>
      </c>
      <c r="P2354" s="17" t="n">
        <f aca="false">AVERAGE(B2335:B2354)+2*STDEV(B2335:B2354)</f>
        <v>26286.2143589937</v>
      </c>
      <c r="Q2354" s="17" t="n">
        <f aca="false">AVERAGE(B2335:B2354)-2*STDEV(B2335:B2354)</f>
        <v>24487.1376410063</v>
      </c>
      <c r="R2354" s="19" t="n">
        <f aca="false">B2354/B2334-1</f>
        <v>0.0388200324500434</v>
      </c>
      <c r="S2354" s="17" t="n">
        <f aca="false">STDEV(C2335:C2354)*SQRT(252)*100</f>
        <v>18.1709883571612</v>
      </c>
      <c r="T2354" s="19" t="n">
        <f aca="false">B2333/B2103-1</f>
        <v>0.172043331543322</v>
      </c>
      <c r="U2354" s="19" t="n">
        <f aca="false">B2354/MAX(B2103:B2354)-1</f>
        <v>-0.0224488272329281</v>
      </c>
      <c r="V2354" s="17" t="n">
        <f aca="false">(B2354-AVERAGE(B2335:B2354))/STDEV(B2335:B2354)</f>
        <v>0.326420765789784</v>
      </c>
    </row>
    <row r="2355" customFormat="false" ht="15" hidden="false" customHeight="false" outlineLevel="0" collapsed="false">
      <c r="A2355" s="17" t="s">
        <v>2919</v>
      </c>
      <c r="B2355" s="17" t="n">
        <v>25517.33</v>
      </c>
      <c r="C2355" s="19" t="n">
        <f aca="false">B2355/B2354-1</f>
        <v>-0.000632894289029795</v>
      </c>
      <c r="D2355" s="17" t="n">
        <f aca="false">AVERAGE(B2306:B2355)</f>
        <v>24841.3326</v>
      </c>
      <c r="E2355" s="17" t="n">
        <f aca="false">AVERAGE(B2156:B2355)</f>
        <v>22225.3148</v>
      </c>
      <c r="F2355" s="17" t="n">
        <f aca="false">B2355*2/13+F2354*11/13</f>
        <v>25473.5588869923</v>
      </c>
      <c r="G2355" s="17" t="n">
        <f aca="false">B2355*2/27+G2354*25/27</f>
        <v>25274.0545194661</v>
      </c>
      <c r="H2355" s="17" t="n">
        <f aca="false">F2355-G2355</f>
        <v>199.504367526228</v>
      </c>
      <c r="I2355" s="17" t="n">
        <f aca="false">H2355*2/10+I2354*8/10</f>
        <v>257.570775555598</v>
      </c>
      <c r="J2355" s="17" t="n">
        <f aca="false">H2355-I2355</f>
        <v>-58.0664080293707</v>
      </c>
      <c r="K2355" s="17" t="n">
        <f aca="false">MAX(B2355-B2354,0)</f>
        <v>0</v>
      </c>
      <c r="L2355" s="17" t="n">
        <f aca="false">MAX(B2354-B2355,0)</f>
        <v>16.1599999999999</v>
      </c>
      <c r="M2355" s="17" t="n">
        <f aca="false">(M2354*13+K2355)/14</f>
        <v>123.643328130757</v>
      </c>
      <c r="N2355" s="17" t="n">
        <f aca="false">(N2354*13+L2355)/14</f>
        <v>103.609444754354</v>
      </c>
      <c r="O2355" s="17" t="n">
        <f aca="false">IF(N2355=0,100,100-100/(1+M2355/N2355))</f>
        <v>54.4078413482178</v>
      </c>
      <c r="P2355" s="17" t="n">
        <f aca="false">AVERAGE(B2336:B2355)+2*STDEV(B2336:B2355)</f>
        <v>26273.7457386646</v>
      </c>
      <c r="Q2355" s="17" t="n">
        <f aca="false">AVERAGE(B2336:B2355)-2*STDEV(B2336:B2355)</f>
        <v>24576.8032613354</v>
      </c>
      <c r="R2355" s="19" t="n">
        <f aca="false">B2355/B2335-1</f>
        <v>0.0311965556370972</v>
      </c>
      <c r="S2355" s="17" t="n">
        <f aca="false">STDEV(C2336:C2355)*SQRT(252)*100</f>
        <v>18.1019671568183</v>
      </c>
      <c r="T2355" s="19" t="n">
        <f aca="false">B2334/B2104-1</f>
        <v>0.164532972877191</v>
      </c>
      <c r="U2355" s="19" t="n">
        <f aca="false">B2355/MAX(B2104:B2355)-1</f>
        <v>-0.0230675137874068</v>
      </c>
      <c r="V2355" s="17" t="n">
        <f aca="false">(B2355-AVERAGE(B2336:B2355))/STDEV(B2336:B2355)</f>
        <v>0.216991444860021</v>
      </c>
    </row>
    <row r="2356" customFormat="false" ht="15" hidden="false" customHeight="false" outlineLevel="0" collapsed="false">
      <c r="A2356" s="17" t="s">
        <v>2920</v>
      </c>
      <c r="B2356" s="17" t="n">
        <v>24993.46</v>
      </c>
      <c r="C2356" s="19" t="n">
        <f aca="false">B2356/B2355-1</f>
        <v>-0.0205299692405123</v>
      </c>
      <c r="D2356" s="17" t="n">
        <f aca="false">AVERAGE(B2307:B2356)</f>
        <v>24868.5416</v>
      </c>
      <c r="E2356" s="17" t="n">
        <f aca="false">AVERAGE(B2157:B2356)</f>
        <v>22243.2248</v>
      </c>
      <c r="F2356" s="17" t="n">
        <f aca="false">B2356*2/13+F2355*11/13</f>
        <v>25399.6975197627</v>
      </c>
      <c r="G2356" s="17" t="n">
        <f aca="false">B2356*2/27+G2355*25/27</f>
        <v>25253.2697402464</v>
      </c>
      <c r="H2356" s="17" t="n">
        <f aca="false">F2356-G2356</f>
        <v>146.427779516351</v>
      </c>
      <c r="I2356" s="17" t="n">
        <f aca="false">H2356*2/10+I2355*8/10</f>
        <v>235.342176347749</v>
      </c>
      <c r="J2356" s="17" t="n">
        <f aca="false">H2356-I2356</f>
        <v>-88.9143968313981</v>
      </c>
      <c r="K2356" s="17" t="n">
        <f aca="false">MAX(B2356-B2355,0)</f>
        <v>0</v>
      </c>
      <c r="L2356" s="17" t="n">
        <f aca="false">MAX(B2355-B2356,0)</f>
        <v>523.870000000003</v>
      </c>
      <c r="M2356" s="17" t="n">
        <f aca="false">(M2355*13+K2356)/14</f>
        <v>114.811661835703</v>
      </c>
      <c r="N2356" s="17" t="n">
        <f aca="false">(N2355*13+L2356)/14</f>
        <v>133.628055843329</v>
      </c>
      <c r="O2356" s="17" t="n">
        <f aca="false">IF(N2356=0,100,100-100/(1+M2356/N2356))</f>
        <v>46.2130865822477</v>
      </c>
      <c r="P2356" s="17" t="n">
        <f aca="false">AVERAGE(B2337:B2356)+2*STDEV(B2337:B2356)</f>
        <v>26238.1912756083</v>
      </c>
      <c r="Q2356" s="17" t="n">
        <f aca="false">AVERAGE(B2337:B2356)-2*STDEV(B2337:B2356)</f>
        <v>24645.9797243917</v>
      </c>
      <c r="R2356" s="19" t="n">
        <f aca="false">B2356/B2336-1</f>
        <v>0.0136357516088579</v>
      </c>
      <c r="S2356" s="17" t="n">
        <f aca="false">STDEV(C2337:C2356)*SQRT(252)*100</f>
        <v>19.6771131294364</v>
      </c>
      <c r="T2356" s="19" t="n">
        <f aca="false">B2335/B2105-1</f>
        <v>0.174391657835326</v>
      </c>
      <c r="U2356" s="19" t="n">
        <f aca="false">B2356/MAX(B2105:B2356)-1</f>
        <v>-0.0431239076794085</v>
      </c>
      <c r="V2356" s="17" t="n">
        <f aca="false">(B2356-AVERAGE(B2337:B2356))/STDEV(B2337:B2356)</f>
        <v>-1.12704998191284</v>
      </c>
    </row>
    <row r="2357" customFormat="false" ht="15" hidden="false" customHeight="false" outlineLevel="0" collapsed="false">
      <c r="A2357" s="17" t="s">
        <v>2921</v>
      </c>
      <c r="B2357" s="17" t="n">
        <v>25008.24</v>
      </c>
      <c r="C2357" s="19" t="n">
        <f aca="false">B2357/B2356-1</f>
        <v>0.000591354698389113</v>
      </c>
      <c r="D2357" s="17" t="n">
        <f aca="false">AVERAGE(B2308:B2357)</f>
        <v>24895.6576</v>
      </c>
      <c r="E2357" s="17" t="n">
        <f aca="false">AVERAGE(B2158:B2357)</f>
        <v>22260.7254</v>
      </c>
      <c r="F2357" s="17" t="n">
        <f aca="false">B2357*2/13+F2356*11/13</f>
        <v>25339.4732859531</v>
      </c>
      <c r="G2357" s="17" t="n">
        <f aca="false">B2357*2/27+G2356*25/27</f>
        <v>25235.119389117</v>
      </c>
      <c r="H2357" s="17" t="n">
        <f aca="false">F2357-G2357</f>
        <v>104.353896836063</v>
      </c>
      <c r="I2357" s="17" t="n">
        <f aca="false">H2357*2/10+I2356*8/10</f>
        <v>209.144520445412</v>
      </c>
      <c r="J2357" s="17" t="n">
        <f aca="false">H2357-I2357</f>
        <v>-104.790623609349</v>
      </c>
      <c r="K2357" s="17" t="n">
        <f aca="false">MAX(B2357-B2356,0)</f>
        <v>14.7800000000025</v>
      </c>
      <c r="L2357" s="17" t="n">
        <f aca="false">MAX(B2356-B2357,0)</f>
        <v>0</v>
      </c>
      <c r="M2357" s="17" t="n">
        <f aca="false">(M2356*13+K2357)/14</f>
        <v>107.666543133153</v>
      </c>
      <c r="N2357" s="17" t="n">
        <f aca="false">(N2356*13+L2357)/14</f>
        <v>124.083194711663</v>
      </c>
      <c r="O2357" s="17" t="n">
        <f aca="false">IF(N2357=0,100,100-100/(1+M2357/N2357))</f>
        <v>46.4581078427146</v>
      </c>
      <c r="P2357" s="17" t="n">
        <f aca="false">AVERAGE(B2338:B2357)+2*STDEV(B2338:B2357)</f>
        <v>26220.3778694443</v>
      </c>
      <c r="Q2357" s="17" t="n">
        <f aca="false">AVERAGE(B2338:B2357)-2*STDEV(B2338:B2357)</f>
        <v>24682.8221305557</v>
      </c>
      <c r="R2357" s="19" t="n">
        <f aca="false">B2357/B2337-1</f>
        <v>0.00766743425625416</v>
      </c>
      <c r="S2357" s="17" t="n">
        <f aca="false">STDEV(C2338:C2357)*SQRT(252)*100</f>
        <v>19.5588299752332</v>
      </c>
      <c r="T2357" s="19" t="n">
        <f aca="false">B2336/B2106-1</f>
        <v>0.172135979190118</v>
      </c>
      <c r="U2357" s="19" t="n">
        <f aca="false">B2357/MAX(B2106:B2357)-1</f>
        <v>-0.0425580545064385</v>
      </c>
      <c r="V2357" s="17" t="n">
        <f aca="false">(B2357-AVERAGE(B2338:B2357))/STDEV(B2338:B2357)</f>
        <v>-1.15341509588577</v>
      </c>
    </row>
    <row r="2358" customFormat="false" ht="15" hidden="false" customHeight="false" outlineLevel="0" collapsed="false">
      <c r="A2358" s="17" t="s">
        <v>2922</v>
      </c>
      <c r="B2358" s="17" t="n">
        <v>24799.92</v>
      </c>
      <c r="C2358" s="19" t="n">
        <f aca="false">B2358/B2357-1</f>
        <v>-0.0083300544140652</v>
      </c>
      <c r="D2358" s="17" t="n">
        <f aca="false">AVERAGE(B2309:B2358)</f>
        <v>24916.41</v>
      </c>
      <c r="E2358" s="17" t="n">
        <f aca="false">AVERAGE(B2159:B2358)</f>
        <v>22277.33475</v>
      </c>
      <c r="F2358" s="17" t="n">
        <f aca="false">B2358*2/13+F2357*11/13</f>
        <v>25256.4650881141</v>
      </c>
      <c r="G2358" s="17" t="n">
        <f aca="false">B2358*2/27+G2357*25/27</f>
        <v>25202.8823973306</v>
      </c>
      <c r="H2358" s="17" t="n">
        <f aca="false">F2358-G2358</f>
        <v>53.5826907835763</v>
      </c>
      <c r="I2358" s="17" t="n">
        <f aca="false">H2358*2/10+I2357*8/10</f>
        <v>178.032154513045</v>
      </c>
      <c r="J2358" s="17" t="n">
        <f aca="false">H2358-I2358</f>
        <v>-124.449463729468</v>
      </c>
      <c r="K2358" s="17" t="n">
        <f aca="false">MAX(B2358-B2357,0)</f>
        <v>0</v>
      </c>
      <c r="L2358" s="17" t="n">
        <f aca="false">MAX(B2357-B2358,0)</f>
        <v>208.320000000003</v>
      </c>
      <c r="M2358" s="17" t="n">
        <f aca="false">(M2357*13+K2358)/14</f>
        <v>99.9760757664992</v>
      </c>
      <c r="N2358" s="17" t="n">
        <f aca="false">(N2357*13+L2358)/14</f>
        <v>130.100109375116</v>
      </c>
      <c r="O2358" s="17" t="n">
        <f aca="false">IF(N2358=0,100,100-100/(1+M2358/N2358))</f>
        <v>43.4534655140264</v>
      </c>
      <c r="P2358" s="17" t="n">
        <f aca="false">AVERAGE(B2339:B2358)+2*STDEV(B2339:B2358)</f>
        <v>26246.2685250217</v>
      </c>
      <c r="Q2358" s="17" t="n">
        <f aca="false">AVERAGE(B2339:B2358)-2*STDEV(B2339:B2358)</f>
        <v>24622.8214749783</v>
      </c>
      <c r="R2358" s="19" t="n">
        <f aca="false">B2358/B2338-1</f>
        <v>-0.0135674686229915</v>
      </c>
      <c r="S2358" s="17" t="n">
        <f aca="false">STDEV(C2339:C2358)*SQRT(252)*100</f>
        <v>19.2048375087405</v>
      </c>
      <c r="T2358" s="19" t="n">
        <f aca="false">B2337/B2107-1</f>
        <v>0.187650951084551</v>
      </c>
      <c r="U2358" s="19" t="n">
        <f aca="false">B2358/MAX(B2107:B2358)-1</f>
        <v>-0.0505335980107083</v>
      </c>
      <c r="V2358" s="17" t="n">
        <f aca="false">(B2358-AVERAGE(B2339:B2358))/STDEV(B2339:B2358)</f>
        <v>-1.56364816452258</v>
      </c>
    </row>
    <row r="2359" customFormat="false" ht="15" hidden="false" customHeight="false" outlineLevel="0" collapsed="false">
      <c r="A2359" s="17" t="s">
        <v>2923</v>
      </c>
      <c r="B2359" s="17" t="n">
        <v>24503.1</v>
      </c>
      <c r="C2359" s="19" t="n">
        <f aca="false">B2359/B2358-1</f>
        <v>-0.0119685869954419</v>
      </c>
      <c r="D2359" s="17" t="n">
        <f aca="false">AVERAGE(B2310:B2359)</f>
        <v>24929.676</v>
      </c>
      <c r="E2359" s="17" t="n">
        <f aca="false">AVERAGE(B2160:B2359)</f>
        <v>22293.36235</v>
      </c>
      <c r="F2359" s="17" t="n">
        <f aca="false">B2359*2/13+F2358*11/13</f>
        <v>25140.5627668658</v>
      </c>
      <c r="G2359" s="17" t="n">
        <f aca="false">B2359*2/27+G2358*25/27</f>
        <v>25151.046664195</v>
      </c>
      <c r="H2359" s="17" t="n">
        <f aca="false">F2359-G2359</f>
        <v>-10.4838973291553</v>
      </c>
      <c r="I2359" s="17" t="n">
        <f aca="false">H2359*2/10+I2358*8/10</f>
        <v>140.328944144605</v>
      </c>
      <c r="J2359" s="17" t="n">
        <f aca="false">H2359-I2359</f>
        <v>-150.81284147376</v>
      </c>
      <c r="K2359" s="17" t="n">
        <f aca="false">MAX(B2359-B2358,0)</f>
        <v>0</v>
      </c>
      <c r="L2359" s="17" t="n">
        <f aca="false">MAX(B2358-B2359,0)</f>
        <v>296.82</v>
      </c>
      <c r="M2359" s="17" t="n">
        <f aca="false">(M2358*13+K2359)/14</f>
        <v>92.8349274974636</v>
      </c>
      <c r="N2359" s="17" t="n">
        <f aca="false">(N2358*13+L2359)/14</f>
        <v>142.008672991179</v>
      </c>
      <c r="O2359" s="17" t="n">
        <f aca="false">IF(N2359=0,100,100-100/(1+M2359/N2359))</f>
        <v>39.5305332162769</v>
      </c>
      <c r="P2359" s="17" t="n">
        <f aca="false">AVERAGE(B2340:B2359)+2*STDEV(B2340:B2359)</f>
        <v>26307.5287126121</v>
      </c>
      <c r="Q2359" s="17" t="n">
        <f aca="false">AVERAGE(B2340:B2359)-2*STDEV(B2340:B2359)</f>
        <v>24499.1582873879</v>
      </c>
      <c r="R2359" s="19" t="n">
        <f aca="false">B2359/B2339-1</f>
        <v>-0.0248349095181185</v>
      </c>
      <c r="S2359" s="17" t="n">
        <f aca="false">STDEV(C2340:C2359)*SQRT(252)*100</f>
        <v>19.6230315199197</v>
      </c>
      <c r="T2359" s="19" t="n">
        <f aca="false">B2338/B2108-1</f>
        <v>0.232757661150537</v>
      </c>
      <c r="U2359" s="19" t="n">
        <f aca="false">B2359/MAX(B2108:B2359)-1</f>
        <v>-0.0618973692421664</v>
      </c>
      <c r="V2359" s="17" t="n">
        <f aca="false">(B2359-AVERAGE(B2340:B2359))/STDEV(B2340:B2359)</f>
        <v>-1.99128118319769</v>
      </c>
    </row>
    <row r="2360" customFormat="false" ht="15" hidden="false" customHeight="false" outlineLevel="0" collapsed="false">
      <c r="A2360" s="17" t="s">
        <v>2924</v>
      </c>
      <c r="B2360" s="17" t="n">
        <v>24640.52</v>
      </c>
      <c r="C2360" s="19" t="n">
        <f aca="false">B2360/B2359-1</f>
        <v>0.00560826997400343</v>
      </c>
      <c r="D2360" s="17" t="n">
        <f aca="false">AVERAGE(B2311:B2360)</f>
        <v>24945.501</v>
      </c>
      <c r="E2360" s="17" t="n">
        <f aca="false">AVERAGE(B2161:B2360)</f>
        <v>22308.73035</v>
      </c>
      <c r="F2360" s="17" t="n">
        <f aca="false">B2360*2/13+F2359*11/13</f>
        <v>25063.6331104249</v>
      </c>
      <c r="G2360" s="17" t="n">
        <f aca="false">B2360*2/27+G2359*25/27</f>
        <v>25113.2298742546</v>
      </c>
      <c r="H2360" s="17" t="n">
        <f aca="false">F2360-G2360</f>
        <v>-49.5967638296825</v>
      </c>
      <c r="I2360" s="17" t="n">
        <f aca="false">H2360*2/10+I2359*8/10</f>
        <v>102.343802549747</v>
      </c>
      <c r="J2360" s="17" t="n">
        <f aca="false">H2360-I2360</f>
        <v>-151.94056637943</v>
      </c>
      <c r="K2360" s="17" t="n">
        <f aca="false">MAX(B2360-B2359,0)</f>
        <v>137.420000000002</v>
      </c>
      <c r="L2360" s="17" t="n">
        <f aca="false">MAX(B2359-B2360,0)</f>
        <v>0</v>
      </c>
      <c r="M2360" s="17" t="n">
        <f aca="false">(M2359*13+K2360)/14</f>
        <v>96.0195755333592</v>
      </c>
      <c r="N2360" s="17" t="n">
        <f aca="false">(N2359*13+L2360)/14</f>
        <v>131.865196348952</v>
      </c>
      <c r="O2360" s="17" t="n">
        <f aca="false">IF(N2360=0,100,100-100/(1+M2360/N2360))</f>
        <v>42.1351434500185</v>
      </c>
      <c r="P2360" s="17" t="n">
        <f aca="false">AVERAGE(B2341:B2360)+2*STDEV(B2341:B2360)</f>
        <v>26330.3430166309</v>
      </c>
      <c r="Q2360" s="17" t="n">
        <f aca="false">AVERAGE(B2341:B2360)-2*STDEV(B2341:B2360)</f>
        <v>24452.4949833691</v>
      </c>
      <c r="R2360" s="19" t="n">
        <f aca="false">B2360/B2340-1</f>
        <v>-0.00958599236866731</v>
      </c>
      <c r="S2360" s="17" t="n">
        <f aca="false">STDEV(C2341:C2360)*SQRT(252)*100</f>
        <v>19.4826894810114</v>
      </c>
      <c r="T2360" s="19" t="n">
        <f aca="false">B2339/B2109-1</f>
        <v>0.223374923743342</v>
      </c>
      <c r="U2360" s="19" t="n">
        <f aca="false">B2360/MAX(B2109:B2360)-1</f>
        <v>-0.0566362364255537</v>
      </c>
      <c r="V2360" s="17" t="n">
        <f aca="false">(B2360-AVERAGE(B2341:B2360))/STDEV(B2341:B2360)</f>
        <v>-1.59948832216352</v>
      </c>
    </row>
    <row r="2361" customFormat="false" ht="15" hidden="false" customHeight="false" outlineLevel="0" collapsed="false">
      <c r="A2361" s="17" t="s">
        <v>2925</v>
      </c>
      <c r="B2361" s="17" t="n">
        <v>24054.38</v>
      </c>
      <c r="C2361" s="19" t="n">
        <f aca="false">B2361/B2360-1</f>
        <v>-0.0237876473386114</v>
      </c>
      <c r="D2361" s="17" t="n">
        <f aca="false">AVERAGE(B2312:B2361)</f>
        <v>24946.7374</v>
      </c>
      <c r="E2361" s="17" t="n">
        <f aca="false">AVERAGE(B2162:B2361)</f>
        <v>22320.71145</v>
      </c>
      <c r="F2361" s="17" t="n">
        <f aca="false">B2361*2/13+F2360*11/13</f>
        <v>24908.3634011288</v>
      </c>
      <c r="G2361" s="17" t="n">
        <f aca="false">B2361*2/27+G2360*25/27</f>
        <v>25034.7965502357</v>
      </c>
      <c r="H2361" s="17" t="n">
        <f aca="false">F2361-G2361</f>
        <v>-126.433149106964</v>
      </c>
      <c r="I2361" s="17" t="n">
        <f aca="false">H2361*2/10+I2360*8/10</f>
        <v>56.5884122184049</v>
      </c>
      <c r="J2361" s="17" t="n">
        <f aca="false">H2361-I2361</f>
        <v>-183.021561325369</v>
      </c>
      <c r="K2361" s="17" t="n">
        <f aca="false">MAX(B2361-B2360,0)</f>
        <v>0</v>
      </c>
      <c r="L2361" s="17" t="n">
        <f aca="false">MAX(B2360-B2361,0)</f>
        <v>586.139999999999</v>
      </c>
      <c r="M2361" s="17" t="n">
        <f aca="false">(M2360*13+K2361)/14</f>
        <v>89.1610344238335</v>
      </c>
      <c r="N2361" s="17" t="n">
        <f aca="false">(N2360*13+L2361)/14</f>
        <v>164.313396609741</v>
      </c>
      <c r="O2361" s="17" t="n">
        <f aca="false">IF(N2361=0,100,100-100/(1+M2361/N2361))</f>
        <v>35.1755536289274</v>
      </c>
      <c r="P2361" s="17" t="n">
        <f aca="false">AVERAGE(B2342:B2361)+2*STDEV(B2342:B2361)</f>
        <v>26447.5457649037</v>
      </c>
      <c r="Q2361" s="17" t="n">
        <f aca="false">AVERAGE(B2342:B2361)-2*STDEV(B2342:B2361)</f>
        <v>24230.9892350963</v>
      </c>
      <c r="R2361" s="19" t="n">
        <f aca="false">B2361/B2341-1</f>
        <v>-0.0415592684663477</v>
      </c>
      <c r="S2361" s="17" t="n">
        <f aca="false">STDEV(C2342:C2361)*SQRT(252)*100</f>
        <v>20.8286102646607</v>
      </c>
      <c r="T2361" s="19" t="n">
        <f aca="false">B2340/B2110-1</f>
        <v>0.202779943909935</v>
      </c>
      <c r="U2361" s="19" t="n">
        <f aca="false">B2361/MAX(B2110:B2361)-1</f>
        <v>-0.0790766409454877</v>
      </c>
      <c r="V2361" s="17" t="n">
        <f aca="false">(B2361-AVERAGE(B2342:B2361))/STDEV(B2342:B2361)</f>
        <v>-2.31870919188634</v>
      </c>
    </row>
    <row r="2362" customFormat="false" ht="15" hidden="false" customHeight="false" outlineLevel="0" collapsed="false">
      <c r="A2362" s="17" t="s">
        <v>2926</v>
      </c>
      <c r="B2362" s="17" t="n">
        <v>24239.57</v>
      </c>
      <c r="C2362" s="19" t="n">
        <f aca="false">B2362/B2361-1</f>
        <v>0.00769880578921578</v>
      </c>
      <c r="D2362" s="17" t="n">
        <f aca="false">AVERAGE(B2313:B2362)</f>
        <v>24949.685</v>
      </c>
      <c r="E2362" s="17" t="n">
        <f aca="false">AVERAGE(B2163:B2362)</f>
        <v>22333.03895</v>
      </c>
      <c r="F2362" s="17" t="n">
        <f aca="false">B2362*2/13+F2361*11/13</f>
        <v>24805.4721086474</v>
      </c>
      <c r="G2362" s="17" t="n">
        <f aca="false">B2362*2/27+G2361*25/27</f>
        <v>24975.8908798479</v>
      </c>
      <c r="H2362" s="17" t="n">
        <f aca="false">F2362-G2362</f>
        <v>-170.418771200479</v>
      </c>
      <c r="I2362" s="17" t="n">
        <f aca="false">H2362*2/10+I2361*8/10</f>
        <v>11.1869755346282</v>
      </c>
      <c r="J2362" s="17" t="n">
        <f aca="false">H2362-I2362</f>
        <v>-181.605746735107</v>
      </c>
      <c r="K2362" s="17" t="n">
        <f aca="false">MAX(B2362-B2361,0)</f>
        <v>185.189999999999</v>
      </c>
      <c r="L2362" s="17" t="n">
        <f aca="false">MAX(B2361-B2362,0)</f>
        <v>0</v>
      </c>
      <c r="M2362" s="17" t="n">
        <f aca="false">(M2361*13+K2362)/14</f>
        <v>96.0202462507025</v>
      </c>
      <c r="N2362" s="17" t="n">
        <f aca="false">(N2361*13+L2362)/14</f>
        <v>152.576725423331</v>
      </c>
      <c r="O2362" s="17" t="n">
        <f aca="false">IF(N2362=0,100,100-100/(1+M2362/N2362))</f>
        <v>38.6248656225011</v>
      </c>
      <c r="P2362" s="17" t="n">
        <f aca="false">AVERAGE(B2343:B2362)+2*STDEV(B2343:B2362)</f>
        <v>26495.6215233532</v>
      </c>
      <c r="Q2362" s="17" t="n">
        <f aca="false">AVERAGE(B2343:B2362)-2*STDEV(B2343:B2362)</f>
        <v>24071.0544766468</v>
      </c>
      <c r="R2362" s="19" t="n">
        <f aca="false">B2362/B2342-1</f>
        <v>-0.0441116390148181</v>
      </c>
      <c r="S2362" s="17" t="n">
        <f aca="false">STDEV(C2343:C2362)*SQRT(252)*100</f>
        <v>20.636692071784</v>
      </c>
      <c r="T2362" s="19" t="n">
        <f aca="false">B2341/B2111-1</f>
        <v>0.214365343952466</v>
      </c>
      <c r="U2362" s="19" t="n">
        <f aca="false">B2362/MAX(B2111:B2362)-1</f>
        <v>-0.0719866308573747</v>
      </c>
      <c r="V2362" s="17" t="n">
        <f aca="false">(B2362-AVERAGE(B2343:B2362))/STDEV(B2343:B2362)</f>
        <v>-1.72198661434069</v>
      </c>
    </row>
    <row r="2363" customFormat="false" ht="15" hidden="false" customHeight="false" outlineLevel="0" collapsed="false">
      <c r="A2363" s="17" t="s">
        <v>2927</v>
      </c>
      <c r="B2363" s="17" t="n">
        <v>24873.85</v>
      </c>
      <c r="C2363" s="19" t="n">
        <f aca="false">B2363/B2362-1</f>
        <v>0.0261671308525686</v>
      </c>
      <c r="D2363" s="17" t="n">
        <f aca="false">AVERAGE(B2314:B2363)</f>
        <v>24961.2864</v>
      </c>
      <c r="E2363" s="17" t="n">
        <f aca="false">AVERAGE(B2164:B2363)</f>
        <v>22349.95165</v>
      </c>
      <c r="F2363" s="17" t="n">
        <f aca="false">B2363*2/13+F2362*11/13</f>
        <v>24815.9917842401</v>
      </c>
      <c r="G2363" s="17" t="n">
        <f aca="false">B2363*2/27+G2362*25/27</f>
        <v>24968.3322961555</v>
      </c>
      <c r="H2363" s="17" t="n">
        <f aca="false">F2363-G2363</f>
        <v>-152.340511915336</v>
      </c>
      <c r="I2363" s="17" t="n">
        <f aca="false">H2363*2/10+I2362*8/10</f>
        <v>-21.5185219553646</v>
      </c>
      <c r="J2363" s="17" t="n">
        <f aca="false">H2363-I2363</f>
        <v>-130.821989959971</v>
      </c>
      <c r="K2363" s="17" t="n">
        <f aca="false">MAX(B2363-B2362,0)</f>
        <v>634.279999999999</v>
      </c>
      <c r="L2363" s="17" t="n">
        <f aca="false">MAX(B2362-B2363,0)</f>
        <v>0</v>
      </c>
      <c r="M2363" s="17" t="n">
        <f aca="false">(M2362*13+K2363)/14</f>
        <v>134.467371518509</v>
      </c>
      <c r="N2363" s="17" t="n">
        <f aca="false">(N2362*13+L2363)/14</f>
        <v>141.678387893093</v>
      </c>
      <c r="O2363" s="17" t="n">
        <f aca="false">IF(N2363=0,100,100-100/(1+M2363/N2363))</f>
        <v>48.6943459877949</v>
      </c>
      <c r="P2363" s="17" t="n">
        <f aca="false">AVERAGE(B2344:B2363)+2*STDEV(B2344:B2363)</f>
        <v>26433.6569762918</v>
      </c>
      <c r="Q2363" s="17" t="n">
        <f aca="false">AVERAGE(B2344:B2363)-2*STDEV(B2344:B2363)</f>
        <v>24038.2490237082</v>
      </c>
      <c r="R2363" s="19" t="n">
        <f aca="false">B2363/B2343-1</f>
        <v>-0.0367019020934065</v>
      </c>
      <c r="S2363" s="17" t="n">
        <f aca="false">STDEV(C2344:C2363)*SQRT(252)*100</f>
        <v>21.8296677917624</v>
      </c>
      <c r="T2363" s="19" t="n">
        <f aca="false">B2342/B2112-1</f>
        <v>0.222623257177406</v>
      </c>
      <c r="U2363" s="19" t="n">
        <f aca="false">B2363/MAX(B2112:B2363)-1</f>
        <v>-0.0477031835940865</v>
      </c>
      <c r="V2363" s="17" t="n">
        <f aca="false">(B2363-AVERAGE(B2344:B2363))/STDEV(B2344:B2363)</f>
        <v>-0.604661931775658</v>
      </c>
    </row>
    <row r="2364" customFormat="false" ht="15" hidden="false" customHeight="false" outlineLevel="0" collapsed="false">
      <c r="A2364" s="17" t="s">
        <v>2928</v>
      </c>
      <c r="B2364" s="17" t="n">
        <v>25018.36</v>
      </c>
      <c r="C2364" s="19" t="n">
        <f aca="false">B2364/B2363-1</f>
        <v>0.00580971582605838</v>
      </c>
      <c r="D2364" s="17" t="n">
        <f aca="false">AVERAGE(B2315:B2364)</f>
        <v>24976.1686</v>
      </c>
      <c r="E2364" s="17" t="n">
        <f aca="false">AVERAGE(B2165:B2364)</f>
        <v>22366.2598</v>
      </c>
      <c r="F2364" s="17" t="n">
        <f aca="false">B2364*2/13+F2363*11/13</f>
        <v>24847.1253558955</v>
      </c>
      <c r="G2364" s="17" t="n">
        <f aca="false">B2364*2/27+G2363*25/27</f>
        <v>24972.0380519958</v>
      </c>
      <c r="H2364" s="17" t="n">
        <f aca="false">F2364-G2364</f>
        <v>-124.912696100306</v>
      </c>
      <c r="I2364" s="17" t="n">
        <f aca="false">H2364*2/10+I2363*8/10</f>
        <v>-42.1973567843529</v>
      </c>
      <c r="J2364" s="17" t="n">
        <f aca="false">H2364-I2364</f>
        <v>-82.7153393159529</v>
      </c>
      <c r="K2364" s="17" t="n">
        <f aca="false">MAX(B2364-B2363,0)</f>
        <v>144.510000000002</v>
      </c>
      <c r="L2364" s="17" t="n">
        <f aca="false">MAX(B2363-B2364,0)</f>
        <v>0</v>
      </c>
      <c r="M2364" s="17" t="n">
        <f aca="false">(M2363*13+K2364)/14</f>
        <v>135.18470212433</v>
      </c>
      <c r="N2364" s="17" t="n">
        <f aca="false">(N2363*13+L2364)/14</f>
        <v>131.558503043586</v>
      </c>
      <c r="O2364" s="17" t="n">
        <f aca="false">IF(N2364=0,100,100-100/(1+M2364/N2364))</f>
        <v>50.6797172356202</v>
      </c>
      <c r="P2364" s="17" t="n">
        <f aca="false">AVERAGE(B2345:B2364)+2*STDEV(B2345:B2364)</f>
        <v>26329.604345533</v>
      </c>
      <c r="Q2364" s="17" t="n">
        <f aca="false">AVERAGE(B2345:B2364)-2*STDEV(B2345:B2364)</f>
        <v>24042.922654467</v>
      </c>
      <c r="R2364" s="19" t="n">
        <f aca="false">B2364/B2344-1</f>
        <v>-0.0382048388925944</v>
      </c>
      <c r="S2364" s="17" t="n">
        <f aca="false">STDEV(C2345:C2364)*SQRT(252)*100</f>
        <v>21.7491822643022</v>
      </c>
      <c r="T2364" s="19" t="n">
        <f aca="false">B2343/B2113-1</f>
        <v>0.242840977405429</v>
      </c>
      <c r="U2364" s="19" t="n">
        <f aca="false">B2364/MAX(B2113:B2364)-1</f>
        <v>-0.042170609708708</v>
      </c>
      <c r="V2364" s="17" t="n">
        <f aca="false">(B2364-AVERAGE(B2345:B2364))/STDEV(B2345:B2364)</f>
        <v>-0.293706816573533</v>
      </c>
    </row>
    <row r="2365" customFormat="false" ht="15" hidden="false" customHeight="false" outlineLevel="0" collapsed="false">
      <c r="A2365" s="17" t="s">
        <v>2929</v>
      </c>
      <c r="B2365" s="17" t="n">
        <v>25236.94</v>
      </c>
      <c r="C2365" s="19" t="n">
        <f aca="false">B2365/B2364-1</f>
        <v>0.00873678370604614</v>
      </c>
      <c r="D2365" s="17" t="n">
        <f aca="false">AVERAGE(B2316:B2365)</f>
        <v>24996.4336</v>
      </c>
      <c r="E2365" s="17" t="n">
        <f aca="false">AVERAGE(B2166:B2365)</f>
        <v>22383.9769</v>
      </c>
      <c r="F2365" s="17" t="n">
        <f aca="false">B2365*2/13+F2364*11/13</f>
        <v>24907.0968396039</v>
      </c>
      <c r="G2365" s="17" t="n">
        <f aca="false">B2365*2/27+G2364*25/27</f>
        <v>24991.6604185146</v>
      </c>
      <c r="H2365" s="17" t="n">
        <f aca="false">F2365-G2365</f>
        <v>-84.563578910751</v>
      </c>
      <c r="I2365" s="17" t="n">
        <f aca="false">H2365*2/10+I2364*8/10</f>
        <v>-50.6706012096325</v>
      </c>
      <c r="J2365" s="17" t="n">
        <f aca="false">H2365-I2365</f>
        <v>-33.8929777011185</v>
      </c>
      <c r="K2365" s="17" t="n">
        <f aca="false">MAX(B2365-B2364,0)</f>
        <v>218.579999999998</v>
      </c>
      <c r="L2365" s="17" t="n">
        <f aca="false">MAX(B2364-B2365,0)</f>
        <v>0</v>
      </c>
      <c r="M2365" s="17" t="n">
        <f aca="false">(M2364*13+K2365)/14</f>
        <v>141.141509115449</v>
      </c>
      <c r="N2365" s="17" t="n">
        <f aca="false">(N2364*13+L2365)/14</f>
        <v>122.161467111902</v>
      </c>
      <c r="O2365" s="17" t="n">
        <f aca="false">IF(N2365=0,100,100-100/(1+M2365/N2365))</f>
        <v>53.6042209388395</v>
      </c>
      <c r="P2365" s="17" t="n">
        <f aca="false">AVERAGE(B2346:B2365)+2*STDEV(B2346:B2365)</f>
        <v>26198.561111211</v>
      </c>
      <c r="Q2365" s="17" t="n">
        <f aca="false">AVERAGE(B2346:B2365)-2*STDEV(B2346:B2365)</f>
        <v>24085.674888789</v>
      </c>
      <c r="R2365" s="19" t="n">
        <f aca="false">B2365/B2345-1</f>
        <v>-0.0338022614984389</v>
      </c>
      <c r="S2365" s="17" t="n">
        <f aca="false">STDEV(C2346:C2365)*SQRT(252)*100</f>
        <v>21.9772778425562</v>
      </c>
      <c r="T2365" s="19" t="n">
        <f aca="false">B2344/B2114-1</f>
        <v>0.250290196199067</v>
      </c>
      <c r="U2365" s="19" t="n">
        <f aca="false">B2365/MAX(B2114:B2365)-1</f>
        <v>-0.0338022614984389</v>
      </c>
      <c r="V2365" s="17" t="n">
        <f aca="false">(B2365-AVERAGE(B2346:B2365))/STDEV(B2346:B2365)</f>
        <v>0.179511795748854</v>
      </c>
    </row>
    <row r="2366" customFormat="false" ht="15" hidden="false" customHeight="false" outlineLevel="0" collapsed="false">
      <c r="A2366" s="17" t="s">
        <v>2930</v>
      </c>
      <c r="B2366" s="17" t="n">
        <v>25434.89</v>
      </c>
      <c r="C2366" s="19" t="n">
        <f aca="false">B2366/B2365-1</f>
        <v>0.00784366091927158</v>
      </c>
      <c r="D2366" s="17" t="n">
        <f aca="false">AVERAGE(B2317:B2366)</f>
        <v>25016.0336</v>
      </c>
      <c r="E2366" s="17" t="n">
        <f aca="false">AVERAGE(B2167:B2366)</f>
        <v>22402.55505</v>
      </c>
      <c r="F2366" s="17" t="n">
        <f aca="false">B2366*2/13+F2365*11/13</f>
        <v>24988.2957873571</v>
      </c>
      <c r="G2366" s="17" t="n">
        <f aca="false">B2366*2/27+G2365*25/27</f>
        <v>25024.4922393654</v>
      </c>
      <c r="H2366" s="17" t="n">
        <f aca="false">F2366-G2366</f>
        <v>-36.1964520082693</v>
      </c>
      <c r="I2366" s="17" t="n">
        <f aca="false">H2366*2/10+I2365*8/10</f>
        <v>-47.7757713693598</v>
      </c>
      <c r="J2366" s="17" t="n">
        <f aca="false">H2366-I2366</f>
        <v>11.5793193610906</v>
      </c>
      <c r="K2366" s="17" t="n">
        <f aca="false">MAX(B2366-B2365,0)</f>
        <v>197.950000000001</v>
      </c>
      <c r="L2366" s="17" t="n">
        <f aca="false">MAX(B2365-B2366,0)</f>
        <v>0</v>
      </c>
      <c r="M2366" s="17" t="n">
        <f aca="false">(M2365*13+K2366)/14</f>
        <v>145.199258464346</v>
      </c>
      <c r="N2366" s="17" t="n">
        <f aca="false">(N2365*13+L2366)/14</f>
        <v>113.43564803248</v>
      </c>
      <c r="O2366" s="17" t="n">
        <f aca="false">IF(N2366=0,100,100-100/(1+M2366/N2366))</f>
        <v>56.1406271222434</v>
      </c>
      <c r="P2366" s="17" t="n">
        <f aca="false">AVERAGE(B2347:B2366)+2*STDEV(B2347:B2366)</f>
        <v>26156.3042263198</v>
      </c>
      <c r="Q2366" s="17" t="n">
        <f aca="false">AVERAGE(B2347:B2366)-2*STDEV(B2347:B2366)</f>
        <v>24097.9397736802</v>
      </c>
      <c r="R2366" s="19" t="n">
        <f aca="false">B2366/B2346-1</f>
        <v>-0.0116542535188719</v>
      </c>
      <c r="S2366" s="17" t="n">
        <f aca="false">STDEV(C2347:C2366)*SQRT(252)*100</f>
        <v>21.6495306221791</v>
      </c>
      <c r="T2366" s="19" t="n">
        <f aca="false">B2345/B2115-1</f>
        <v>0.248385740026478</v>
      </c>
      <c r="U2366" s="19" t="n">
        <f aca="false">B2366/MAX(B2115:B2366)-1</f>
        <v>-0.0262237340566657</v>
      </c>
      <c r="V2366" s="17" t="n">
        <f aca="false">(B2366-AVERAGE(B2347:B2366))/STDEV(B2347:B2366)</f>
        <v>0.598082617692543</v>
      </c>
    </row>
    <row r="2367" customFormat="false" ht="15" hidden="false" customHeight="false" outlineLevel="0" collapsed="false">
      <c r="A2367" s="17" t="s">
        <v>2931</v>
      </c>
      <c r="B2367" s="17" t="n">
        <v>25342.85</v>
      </c>
      <c r="C2367" s="19" t="n">
        <f aca="false">B2367/B2366-1</f>
        <v>-0.00361865138791639</v>
      </c>
      <c r="D2367" s="17" t="n">
        <f aca="false">AVERAGE(B2318:B2367)</f>
        <v>25030.3656</v>
      </c>
      <c r="E2367" s="17" t="n">
        <f aca="false">AVERAGE(B2168:B2367)</f>
        <v>22419.11575</v>
      </c>
      <c r="F2367" s="17" t="n">
        <f aca="false">B2367*2/13+F2366*11/13</f>
        <v>25042.8425893022</v>
      </c>
      <c r="G2367" s="17" t="n">
        <f aca="false">B2367*2/27+G2366*25/27</f>
        <v>25048.0742957087</v>
      </c>
      <c r="H2367" s="17" t="n">
        <f aca="false">F2367-G2367</f>
        <v>-5.2317064065137</v>
      </c>
      <c r="I2367" s="17" t="n">
        <f aca="false">H2367*2/10+I2366*8/10</f>
        <v>-39.2669583767906</v>
      </c>
      <c r="J2367" s="17" t="n">
        <f aca="false">H2367-I2367</f>
        <v>34.0352519702769</v>
      </c>
      <c r="K2367" s="17" t="n">
        <f aca="false">MAX(B2367-B2366,0)</f>
        <v>0</v>
      </c>
      <c r="L2367" s="17" t="n">
        <f aca="false">MAX(B2366-B2367,0)</f>
        <v>92.0400000000009</v>
      </c>
      <c r="M2367" s="17" t="n">
        <f aca="false">(M2366*13+K2367)/14</f>
        <v>134.82788285975</v>
      </c>
      <c r="N2367" s="17" t="n">
        <f aca="false">(N2366*13+L2367)/14</f>
        <v>111.907387458732</v>
      </c>
      <c r="O2367" s="17" t="n">
        <f aca="false">IF(N2367=0,100,100-100/(1+M2367/N2367))</f>
        <v>54.6447545524061</v>
      </c>
      <c r="P2367" s="17" t="n">
        <f aca="false">AVERAGE(B2348:B2367)+2*STDEV(B2348:B2367)</f>
        <v>26077.9435082749</v>
      </c>
      <c r="Q2367" s="17" t="n">
        <f aca="false">AVERAGE(B2348:B2367)-2*STDEV(B2348:B2367)</f>
        <v>24124.7724917251</v>
      </c>
      <c r="R2367" s="19" t="n">
        <f aca="false">B2367/B2347-1</f>
        <v>-0.0199271950446533</v>
      </c>
      <c r="S2367" s="17" t="n">
        <f aca="false">STDEV(C2348:C2367)*SQRT(252)*100</f>
        <v>21.5827320010779</v>
      </c>
      <c r="T2367" s="19" t="n">
        <f aca="false">B2346/B2116-1</f>
        <v>0.240561228547918</v>
      </c>
      <c r="U2367" s="19" t="n">
        <f aca="false">B2367/MAX(B2116:B2367)-1</f>
        <v>-0.0297474908929416</v>
      </c>
      <c r="V2367" s="17" t="n">
        <f aca="false">(B2367-AVERAGE(B2348:B2367))/STDEV(B2348:B2367)</f>
        <v>0.494563963838811</v>
      </c>
    </row>
    <row r="2368" customFormat="false" ht="15" hidden="false" customHeight="false" outlineLevel="0" collapsed="false">
      <c r="A2368" s="17" t="s">
        <v>2932</v>
      </c>
      <c r="B2368" s="17" t="n">
        <v>25555.86</v>
      </c>
      <c r="C2368" s="19" t="n">
        <f aca="false">B2368/B2367-1</f>
        <v>0.0084051320194849</v>
      </c>
      <c r="D2368" s="17" t="n">
        <f aca="false">AVERAGE(B2319:B2368)</f>
        <v>25046.2614</v>
      </c>
      <c r="E2368" s="17" t="n">
        <f aca="false">AVERAGE(B2169:B2368)</f>
        <v>22436.3216</v>
      </c>
      <c r="F2368" s="17" t="n">
        <f aca="false">B2368*2/13+F2367*11/13</f>
        <v>25121.7683447942</v>
      </c>
      <c r="G2368" s="17" t="n">
        <f aca="false">B2368*2/27+G2367*25/27</f>
        <v>25085.6880515821</v>
      </c>
      <c r="H2368" s="17" t="n">
        <f aca="false">F2368-G2368</f>
        <v>36.0802932120241</v>
      </c>
      <c r="I2368" s="17" t="n">
        <f aca="false">H2368*2/10+I2367*8/10</f>
        <v>-24.1975080590277</v>
      </c>
      <c r="J2368" s="17" t="n">
        <f aca="false">H2368-I2368</f>
        <v>60.2778012710518</v>
      </c>
      <c r="K2368" s="17" t="n">
        <f aca="false">MAX(B2368-B2367,0)</f>
        <v>213.010000000002</v>
      </c>
      <c r="L2368" s="17" t="n">
        <f aca="false">MAX(B2367-B2368,0)</f>
        <v>0</v>
      </c>
      <c r="M2368" s="17" t="n">
        <f aca="false">(M2367*13+K2368)/14</f>
        <v>140.412319798339</v>
      </c>
      <c r="N2368" s="17" t="n">
        <f aca="false">(N2367*13+L2368)/14</f>
        <v>103.914002640251</v>
      </c>
      <c r="O2368" s="17" t="n">
        <f aca="false">IF(N2368=0,100,100-100/(1+M2368/N2368))</f>
        <v>57.4691741753004</v>
      </c>
      <c r="P2368" s="17" t="n">
        <f aca="false">AVERAGE(B2349:B2368)+2*STDEV(B2349:B2368)</f>
        <v>25994.5333165954</v>
      </c>
      <c r="Q2368" s="17" t="n">
        <f aca="false">AVERAGE(B2349:B2368)-2*STDEV(B2349:B2368)</f>
        <v>24166.4746834046</v>
      </c>
      <c r="R2368" s="19" t="n">
        <f aca="false">B2368/B2348-1</f>
        <v>-0.0160582513954908</v>
      </c>
      <c r="S2368" s="17" t="n">
        <f aca="false">STDEV(C2349:C2368)*SQRT(252)*100</f>
        <v>21.7584677482935</v>
      </c>
      <c r="T2368" s="19" t="n">
        <f aca="false">B2347/B2117-1</f>
        <v>0.235435876193302</v>
      </c>
      <c r="U2368" s="19" t="n">
        <f aca="false">B2368/MAX(B2117:B2368)-1</f>
        <v>-0.0215923904616603</v>
      </c>
      <c r="V2368" s="17" t="n">
        <f aca="false">(B2368-AVERAGE(B2349:B2368))/STDEV(B2349:B2368)</f>
        <v>1.0401329396537</v>
      </c>
    </row>
    <row r="2369" customFormat="false" ht="15" hidden="false" customHeight="false" outlineLevel="0" collapsed="false">
      <c r="A2369" s="17" t="s">
        <v>2933</v>
      </c>
      <c r="B2369" s="17" t="n">
        <v>25606.54</v>
      </c>
      <c r="C2369" s="19" t="n">
        <f aca="false">B2369/B2368-1</f>
        <v>0.00198310680994496</v>
      </c>
      <c r="D2369" s="17" t="n">
        <f aca="false">AVERAGE(B2320:B2369)</f>
        <v>25066.7888</v>
      </c>
      <c r="E2369" s="17" t="n">
        <f aca="false">AVERAGE(B2170:B2369)</f>
        <v>22453.53125</v>
      </c>
      <c r="F2369" s="17" t="n">
        <f aca="false">B2369*2/13+F2368*11/13</f>
        <v>25196.3485994412</v>
      </c>
      <c r="G2369" s="17" t="n">
        <f aca="false">B2369*2/27+G2368*25/27</f>
        <v>25124.2696773909</v>
      </c>
      <c r="H2369" s="17" t="n">
        <f aca="false">F2369-G2369</f>
        <v>72.078922050343</v>
      </c>
      <c r="I2369" s="17" t="n">
        <f aca="false">H2369*2/10+I2368*8/10</f>
        <v>-4.94222203715354</v>
      </c>
      <c r="J2369" s="17" t="n">
        <f aca="false">H2369-I2369</f>
        <v>77.0211440874965</v>
      </c>
      <c r="K2369" s="17" t="n">
        <f aca="false">MAX(B2369-B2368,0)</f>
        <v>50.6800000000003</v>
      </c>
      <c r="L2369" s="17" t="n">
        <f aca="false">MAX(B2368-B2369,0)</f>
        <v>0</v>
      </c>
      <c r="M2369" s="17" t="n">
        <f aca="false">(M2368*13+K2369)/14</f>
        <v>134.002868384172</v>
      </c>
      <c r="N2369" s="17" t="n">
        <f aca="false">(N2368*13+L2369)/14</f>
        <v>96.4915738802328</v>
      </c>
      <c r="O2369" s="17" t="n">
        <f aca="false">IF(N2369=0,100,100-100/(1+M2369/N2369))</f>
        <v>58.1371364392616</v>
      </c>
      <c r="P2369" s="17" t="n">
        <f aca="false">AVERAGE(B2350:B2369)+2*STDEV(B2350:B2369)</f>
        <v>26020.0868346158</v>
      </c>
      <c r="Q2369" s="17" t="n">
        <f aca="false">AVERAGE(B2350:B2369)-2*STDEV(B2350:B2369)</f>
        <v>24158.0051653842</v>
      </c>
      <c r="R2369" s="19" t="n">
        <f aca="false">B2369/B2349-1</f>
        <v>0.00671654406994904</v>
      </c>
      <c r="S2369" s="17" t="n">
        <f aca="false">STDEV(C2350:C2369)*SQRT(252)*100</f>
        <v>20.4481327451797</v>
      </c>
      <c r="T2369" s="19" t="n">
        <f aca="false">B2348/B2118-1</f>
        <v>0.227187851412264</v>
      </c>
      <c r="U2369" s="19" t="n">
        <f aca="false">B2369/MAX(B2118:B2369)-1</f>
        <v>-0.0196521036682829</v>
      </c>
      <c r="V2369" s="17" t="n">
        <f aca="false">(B2369-AVERAGE(B2350:B2369))/STDEV(B2350:B2369)</f>
        <v>1.11164619372155</v>
      </c>
    </row>
    <row r="2370" customFormat="false" ht="15" hidden="false" customHeight="false" outlineLevel="0" collapsed="false">
      <c r="A2370" s="17" t="s">
        <v>2934</v>
      </c>
      <c r="B2370" s="17" t="n">
        <v>25581.7</v>
      </c>
      <c r="C2370" s="19" t="n">
        <f aca="false">B2370/B2369-1</f>
        <v>-0.000970064678789129</v>
      </c>
      <c r="D2370" s="17" t="n">
        <f aca="false">AVERAGE(B2321:B2370)</f>
        <v>25088.3514</v>
      </c>
      <c r="E2370" s="17" t="n">
        <f aca="false">AVERAGE(B2171:B2370)</f>
        <v>22470.56175</v>
      </c>
      <c r="F2370" s="17" t="n">
        <f aca="false">B2370*2/13+F2369*11/13</f>
        <v>25255.6334302964</v>
      </c>
      <c r="G2370" s="17" t="n">
        <f aca="false">B2370*2/27+G2369*25/27</f>
        <v>25158.1534049915</v>
      </c>
      <c r="H2370" s="17" t="n">
        <f aca="false">F2370-G2370</f>
        <v>97.4800253048634</v>
      </c>
      <c r="I2370" s="17" t="n">
        <f aca="false">H2370*2/10+I2369*8/10</f>
        <v>15.5422274312498</v>
      </c>
      <c r="J2370" s="17" t="n">
        <f aca="false">H2370-I2370</f>
        <v>81.9377978736135</v>
      </c>
      <c r="K2370" s="17" t="n">
        <f aca="false">MAX(B2370-B2369,0)</f>
        <v>0</v>
      </c>
      <c r="L2370" s="17" t="n">
        <f aca="false">MAX(B2369-B2370,0)</f>
        <v>24.8400000000001</v>
      </c>
      <c r="M2370" s="17" t="n">
        <f aca="false">(M2369*13+K2370)/14</f>
        <v>124.43123492816</v>
      </c>
      <c r="N2370" s="17" t="n">
        <f aca="false">(N2369*13+L2370)/14</f>
        <v>91.373604317359</v>
      </c>
      <c r="O2370" s="17" t="n">
        <f aca="false">IF(N2370=0,100,100-100/(1+M2370/N2370))</f>
        <v>57.6591495182347</v>
      </c>
      <c r="P2370" s="17" t="n">
        <f aca="false">AVERAGE(B2351:B2370)+2*STDEV(B2351:B2370)</f>
        <v>26013.7153571512</v>
      </c>
      <c r="Q2370" s="17" t="n">
        <f aca="false">AVERAGE(B2351:B2370)-2*STDEV(B2351:B2370)</f>
        <v>24160.5436428488</v>
      </c>
      <c r="R2370" s="19" t="n">
        <f aca="false">B2370/B2350-1</f>
        <v>-0.0014960950475077</v>
      </c>
      <c r="S2370" s="17" t="n">
        <f aca="false">STDEV(C2351:C2370)*SQRT(252)*100</f>
        <v>20.2913589679477</v>
      </c>
      <c r="T2370" s="19" t="n">
        <f aca="false">B2349/B2119-1</f>
        <v>0.198140119419746</v>
      </c>
      <c r="U2370" s="19" t="n">
        <f aca="false">B2370/MAX(B2119:B2370)-1</f>
        <v>-0.0206031045354395</v>
      </c>
      <c r="V2370" s="17" t="n">
        <f aca="false">(B2370-AVERAGE(B2351:B2370))/STDEV(B2351:B2370)</f>
        <v>1.06751143713883</v>
      </c>
    </row>
    <row r="2371" customFormat="false" ht="15" hidden="false" customHeight="false" outlineLevel="0" collapsed="false">
      <c r="A2371" s="17" t="s">
        <v>2935</v>
      </c>
      <c r="B2371" s="17" t="n">
        <v>25692.05</v>
      </c>
      <c r="C2371" s="19" t="n">
        <f aca="false">B2371/B2370-1</f>
        <v>0.00431363044676458</v>
      </c>
      <c r="D2371" s="17" t="n">
        <f aca="false">AVERAGE(B2322:B2371)</f>
        <v>25114.2462</v>
      </c>
      <c r="E2371" s="17" t="n">
        <f aca="false">AVERAGE(B2172:B2371)</f>
        <v>22488.6817</v>
      </c>
      <c r="F2371" s="17" t="n">
        <f aca="false">B2371*2/13+F2370*11/13</f>
        <v>25322.77444102</v>
      </c>
      <c r="G2371" s="17" t="n">
        <f aca="false">B2371*2/27+G2370*25/27</f>
        <v>25197.7013009181</v>
      </c>
      <c r="H2371" s="17" t="n">
        <f aca="false">F2371-G2371</f>
        <v>125.073140101948</v>
      </c>
      <c r="I2371" s="17" t="n">
        <f aca="false">H2371*2/10+I2370*8/10</f>
        <v>37.4484099653894</v>
      </c>
      <c r="J2371" s="17" t="n">
        <f aca="false">H2371-I2371</f>
        <v>87.6247301365581</v>
      </c>
      <c r="K2371" s="17" t="n">
        <f aca="false">MAX(B2371-B2370,0)</f>
        <v>110.349999999999</v>
      </c>
      <c r="L2371" s="17" t="n">
        <f aca="false">MAX(B2370-B2371,0)</f>
        <v>0</v>
      </c>
      <c r="M2371" s="17" t="n">
        <f aca="false">(M2370*13+K2371)/14</f>
        <v>123.425432433291</v>
      </c>
      <c r="N2371" s="17" t="n">
        <f aca="false">(N2370*13+L2371)/14</f>
        <v>84.8469182946905</v>
      </c>
      <c r="O2371" s="17" t="n">
        <f aca="false">IF(N2371=0,100,100-100/(1+M2371/N2371))</f>
        <v>59.2615544031063</v>
      </c>
      <c r="P2371" s="17" t="n">
        <f aca="false">AVERAGE(B2352:B2371)+2*STDEV(B2352:B2371)</f>
        <v>26080.5727156906</v>
      </c>
      <c r="Q2371" s="17" t="n">
        <f aca="false">AVERAGE(B2352:B2371)-2*STDEV(B2352:B2371)</f>
        <v>24149.8872843094</v>
      </c>
      <c r="R2371" s="19" t="n">
        <f aca="false">B2371/B2351-1</f>
        <v>0.0223640710480364</v>
      </c>
      <c r="S2371" s="17" t="n">
        <f aca="false">STDEV(C2352:C2371)*SQRT(252)*100</f>
        <v>19.0271709182193</v>
      </c>
      <c r="T2371" s="19" t="n">
        <f aca="false">B2350/B2120-1</f>
        <v>0.1920528969364</v>
      </c>
      <c r="U2371" s="19" t="n">
        <f aca="false">B2371/MAX(B2120:B2371)-1</f>
        <v>-0.0163783482676968</v>
      </c>
      <c r="V2371" s="17" t="n">
        <f aca="false">(B2371-AVERAGE(B2352:B2371))/STDEV(B2352:B2371)</f>
        <v>1.19505744566035</v>
      </c>
    </row>
    <row r="2372" customFormat="false" ht="15" hidden="false" customHeight="false" outlineLevel="0" collapsed="false">
      <c r="A2372" s="17" t="s">
        <v>2936</v>
      </c>
      <c r="B2372" s="17" t="n">
        <v>25627.95</v>
      </c>
      <c r="C2372" s="19" t="n">
        <f aca="false">B2372/B2371-1</f>
        <v>-0.00249493520369137</v>
      </c>
      <c r="D2372" s="17" t="n">
        <f aca="false">AVERAGE(B2323:B2372)</f>
        <v>25136.7282</v>
      </c>
      <c r="E2372" s="17" t="n">
        <f aca="false">AVERAGE(B2173:B2372)</f>
        <v>22508.75105</v>
      </c>
      <c r="F2372" s="17" t="n">
        <f aca="false">B2372*2/13+F2371*11/13</f>
        <v>25369.724527017</v>
      </c>
      <c r="G2372" s="17" t="n">
        <f aca="false">B2372*2/27+G2371*25/27</f>
        <v>25229.5715749242</v>
      </c>
      <c r="H2372" s="17" t="n">
        <f aca="false">F2372-G2372</f>
        <v>140.152952092798</v>
      </c>
      <c r="I2372" s="17" t="n">
        <f aca="false">H2372*2/10+I2371*8/10</f>
        <v>57.9893183908711</v>
      </c>
      <c r="J2372" s="17" t="n">
        <f aca="false">H2372-I2372</f>
        <v>82.1636337019268</v>
      </c>
      <c r="K2372" s="17" t="n">
        <f aca="false">MAX(B2372-B2371,0)</f>
        <v>0</v>
      </c>
      <c r="L2372" s="17" t="n">
        <f aca="false">MAX(B2371-B2372,0)</f>
        <v>64.0999999999985</v>
      </c>
      <c r="M2372" s="17" t="n">
        <f aca="false">(M2371*13+K2372)/14</f>
        <v>114.609330116628</v>
      </c>
      <c r="N2372" s="17" t="n">
        <f aca="false">(N2371*13+L2372)/14</f>
        <v>83.3649955593554</v>
      </c>
      <c r="O2372" s="17" t="n">
        <f aca="false">IF(N2372=0,100,100-100/(1+M2372/N2372))</f>
        <v>57.8910066875057</v>
      </c>
      <c r="P2372" s="17" t="n">
        <f aca="false">AVERAGE(B2353:B2372)+2*STDEV(B2353:B2372)</f>
        <v>26135.1942465911</v>
      </c>
      <c r="Q2372" s="17" t="n">
        <f aca="false">AVERAGE(B2353:B2372)-2*STDEV(B2353:B2372)</f>
        <v>24152.0797534089</v>
      </c>
      <c r="R2372" s="19" t="n">
        <f aca="false">B2372/B2352-1</f>
        <v>0.0226713610358578</v>
      </c>
      <c r="S2372" s="17" t="n">
        <f aca="false">STDEV(C2353:C2372)*SQRT(252)*100</f>
        <v>19.0191734799834</v>
      </c>
      <c r="T2372" s="19" t="n">
        <f aca="false">B2351/B2121-1</f>
        <v>0.172918644475996</v>
      </c>
      <c r="U2372" s="19" t="n">
        <f aca="false">B2372/MAX(B2121:B2372)-1</f>
        <v>-0.0188324205537167</v>
      </c>
      <c r="V2372" s="17" t="n">
        <f aca="false">(B2372-AVERAGE(B2353:B2372))/STDEV(B2353:B2372)</f>
        <v>0.976873502089814</v>
      </c>
    </row>
    <row r="2373" customFormat="false" ht="15" hidden="false" customHeight="false" outlineLevel="0" collapsed="false">
      <c r="A2373" s="17" t="s">
        <v>2937</v>
      </c>
      <c r="B2373" s="17" t="n">
        <v>25668.69</v>
      </c>
      <c r="C2373" s="19" t="n">
        <f aca="false">B2373/B2372-1</f>
        <v>0.00158967065254911</v>
      </c>
      <c r="D2373" s="17" t="n">
        <f aca="false">AVERAGE(B2324:B2373)</f>
        <v>25157.875</v>
      </c>
      <c r="E2373" s="17" t="n">
        <f aca="false">AVERAGE(B2174:B2373)</f>
        <v>22530.3341</v>
      </c>
      <c r="F2373" s="17" t="n">
        <f aca="false">B2373*2/13+F2372*11/13</f>
        <v>25415.7192151682</v>
      </c>
      <c r="G2373" s="17" t="n">
        <f aca="false">B2373*2/27+G2372*25/27</f>
        <v>25262.0988656705</v>
      </c>
      <c r="H2373" s="17" t="n">
        <f aca="false">F2373-G2373</f>
        <v>153.620349497676</v>
      </c>
      <c r="I2373" s="17" t="n">
        <f aca="false">H2373*2/10+I2372*8/10</f>
        <v>77.1155246122321</v>
      </c>
      <c r="J2373" s="17" t="n">
        <f aca="false">H2373-I2373</f>
        <v>76.5048248854441</v>
      </c>
      <c r="K2373" s="17" t="n">
        <f aca="false">MAX(B2373-B2372,0)</f>
        <v>40.739999999998</v>
      </c>
      <c r="L2373" s="17" t="n">
        <f aca="false">MAX(B2372-B2373,0)</f>
        <v>0</v>
      </c>
      <c r="M2373" s="17" t="n">
        <f aca="false">(M2372*13+K2373)/14</f>
        <v>109.332949394011</v>
      </c>
      <c r="N2373" s="17" t="n">
        <f aca="false">(N2372*13+L2373)/14</f>
        <v>77.4103530194014</v>
      </c>
      <c r="O2373" s="17" t="n">
        <f aca="false">IF(N2373=0,100,100-100/(1+M2373/N2373))</f>
        <v>58.5471864216954</v>
      </c>
      <c r="P2373" s="17" t="n">
        <f aca="false">AVERAGE(B2354:B2373)+2*STDEV(B2354:B2373)</f>
        <v>26144.0109662992</v>
      </c>
      <c r="Q2373" s="17" t="n">
        <f aca="false">AVERAGE(B2354:B2373)-2*STDEV(B2354:B2373)</f>
        <v>24148.9580337008</v>
      </c>
      <c r="R2373" s="19" t="n">
        <f aca="false">B2373/B2353-1</f>
        <v>0.00222358965068348</v>
      </c>
      <c r="S2373" s="17" t="n">
        <f aca="false">STDEV(C2354:C2373)*SQRT(252)*100</f>
        <v>17.361077696445</v>
      </c>
      <c r="T2373" s="19" t="n">
        <f aca="false">B2352/B2122-1</f>
        <v>0.158982529570235</v>
      </c>
      <c r="U2373" s="19" t="n">
        <f aca="false">B2373/MAX(B2122:B2373)-1</f>
        <v>-0.0172726872474382</v>
      </c>
      <c r="V2373" s="17" t="n">
        <f aca="false">(B2373-AVERAGE(B2354:B2373))/STDEV(B2354:B2373)</f>
        <v>1.04700079174314</v>
      </c>
    </row>
    <row r="2374" customFormat="false" ht="15" hidden="false" customHeight="false" outlineLevel="0" collapsed="false">
      <c r="A2374" s="17" t="s">
        <v>2938</v>
      </c>
      <c r="B2374" s="17" t="n">
        <v>25776.44</v>
      </c>
      <c r="C2374" s="19" t="n">
        <f aca="false">B2374/B2373-1</f>
        <v>0.00419772103679628</v>
      </c>
      <c r="D2374" s="17" t="n">
        <f aca="false">AVERAGE(B2325:B2374)</f>
        <v>25179.804</v>
      </c>
      <c r="E2374" s="17" t="n">
        <f aca="false">AVERAGE(B2175:B2374)</f>
        <v>22553.78005</v>
      </c>
      <c r="F2374" s="17" t="n">
        <f aca="false">B2374*2/13+F2373*11/13</f>
        <v>25471.2147205269</v>
      </c>
      <c r="G2374" s="17" t="n">
        <f aca="false">B2374*2/27+G2373*25/27</f>
        <v>25300.1982089542</v>
      </c>
      <c r="H2374" s="17" t="n">
        <f aca="false">F2374-G2374</f>
        <v>171.01651157275</v>
      </c>
      <c r="I2374" s="17" t="n">
        <f aca="false">H2374*2/10+I2373*8/10</f>
        <v>95.8957220043358</v>
      </c>
      <c r="J2374" s="17" t="n">
        <f aca="false">H2374-I2374</f>
        <v>75.1207895684147</v>
      </c>
      <c r="K2374" s="17" t="n">
        <f aca="false">MAX(B2374-B2373,0)</f>
        <v>107.75</v>
      </c>
      <c r="L2374" s="17" t="n">
        <f aca="false">MAX(B2373-B2374,0)</f>
        <v>0</v>
      </c>
      <c r="M2374" s="17" t="n">
        <f aca="false">(M2373*13+K2374)/14</f>
        <v>109.219881580153</v>
      </c>
      <c r="N2374" s="17" t="n">
        <f aca="false">(N2373*13+L2374)/14</f>
        <v>71.8810420894442</v>
      </c>
      <c r="O2374" s="17" t="n">
        <f aca="false">IF(N2374=0,100,100-100/(1+M2374/N2374))</f>
        <v>60.3088484404504</v>
      </c>
      <c r="P2374" s="17" t="n">
        <f aca="false">AVERAGE(B2355:B2374)+2*STDEV(B2355:B2374)</f>
        <v>26181.5946665946</v>
      </c>
      <c r="Q2374" s="17" t="n">
        <f aca="false">AVERAGE(B2355:B2374)-2*STDEV(B2355:B2374)</f>
        <v>24135.6693334054</v>
      </c>
      <c r="R2374" s="19" t="n">
        <f aca="false">B2374/B2354-1</f>
        <v>0.00951495467325447</v>
      </c>
      <c r="S2374" s="17" t="n">
        <f aca="false">STDEV(C2355:C2374)*SQRT(252)*100</f>
        <v>17.3733718423242</v>
      </c>
      <c r="T2374" s="19" t="n">
        <f aca="false">B2353/B2123-1</f>
        <v>0.194531738991326</v>
      </c>
      <c r="U2374" s="19" t="n">
        <f aca="false">B2374/MAX(B2123:B2374)-1</f>
        <v>-0.0131474721332626</v>
      </c>
      <c r="V2374" s="17" t="n">
        <f aca="false">(B2374-AVERAGE(B2355:B2374))/STDEV(B2355:B2374)</f>
        <v>1.20787985754487</v>
      </c>
    </row>
    <row r="2375" customFormat="false" ht="15" hidden="false" customHeight="false" outlineLevel="0" collapsed="false">
      <c r="A2375" s="17" t="s">
        <v>2939</v>
      </c>
      <c r="B2375" s="17" t="n">
        <v>25686.69</v>
      </c>
      <c r="C2375" s="19" t="n">
        <f aca="false">B2375/B2374-1</f>
        <v>-0.00348186173110021</v>
      </c>
      <c r="D2375" s="17" t="n">
        <f aca="false">AVERAGE(B2326:B2375)</f>
        <v>25197.5206</v>
      </c>
      <c r="E2375" s="17" t="n">
        <f aca="false">AVERAGE(B2176:B2375)</f>
        <v>22576.5489</v>
      </c>
      <c r="F2375" s="17" t="n">
        <f aca="false">B2375*2/13+F2374*11/13</f>
        <v>25504.3647635228</v>
      </c>
      <c r="G2375" s="17" t="n">
        <f aca="false">B2375*2/27+G2374*25/27</f>
        <v>25328.8272305131</v>
      </c>
      <c r="H2375" s="17" t="n">
        <f aca="false">F2375-G2375</f>
        <v>175.537533009658</v>
      </c>
      <c r="I2375" s="17" t="n">
        <f aca="false">H2375*2/10+I2374*8/10</f>
        <v>111.8240842054</v>
      </c>
      <c r="J2375" s="17" t="n">
        <f aca="false">H2375-I2375</f>
        <v>63.7134488042575</v>
      </c>
      <c r="K2375" s="17" t="n">
        <f aca="false">MAX(B2375-B2374,0)</f>
        <v>0</v>
      </c>
      <c r="L2375" s="17" t="n">
        <f aca="false">MAX(B2374-B2375,0)</f>
        <v>89.75</v>
      </c>
      <c r="M2375" s="17" t="n">
        <f aca="false">(M2374*13+K2375)/14</f>
        <v>101.418461467285</v>
      </c>
      <c r="N2375" s="17" t="n">
        <f aca="false">(N2374*13+L2375)/14</f>
        <v>73.1573962259125</v>
      </c>
      <c r="O2375" s="17" t="n">
        <f aca="false">IF(N2375=0,100,100-100/(1+M2375/N2375))</f>
        <v>58.0942077601128</v>
      </c>
      <c r="P2375" s="17" t="n">
        <f aca="false">AVERAGE(B2356:B2375)+2*STDEV(B2356:B2375)</f>
        <v>26205.2559347024</v>
      </c>
      <c r="Q2375" s="17" t="n">
        <f aca="false">AVERAGE(B2356:B2375)-2*STDEV(B2356:B2375)</f>
        <v>24128.9440652976</v>
      </c>
      <c r="R2375" s="19" t="n">
        <f aca="false">B2375/B2355-1</f>
        <v>0.00663705803075776</v>
      </c>
      <c r="S2375" s="17" t="n">
        <f aca="false">STDEV(C2356:C2375)*SQRT(252)*100</f>
        <v>17.4280243428644</v>
      </c>
      <c r="T2375" s="19" t="n">
        <f aca="false">B2354/B2124-1</f>
        <v>0.194930499462285</v>
      </c>
      <c r="U2375" s="19" t="n">
        <f aca="false">B2375/MAX(B2124:B2375)-1</f>
        <v>-0.0165835561842813</v>
      </c>
      <c r="V2375" s="17" t="n">
        <f aca="false">(B2375-AVERAGE(B2356:B2375))/STDEV(B2356:B2375)</f>
        <v>1.00098642724405</v>
      </c>
    </row>
    <row r="2376" customFormat="false" ht="15" hidden="false" customHeight="false" outlineLevel="0" collapsed="false">
      <c r="A2376" s="17" t="s">
        <v>2940</v>
      </c>
      <c r="B2376" s="17" t="n">
        <v>25196.73</v>
      </c>
      <c r="C2376" s="19" t="n">
        <f aca="false">B2376/B2375-1</f>
        <v>-0.01907447008548</v>
      </c>
      <c r="D2376" s="17" t="n">
        <f aca="false">AVERAGE(B2327:B2376)</f>
        <v>25203.6</v>
      </c>
      <c r="E2376" s="17" t="n">
        <f aca="false">AVERAGE(B2177:B2376)</f>
        <v>22599.7778</v>
      </c>
      <c r="F2376" s="17" t="n">
        <f aca="false">B2376*2/13+F2375*11/13</f>
        <v>25457.0363383654</v>
      </c>
      <c r="G2376" s="17" t="n">
        <f aca="false">B2376*2/27+G2375*25/27</f>
        <v>25319.0422504751</v>
      </c>
      <c r="H2376" s="17" t="n">
        <f aca="false">F2376-G2376</f>
        <v>137.994087890318</v>
      </c>
      <c r="I2376" s="17" t="n">
        <f aca="false">H2376*2/10+I2375*8/10</f>
        <v>117.058084942384</v>
      </c>
      <c r="J2376" s="17" t="n">
        <f aca="false">H2376-I2376</f>
        <v>20.9360029479343</v>
      </c>
      <c r="K2376" s="17" t="n">
        <f aca="false">MAX(B2376-B2375,0)</f>
        <v>0</v>
      </c>
      <c r="L2376" s="17" t="n">
        <f aca="false">MAX(B2375-B2376,0)</f>
        <v>489.959999999999</v>
      </c>
      <c r="M2376" s="17" t="n">
        <f aca="false">(M2375*13+K2376)/14</f>
        <v>94.1742856481933</v>
      </c>
      <c r="N2376" s="17" t="n">
        <f aca="false">(N2375*13+L2376)/14</f>
        <v>102.929010781204</v>
      </c>
      <c r="O2376" s="17" t="n">
        <f aca="false">IF(N2376=0,100,100-100/(1+M2376/N2376))</f>
        <v>47.7791530401555</v>
      </c>
      <c r="P2376" s="17" t="n">
        <f aca="false">AVERAGE(B2357:B2376)+2*STDEV(B2357:B2376)</f>
        <v>26212.2369743873</v>
      </c>
      <c r="Q2376" s="17" t="n">
        <f aca="false">AVERAGE(B2357:B2376)-2*STDEV(B2357:B2376)</f>
        <v>24142.2900256127</v>
      </c>
      <c r="R2376" s="19" t="n">
        <f aca="false">B2376/B2356-1</f>
        <v>0.00813292757385331</v>
      </c>
      <c r="S2376" s="17" t="n">
        <f aca="false">STDEV(C2357:C2376)*SQRT(252)*100</f>
        <v>17.2025193977787</v>
      </c>
      <c r="T2376" s="19" t="n">
        <f aca="false">B2355/B2125-1</f>
        <v>0.172456967889145</v>
      </c>
      <c r="U2376" s="19" t="n">
        <f aca="false">B2376/MAX(B2125:B2376)-1</f>
        <v>-0.0353417037234134</v>
      </c>
      <c r="V2376" s="17" t="n">
        <f aca="false">(B2376-AVERAGE(B2357:B2376))/STDEV(B2357:B2376)</f>
        <v>0.0376173892022174</v>
      </c>
    </row>
    <row r="2377" customFormat="false" ht="15" hidden="false" customHeight="false" outlineLevel="0" collapsed="false">
      <c r="A2377" s="17" t="s">
        <v>2941</v>
      </c>
      <c r="B2377" s="17" t="n">
        <v>25067.27</v>
      </c>
      <c r="C2377" s="19" t="n">
        <f aca="false">B2377/B2376-1</f>
        <v>-0.0051379682998548</v>
      </c>
      <c r="D2377" s="17" t="n">
        <f aca="false">AVERAGE(B2328:B2377)</f>
        <v>25209.235</v>
      </c>
      <c r="E2377" s="17" t="n">
        <f aca="false">AVERAGE(B2178:B2377)</f>
        <v>22620.6921</v>
      </c>
      <c r="F2377" s="17" t="n">
        <f aca="false">B2377*2/13+F2376*11/13</f>
        <v>25397.0722863092</v>
      </c>
      <c r="G2377" s="17" t="n">
        <f aca="false">B2377*2/27+G2376*25/27</f>
        <v>25300.3924541436</v>
      </c>
      <c r="H2377" s="17" t="n">
        <f aca="false">F2377-G2377</f>
        <v>96.6798321655879</v>
      </c>
      <c r="I2377" s="17" t="n">
        <f aca="false">H2377*2/10+I2376*8/10</f>
        <v>112.982434387025</v>
      </c>
      <c r="J2377" s="17" t="n">
        <f aca="false">H2377-I2377</f>
        <v>-16.3026022214367</v>
      </c>
      <c r="K2377" s="17" t="n">
        <f aca="false">MAX(B2377-B2376,0)</f>
        <v>0</v>
      </c>
      <c r="L2377" s="17" t="n">
        <f aca="false">MAX(B2376-B2377,0)</f>
        <v>129.459999999999</v>
      </c>
      <c r="M2377" s="17" t="n">
        <f aca="false">(M2376*13+K2377)/14</f>
        <v>87.4475509590366</v>
      </c>
      <c r="N2377" s="17" t="n">
        <f aca="false">(N2376*13+L2377)/14</f>
        <v>104.82408143969</v>
      </c>
      <c r="O2377" s="17" t="n">
        <f aca="false">IF(N2377=0,100,100-100/(1+M2377/N2377))</f>
        <v>45.4812547582115</v>
      </c>
      <c r="P2377" s="17" t="n">
        <f aca="false">AVERAGE(B2358:B2377)+2*STDEV(B2358:B2377)</f>
        <v>26213.4942295661</v>
      </c>
      <c r="Q2377" s="17" t="n">
        <f aca="false">AVERAGE(B2358:B2377)-2*STDEV(B2358:B2377)</f>
        <v>24146.9357704339</v>
      </c>
      <c r="R2377" s="19" t="n">
        <f aca="false">B2377/B2357-1</f>
        <v>0.00236042200490716</v>
      </c>
      <c r="S2377" s="17" t="n">
        <f aca="false">STDEV(C2358:C2377)*SQRT(252)*100</f>
        <v>17.3165941606387</v>
      </c>
      <c r="T2377" s="19" t="n">
        <f aca="false">B2356/B2126-1</f>
        <v>0.156287198818243</v>
      </c>
      <c r="U2377" s="19" t="n">
        <f aca="false">B2377/MAX(B2126:B2377)-1</f>
        <v>-0.0402980874698744</v>
      </c>
      <c r="V2377" s="17" t="n">
        <f aca="false">(B2377-AVERAGE(B2358:B2377))/STDEV(B2358:B2377)</f>
        <v>-0.218614672139364</v>
      </c>
    </row>
    <row r="2378" customFormat="false" ht="15" hidden="false" customHeight="false" outlineLevel="0" collapsed="false">
      <c r="A2378" s="17" t="s">
        <v>2942</v>
      </c>
      <c r="B2378" s="17" t="n">
        <v>25132.94</v>
      </c>
      <c r="C2378" s="19" t="n">
        <f aca="false">B2378/B2377-1</f>
        <v>0.00261975077461551</v>
      </c>
      <c r="D2378" s="17" t="n">
        <f aca="false">AVERAGE(B2329:B2378)</f>
        <v>25212.3226</v>
      </c>
      <c r="E2378" s="17" t="n">
        <f aca="false">AVERAGE(B2179:B2378)</f>
        <v>22644.2289</v>
      </c>
      <c r="F2378" s="17" t="n">
        <f aca="false">B2378*2/13+F2377*11/13</f>
        <v>25356.436549954</v>
      </c>
      <c r="G2378" s="17" t="n">
        <f aca="false">B2378*2/27+G2377*25/27</f>
        <v>25287.9885686515</v>
      </c>
      <c r="H2378" s="17" t="n">
        <f aca="false">F2378-G2378</f>
        <v>68.4479813024518</v>
      </c>
      <c r="I2378" s="17" t="n">
        <f aca="false">H2378*2/10+I2377*8/10</f>
        <v>104.07554377011</v>
      </c>
      <c r="J2378" s="17" t="n">
        <f aca="false">H2378-I2378</f>
        <v>-35.6275624676582</v>
      </c>
      <c r="K2378" s="17" t="n">
        <f aca="false">MAX(B2378-B2377,0)</f>
        <v>65.6699999999983</v>
      </c>
      <c r="L2378" s="17" t="n">
        <f aca="false">MAX(B2377-B2378,0)</f>
        <v>0</v>
      </c>
      <c r="M2378" s="17" t="n">
        <f aca="false">(M2377*13+K2378)/14</f>
        <v>85.8920116048196</v>
      </c>
      <c r="N2378" s="17" t="n">
        <f aca="false">(N2377*13+L2378)/14</f>
        <v>97.3366470511405</v>
      </c>
      <c r="O2378" s="17" t="n">
        <f aca="false">IF(N2378=0,100,100-100/(1+M2378/N2378))</f>
        <v>46.8769526747969</v>
      </c>
      <c r="P2378" s="17" t="n">
        <f aca="false">AVERAGE(B2359:B2378)+2*STDEV(B2359:B2378)</f>
        <v>26214.963178929</v>
      </c>
      <c r="Q2378" s="17" t="n">
        <f aca="false">AVERAGE(B2359:B2378)-2*STDEV(B2359:B2378)</f>
        <v>24178.768821071</v>
      </c>
      <c r="R2378" s="19" t="n">
        <f aca="false">B2378/B2358-1</f>
        <v>0.0134282691234489</v>
      </c>
      <c r="S2378" s="17" t="n">
        <f aca="false">STDEV(C2359:C2378)*SQRT(252)*100</f>
        <v>17.0372985484593</v>
      </c>
      <c r="T2378" s="19" t="n">
        <f aca="false">B2357/B2127-1</f>
        <v>0.148207206069719</v>
      </c>
      <c r="U2378" s="19" t="n">
        <f aca="false">B2378/MAX(B2127:B2378)-1</f>
        <v>-0.0377839076411235</v>
      </c>
      <c r="V2378" s="17" t="n">
        <f aca="false">(B2378-AVERAGE(B2359:B2378))/STDEV(B2359:B2378)</f>
        <v>-0.12557936771272</v>
      </c>
    </row>
    <row r="2379" customFormat="false" ht="15" hidden="false" customHeight="false" outlineLevel="0" collapsed="false">
      <c r="A2379" s="17" t="s">
        <v>2943</v>
      </c>
      <c r="B2379" s="17" t="n">
        <v>24647.61</v>
      </c>
      <c r="C2379" s="19" t="n">
        <f aca="false">B2379/B2378-1</f>
        <v>-0.0193105144085809</v>
      </c>
      <c r="D2379" s="17" t="n">
        <f aca="false">AVERAGE(B2330:B2379)</f>
        <v>25208.4702</v>
      </c>
      <c r="E2379" s="17" t="n">
        <f aca="false">AVERAGE(B2180:B2379)</f>
        <v>22665.7043</v>
      </c>
      <c r="F2379" s="17" t="n">
        <f aca="false">B2379*2/13+F2378*11/13</f>
        <v>25247.3863114995</v>
      </c>
      <c r="G2379" s="17" t="n">
        <f aca="false">B2379*2/27+G2378*25/27</f>
        <v>25240.5531191218</v>
      </c>
      <c r="H2379" s="17" t="n">
        <f aca="false">F2379-G2379</f>
        <v>6.83319237774049</v>
      </c>
      <c r="I2379" s="17" t="n">
        <f aca="false">H2379*2/10+I2378*8/10</f>
        <v>84.6270734916361</v>
      </c>
      <c r="J2379" s="17" t="n">
        <f aca="false">H2379-I2379</f>
        <v>-77.7938811138956</v>
      </c>
      <c r="K2379" s="17" t="n">
        <f aca="false">MAX(B2379-B2378,0)</f>
        <v>0</v>
      </c>
      <c r="L2379" s="17" t="n">
        <f aca="false">MAX(B2378-B2379,0)</f>
        <v>485.329999999998</v>
      </c>
      <c r="M2379" s="17" t="n">
        <f aca="false">(M2378*13+K2379)/14</f>
        <v>79.756867918761</v>
      </c>
      <c r="N2379" s="17" t="n">
        <f aca="false">(N2378*13+L2379)/14</f>
        <v>125.050457976059</v>
      </c>
      <c r="O2379" s="17" t="n">
        <f aca="false">IF(N2379=0,100,100-100/(1+M2379/N2379))</f>
        <v>38.9423901563564</v>
      </c>
      <c r="P2379" s="17" t="n">
        <f aca="false">AVERAGE(B2360:B2379)+2*STDEV(B2360:B2379)</f>
        <v>26203.3339073483</v>
      </c>
      <c r="Q2379" s="17" t="n">
        <f aca="false">AVERAGE(B2360:B2379)-2*STDEV(B2360:B2379)</f>
        <v>24204.8490926517</v>
      </c>
      <c r="R2379" s="19" t="n">
        <f aca="false">B2379/B2359-1</f>
        <v>0.00589762111732806</v>
      </c>
      <c r="S2379" s="17" t="n">
        <f aca="false">STDEV(C2360:C2379)*SQRT(252)*100</f>
        <v>17.9381385989029</v>
      </c>
      <c r="T2379" s="19" t="n">
        <f aca="false">B2358/B2128-1</f>
        <v>0.122337946096831</v>
      </c>
      <c r="U2379" s="19" t="n">
        <f aca="false">B2379/MAX(B2128:B2379)-1</f>
        <v>-0.056364795356788</v>
      </c>
      <c r="V2379" s="17" t="n">
        <f aca="false">(B2379-AVERAGE(B2360:B2379))/STDEV(B2360:B2379)</f>
        <v>-1.11380681185612</v>
      </c>
    </row>
    <row r="2380" customFormat="false" ht="15" hidden="false" customHeight="false" outlineLevel="0" collapsed="false">
      <c r="A2380" s="17" t="s">
        <v>2944</v>
      </c>
      <c r="B2380" s="17" t="n">
        <v>25019.37</v>
      </c>
      <c r="C2380" s="19" t="n">
        <f aca="false">B2380/B2379-1</f>
        <v>0.0150830039910563</v>
      </c>
      <c r="D2380" s="17" t="n">
        <f aca="false">AVERAGE(B2331:B2380)</f>
        <v>25206.1252</v>
      </c>
      <c r="E2380" s="17" t="n">
        <f aca="false">AVERAGE(B2181:B2380)</f>
        <v>22687.65885</v>
      </c>
      <c r="F2380" s="17" t="n">
        <f aca="false">B2380*2/13+F2379*11/13</f>
        <v>25212.3068789611</v>
      </c>
      <c r="G2380" s="17" t="n">
        <f aca="false">B2380*2/27+G2379*25/27</f>
        <v>25224.169184372</v>
      </c>
      <c r="H2380" s="17" t="n">
        <f aca="false">F2380-G2380</f>
        <v>-11.862305410883</v>
      </c>
      <c r="I2380" s="17" t="n">
        <f aca="false">H2380*2/10+I2379*8/10</f>
        <v>65.3291977111323</v>
      </c>
      <c r="J2380" s="17" t="n">
        <f aca="false">H2380-I2380</f>
        <v>-77.1915031220153</v>
      </c>
      <c r="K2380" s="17" t="n">
        <f aca="false">MAX(B2380-B2379,0)</f>
        <v>371.759999999998</v>
      </c>
      <c r="L2380" s="17" t="n">
        <f aca="false">MAX(B2379-B2380,0)</f>
        <v>0</v>
      </c>
      <c r="M2380" s="17" t="n">
        <f aca="false">(M2379*13+K2380)/14</f>
        <v>100.614234495992</v>
      </c>
      <c r="N2380" s="17" t="n">
        <f aca="false">(N2379*13+L2380)/14</f>
        <v>116.11828240634</v>
      </c>
      <c r="O2380" s="17" t="n">
        <f aca="false">IF(N2380=0,100,100-100/(1+M2380/N2380))</f>
        <v>46.4232298567975</v>
      </c>
      <c r="P2380" s="17" t="n">
        <f aca="false">AVERAGE(B2361:B2380)+2*STDEV(B2361:B2380)</f>
        <v>26191.1725749963</v>
      </c>
      <c r="Q2380" s="17" t="n">
        <f aca="false">AVERAGE(B2361:B2380)-2*STDEV(B2361:B2380)</f>
        <v>24254.8954250037</v>
      </c>
      <c r="R2380" s="19" t="n">
        <f aca="false">B2380/B2360-1</f>
        <v>0.015375081370036</v>
      </c>
      <c r="S2380" s="17" t="n">
        <f aca="false">STDEV(C2361:C2380)*SQRT(252)*100</f>
        <v>18.608903403659</v>
      </c>
      <c r="T2380" s="19" t="n">
        <f aca="false">B2359/B2129-1</f>
        <v>0.113722599072409</v>
      </c>
      <c r="U2380" s="19" t="n">
        <f aca="false">B2380/MAX(B2129:B2380)-1</f>
        <v>-0.0421319417990532</v>
      </c>
      <c r="V2380" s="17" t="n">
        <f aca="false">(B2380-AVERAGE(B2361:B2380))/STDEV(B2361:B2380)</f>
        <v>-0.420733157958896</v>
      </c>
    </row>
    <row r="2381" customFormat="false" ht="15" hidden="false" customHeight="false" outlineLevel="0" collapsed="false">
      <c r="A2381" s="17" t="s">
        <v>2945</v>
      </c>
      <c r="B2381" s="17" t="n">
        <v>25346.18</v>
      </c>
      <c r="C2381" s="19" t="n">
        <f aca="false">B2381/B2380-1</f>
        <v>0.0130622793459627</v>
      </c>
      <c r="D2381" s="17" t="n">
        <f aca="false">AVERAGE(B2332:B2381)</f>
        <v>25211.0852</v>
      </c>
      <c r="E2381" s="17" t="n">
        <f aca="false">AVERAGE(B2182:B2381)</f>
        <v>22714.1266</v>
      </c>
      <c r="F2381" s="17" t="n">
        <f aca="false">B2381*2/13+F2380*11/13</f>
        <v>25232.9027437363</v>
      </c>
      <c r="G2381" s="17" t="n">
        <f aca="false">B2381*2/27+G2380*25/27</f>
        <v>25233.2070225667</v>
      </c>
      <c r="H2381" s="17" t="n">
        <f aca="false">F2381-G2381</f>
        <v>-0.304278830335534</v>
      </c>
      <c r="I2381" s="17" t="n">
        <f aca="false">H2381*2/10+I2380*8/10</f>
        <v>52.2025024028387</v>
      </c>
      <c r="J2381" s="17" t="n">
        <f aca="false">H2381-I2381</f>
        <v>-52.5067812331743</v>
      </c>
      <c r="K2381" s="17" t="n">
        <f aca="false">MAX(B2381-B2380,0)</f>
        <v>326.810000000001</v>
      </c>
      <c r="L2381" s="17" t="n">
        <f aca="false">MAX(B2380-B2381,0)</f>
        <v>0</v>
      </c>
      <c r="M2381" s="17" t="n">
        <f aca="false">(M2380*13+K2381)/14</f>
        <v>116.771074889136</v>
      </c>
      <c r="N2381" s="17" t="n">
        <f aca="false">(N2380*13+L2381)/14</f>
        <v>107.824119377316</v>
      </c>
      <c r="O2381" s="17" t="n">
        <f aca="false">IF(N2381=0,100,100-100/(1+M2381/N2381))</f>
        <v>51.9917958487583</v>
      </c>
      <c r="P2381" s="17" t="n">
        <f aca="false">AVERAGE(B2362:B2381)+2*STDEV(B2362:B2381)</f>
        <v>26084.7390389776</v>
      </c>
      <c r="Q2381" s="17" t="n">
        <f aca="false">AVERAGE(B2362:B2381)-2*STDEV(B2362:B2381)</f>
        <v>24490.5089610224</v>
      </c>
      <c r="R2381" s="19" t="n">
        <f aca="false">B2381/B2361-1</f>
        <v>0.0537033172337014</v>
      </c>
      <c r="S2381" s="17" t="n">
        <f aca="false">STDEV(C2362:C2381)*SQRT(252)*100</f>
        <v>16.6363095910097</v>
      </c>
      <c r="T2381" s="19" t="n">
        <f aca="false">B2360/B2130-1</f>
        <v>0.161777935360492</v>
      </c>
      <c r="U2381" s="19" t="n">
        <f aca="false">B2381/MAX(B2130:B2381)-1</f>
        <v>-0.0296200016462574</v>
      </c>
      <c r="V2381" s="17" t="n">
        <f aca="false">(B2381-AVERAGE(B2362:B2381))/STDEV(B2362:B2381)</f>
        <v>0.146919822451495</v>
      </c>
    </row>
    <row r="2382" customFormat="false" ht="15" hidden="false" customHeight="false" outlineLevel="0" collapsed="false">
      <c r="A2382" s="17" t="s">
        <v>2946</v>
      </c>
      <c r="B2382" s="17" t="n">
        <v>25461.7</v>
      </c>
      <c r="C2382" s="19" t="n">
        <f aca="false">B2382/B2381-1</f>
        <v>0.00455768877203577</v>
      </c>
      <c r="D2382" s="17" t="n">
        <f aca="false">AVERAGE(B2333:B2382)</f>
        <v>25235.8844</v>
      </c>
      <c r="E2382" s="17" t="n">
        <f aca="false">AVERAGE(B2183:B2382)</f>
        <v>22740.42825</v>
      </c>
      <c r="F2382" s="17" t="n">
        <f aca="false">B2382*2/13+F2381*11/13</f>
        <v>25268.102321623</v>
      </c>
      <c r="G2382" s="17" t="n">
        <f aca="false">B2382*2/27+G2381*25/27</f>
        <v>25250.1324283025</v>
      </c>
      <c r="H2382" s="17" t="n">
        <f aca="false">F2382-G2382</f>
        <v>17.9698933205837</v>
      </c>
      <c r="I2382" s="17" t="n">
        <f aca="false">H2382*2/10+I2381*8/10</f>
        <v>45.3559805863877</v>
      </c>
      <c r="J2382" s="17" t="n">
        <f aca="false">H2382-I2382</f>
        <v>-27.3860872658041</v>
      </c>
      <c r="K2382" s="17" t="n">
        <f aca="false">MAX(B2382-B2381,0)</f>
        <v>115.52</v>
      </c>
      <c r="L2382" s="17" t="n">
        <f aca="false">MAX(B2381-B2382,0)</f>
        <v>0</v>
      </c>
      <c r="M2382" s="17" t="n">
        <f aca="false">(M2381*13+K2382)/14</f>
        <v>116.681712397055</v>
      </c>
      <c r="N2382" s="17" t="n">
        <f aca="false">(N2381*13+L2382)/14</f>
        <v>100.122396564651</v>
      </c>
      <c r="O2382" s="17" t="n">
        <f aca="false">IF(N2382=0,100,100-100/(1+M2382/N2382))</f>
        <v>53.8189580242986</v>
      </c>
      <c r="P2382" s="17" t="n">
        <f aca="false">AVERAGE(B2363:B2382)+2*STDEV(B2363:B2382)</f>
        <v>25977.0648076814</v>
      </c>
      <c r="Q2382" s="17" t="n">
        <f aca="false">AVERAGE(B2363:B2382)-2*STDEV(B2363:B2382)</f>
        <v>24720.3961923186</v>
      </c>
      <c r="R2382" s="19" t="n">
        <f aca="false">B2382/B2362-1</f>
        <v>0.05041879868331</v>
      </c>
      <c r="S2382" s="17" t="n">
        <f aca="false">STDEV(C2363:C2382)*SQRT(252)*100</f>
        <v>16.5475312111642</v>
      </c>
      <c r="T2382" s="19" t="n">
        <f aca="false">B2361/B2131-1</f>
        <v>0.139450444352126</v>
      </c>
      <c r="U2382" s="19" t="n">
        <f aca="false">B2382/MAX(B2131:B2382)-1</f>
        <v>-0.0251973116231524</v>
      </c>
      <c r="V2382" s="17" t="n">
        <f aca="false">(B2382-AVERAGE(B2363:B2382))/STDEV(B2363:B2382)</f>
        <v>0.359584057782448</v>
      </c>
    </row>
    <row r="2383" customFormat="false" ht="15" hidden="false" customHeight="false" outlineLevel="0" collapsed="false">
      <c r="A2383" s="17" t="s">
        <v>2947</v>
      </c>
      <c r="B2383" s="17" t="n">
        <v>25587.83</v>
      </c>
      <c r="C2383" s="19" t="n">
        <f aca="false">B2383/B2382-1</f>
        <v>0.00495371479516304</v>
      </c>
      <c r="D2383" s="17" t="n">
        <f aca="false">AVERAGE(B2334:B2383)</f>
        <v>25252.636</v>
      </c>
      <c r="E2383" s="17" t="n">
        <f aca="false">AVERAGE(B2184:B2383)</f>
        <v>22771.21265</v>
      </c>
      <c r="F2383" s="17" t="n">
        <f aca="false">B2383*2/13+F2382*11/13</f>
        <v>25317.2911952195</v>
      </c>
      <c r="G2383" s="17" t="n">
        <f aca="false">B2383*2/27+G2382*25/27</f>
        <v>25275.147063243</v>
      </c>
      <c r="H2383" s="17" t="n">
        <f aca="false">F2383-G2383</f>
        <v>42.1441319764781</v>
      </c>
      <c r="I2383" s="17" t="n">
        <f aca="false">H2383*2/10+I2382*8/10</f>
        <v>44.7136108644058</v>
      </c>
      <c r="J2383" s="17" t="n">
        <f aca="false">H2383-I2383</f>
        <v>-2.5694788879277</v>
      </c>
      <c r="K2383" s="17" t="n">
        <f aca="false">MAX(B2383-B2382,0)</f>
        <v>126.130000000001</v>
      </c>
      <c r="L2383" s="17" t="n">
        <f aca="false">MAX(B2382-B2383,0)</f>
        <v>0</v>
      </c>
      <c r="M2383" s="17" t="n">
        <f aca="false">(M2382*13+K2383)/14</f>
        <v>117.356590082979</v>
      </c>
      <c r="N2383" s="17" t="n">
        <f aca="false">(N2382*13+L2383)/14</f>
        <v>92.9707968100327</v>
      </c>
      <c r="O2383" s="17" t="n">
        <f aca="false">IF(N2383=0,100,100-100/(1+M2383/N2383))</f>
        <v>55.797103656632</v>
      </c>
      <c r="P2383" s="17" t="n">
        <f aca="false">AVERAGE(B2364:B2383)+2*STDEV(B2364:B2383)</f>
        <v>25979.4063186718</v>
      </c>
      <c r="Q2383" s="17" t="n">
        <f aca="false">AVERAGE(B2364:B2383)-2*STDEV(B2364:B2383)</f>
        <v>24789.4526813282</v>
      </c>
      <c r="R2383" s="19" t="n">
        <f aca="false">B2383/B2363-1</f>
        <v>0.0287040405888113</v>
      </c>
      <c r="S2383" s="17" t="n">
        <f aca="false">STDEV(C2364:C2383)*SQRT(252)*100</f>
        <v>14.0507198534366</v>
      </c>
      <c r="T2383" s="19" t="n">
        <f aca="false">B2362/B2132-1</f>
        <v>0.138587966170561</v>
      </c>
      <c r="U2383" s="19" t="n">
        <f aca="false">B2383/MAX(B2132:B2383)-1</f>
        <v>-0.0203684171233755</v>
      </c>
      <c r="V2383" s="17" t="n">
        <f aca="false">(B2383-AVERAGE(B2364:B2383))/STDEV(B2364:B2383)</f>
        <v>0.68372579776825</v>
      </c>
    </row>
    <row r="2384" customFormat="false" ht="15" hidden="false" customHeight="false" outlineLevel="0" collapsed="false">
      <c r="A2384" s="17" t="s">
        <v>2948</v>
      </c>
      <c r="B2384" s="17" t="n">
        <v>25656.15</v>
      </c>
      <c r="C2384" s="19" t="n">
        <f aca="false">B2384/B2383-1</f>
        <v>0.00267001930214472</v>
      </c>
      <c r="D2384" s="17" t="n">
        <f aca="false">AVERAGE(B2335:B2384)</f>
        <v>25274.1726</v>
      </c>
      <c r="E2384" s="17" t="n">
        <f aca="false">AVERAGE(B2185:B2384)</f>
        <v>22802.6086</v>
      </c>
      <c r="F2384" s="17" t="n">
        <f aca="false">B2384*2/13+F2383*11/13</f>
        <v>25369.4233190319</v>
      </c>
      <c r="G2384" s="17" t="n">
        <f aca="false">B2384*2/27+G2383*25/27</f>
        <v>25303.3695030028</v>
      </c>
      <c r="H2384" s="17" t="n">
        <f aca="false">F2384-G2384</f>
        <v>66.0538160290853</v>
      </c>
      <c r="I2384" s="17" t="n">
        <f aca="false">H2384*2/10+I2383*8/10</f>
        <v>48.9816518973417</v>
      </c>
      <c r="J2384" s="17" t="n">
        <f aca="false">H2384-I2384</f>
        <v>17.0721641317436</v>
      </c>
      <c r="K2384" s="17" t="n">
        <f aca="false">MAX(B2384-B2383,0)</f>
        <v>68.3199999999997</v>
      </c>
      <c r="L2384" s="17" t="n">
        <f aca="false">MAX(B2383-B2384,0)</f>
        <v>0</v>
      </c>
      <c r="M2384" s="17" t="n">
        <f aca="false">(M2383*13+K2384)/14</f>
        <v>113.853976505624</v>
      </c>
      <c r="N2384" s="17" t="n">
        <f aca="false">(N2383*13+L2384)/14</f>
        <v>86.3300256093161</v>
      </c>
      <c r="O2384" s="17" t="n">
        <f aca="false">IF(N2384=0,100,100-100/(1+M2384/N2384))</f>
        <v>56.8746629614549</v>
      </c>
      <c r="P2384" s="17" t="n">
        <f aca="false">AVERAGE(B2365:B2384)+2*STDEV(B2365:B2384)</f>
        <v>25996.8766388593</v>
      </c>
      <c r="Q2384" s="17" t="n">
        <f aca="false">AVERAGE(B2365:B2384)-2*STDEV(B2365:B2384)</f>
        <v>24835.7613611407</v>
      </c>
      <c r="R2384" s="19" t="n">
        <f aca="false">B2384/B2364-1</f>
        <v>0.0254928780303745</v>
      </c>
      <c r="S2384" s="17" t="n">
        <f aca="false">STDEV(C2365:C2384)*SQRT(252)*100</f>
        <v>13.9655516614603</v>
      </c>
      <c r="T2384" s="19" t="n">
        <f aca="false">B2363/B2133-1</f>
        <v>0.156752702043466</v>
      </c>
      <c r="U2384" s="19" t="n">
        <f aca="false">B2384/MAX(B2133:B2384)-1</f>
        <v>-0.0177527818881041</v>
      </c>
      <c r="V2384" s="17" t="n">
        <f aca="false">(B2384-AVERAGE(B2365:B2384))/STDEV(B2365:B2384)</f>
        <v>0.826209092593207</v>
      </c>
    </row>
    <row r="2385" customFormat="false" ht="15" hidden="false" customHeight="false" outlineLevel="0" collapsed="false">
      <c r="A2385" s="17" t="s">
        <v>2949</v>
      </c>
      <c r="B2385" s="17" t="n">
        <v>25644.39</v>
      </c>
      <c r="C2385" s="19" t="n">
        <f aca="false">B2385/B2384-1</f>
        <v>-0.000458369630673472</v>
      </c>
      <c r="D2385" s="17" t="n">
        <f aca="false">AVERAGE(B2336:B2385)</f>
        <v>25292.1532</v>
      </c>
      <c r="E2385" s="17" t="n">
        <f aca="false">AVERAGE(B2186:B2385)</f>
        <v>22832.85045</v>
      </c>
      <c r="F2385" s="17" t="n">
        <f aca="false">B2385*2/13+F2384*11/13</f>
        <v>25411.7258853347</v>
      </c>
      <c r="G2385" s="17" t="n">
        <f aca="false">B2385*2/27+G2384*25/27</f>
        <v>25328.6302805581</v>
      </c>
      <c r="H2385" s="17" t="n">
        <f aca="false">F2385-G2385</f>
        <v>83.0956047765249</v>
      </c>
      <c r="I2385" s="17" t="n">
        <f aca="false">H2385*2/10+I2384*8/10</f>
        <v>55.8044424731783</v>
      </c>
      <c r="J2385" s="17" t="n">
        <f aca="false">H2385-I2385</f>
        <v>27.2911623033465</v>
      </c>
      <c r="K2385" s="17" t="n">
        <f aca="false">MAX(B2385-B2384,0)</f>
        <v>0</v>
      </c>
      <c r="L2385" s="17" t="n">
        <f aca="false">MAX(B2384-B2385,0)</f>
        <v>11.760000000002</v>
      </c>
      <c r="M2385" s="17" t="n">
        <f aca="false">(M2384*13+K2385)/14</f>
        <v>105.721549612365</v>
      </c>
      <c r="N2385" s="17" t="n">
        <f aca="false">(N2384*13+L2385)/14</f>
        <v>81.0035952086508</v>
      </c>
      <c r="O2385" s="17" t="n">
        <f aca="false">IF(N2385=0,100,100-100/(1+M2385/N2385))</f>
        <v>56.618807131575</v>
      </c>
      <c r="P2385" s="17" t="n">
        <f aca="false">AVERAGE(B2366:B2385)+2*STDEV(B2366:B2385)</f>
        <v>26019.3375237038</v>
      </c>
      <c r="Q2385" s="17" t="n">
        <f aca="false">AVERAGE(B2366:B2385)-2*STDEV(B2366:B2385)</f>
        <v>24854.0454762962</v>
      </c>
      <c r="R2385" s="19" t="n">
        <f aca="false">B2385/B2365-1</f>
        <v>0.0161449842968284</v>
      </c>
      <c r="S2385" s="17" t="n">
        <f aca="false">STDEV(C2366:C2385)*SQRT(252)*100</f>
        <v>13.6945937987351</v>
      </c>
      <c r="T2385" s="19" t="n">
        <f aca="false">B2364/B2134-1</f>
        <v>0.147754918534796</v>
      </c>
      <c r="U2385" s="19" t="n">
        <f aca="false">B2385/MAX(B2134:B2385)-1</f>
        <v>-0.0182030141827001</v>
      </c>
      <c r="V2385" s="17" t="n">
        <f aca="false">(B2385-AVERAGE(B2366:B2385))/STDEV(B2366:B2385)</f>
        <v>0.712949171710378</v>
      </c>
    </row>
    <row r="2386" customFormat="false" ht="15" hidden="false" customHeight="false" outlineLevel="0" collapsed="false">
      <c r="A2386" s="17" t="s">
        <v>2950</v>
      </c>
      <c r="B2386" s="17" t="n">
        <v>25525.56</v>
      </c>
      <c r="C2386" s="19" t="n">
        <f aca="false">B2386/B2385-1</f>
        <v>-0.00463376200408738</v>
      </c>
      <c r="D2386" s="17" t="n">
        <f aca="false">AVERAGE(B2337:B2386)</f>
        <v>25309.5196</v>
      </c>
      <c r="E2386" s="17" t="n">
        <f aca="false">AVERAGE(B2187:B2386)</f>
        <v>22864.35085</v>
      </c>
      <c r="F2386" s="17" t="n">
        <f aca="false">B2386*2/13+F2385*11/13</f>
        <v>25429.2388260524</v>
      </c>
      <c r="G2386" s="17" t="n">
        <f aca="false">B2386*2/27+G2385*25/27</f>
        <v>25343.2176671835</v>
      </c>
      <c r="H2386" s="17" t="n">
        <f aca="false">F2386-G2386</f>
        <v>86.0211588689454</v>
      </c>
      <c r="I2386" s="17" t="n">
        <f aca="false">H2386*2/10+I2385*8/10</f>
        <v>61.8477857523317</v>
      </c>
      <c r="J2386" s="17" t="n">
        <f aca="false">H2386-I2386</f>
        <v>24.1733731166136</v>
      </c>
      <c r="K2386" s="17" t="n">
        <f aca="false">MAX(B2386-B2385,0)</f>
        <v>0</v>
      </c>
      <c r="L2386" s="17" t="n">
        <f aca="false">MAX(B2385-B2386,0)</f>
        <v>118.829999999998</v>
      </c>
      <c r="M2386" s="17" t="n">
        <f aca="false">(M2385*13+K2386)/14</f>
        <v>98.1700103543388</v>
      </c>
      <c r="N2386" s="17" t="n">
        <f aca="false">(N2385*13+L2386)/14</f>
        <v>83.7054812651756</v>
      </c>
      <c r="O2386" s="17" t="n">
        <f aca="false">IF(N2386=0,100,100-100/(1+M2386/N2386))</f>
        <v>53.9764920936745</v>
      </c>
      <c r="P2386" s="17" t="n">
        <f aca="false">AVERAGE(B2367:B2386)+2*STDEV(B2367:B2386)</f>
        <v>26025.2214239076</v>
      </c>
      <c r="Q2386" s="17" t="n">
        <f aca="false">AVERAGE(B2367:B2386)-2*STDEV(B2367:B2386)</f>
        <v>24857.2285760924</v>
      </c>
      <c r="R2386" s="19" t="n">
        <f aca="false">B2386/B2366-1</f>
        <v>0.00356478836747476</v>
      </c>
      <c r="S2386" s="17" t="n">
        <f aca="false">STDEV(C2367:C2386)*SQRT(252)*100</f>
        <v>13.5634236531895</v>
      </c>
      <c r="T2386" s="19" t="n">
        <f aca="false">B2365/B2135-1</f>
        <v>0.159343100130419</v>
      </c>
      <c r="U2386" s="19" t="n">
        <f aca="false">B2386/MAX(B2135:B2386)-1</f>
        <v>-0.0227524277513078</v>
      </c>
      <c r="V2386" s="17" t="n">
        <f aca="false">(B2386-AVERAGE(B2367:B2386))/STDEV(B2367:B2386)</f>
        <v>0.288820261725949</v>
      </c>
    </row>
    <row r="2387" customFormat="false" ht="15" hidden="false" customHeight="false" outlineLevel="0" collapsed="false">
      <c r="A2387" s="17" t="s">
        <v>2951</v>
      </c>
      <c r="B2387" s="17" t="n">
        <v>25462.56</v>
      </c>
      <c r="C2387" s="19" t="n">
        <f aca="false">B2387/B2386-1</f>
        <v>-0.00246811431365268</v>
      </c>
      <c r="D2387" s="17" t="n">
        <f aca="false">AVERAGE(B2338:B2387)</f>
        <v>25322.4118</v>
      </c>
      <c r="E2387" s="17" t="n">
        <f aca="false">AVERAGE(B2188:B2387)</f>
        <v>22893.14045</v>
      </c>
      <c r="F2387" s="17" t="n">
        <f aca="false">B2387*2/13+F2386*11/13</f>
        <v>25434.3651605059</v>
      </c>
      <c r="G2387" s="17" t="n">
        <f aca="false">B2387*2/27+G2386*25/27</f>
        <v>25352.0578399847</v>
      </c>
      <c r="H2387" s="17" t="n">
        <f aca="false">F2387-G2387</f>
        <v>82.3073205211949</v>
      </c>
      <c r="I2387" s="17" t="n">
        <f aca="false">H2387*2/10+I2386*8/10</f>
        <v>65.9396927061044</v>
      </c>
      <c r="J2387" s="17" t="n">
        <f aca="false">H2387-I2387</f>
        <v>16.3676278150906</v>
      </c>
      <c r="K2387" s="17" t="n">
        <f aca="false">MAX(B2387-B2386,0)</f>
        <v>0</v>
      </c>
      <c r="L2387" s="17" t="n">
        <f aca="false">MAX(B2386-B2387,0)</f>
        <v>63</v>
      </c>
      <c r="M2387" s="17" t="n">
        <f aca="false">(M2386*13+K2387)/14</f>
        <v>91.1578667576004</v>
      </c>
      <c r="N2387" s="17" t="n">
        <f aca="false">(N2386*13+L2387)/14</f>
        <v>82.2265183176631</v>
      </c>
      <c r="O2387" s="17" t="n">
        <f aca="false">IF(N2387=0,100,100-100/(1+M2387/N2387))</f>
        <v>52.5755919242844</v>
      </c>
      <c r="P2387" s="17" t="n">
        <f aca="false">AVERAGE(B2368:B2387)+2*STDEV(B2368:B2387)</f>
        <v>26029.412703488</v>
      </c>
      <c r="Q2387" s="17" t="n">
        <f aca="false">AVERAGE(B2368:B2387)-2*STDEV(B2368:B2387)</f>
        <v>24865.008296512</v>
      </c>
      <c r="R2387" s="19" t="n">
        <f aca="false">B2387/B2367-1</f>
        <v>0.00472362027159545</v>
      </c>
      <c r="S2387" s="17" t="n">
        <f aca="false">STDEV(C2368:C2387)*SQRT(252)*100</f>
        <v>13.5264158267003</v>
      </c>
      <c r="T2387" s="19" t="n">
        <f aca="false">B2366/B2136-1</f>
        <v>0.184504555018344</v>
      </c>
      <c r="U2387" s="19" t="n">
        <f aca="false">B2387/MAX(B2136:B2387)-1</f>
        <v>-0.0251643864723571</v>
      </c>
      <c r="V2387" s="17" t="n">
        <f aca="false">(B2387-AVERAGE(B2368:B2387))/STDEV(B2368:B2387)</f>
        <v>0.0527291030780713</v>
      </c>
    </row>
    <row r="2388" customFormat="false" ht="15" hidden="false" customHeight="false" outlineLevel="0" collapsed="false">
      <c r="A2388" s="17" t="s">
        <v>2952</v>
      </c>
      <c r="B2388" s="17" t="n">
        <v>25249.85</v>
      </c>
      <c r="C2388" s="19" t="n">
        <f aca="false">B2388/B2387-1</f>
        <v>-0.00835383402140255</v>
      </c>
      <c r="D2388" s="17" t="n">
        <f aca="false">AVERAGE(B2339:B2388)</f>
        <v>25324.5884</v>
      </c>
      <c r="E2388" s="17" t="n">
        <f aca="false">AVERAGE(B2189:B2388)</f>
        <v>22920.3285</v>
      </c>
      <c r="F2388" s="17" t="n">
        <f aca="false">B2388*2/13+F2387*11/13</f>
        <v>25405.9782127358</v>
      </c>
      <c r="G2388" s="17" t="n">
        <f aca="false">B2388*2/27+G2387*25/27</f>
        <v>25344.4868888747</v>
      </c>
      <c r="H2388" s="17" t="n">
        <f aca="false">F2388-G2388</f>
        <v>61.4913238610352</v>
      </c>
      <c r="I2388" s="17" t="n">
        <f aca="false">H2388*2/10+I2387*8/10</f>
        <v>65.0500189370905</v>
      </c>
      <c r="J2388" s="17" t="n">
        <f aca="false">H2388-I2388</f>
        <v>-3.55869507605533</v>
      </c>
      <c r="K2388" s="17" t="n">
        <f aca="false">MAX(B2388-B2387,0)</f>
        <v>0</v>
      </c>
      <c r="L2388" s="17" t="n">
        <f aca="false">MAX(B2387-B2388,0)</f>
        <v>212.710000000003</v>
      </c>
      <c r="M2388" s="17" t="n">
        <f aca="false">(M2387*13+K2388)/14</f>
        <v>84.6465905606289</v>
      </c>
      <c r="N2388" s="17" t="n">
        <f aca="false">(N2387*13+L2388)/14</f>
        <v>91.5467670092587</v>
      </c>
      <c r="O2388" s="17" t="n">
        <f aca="false">IF(N2388=0,100,100-100/(1+M2388/N2388))</f>
        <v>48.0418738413868</v>
      </c>
      <c r="P2388" s="17" t="n">
        <f aca="false">AVERAGE(B2369:B2388)+2*STDEV(B2369:B2388)</f>
        <v>26018.1597266344</v>
      </c>
      <c r="Q2388" s="17" t="n">
        <f aca="false">AVERAGE(B2369:B2388)-2*STDEV(B2369:B2388)</f>
        <v>24845.6602733656</v>
      </c>
      <c r="R2388" s="19" t="n">
        <f aca="false">B2388/B2368-1</f>
        <v>-0.0119741616991172</v>
      </c>
      <c r="S2388" s="17" t="n">
        <f aca="false">STDEV(C2369:C2388)*SQRT(252)*100</f>
        <v>13.4977364444354</v>
      </c>
      <c r="T2388" s="19" t="n">
        <f aca="false">B2367/B2137-1</f>
        <v>0.195581563318361</v>
      </c>
      <c r="U2388" s="19" t="n">
        <f aca="false">B2388/MAX(B2137:B2388)-1</f>
        <v>-0.0333080013859192</v>
      </c>
      <c r="V2388" s="17" t="n">
        <f aca="false">(B2388-AVERAGE(B2369:B2388))/STDEV(B2369:B2388)</f>
        <v>-0.62110050283581</v>
      </c>
    </row>
    <row r="2389" customFormat="false" ht="15" hidden="false" customHeight="false" outlineLevel="0" collapsed="false">
      <c r="A2389" s="17" t="s">
        <v>2953</v>
      </c>
      <c r="B2389" s="17" t="n">
        <v>25206.17</v>
      </c>
      <c r="C2389" s="19" t="n">
        <f aca="false">B2389/B2388-1</f>
        <v>-0.00172991126679967</v>
      </c>
      <c r="D2389" s="17" t="n">
        <f aca="false">AVERAGE(B2340:B2389)</f>
        <v>25326.1692</v>
      </c>
      <c r="E2389" s="17" t="n">
        <f aca="false">AVERAGE(B2190:B2389)</f>
        <v>22948.94255</v>
      </c>
      <c r="F2389" s="17" t="n">
        <f aca="false">B2389*2/13+F2388*11/13</f>
        <v>25375.2384876995</v>
      </c>
      <c r="G2389" s="17" t="n">
        <f aca="false">B2389*2/27+G2388*25/27</f>
        <v>25334.2411934025</v>
      </c>
      <c r="H2389" s="17" t="n">
        <f aca="false">F2389-G2389</f>
        <v>40.9972942969689</v>
      </c>
      <c r="I2389" s="17" t="n">
        <f aca="false">H2389*2/10+I2388*8/10</f>
        <v>60.2394740090662</v>
      </c>
      <c r="J2389" s="17" t="n">
        <f aca="false">H2389-I2389</f>
        <v>-19.2421797120973</v>
      </c>
      <c r="K2389" s="17" t="n">
        <f aca="false">MAX(B2389-B2388,0)</f>
        <v>0</v>
      </c>
      <c r="L2389" s="17" t="n">
        <f aca="false">MAX(B2388-B2389,0)</f>
        <v>43.6800000000003</v>
      </c>
      <c r="M2389" s="17" t="n">
        <f aca="false">(M2388*13+K2389)/14</f>
        <v>78.600405520584</v>
      </c>
      <c r="N2389" s="17" t="n">
        <f aca="false">(N2388*13+L2389)/14</f>
        <v>88.1277122228831</v>
      </c>
      <c r="O2389" s="17" t="n">
        <f aca="false">IF(N2389=0,100,100-100/(1+M2389/N2389))</f>
        <v>47.1428614347587</v>
      </c>
      <c r="P2389" s="17" t="n">
        <f aca="false">AVERAGE(B2370:B2389)+2*STDEV(B2370:B2389)</f>
        <v>26000.3720820264</v>
      </c>
      <c r="Q2389" s="17" t="n">
        <f aca="false">AVERAGE(B2370:B2389)-2*STDEV(B2370:B2389)</f>
        <v>24823.4109179736</v>
      </c>
      <c r="R2389" s="19" t="n">
        <f aca="false">B2389/B2369-1</f>
        <v>-0.0156354587538966</v>
      </c>
      <c r="S2389" s="17" t="n">
        <f aca="false">STDEV(C2370:C2389)*SQRT(252)*100</f>
        <v>13.4689889874119</v>
      </c>
      <c r="T2389" s="19" t="n">
        <f aca="false">B2368/B2138-1</f>
        <v>0.216240873741265</v>
      </c>
      <c r="U2389" s="19" t="n">
        <f aca="false">B2389/MAX(B2138:B2389)-1</f>
        <v>-0.0349802927658467</v>
      </c>
      <c r="V2389" s="17" t="n">
        <f aca="false">(B2389-AVERAGE(B2370:B2389))/STDEV(B2370:B2389)</f>
        <v>-0.699161557010497</v>
      </c>
    </row>
    <row r="2390" customFormat="false" ht="15" hidden="false" customHeight="false" outlineLevel="0" collapsed="false">
      <c r="A2390" s="17" t="s">
        <v>2954</v>
      </c>
      <c r="B2390" s="17" t="n">
        <v>25401.32</v>
      </c>
      <c r="C2390" s="19" t="n">
        <f aca="false">B2390/B2389-1</f>
        <v>0.00774215202071571</v>
      </c>
      <c r="D2390" s="17" t="n">
        <f aca="false">AVERAGE(B2341:B2390)</f>
        <v>25336.6154</v>
      </c>
      <c r="E2390" s="17" t="n">
        <f aca="false">AVERAGE(B2191:B2390)</f>
        <v>22977.26585</v>
      </c>
      <c r="F2390" s="17" t="n">
        <f aca="false">B2390*2/13+F2389*11/13</f>
        <v>25379.2510280534</v>
      </c>
      <c r="G2390" s="17" t="n">
        <f aca="false">B2390*2/27+G2389*25/27</f>
        <v>25339.2099938912</v>
      </c>
      <c r="H2390" s="17" t="n">
        <f aca="false">F2390-G2390</f>
        <v>40.04103416219</v>
      </c>
      <c r="I2390" s="17" t="n">
        <f aca="false">H2390*2/10+I2389*8/10</f>
        <v>56.199786039691</v>
      </c>
      <c r="J2390" s="17" t="n">
        <f aca="false">H2390-I2390</f>
        <v>-16.1587518775009</v>
      </c>
      <c r="K2390" s="17" t="n">
        <f aca="false">MAX(B2390-B2389,0)</f>
        <v>195.150000000001</v>
      </c>
      <c r="L2390" s="17" t="n">
        <f aca="false">MAX(B2389-B2390,0)</f>
        <v>0</v>
      </c>
      <c r="M2390" s="17" t="n">
        <f aca="false">(M2389*13+K2390)/14</f>
        <v>86.9253765548281</v>
      </c>
      <c r="N2390" s="17" t="n">
        <f aca="false">(N2389*13+L2390)/14</f>
        <v>81.8328756355343</v>
      </c>
      <c r="O2390" s="17" t="n">
        <f aca="false">IF(N2390=0,100,100-100/(1+M2390/N2390))</f>
        <v>51.5088153773806</v>
      </c>
      <c r="P2390" s="17" t="n">
        <f aca="false">AVERAGE(B2371:B2390)+2*STDEV(B2371:B2390)</f>
        <v>25985.8990157778</v>
      </c>
      <c r="Q2390" s="17" t="n">
        <f aca="false">AVERAGE(B2371:B2390)-2*STDEV(B2371:B2390)</f>
        <v>24819.8459842222</v>
      </c>
      <c r="R2390" s="19" t="n">
        <f aca="false">B2390/B2370-1</f>
        <v>-0.00705113420921988</v>
      </c>
      <c r="S2390" s="17" t="n">
        <f aca="false">STDEV(C2371:C2390)*SQRT(252)*100</f>
        <v>13.8013222218233</v>
      </c>
      <c r="T2390" s="19" t="n">
        <f aca="false">B2369/B2139-1</f>
        <v>0.220776310783662</v>
      </c>
      <c r="U2390" s="19" t="n">
        <f aca="false">B2390/MAX(B2139:B2390)-1</f>
        <v>-0.0275089634894534</v>
      </c>
      <c r="V2390" s="17" t="n">
        <f aca="false">(B2390-AVERAGE(B2371:B2390))/STDEV(B2371:B2390)</f>
        <v>-0.00532565829507927</v>
      </c>
    </row>
    <row r="2391" customFormat="false" ht="15" hidden="false" customHeight="false" outlineLevel="0" collapsed="false">
      <c r="A2391" s="17" t="s">
        <v>2955</v>
      </c>
      <c r="B2391" s="17" t="n">
        <v>25639.71</v>
      </c>
      <c r="C2391" s="19" t="n">
        <f aca="false">B2391/B2390-1</f>
        <v>0.00938494534929668</v>
      </c>
      <c r="D2391" s="17" t="n">
        <f aca="false">AVERAGE(B2342:B2391)</f>
        <v>25347.4614</v>
      </c>
      <c r="E2391" s="17" t="n">
        <f aca="false">AVERAGE(B2192:B2391)</f>
        <v>23007.07635</v>
      </c>
      <c r="F2391" s="17" t="n">
        <f aca="false">B2391*2/13+F2390*11/13</f>
        <v>25419.3216391221</v>
      </c>
      <c r="G2391" s="17" t="n">
        <f aca="false">B2391*2/27+G2390*25/27</f>
        <v>25361.469253603</v>
      </c>
      <c r="H2391" s="17" t="n">
        <f aca="false">F2391-G2391</f>
        <v>57.8523855191379</v>
      </c>
      <c r="I2391" s="17" t="n">
        <f aca="false">H2391*2/10+I2390*8/10</f>
        <v>56.5303059355804</v>
      </c>
      <c r="J2391" s="17" t="n">
        <f aca="false">H2391-I2391</f>
        <v>1.32207958355755</v>
      </c>
      <c r="K2391" s="17" t="n">
        <f aca="false">MAX(B2391-B2390,0)</f>
        <v>238.389999999999</v>
      </c>
      <c r="L2391" s="17" t="n">
        <f aca="false">MAX(B2390-B2391,0)</f>
        <v>0</v>
      </c>
      <c r="M2391" s="17" t="n">
        <f aca="false">(M2390*13+K2391)/14</f>
        <v>97.7442782294832</v>
      </c>
      <c r="N2391" s="17" t="n">
        <f aca="false">(N2390*13+L2391)/14</f>
        <v>75.9876702329962</v>
      </c>
      <c r="O2391" s="17" t="n">
        <f aca="false">IF(N2391=0,100,100-100/(1+M2391/N2391))</f>
        <v>56.2615449228055</v>
      </c>
      <c r="P2391" s="17" t="n">
        <f aca="false">AVERAGE(B2372:B2391)+2*STDEV(B2372:B2391)</f>
        <v>25978.264972167</v>
      </c>
      <c r="Q2391" s="17" t="n">
        <f aca="false">AVERAGE(B2372:B2391)-2*STDEV(B2372:B2391)</f>
        <v>24822.246027833</v>
      </c>
      <c r="R2391" s="19" t="n">
        <f aca="false">B2391/B2371-1</f>
        <v>-0.00203720606179736</v>
      </c>
      <c r="S2391" s="17" t="n">
        <f aca="false">STDEV(C2372:C2391)*SQRT(252)*100</f>
        <v>14.1402693971897</v>
      </c>
      <c r="T2391" s="19" t="n">
        <f aca="false">B2370/B2140-1</f>
        <v>0.199545534686038</v>
      </c>
      <c r="U2391" s="19" t="n">
        <f aca="false">B2391/MAX(B2140:B2391)-1</f>
        <v>-0.018382188259121</v>
      </c>
      <c r="V2391" s="17" t="n">
        <f aca="false">(B2391-AVERAGE(B2372:B2391))/STDEV(B2372:B2391)</f>
        <v>0.828548705619929</v>
      </c>
    </row>
    <row r="2392" customFormat="false" ht="15" hidden="false" customHeight="false" outlineLevel="0" collapsed="false">
      <c r="A2392" s="17" t="s">
        <v>2956</v>
      </c>
      <c r="B2392" s="17" t="n">
        <v>25653.9</v>
      </c>
      <c r="C2392" s="19" t="n">
        <f aca="false">B2392/B2391-1</f>
        <v>0.000553438396924344</v>
      </c>
      <c r="D2392" s="17" t="n">
        <f aca="false">AVERAGE(B2343:B2392)</f>
        <v>25353.3762</v>
      </c>
      <c r="E2392" s="17" t="n">
        <f aca="false">AVERAGE(B2193:B2392)</f>
        <v>23036.576</v>
      </c>
      <c r="F2392" s="17" t="n">
        <f aca="false">B2392*2/13+F2391*11/13</f>
        <v>25455.4106177187</v>
      </c>
      <c r="G2392" s="17" t="n">
        <f aca="false">B2392*2/27+G2391*25/27</f>
        <v>25383.1307903731</v>
      </c>
      <c r="H2392" s="17" t="n">
        <f aca="false">F2392-G2392</f>
        <v>72.2798273455883</v>
      </c>
      <c r="I2392" s="17" t="n">
        <f aca="false">H2392*2/10+I2391*8/10</f>
        <v>59.6802102175819</v>
      </c>
      <c r="J2392" s="17" t="n">
        <f aca="false">H2392-I2392</f>
        <v>12.5996171280063</v>
      </c>
      <c r="K2392" s="17" t="n">
        <f aca="false">MAX(B2392-B2391,0)</f>
        <v>14.1900000000023</v>
      </c>
      <c r="L2392" s="17" t="n">
        <f aca="false">MAX(B2391-B2392,0)</f>
        <v>0</v>
      </c>
      <c r="M2392" s="17" t="n">
        <f aca="false">(M2391*13+K2392)/14</f>
        <v>91.776115498806</v>
      </c>
      <c r="N2392" s="17" t="n">
        <f aca="false">(N2391*13+L2392)/14</f>
        <v>70.5599795020679</v>
      </c>
      <c r="O2392" s="17" t="n">
        <f aca="false">IF(N2392=0,100,100-100/(1+M2392/N2392))</f>
        <v>56.5346329775346</v>
      </c>
      <c r="P2392" s="17" t="n">
        <f aca="false">AVERAGE(B2373:B2392)+2*STDEV(B2373:B2392)</f>
        <v>25981.8266358178</v>
      </c>
      <c r="Q2392" s="17" t="n">
        <f aca="false">AVERAGE(B2373:B2392)-2*STDEV(B2373:B2392)</f>
        <v>24821.2793641822</v>
      </c>
      <c r="R2392" s="19" t="n">
        <f aca="false">B2392/B2372-1</f>
        <v>0.00101256635821434</v>
      </c>
      <c r="S2392" s="17" t="n">
        <f aca="false">STDEV(C2373:C2392)*SQRT(252)*100</f>
        <v>14.1121398501167</v>
      </c>
      <c r="T2392" s="19" t="n">
        <f aca="false">B2371/B2141-1</f>
        <v>0.191681161436954</v>
      </c>
      <c r="U2392" s="19" t="n">
        <f aca="false">B2392/MAX(B2141:B2392)-1</f>
        <v>-0.0178389232709988</v>
      </c>
      <c r="V2392" s="17" t="n">
        <f aca="false">(B2392-AVERAGE(B2373:B2392))/STDEV(B2373:B2392)</f>
        <v>0.869751732367919</v>
      </c>
    </row>
    <row r="2393" customFormat="false" ht="15" hidden="false" customHeight="false" outlineLevel="0" collapsed="false">
      <c r="A2393" s="17" t="s">
        <v>2957</v>
      </c>
      <c r="B2393" s="17" t="n">
        <v>25507.1</v>
      </c>
      <c r="C2393" s="19" t="n">
        <f aca="false">B2393/B2392-1</f>
        <v>-0.00572232681970397</v>
      </c>
      <c r="D2393" s="17" t="n">
        <f aca="false">AVERAGE(B2344:B2393)</f>
        <v>25347.0872</v>
      </c>
      <c r="E2393" s="17" t="n">
        <f aca="false">AVERAGE(B2194:B2393)</f>
        <v>23063.20925</v>
      </c>
      <c r="F2393" s="17" t="n">
        <f aca="false">B2393*2/13+F2392*11/13</f>
        <v>25463.3628303774</v>
      </c>
      <c r="G2393" s="17" t="n">
        <f aca="false">B2393*2/27+G2392*25/27</f>
        <v>25392.3136947899</v>
      </c>
      <c r="H2393" s="17" t="n">
        <f aca="false">F2393-G2393</f>
        <v>71.0491355874401</v>
      </c>
      <c r="I2393" s="17" t="n">
        <f aca="false">H2393*2/10+I2392*8/10</f>
        <v>61.9539952915536</v>
      </c>
      <c r="J2393" s="17" t="n">
        <f aca="false">H2393-I2393</f>
        <v>9.09514029588654</v>
      </c>
      <c r="K2393" s="17" t="n">
        <f aca="false">MAX(B2393-B2392,0)</f>
        <v>0</v>
      </c>
      <c r="L2393" s="17" t="n">
        <f aca="false">MAX(B2392-B2393,0)</f>
        <v>146.800000000003</v>
      </c>
      <c r="M2393" s="17" t="n">
        <f aca="false">(M2392*13+K2393)/14</f>
        <v>85.2206786774627</v>
      </c>
      <c r="N2393" s="17" t="n">
        <f aca="false">(N2392*13+L2393)/14</f>
        <v>76.0056952519204</v>
      </c>
      <c r="O2393" s="17" t="n">
        <f aca="false">IF(N2393=0,100,100-100/(1+M2393/N2393))</f>
        <v>52.8577779183878</v>
      </c>
      <c r="P2393" s="17" t="n">
        <f aca="false">AVERAGE(B2374:B2393)+2*STDEV(B2374:B2393)</f>
        <v>25962.4764164767</v>
      </c>
      <c r="Q2393" s="17" t="n">
        <f aca="false">AVERAGE(B2374:B2393)-2*STDEV(B2374:B2393)</f>
        <v>24824.4705835233</v>
      </c>
      <c r="R2393" s="19" t="n">
        <f aca="false">B2393/B2373-1</f>
        <v>-0.00629521802631927</v>
      </c>
      <c r="S2393" s="17" t="n">
        <f aca="false">STDEV(C2374:C2393)*SQRT(252)*100</f>
        <v>14.2470002155859</v>
      </c>
      <c r="T2393" s="19" t="n">
        <f aca="false">B2372/B2142-1</f>
        <v>0.210404835583365</v>
      </c>
      <c r="U2393" s="19" t="n">
        <f aca="false">B2393/MAX(B2142:B2393)-1</f>
        <v>-0.0234591699416344</v>
      </c>
      <c r="V2393" s="17" t="n">
        <f aca="false">(B2393-AVERAGE(B2374:B2393))/STDEV(B2374:B2393)</f>
        <v>0.399388111061321</v>
      </c>
    </row>
    <row r="2394" customFormat="false" ht="15" hidden="false" customHeight="false" outlineLevel="0" collapsed="false">
      <c r="A2394" s="17" t="s">
        <v>2958</v>
      </c>
      <c r="B2394" s="17" t="n">
        <v>25766.26</v>
      </c>
      <c r="C2394" s="19" t="n">
        <f aca="false">B2394/B2393-1</f>
        <v>0.0101603083063146</v>
      </c>
      <c r="D2394" s="17" t="n">
        <f aca="false">AVERAGE(B2345:B2394)</f>
        <v>25342.1694</v>
      </c>
      <c r="E2394" s="17" t="n">
        <f aca="false">AVERAGE(B2195:B2394)</f>
        <v>23090.6014</v>
      </c>
      <c r="F2394" s="17" t="n">
        <f aca="false">B2394*2/13+F2393*11/13</f>
        <v>25509.9623949347</v>
      </c>
      <c r="G2394" s="17" t="n">
        <f aca="false">B2394*2/27+G2393*25/27</f>
        <v>25420.0134211018</v>
      </c>
      <c r="H2394" s="17" t="n">
        <f aca="false">F2394-G2394</f>
        <v>89.9489738329066</v>
      </c>
      <c r="I2394" s="17" t="n">
        <f aca="false">H2394*2/10+I2393*8/10</f>
        <v>67.5529909998242</v>
      </c>
      <c r="J2394" s="17" t="n">
        <f aca="false">H2394-I2394</f>
        <v>22.3959828330825</v>
      </c>
      <c r="K2394" s="17" t="n">
        <f aca="false">MAX(B2394-B2393,0)</f>
        <v>259.16</v>
      </c>
      <c r="L2394" s="17" t="n">
        <f aca="false">MAX(B2393-B2394,0)</f>
        <v>0</v>
      </c>
      <c r="M2394" s="17" t="n">
        <f aca="false">(M2393*13+K2394)/14</f>
        <v>97.6449159147868</v>
      </c>
      <c r="N2394" s="17" t="n">
        <f aca="false">(N2393*13+L2394)/14</f>
        <v>70.5767170196404</v>
      </c>
      <c r="O2394" s="17" t="n">
        <f aca="false">IF(N2394=0,100,100-100/(1+M2394/N2394))</f>
        <v>58.0453977360027</v>
      </c>
      <c r="P2394" s="17" t="n">
        <f aca="false">AVERAGE(B2375:B2394)+2*STDEV(B2375:B2394)</f>
        <v>25960.5413935423</v>
      </c>
      <c r="Q2394" s="17" t="n">
        <f aca="false">AVERAGE(B2375:B2394)-2*STDEV(B2375:B2394)</f>
        <v>24825.3876064577</v>
      </c>
      <c r="R2394" s="19" t="n">
        <f aca="false">B2394/B2374-1</f>
        <v>-0.000394934288831195</v>
      </c>
      <c r="S2394" s="17" t="n">
        <f aca="false">STDEV(C2375:C2394)*SQRT(252)*100</f>
        <v>14.6469995138941</v>
      </c>
      <c r="T2394" s="19" t="n">
        <f aca="false">B2373/B2143-1</f>
        <v>0.211875093539153</v>
      </c>
      <c r="U2394" s="19" t="n">
        <f aca="false">B2394/MAX(B2143:B2394)-1</f>
        <v>-0.013537214034537</v>
      </c>
      <c r="V2394" s="17" t="n">
        <f aca="false">(B2394-AVERAGE(B2375:B2394))/STDEV(B2375:B2394)</f>
        <v>1.31540062411706</v>
      </c>
    </row>
    <row r="2395" customFormat="false" ht="15" hidden="false" customHeight="false" outlineLevel="0" collapsed="false">
      <c r="A2395" s="17" t="s">
        <v>2959</v>
      </c>
      <c r="B2395" s="17" t="n">
        <v>25787.66</v>
      </c>
      <c r="C2395" s="19" t="n">
        <f aca="false">B2395/B2394-1</f>
        <v>0.000830543509224846</v>
      </c>
      <c r="D2395" s="17" t="n">
        <f aca="false">AVERAGE(B2346:B2395)</f>
        <v>25335.5256</v>
      </c>
      <c r="E2395" s="17" t="n">
        <f aca="false">AVERAGE(B2196:B2395)</f>
        <v>23119.95475</v>
      </c>
      <c r="F2395" s="17" t="n">
        <f aca="false">B2395*2/13+F2394*11/13</f>
        <v>25552.6851034063</v>
      </c>
      <c r="G2395" s="17" t="n">
        <f aca="false">B2395*2/27+G2394*25/27</f>
        <v>25447.2465010202</v>
      </c>
      <c r="H2395" s="17" t="n">
        <f aca="false">F2395-G2395</f>
        <v>105.438602386104</v>
      </c>
      <c r="I2395" s="17" t="n">
        <f aca="false">H2395*2/10+I2394*8/10</f>
        <v>75.1301132770802</v>
      </c>
      <c r="J2395" s="17" t="n">
        <f aca="false">H2395-I2395</f>
        <v>30.3084891090241</v>
      </c>
      <c r="K2395" s="17" t="n">
        <f aca="false">MAX(B2395-B2394,0)</f>
        <v>21.4000000000015</v>
      </c>
      <c r="L2395" s="17" t="n">
        <f aca="false">MAX(B2394-B2395,0)</f>
        <v>0</v>
      </c>
      <c r="M2395" s="17" t="n">
        <f aca="false">(M2394*13+K2395)/14</f>
        <v>92.1988504923021</v>
      </c>
      <c r="N2395" s="17" t="n">
        <f aca="false">(N2394*13+L2395)/14</f>
        <v>65.5355229468089</v>
      </c>
      <c r="O2395" s="17" t="n">
        <f aca="false">IF(N2395=0,100,100-100/(1+M2395/N2395))</f>
        <v>58.4519711728483</v>
      </c>
      <c r="P2395" s="17" t="n">
        <f aca="false">AVERAGE(B2376:B2395)+2*STDEV(B2376:B2395)</f>
        <v>25978.2456011306</v>
      </c>
      <c r="Q2395" s="17" t="n">
        <f aca="false">AVERAGE(B2376:B2395)-2*STDEV(B2376:B2395)</f>
        <v>24817.7803988694</v>
      </c>
      <c r="R2395" s="19" t="n">
        <f aca="false">B2395/B2375-1</f>
        <v>0.00393082954635271</v>
      </c>
      <c r="S2395" s="17" t="n">
        <f aca="false">STDEV(C2376:C2395)*SQRT(252)*100</f>
        <v>14.590099869658</v>
      </c>
      <c r="T2395" s="19" t="n">
        <f aca="false">B2374/B2144-1</f>
        <v>0.236423604082584</v>
      </c>
      <c r="U2395" s="19" t="n">
        <f aca="false">B2395/MAX(B2144:B2395)-1</f>
        <v>-0.0127179137705614</v>
      </c>
      <c r="V2395" s="17" t="n">
        <f aca="false">(B2395-AVERAGE(B2376:B2395))/STDEV(B2376:B2395)</f>
        <v>1.34307172413542</v>
      </c>
    </row>
    <row r="2396" customFormat="false" ht="15" hidden="false" customHeight="false" outlineLevel="0" collapsed="false">
      <c r="A2396" s="17" t="s">
        <v>2960</v>
      </c>
      <c r="B2396" s="17" t="n">
        <v>25741.95</v>
      </c>
      <c r="C2396" s="19" t="n">
        <f aca="false">B2396/B2395-1</f>
        <v>-0.00177255322894743</v>
      </c>
      <c r="D2396" s="17" t="n">
        <f aca="false">AVERAGE(B2347:B2396)</f>
        <v>25335.6684</v>
      </c>
      <c r="E2396" s="17" t="n">
        <f aca="false">AVERAGE(B2197:B2396)</f>
        <v>23149.6714</v>
      </c>
      <c r="F2396" s="17" t="n">
        <f aca="false">B2396*2/13+F2395*11/13</f>
        <v>25581.8027798053</v>
      </c>
      <c r="G2396" s="17" t="n">
        <f aca="false">B2396*2/27+G2395*25/27</f>
        <v>25469.0763898335</v>
      </c>
      <c r="H2396" s="17" t="n">
        <f aca="false">F2396-G2396</f>
        <v>112.726389971816</v>
      </c>
      <c r="I2396" s="17" t="n">
        <f aca="false">H2396*2/10+I2395*8/10</f>
        <v>82.6493686160274</v>
      </c>
      <c r="J2396" s="17" t="n">
        <f aca="false">H2396-I2396</f>
        <v>30.077021355789</v>
      </c>
      <c r="K2396" s="17" t="n">
        <f aca="false">MAX(B2396-B2395,0)</f>
        <v>0</v>
      </c>
      <c r="L2396" s="17" t="n">
        <f aca="false">MAX(B2395-B2396,0)</f>
        <v>45.7099999999991</v>
      </c>
      <c r="M2396" s="17" t="n">
        <f aca="false">(M2395*13+K2396)/14</f>
        <v>85.6132183142805</v>
      </c>
      <c r="N2396" s="17" t="n">
        <f aca="false">(N2395*13+L2396)/14</f>
        <v>64.1194141648939</v>
      </c>
      <c r="O2396" s="17" t="n">
        <f aca="false">IF(N2396=0,100,100-100/(1+M2396/N2396))</f>
        <v>57.1773947313643</v>
      </c>
      <c r="P2396" s="17" t="n">
        <f aca="false">AVERAGE(B2377:B2396)+2*STDEV(B2377:B2396)</f>
        <v>26016.8101733264</v>
      </c>
      <c r="Q2396" s="17" t="n">
        <f aca="false">AVERAGE(B2377:B2396)-2*STDEV(B2377:B2396)</f>
        <v>24833.7378266736</v>
      </c>
      <c r="R2396" s="19" t="n">
        <f aca="false">B2396/B2376-1</f>
        <v>0.0216385221415636</v>
      </c>
      <c r="S2396" s="17" t="n">
        <f aca="false">STDEV(C2377:C2396)*SQRT(252)*100</f>
        <v>12.7264041085209</v>
      </c>
      <c r="T2396" s="19" t="n">
        <f aca="false">B2375/B2145-1</f>
        <v>0.235844889899888</v>
      </c>
      <c r="U2396" s="19" t="n">
        <f aca="false">B2396/MAX(B2145:B2396)-1</f>
        <v>-0.0144679238203894</v>
      </c>
      <c r="V2396" s="17" t="n">
        <f aca="false">(B2396-AVERAGE(B2377:B2396))/STDEV(B2377:B2396)</f>
        <v>1.07069022751123</v>
      </c>
    </row>
    <row r="2397" customFormat="false" ht="15" hidden="false" customHeight="false" outlineLevel="0" collapsed="false">
      <c r="A2397" s="17" t="s">
        <v>2961</v>
      </c>
      <c r="B2397" s="17" t="n">
        <v>25465.94</v>
      </c>
      <c r="C2397" s="19" t="n">
        <f aca="false">B2397/B2396-1</f>
        <v>-0.0107221869361102</v>
      </c>
      <c r="D2397" s="17" t="n">
        <f aca="false">AVERAGE(B2348:B2397)</f>
        <v>25327.8246</v>
      </c>
      <c r="E2397" s="17" t="n">
        <f aca="false">AVERAGE(B2198:B2397)</f>
        <v>23180.5941</v>
      </c>
      <c r="F2397" s="17" t="n">
        <f aca="false">B2397*2/13+F2396*11/13</f>
        <v>25563.9777367583</v>
      </c>
      <c r="G2397" s="17" t="n">
        <f aca="false">B2397*2/27+G2396*25/27</f>
        <v>25468.8440646606</v>
      </c>
      <c r="H2397" s="17" t="n">
        <f aca="false">F2397-G2397</f>
        <v>95.1336720976979</v>
      </c>
      <c r="I2397" s="17" t="n">
        <f aca="false">H2397*2/10+I2396*8/10</f>
        <v>85.1462293123615</v>
      </c>
      <c r="J2397" s="17" t="n">
        <f aca="false">H2397-I2397</f>
        <v>9.98744278533633</v>
      </c>
      <c r="K2397" s="17" t="n">
        <f aca="false">MAX(B2397-B2396,0)</f>
        <v>0</v>
      </c>
      <c r="L2397" s="17" t="n">
        <f aca="false">MAX(B2396-B2397,0)</f>
        <v>276.010000000002</v>
      </c>
      <c r="M2397" s="17" t="n">
        <f aca="false">(M2396*13+K2397)/14</f>
        <v>79.4979884346891</v>
      </c>
      <c r="N2397" s="17" t="n">
        <f aca="false">(N2396*13+L2397)/14</f>
        <v>79.2544560102588</v>
      </c>
      <c r="O2397" s="17" t="n">
        <f aca="false">IF(N2397=0,100,100-100/(1+M2397/N2397))</f>
        <v>50.0767019447423</v>
      </c>
      <c r="P2397" s="17" t="n">
        <f aca="false">AVERAGE(B2378:B2397)+2*STDEV(B2378:B2397)</f>
        <v>26012.3121374765</v>
      </c>
      <c r="Q2397" s="17" t="n">
        <f aca="false">AVERAGE(B2378:B2397)-2*STDEV(B2378:B2397)</f>
        <v>24878.1028625235</v>
      </c>
      <c r="R2397" s="19" t="n">
        <f aca="false">B2397/B2377-1</f>
        <v>0.0159040055019952</v>
      </c>
      <c r="S2397" s="17" t="n">
        <f aca="false">STDEV(C2378:C2397)*SQRT(252)*100</f>
        <v>13.233781198057</v>
      </c>
      <c r="T2397" s="19" t="n">
        <f aca="false">B2376/B2146-1</f>
        <v>0.213866758906819</v>
      </c>
      <c r="U2397" s="19" t="n">
        <f aca="false">B2397/MAX(B2146:B2397)-1</f>
        <v>-0.02503498297272</v>
      </c>
      <c r="V2397" s="17" t="n">
        <f aca="false">(B2397-AVERAGE(B2378:B2397))/STDEV(B2378:B2397)</f>
        <v>0.0731170180242331</v>
      </c>
    </row>
    <row r="2398" customFormat="false" ht="15" hidden="false" customHeight="false" outlineLevel="0" collapsed="false">
      <c r="A2398" s="17" t="s">
        <v>2962</v>
      </c>
      <c r="B2398" s="17" t="n">
        <v>25547.07</v>
      </c>
      <c r="C2398" s="19" t="n">
        <f aca="false">B2398/B2397-1</f>
        <v>0.00318582388869215</v>
      </c>
      <c r="D2398" s="17" t="n">
        <f aca="false">AVERAGE(B2349:B2398)</f>
        <v>25319.3072</v>
      </c>
      <c r="E2398" s="17" t="n">
        <f aca="false">AVERAGE(B2199:B2398)</f>
        <v>23211.9372</v>
      </c>
      <c r="F2398" s="17" t="n">
        <f aca="false">B2398*2/13+F2397*11/13</f>
        <v>25561.3765464878</v>
      </c>
      <c r="G2398" s="17" t="n">
        <f aca="false">B2398*2/27+G2397*25/27</f>
        <v>25474.6385783895</v>
      </c>
      <c r="H2398" s="17" t="n">
        <f aca="false">F2398-G2398</f>
        <v>86.7379680983468</v>
      </c>
      <c r="I2398" s="17" t="n">
        <f aca="false">H2398*2/10+I2397*8/10</f>
        <v>85.4645770695586</v>
      </c>
      <c r="J2398" s="17" t="n">
        <f aca="false">H2398-I2398</f>
        <v>1.27339102878818</v>
      </c>
      <c r="K2398" s="17" t="n">
        <f aca="false">MAX(B2398-B2397,0)</f>
        <v>81.130000000001</v>
      </c>
      <c r="L2398" s="17" t="n">
        <f aca="false">MAX(B2397-B2398,0)</f>
        <v>0</v>
      </c>
      <c r="M2398" s="17" t="n">
        <f aca="false">(M2397*13+K2398)/14</f>
        <v>79.6145606893542</v>
      </c>
      <c r="N2398" s="17" t="n">
        <f aca="false">(N2397*13+L2398)/14</f>
        <v>73.5934234380975</v>
      </c>
      <c r="O2398" s="17" t="n">
        <f aca="false">IF(N2398=0,100,100-100/(1+M2398/N2398))</f>
        <v>51.9650207153198</v>
      </c>
      <c r="P2398" s="17" t="n">
        <f aca="false">AVERAGE(B2379:B2398)+2*STDEV(B2379:B2398)</f>
        <v>26014.9660493551</v>
      </c>
      <c r="Q2398" s="17" t="n">
        <f aca="false">AVERAGE(B2379:B2398)-2*STDEV(B2379:B2398)</f>
        <v>24916.8619506449</v>
      </c>
      <c r="R2398" s="19" t="n">
        <f aca="false">B2398/B2378-1</f>
        <v>0.0164775788268305</v>
      </c>
      <c r="S2398" s="17" t="n">
        <f aca="false">STDEV(C2379:C2398)*SQRT(252)*100</f>
        <v>13.2454988682695</v>
      </c>
      <c r="T2398" s="19" t="n">
        <f aca="false">B2377/B2147-1</f>
        <v>0.180311095520498</v>
      </c>
      <c r="U2398" s="19" t="n">
        <f aca="false">B2398/MAX(B2147:B2398)-1</f>
        <v>-0.0219289161308354</v>
      </c>
      <c r="V2398" s="17" t="n">
        <f aca="false">(B2398-AVERAGE(B2379:B2398))/STDEV(B2379:B2398)</f>
        <v>0.295622245997697</v>
      </c>
    </row>
    <row r="2399" customFormat="false" ht="15" hidden="false" customHeight="false" outlineLevel="0" collapsed="false">
      <c r="A2399" s="17" t="s">
        <v>2963</v>
      </c>
      <c r="B2399" s="17" t="n">
        <v>25529.26</v>
      </c>
      <c r="C2399" s="19" t="n">
        <f aca="false">B2399/B2398-1</f>
        <v>-0.00069714452577152</v>
      </c>
      <c r="D2399" s="17" t="n">
        <f aca="false">AVERAGE(B2350:B2399)</f>
        <v>25321.1784</v>
      </c>
      <c r="E2399" s="17" t="n">
        <f aca="false">AVERAGE(B2200:B2399)</f>
        <v>23242.4014</v>
      </c>
      <c r="F2399" s="17" t="n">
        <f aca="false">B2399*2/13+F2398*11/13</f>
        <v>25556.4355393359</v>
      </c>
      <c r="G2399" s="17" t="n">
        <f aca="false">B2399*2/27+G2398*25/27</f>
        <v>25478.6846096199</v>
      </c>
      <c r="H2399" s="17" t="n">
        <f aca="false">F2399-G2399</f>
        <v>77.7509297159631</v>
      </c>
      <c r="I2399" s="17" t="n">
        <f aca="false">H2399*2/10+I2398*8/10</f>
        <v>83.9218475988395</v>
      </c>
      <c r="J2399" s="17" t="n">
        <f aca="false">H2399-I2399</f>
        <v>-6.17091788287635</v>
      </c>
      <c r="K2399" s="17" t="n">
        <f aca="false">MAX(B2399-B2398,0)</f>
        <v>0</v>
      </c>
      <c r="L2399" s="17" t="n">
        <f aca="false">MAX(B2398-B2399,0)</f>
        <v>17.8100000000013</v>
      </c>
      <c r="M2399" s="17" t="n">
        <f aca="false">(M2398*13+K2399)/14</f>
        <v>73.9278063544003</v>
      </c>
      <c r="N2399" s="17" t="n">
        <f aca="false">(N2398*13+L2399)/14</f>
        <v>69.6088931925192</v>
      </c>
      <c r="O2399" s="17" t="n">
        <f aca="false">IF(N2399=0,100,100-100/(1+M2399/N2399))</f>
        <v>51.5044630312366</v>
      </c>
      <c r="P2399" s="17" t="n">
        <f aca="false">AVERAGE(B2380:B2399)+2*STDEV(B2380:B2399)</f>
        <v>25901.3375598805</v>
      </c>
      <c r="Q2399" s="17" t="n">
        <f aca="false">AVERAGE(B2380:B2399)-2*STDEV(B2380:B2399)</f>
        <v>25118.6554401195</v>
      </c>
      <c r="R2399" s="19" t="n">
        <f aca="false">B2399/B2379-1</f>
        <v>0.0357702024658779</v>
      </c>
      <c r="S2399" s="17" t="n">
        <f aca="false">STDEV(C2380:C2399)*SQRT(252)*100</f>
        <v>10.9340059680829</v>
      </c>
      <c r="T2399" s="19" t="n">
        <f aca="false">B2378/B2148-1</f>
        <v>0.191628756000711</v>
      </c>
      <c r="U2399" s="19" t="n">
        <f aca="false">B2399/MAX(B2148:B2399)-1</f>
        <v>-0.0226107730327702</v>
      </c>
      <c r="V2399" s="17" t="n">
        <f aca="false">(B2399-AVERAGE(B2380:B2399))/STDEV(B2380:B2399)</f>
        <v>0.0984486524663566</v>
      </c>
    </row>
    <row r="2400" customFormat="false" ht="15" hidden="false" customHeight="false" outlineLevel="0" collapsed="false">
      <c r="A2400" s="17" t="s">
        <v>2964</v>
      </c>
      <c r="B2400" s="17" t="n">
        <v>24987.57</v>
      </c>
      <c r="C2400" s="19" t="n">
        <f aca="false">B2400/B2399-1</f>
        <v>-0.0212183980264214</v>
      </c>
      <c r="D2400" s="17" t="n">
        <f aca="false">AVERAGE(B2351:B2400)</f>
        <v>25308.5292</v>
      </c>
      <c r="E2400" s="17" t="n">
        <f aca="false">AVERAGE(B2201:B2400)</f>
        <v>23269.43035</v>
      </c>
      <c r="F2400" s="17" t="n">
        <f aca="false">B2400*2/13+F2399*11/13</f>
        <v>25468.9177640534</v>
      </c>
      <c r="G2400" s="17" t="n">
        <f aca="false">B2400*2/27+G2399*25/27</f>
        <v>25442.305749648</v>
      </c>
      <c r="H2400" s="17" t="n">
        <f aca="false">F2400-G2400</f>
        <v>26.6120144053712</v>
      </c>
      <c r="I2400" s="17" t="n">
        <f aca="false">H2400*2/10+I2399*8/10</f>
        <v>72.4598809601458</v>
      </c>
      <c r="J2400" s="17" t="n">
        <f aca="false">H2400-I2400</f>
        <v>-45.8478665547747</v>
      </c>
      <c r="K2400" s="17" t="n">
        <f aca="false">MAX(B2400-B2399,0)</f>
        <v>0</v>
      </c>
      <c r="L2400" s="17" t="n">
        <f aca="false">MAX(B2399-B2400,0)</f>
        <v>541.689999999999</v>
      </c>
      <c r="M2400" s="17" t="n">
        <f aca="false">(M2399*13+K2400)/14</f>
        <v>68.6472487576575</v>
      </c>
      <c r="N2400" s="17" t="n">
        <f aca="false">(N2399*13+L2400)/14</f>
        <v>103.328972250196</v>
      </c>
      <c r="O2400" s="17" t="n">
        <f aca="false">IF(N2400=0,100,100-100/(1+M2400/N2400))</f>
        <v>39.9167096214555</v>
      </c>
      <c r="P2400" s="17" t="n">
        <f aca="false">AVERAGE(B2381:B2400)+2*STDEV(B2381:B2400)</f>
        <v>25908.305616977</v>
      </c>
      <c r="Q2400" s="17" t="n">
        <f aca="false">AVERAGE(B2381:B2400)-2*STDEV(B2381:B2400)</f>
        <v>25108.507383023</v>
      </c>
      <c r="R2400" s="19" t="n">
        <f aca="false">B2400/B2380-1</f>
        <v>-0.00127101521740958</v>
      </c>
      <c r="S2400" s="17" t="n">
        <f aca="false">STDEV(C2381:C2400)*SQRT(252)*100</f>
        <v>12.550153777108</v>
      </c>
      <c r="T2400" s="19" t="n">
        <f aca="false">B2379/B2149-1</f>
        <v>0.149546479761356</v>
      </c>
      <c r="U2400" s="19" t="n">
        <f aca="false">B2400/MAX(B2149:B2400)-1</f>
        <v>-0.0433494066772971</v>
      </c>
      <c r="V2400" s="17" t="n">
        <f aca="false">(B2400-AVERAGE(B2381:B2400))/STDEV(B2381:B2400)</f>
        <v>-2.60483946019824</v>
      </c>
    </row>
    <row r="2401" customFormat="false" ht="15" hidden="false" customHeight="false" outlineLevel="0" collapsed="false">
      <c r="A2401" s="17" t="s">
        <v>2965</v>
      </c>
      <c r="B2401" s="17" t="n">
        <v>25326.58</v>
      </c>
      <c r="C2401" s="19" t="n">
        <f aca="false">B2401/B2400-1</f>
        <v>0.0135671455847848</v>
      </c>
      <c r="D2401" s="17" t="n">
        <f aca="false">AVERAGE(B2352:B2401)</f>
        <v>25312.46</v>
      </c>
      <c r="E2401" s="17" t="n">
        <f aca="false">AVERAGE(B2202:B2401)</f>
        <v>23303.4559</v>
      </c>
      <c r="F2401" s="17" t="n">
        <f aca="false">B2401*2/13+F2400*11/13</f>
        <v>25447.0196465067</v>
      </c>
      <c r="G2401" s="17" t="n">
        <f aca="false">B2401*2/27+G2400*25/27</f>
        <v>25433.7334718963</v>
      </c>
      <c r="H2401" s="17" t="n">
        <f aca="false">F2401-G2401</f>
        <v>13.286174610399</v>
      </c>
      <c r="I2401" s="17" t="n">
        <f aca="false">H2401*2/10+I2400*8/10</f>
        <v>60.6251396901965</v>
      </c>
      <c r="J2401" s="17" t="n">
        <f aca="false">H2401-I2401</f>
        <v>-47.3389650797974</v>
      </c>
      <c r="K2401" s="17" t="n">
        <f aca="false">MAX(B2401-B2400,0)</f>
        <v>339.010000000002</v>
      </c>
      <c r="L2401" s="17" t="n">
        <f aca="false">MAX(B2400-B2401,0)</f>
        <v>0</v>
      </c>
      <c r="M2401" s="17" t="n">
        <f aca="false">(M2400*13+K2401)/14</f>
        <v>87.9588738463964</v>
      </c>
      <c r="N2401" s="17" t="n">
        <f aca="false">(N2400*13+L2401)/14</f>
        <v>95.9483313751822</v>
      </c>
      <c r="O2401" s="17" t="n">
        <f aca="false">IF(N2401=0,100,100-100/(1+M2401/N2401))</f>
        <v>47.8278563041726</v>
      </c>
      <c r="P2401" s="17" t="n">
        <f aca="false">AVERAGE(B2382:B2401)+2*STDEV(B2382:B2401)</f>
        <v>25909.0916980142</v>
      </c>
      <c r="Q2401" s="17" t="n">
        <f aca="false">AVERAGE(B2382:B2401)-2*STDEV(B2382:B2401)</f>
        <v>25105.7613019858</v>
      </c>
      <c r="R2401" s="19" t="n">
        <f aca="false">B2401/B2381-1</f>
        <v>-0.000773292070047615</v>
      </c>
      <c r="S2401" s="17" t="n">
        <f aca="false">STDEV(C2382:C2401)*SQRT(252)*100</f>
        <v>12.6211066237519</v>
      </c>
      <c r="T2401" s="19" t="n">
        <f aca="false">B2380/B2150-1</f>
        <v>0.160102863189269</v>
      </c>
      <c r="U2401" s="19" t="n">
        <f aca="false">B2401/MAX(B2150:B2401)-1</f>
        <v>-0.0303703888039172</v>
      </c>
      <c r="V2401" s="17" t="n">
        <f aca="false">(B2401-AVERAGE(B2382:B2401))/STDEV(B2382:B2401)</f>
        <v>-0.900483790450794</v>
      </c>
    </row>
    <row r="2402" customFormat="false" ht="15" hidden="false" customHeight="false" outlineLevel="0" collapsed="false">
      <c r="A2402" s="17" t="s">
        <v>2966</v>
      </c>
      <c r="B2402" s="17" t="n">
        <v>25518.35</v>
      </c>
      <c r="C2402" s="19" t="n">
        <f aca="false">B2402/B2401-1</f>
        <v>0.00757188692669897</v>
      </c>
      <c r="D2402" s="17" t="n">
        <f aca="false">AVERAGE(B2353:B2402)</f>
        <v>25321.6308</v>
      </c>
      <c r="E2402" s="17" t="n">
        <f aca="false">AVERAGE(B2203:B2402)</f>
        <v>23344.05915</v>
      </c>
      <c r="F2402" s="17" t="n">
        <f aca="false">B2402*2/13+F2401*11/13</f>
        <v>25457.9935470442</v>
      </c>
      <c r="G2402" s="17" t="n">
        <f aca="false">B2402*2/27+G2401*25/27</f>
        <v>25440.001362867</v>
      </c>
      <c r="H2402" s="17" t="n">
        <f aca="false">F2402-G2402</f>
        <v>17.9921841771866</v>
      </c>
      <c r="I2402" s="17" t="n">
        <f aca="false">H2402*2/10+I2401*8/10</f>
        <v>52.0985485875945</v>
      </c>
      <c r="J2402" s="17" t="n">
        <f aca="false">H2402-I2402</f>
        <v>-34.1063644104079</v>
      </c>
      <c r="K2402" s="17" t="n">
        <f aca="false">MAX(B2402-B2401,0)</f>
        <v>191.769999999997</v>
      </c>
      <c r="L2402" s="17" t="n">
        <f aca="false">MAX(B2401-B2402,0)</f>
        <v>0</v>
      </c>
      <c r="M2402" s="17" t="n">
        <f aca="false">(M2401*13+K2402)/14</f>
        <v>95.3739542859393</v>
      </c>
      <c r="N2402" s="17" t="n">
        <f aca="false">(N2401*13+L2402)/14</f>
        <v>89.0948791340978</v>
      </c>
      <c r="O2402" s="17" t="n">
        <f aca="false">IF(N2402=0,100,100-100/(1+M2402/N2402))</f>
        <v>51.7019338810323</v>
      </c>
      <c r="P2402" s="17" t="n">
        <f aca="false">AVERAGE(B2383:B2402)+2*STDEV(B2383:B2402)</f>
        <v>25911.3650688121</v>
      </c>
      <c r="Q2402" s="17" t="n">
        <f aca="false">AVERAGE(B2383:B2402)-2*STDEV(B2383:B2402)</f>
        <v>25109.1529311879</v>
      </c>
      <c r="R2402" s="19" t="n">
        <f aca="false">B2402/B2382-1</f>
        <v>0.00222491035555361</v>
      </c>
      <c r="S2402" s="17" t="n">
        <f aca="false">STDEV(C2383:C2402)*SQRT(252)*100</f>
        <v>12.809685662995</v>
      </c>
      <c r="T2402" s="19" t="n">
        <f aca="false">B2381/B2151-1</f>
        <v>0.159848990985219</v>
      </c>
      <c r="U2402" s="19" t="n">
        <f aca="false">B2402/MAX(B2151:B2402)-1</f>
        <v>-0.0230284630271613</v>
      </c>
      <c r="V2402" s="17" t="n">
        <f aca="false">(B2402-AVERAGE(B2383:B2402))/STDEV(B2383:B2402)</f>
        <v>0.0403434434386016</v>
      </c>
    </row>
    <row r="2403" customFormat="false" ht="15" hidden="false" customHeight="false" outlineLevel="0" collapsed="false">
      <c r="A2403" s="17" t="s">
        <v>2967</v>
      </c>
      <c r="B2403" s="17" t="n">
        <v>25605.47</v>
      </c>
      <c r="C2403" s="19" t="n">
        <f aca="false">B2403/B2402-1</f>
        <v>0.00341401383710172</v>
      </c>
      <c r="D2403" s="17" t="n">
        <f aca="false">AVERAGE(B2354:B2403)</f>
        <v>25321.5054</v>
      </c>
      <c r="E2403" s="17" t="n">
        <f aca="false">AVERAGE(B2204:B2403)</f>
        <v>23384.9331</v>
      </c>
      <c r="F2403" s="17" t="n">
        <f aca="false">B2403*2/13+F2402*11/13</f>
        <v>25480.6822321143</v>
      </c>
      <c r="G2403" s="17" t="n">
        <f aca="false">B2403*2/27+G2402*25/27</f>
        <v>25452.2582989509</v>
      </c>
      <c r="H2403" s="17" t="n">
        <f aca="false">F2403-G2403</f>
        <v>28.4239331633908</v>
      </c>
      <c r="I2403" s="17" t="n">
        <f aca="false">H2403*2/10+I2402*8/10</f>
        <v>47.3636255027537</v>
      </c>
      <c r="J2403" s="17" t="n">
        <f aca="false">H2403-I2403</f>
        <v>-18.939692339363</v>
      </c>
      <c r="K2403" s="17" t="n">
        <f aca="false">MAX(B2403-B2402,0)</f>
        <v>87.1200000000026</v>
      </c>
      <c r="L2403" s="17" t="n">
        <f aca="false">MAX(B2402-B2403,0)</f>
        <v>0</v>
      </c>
      <c r="M2403" s="17" t="n">
        <f aca="false">(M2402*13+K2403)/14</f>
        <v>94.7843861226581</v>
      </c>
      <c r="N2403" s="17" t="n">
        <f aca="false">(N2402*13+L2403)/14</f>
        <v>82.730959195948</v>
      </c>
      <c r="O2403" s="17" t="n">
        <f aca="false">IF(N2403=0,100,100-100/(1+M2403/N2403))</f>
        <v>53.3950380191291</v>
      </c>
      <c r="P2403" s="17" t="n">
        <f aca="false">AVERAGE(B2384:B2403)+2*STDEV(B2384:B2403)</f>
        <v>25913.0420584132</v>
      </c>
      <c r="Q2403" s="17" t="n">
        <f aca="false">AVERAGE(B2384:B2403)-2*STDEV(B2384:B2403)</f>
        <v>25109.2399415868</v>
      </c>
      <c r="R2403" s="19" t="n">
        <f aca="false">B2403/B2383-1</f>
        <v>0.000689390229652087</v>
      </c>
      <c r="S2403" s="17" t="n">
        <f aca="false">STDEV(C2384:C2403)*SQRT(252)*100</f>
        <v>12.7444730052877</v>
      </c>
      <c r="T2403" s="19" t="n">
        <f aca="false">B2382/B2152-1</f>
        <v>0.162585333134255</v>
      </c>
      <c r="U2403" s="19" t="n">
        <f aca="false">B2403/MAX(B2152:B2403)-1</f>
        <v>-0.0196930686814816</v>
      </c>
      <c r="V2403" s="17" t="n">
        <f aca="false">(B2403-AVERAGE(B2384:B2403))/STDEV(B2384:B2403)</f>
        <v>0.469414041219123</v>
      </c>
    </row>
    <row r="2404" customFormat="false" ht="15" hidden="false" customHeight="false" outlineLevel="0" collapsed="false">
      <c r="A2404" s="17" t="s">
        <v>2968</v>
      </c>
      <c r="B2404" s="17" t="n">
        <v>25713.21</v>
      </c>
      <c r="C2404" s="19" t="n">
        <f aca="false">B2404/B2403-1</f>
        <v>0.0042076946839873</v>
      </c>
      <c r="D2404" s="17" t="n">
        <f aca="false">AVERAGE(B2355:B2404)</f>
        <v>25325.0998</v>
      </c>
      <c r="E2404" s="17" t="n">
        <f aca="false">AVERAGE(B2205:B2404)</f>
        <v>23428.04715</v>
      </c>
      <c r="F2404" s="17" t="n">
        <f aca="false">B2404*2/13+F2403*11/13</f>
        <v>25516.4557348659</v>
      </c>
      <c r="G2404" s="17" t="n">
        <f aca="false">B2404*2/27+G2403*25/27</f>
        <v>25471.5880545842</v>
      </c>
      <c r="H2404" s="17" t="n">
        <f aca="false">F2404-G2404</f>
        <v>44.8676802817718</v>
      </c>
      <c r="I2404" s="17" t="n">
        <f aca="false">H2404*2/10+I2403*8/10</f>
        <v>46.8644364585574</v>
      </c>
      <c r="J2404" s="17" t="n">
        <f aca="false">H2404-I2404</f>
        <v>-1.9967561767856</v>
      </c>
      <c r="K2404" s="17" t="n">
        <f aca="false">MAX(B2404-B2403,0)</f>
        <v>107.739999999998</v>
      </c>
      <c r="L2404" s="17" t="n">
        <f aca="false">MAX(B2403-B2404,0)</f>
        <v>0</v>
      </c>
      <c r="M2404" s="17" t="n">
        <f aca="false">(M2403*13+K2404)/14</f>
        <v>95.7097871138966</v>
      </c>
      <c r="N2404" s="17" t="n">
        <f aca="false">(N2403*13+L2404)/14</f>
        <v>76.821604967666</v>
      </c>
      <c r="O2404" s="17" t="n">
        <f aca="false">IF(N2404=0,100,100-100/(1+M2404/N2404))</f>
        <v>55.4738392585685</v>
      </c>
      <c r="P2404" s="17" t="n">
        <f aca="false">AVERAGE(B2385:B2404)+2*STDEV(B2385:B2404)</f>
        <v>25921.0069099414</v>
      </c>
      <c r="Q2404" s="17" t="n">
        <f aca="false">AVERAGE(B2385:B2404)-2*STDEV(B2385:B2404)</f>
        <v>25106.9810900586</v>
      </c>
      <c r="R2404" s="19" t="n">
        <f aca="false">B2404/B2384-1</f>
        <v>0.00222402815699141</v>
      </c>
      <c r="S2404" s="17" t="n">
        <f aca="false">STDEV(C2385:C2404)*SQRT(252)*100</f>
        <v>12.7977339828807</v>
      </c>
      <c r="T2404" s="19" t="n">
        <f aca="false">B2383/B2153-1</f>
        <v>0.175154691303991</v>
      </c>
      <c r="U2404" s="19" t="n">
        <f aca="false">B2404/MAX(B2153:B2404)-1</f>
        <v>-0.0155682364178967</v>
      </c>
      <c r="V2404" s="17" t="n">
        <f aca="false">(B2404-AVERAGE(B2385:B2404))/STDEV(B2385:B2404)</f>
        <v>0.97891735192721</v>
      </c>
    </row>
    <row r="2405" customFormat="false" ht="15" hidden="false" customHeight="false" outlineLevel="0" collapsed="false">
      <c r="A2405" s="17" t="s">
        <v>2969</v>
      </c>
      <c r="B2405" s="17" t="n">
        <v>25939.74</v>
      </c>
      <c r="C2405" s="19" t="n">
        <f aca="false">B2405/B2404-1</f>
        <v>0.00880986854616772</v>
      </c>
      <c r="D2405" s="17" t="n">
        <f aca="false">AVERAGE(B2356:B2405)</f>
        <v>25333.548</v>
      </c>
      <c r="E2405" s="17" t="n">
        <f aca="false">AVERAGE(B2206:B2405)</f>
        <v>23462.02055</v>
      </c>
      <c r="F2405" s="17" t="n">
        <f aca="false">B2405*2/13+F2404*11/13</f>
        <v>25581.5763910404</v>
      </c>
      <c r="G2405" s="17" t="n">
        <f aca="false">B2405*2/27+G2404*25/27</f>
        <v>25506.2659764668</v>
      </c>
      <c r="H2405" s="17" t="n">
        <f aca="false">F2405-G2405</f>
        <v>75.3104145735815</v>
      </c>
      <c r="I2405" s="17" t="n">
        <f aca="false">H2405*2/10+I2404*8/10</f>
        <v>52.5536320815622</v>
      </c>
      <c r="J2405" s="17" t="n">
        <f aca="false">H2405-I2405</f>
        <v>22.7567824920193</v>
      </c>
      <c r="K2405" s="17" t="n">
        <f aca="false">MAX(B2405-B2404,0)</f>
        <v>226.530000000002</v>
      </c>
      <c r="L2405" s="17" t="n">
        <f aca="false">MAX(B2404-B2405,0)</f>
        <v>0</v>
      </c>
      <c r="M2405" s="17" t="n">
        <f aca="false">(M2404*13+K2405)/14</f>
        <v>105.054088034333</v>
      </c>
      <c r="N2405" s="17" t="n">
        <f aca="false">(N2404*13+L2405)/14</f>
        <v>71.3343474699755</v>
      </c>
      <c r="O2405" s="17" t="n">
        <f aca="false">IF(N2405=0,100,100-100/(1+M2405/N2405))</f>
        <v>59.5583762245948</v>
      </c>
      <c r="P2405" s="17" t="n">
        <f aca="false">AVERAGE(B2386:B2405)+2*STDEV(B2386:B2405)</f>
        <v>25975.2159830115</v>
      </c>
      <c r="Q2405" s="17" t="n">
        <f aca="false">AVERAGE(B2386:B2405)-2*STDEV(B2386:B2405)</f>
        <v>25082.3070169885</v>
      </c>
      <c r="R2405" s="19" t="n">
        <f aca="false">B2405/B2385-1</f>
        <v>0.0115171388362134</v>
      </c>
      <c r="S2405" s="17" t="n">
        <f aca="false">STDEV(C2386:C2405)*SQRT(252)*100</f>
        <v>13.1578583749048</v>
      </c>
      <c r="T2405" s="19" t="n">
        <f aca="false">B2384/B2154-1</f>
        <v>0.214361242904908</v>
      </c>
      <c r="U2405" s="19" t="n">
        <f aca="false">B2405/MAX(B2154:B2405)-1</f>
        <v>-0.00689552198806642</v>
      </c>
      <c r="V2405" s="17" t="n">
        <f aca="false">(B2405-AVERAGE(B2386:B2405))/STDEV(B2386:B2405)</f>
        <v>1.84107682031912</v>
      </c>
    </row>
    <row r="2406" customFormat="false" ht="15" hidden="false" customHeight="false" outlineLevel="0" collapsed="false">
      <c r="A2406" s="17" t="s">
        <v>2970</v>
      </c>
      <c r="B2406" s="17" t="n">
        <v>26022.79</v>
      </c>
      <c r="C2406" s="19" t="n">
        <f aca="false">B2406/B2405-1</f>
        <v>0.00320165121161575</v>
      </c>
      <c r="D2406" s="17" t="n">
        <f aca="false">AVERAGE(B2357:B2406)</f>
        <v>25354.1346</v>
      </c>
      <c r="E2406" s="17" t="n">
        <f aca="false">AVERAGE(B2207:B2406)</f>
        <v>23500.41665</v>
      </c>
      <c r="F2406" s="17" t="n">
        <f aca="false">B2406*2/13+F2405*11/13</f>
        <v>25649.4554078034</v>
      </c>
      <c r="G2406" s="17" t="n">
        <f aca="false">B2406*2/27+G2405*25/27</f>
        <v>25544.5270152471</v>
      </c>
      <c r="H2406" s="17" t="n">
        <f aca="false">F2406-G2406</f>
        <v>104.928392556361</v>
      </c>
      <c r="I2406" s="17" t="n">
        <f aca="false">H2406*2/10+I2405*8/10</f>
        <v>63.028584176522</v>
      </c>
      <c r="J2406" s="17" t="n">
        <f aca="false">H2406-I2406</f>
        <v>41.8998083798393</v>
      </c>
      <c r="K2406" s="17" t="n">
        <f aca="false">MAX(B2406-B2405,0)</f>
        <v>83.0499999999993</v>
      </c>
      <c r="L2406" s="17" t="n">
        <f aca="false">MAX(B2405-B2406,0)</f>
        <v>0</v>
      </c>
      <c r="M2406" s="17" t="n">
        <f aca="false">(M2405*13+K2406)/14</f>
        <v>103.482367460452</v>
      </c>
      <c r="N2406" s="17" t="n">
        <f aca="false">(N2405*13+L2406)/14</f>
        <v>66.2390369364059</v>
      </c>
      <c r="O2406" s="17" t="n">
        <f aca="false">IF(N2406=0,100,100-100/(1+M2406/N2406))</f>
        <v>60.9719014688802</v>
      </c>
      <c r="P2406" s="17" t="n">
        <f aca="false">AVERAGE(B2387:B2406)+2*STDEV(B2387:B2406)</f>
        <v>26051.7182458527</v>
      </c>
      <c r="Q2406" s="17" t="n">
        <f aca="false">AVERAGE(B2387:B2406)-2*STDEV(B2387:B2406)</f>
        <v>25055.5277541473</v>
      </c>
      <c r="R2406" s="19" t="n">
        <f aca="false">B2406/B2386-1</f>
        <v>0.0194796901615479</v>
      </c>
      <c r="S2406" s="17" t="n">
        <f aca="false">STDEV(C2387:C2406)*SQRT(252)*100</f>
        <v>13.0374598881821</v>
      </c>
      <c r="T2406" s="19" t="n">
        <f aca="false">B2385/B2155-1</f>
        <v>0.194816298157204</v>
      </c>
      <c r="U2406" s="19" t="n">
        <f aca="false">B2406/MAX(B2155:B2406)-1</f>
        <v>-0.0037159478327784</v>
      </c>
      <c r="V2406" s="17" t="n">
        <f aca="false">(B2406-AVERAGE(B2387:B2406))/STDEV(B2387:B2406)</f>
        <v>1.88384452132978</v>
      </c>
    </row>
    <row r="2407" customFormat="false" ht="15" hidden="false" customHeight="false" outlineLevel="0" collapsed="false">
      <c r="A2407" s="17" t="s">
        <v>2971</v>
      </c>
      <c r="B2407" s="17" t="n">
        <v>25884.3</v>
      </c>
      <c r="C2407" s="19" t="n">
        <f aca="false">B2407/B2406-1</f>
        <v>-0.00532187363461034</v>
      </c>
      <c r="D2407" s="17" t="n">
        <f aca="false">AVERAGE(B2358:B2407)</f>
        <v>25371.6558</v>
      </c>
      <c r="E2407" s="17" t="n">
        <f aca="false">AVERAGE(B2208:B2407)</f>
        <v>23536.3879</v>
      </c>
      <c r="F2407" s="17" t="n">
        <f aca="false">B2407*2/13+F2406*11/13</f>
        <v>25685.5853450644</v>
      </c>
      <c r="G2407" s="17" t="n">
        <f aca="false">B2407*2/27+G2406*25/27</f>
        <v>25569.695384488</v>
      </c>
      <c r="H2407" s="17" t="n">
        <f aca="false">F2407-G2407</f>
        <v>115.889960576416</v>
      </c>
      <c r="I2407" s="17" t="n">
        <f aca="false">H2407*2/10+I2406*8/10</f>
        <v>73.6008594565009</v>
      </c>
      <c r="J2407" s="17" t="n">
        <f aca="false">H2407-I2407</f>
        <v>42.2891011199155</v>
      </c>
      <c r="K2407" s="17" t="n">
        <f aca="false">MAX(B2407-B2406,0)</f>
        <v>0</v>
      </c>
      <c r="L2407" s="17" t="n">
        <f aca="false">MAX(B2406-B2407,0)</f>
        <v>138.490000000002</v>
      </c>
      <c r="M2407" s="17" t="n">
        <f aca="false">(M2406*13+K2407)/14</f>
        <v>96.0907697847052</v>
      </c>
      <c r="N2407" s="17" t="n">
        <f aca="false">(N2406*13+L2407)/14</f>
        <v>71.399820012377</v>
      </c>
      <c r="O2407" s="17" t="n">
        <f aca="false">IF(N2407=0,100,100-100/(1+M2407/N2407))</f>
        <v>57.3708468643647</v>
      </c>
      <c r="P2407" s="17" t="n">
        <f aca="false">AVERAGE(B2388:B2407)+2*STDEV(B2388:B2407)</f>
        <v>26091.9152892228</v>
      </c>
      <c r="Q2407" s="17" t="n">
        <f aca="false">AVERAGE(B2388:B2407)-2*STDEV(B2388:B2407)</f>
        <v>25057.5047107772</v>
      </c>
      <c r="R2407" s="19" t="n">
        <f aca="false">B2407/B2387-1</f>
        <v>0.0165631421192527</v>
      </c>
      <c r="S2407" s="17" t="n">
        <f aca="false">STDEV(C2388:C2407)*SQRT(252)*100</f>
        <v>13.1766751608276</v>
      </c>
      <c r="T2407" s="19" t="n">
        <f aca="false">B2386/B2156-1</f>
        <v>0.192144767334876</v>
      </c>
      <c r="U2407" s="19" t="n">
        <f aca="false">B2407/MAX(B2156:B2407)-1</f>
        <v>-0.0090180456625899</v>
      </c>
      <c r="V2407" s="17" t="n">
        <f aca="false">(B2407-AVERAGE(B2388:B2407))/STDEV(B2388:B2407)</f>
        <v>1.1971648645173</v>
      </c>
    </row>
    <row r="2408" customFormat="false" ht="15" hidden="false" customHeight="false" outlineLevel="0" collapsed="false">
      <c r="A2408" s="17" t="s">
        <v>2972</v>
      </c>
      <c r="B2408" s="17" t="n">
        <v>25552.39</v>
      </c>
      <c r="C2408" s="19" t="n">
        <f aca="false">B2408/B2407-1</f>
        <v>-0.0128228308279537</v>
      </c>
      <c r="D2408" s="17" t="n">
        <f aca="false">AVERAGE(B2359:B2408)</f>
        <v>25386.7052</v>
      </c>
      <c r="E2408" s="17" t="n">
        <f aca="false">AVERAGE(B2209:B2408)</f>
        <v>23570.16975</v>
      </c>
      <c r="F2408" s="17" t="n">
        <f aca="false">B2408*2/13+F2407*11/13</f>
        <v>25665.0937535161</v>
      </c>
      <c r="G2408" s="17" t="n">
        <f aca="false">B2408*2/27+G2407*25/27</f>
        <v>25568.4135041556</v>
      </c>
      <c r="H2408" s="17" t="n">
        <f aca="false">F2408-G2408</f>
        <v>96.6802493604846</v>
      </c>
      <c r="I2408" s="17" t="n">
        <f aca="false">H2408*2/10+I2407*8/10</f>
        <v>78.2167374372976</v>
      </c>
      <c r="J2408" s="17" t="n">
        <f aca="false">H2408-I2408</f>
        <v>18.463511923187</v>
      </c>
      <c r="K2408" s="17" t="n">
        <f aca="false">MAX(B2408-B2407,0)</f>
        <v>0</v>
      </c>
      <c r="L2408" s="17" t="n">
        <f aca="false">MAX(B2407-B2408,0)</f>
        <v>331.91</v>
      </c>
      <c r="M2408" s="17" t="n">
        <f aca="false">(M2407*13+K2408)/14</f>
        <v>89.227143371512</v>
      </c>
      <c r="N2408" s="17" t="n">
        <f aca="false">(N2407*13+L2408)/14</f>
        <v>90.0076900114929</v>
      </c>
      <c r="O2408" s="17" t="n">
        <f aca="false">IF(N2408=0,100,100-100/(1+M2408/N2408))</f>
        <v>49.7822558748073</v>
      </c>
      <c r="P2408" s="17" t="n">
        <f aca="false">AVERAGE(B2389:B2408)+2*STDEV(B2389:B2408)</f>
        <v>26084.2305931326</v>
      </c>
      <c r="Q2408" s="17" t="n">
        <f aca="false">AVERAGE(B2389:B2408)-2*STDEV(B2389:B2408)</f>
        <v>25095.4434068674</v>
      </c>
      <c r="R2408" s="19" t="n">
        <f aca="false">B2408/B2388-1</f>
        <v>0.0119818533575446</v>
      </c>
      <c r="S2408" s="17" t="n">
        <f aca="false">STDEV(C2389:C2408)*SQRT(252)*100</f>
        <v>13.6768936183988</v>
      </c>
      <c r="T2408" s="19" t="n">
        <f aca="false">B2387/B2157-1</f>
        <v>0.183858003395927</v>
      </c>
      <c r="U2408" s="19" t="n">
        <f aca="false">B2408/MAX(B2157:B2408)-1</f>
        <v>-0.0217252396166134</v>
      </c>
      <c r="V2408" s="17" t="n">
        <f aca="false">(B2408-AVERAGE(B2389:B2408))/STDEV(B2389:B2408)</f>
        <v>-0.1514865909274</v>
      </c>
    </row>
    <row r="2409" customFormat="false" ht="15" hidden="false" customHeight="false" outlineLevel="0" collapsed="false">
      <c r="A2409" s="17" t="s">
        <v>2973</v>
      </c>
      <c r="B2409" s="17" t="n">
        <v>25738.61</v>
      </c>
      <c r="C2409" s="19" t="n">
        <f aca="false">B2409/B2408-1</f>
        <v>0.00728777229840349</v>
      </c>
      <c r="D2409" s="17" t="n">
        <f aca="false">AVERAGE(B2360:B2409)</f>
        <v>25411.4154</v>
      </c>
      <c r="E2409" s="17" t="n">
        <f aca="false">AVERAGE(B2210:B2409)</f>
        <v>23604.71165</v>
      </c>
      <c r="F2409" s="17" t="n">
        <f aca="false">B2409*2/13+F2408*11/13</f>
        <v>25676.4039452828</v>
      </c>
      <c r="G2409" s="17" t="n">
        <f aca="false">B2409*2/27+G2408*25/27</f>
        <v>25581.0206519959</v>
      </c>
      <c r="H2409" s="17" t="n">
        <f aca="false">F2409-G2409</f>
        <v>95.3832932869154</v>
      </c>
      <c r="I2409" s="17" t="n">
        <f aca="false">H2409*2/10+I2408*8/10</f>
        <v>81.6500486072212</v>
      </c>
      <c r="J2409" s="17" t="n">
        <f aca="false">H2409-I2409</f>
        <v>13.7332446796943</v>
      </c>
      <c r="K2409" s="17" t="n">
        <f aca="false">MAX(B2409-B2408,0)</f>
        <v>186.220000000001</v>
      </c>
      <c r="L2409" s="17" t="n">
        <f aca="false">MAX(B2408-B2409,0)</f>
        <v>0</v>
      </c>
      <c r="M2409" s="17" t="n">
        <f aca="false">(M2408*13+K2409)/14</f>
        <v>96.1552045592612</v>
      </c>
      <c r="N2409" s="17" t="n">
        <f aca="false">(N2408*13+L2409)/14</f>
        <v>83.5785692963863</v>
      </c>
      <c r="O2409" s="17" t="n">
        <f aca="false">IF(N2409=0,100,100-100/(1+M2409/N2409))</f>
        <v>53.4986844690013</v>
      </c>
      <c r="P2409" s="17" t="n">
        <f aca="false">AVERAGE(B2390:B2409)+2*STDEV(B2390:B2409)</f>
        <v>26080.2596126457</v>
      </c>
      <c r="Q2409" s="17" t="n">
        <f aca="false">AVERAGE(B2390:B2409)-2*STDEV(B2390:B2409)</f>
        <v>25152.6583873543</v>
      </c>
      <c r="R2409" s="19" t="n">
        <f aca="false">B2409/B2389-1</f>
        <v>0.0211233995486027</v>
      </c>
      <c r="S2409" s="17" t="n">
        <f aca="false">STDEV(C2390:C2409)*SQRT(252)*100</f>
        <v>13.8439826808231</v>
      </c>
      <c r="T2409" s="19" t="n">
        <f aca="false">B2388/B2158-1</f>
        <v>0.175611845581885</v>
      </c>
      <c r="U2409" s="19" t="n">
        <f aca="false">B2409/MAX(B2158:B2409)-1</f>
        <v>-0.014595795917664</v>
      </c>
      <c r="V2409" s="17" t="n">
        <f aca="false">(B2409-AVERAGE(B2390:B2409))/STDEV(B2390:B2409)</f>
        <v>0.526739278342927</v>
      </c>
    </row>
    <row r="2410" customFormat="false" ht="15" hidden="false" customHeight="false" outlineLevel="0" collapsed="false">
      <c r="A2410" s="17" t="s">
        <v>2974</v>
      </c>
      <c r="B2410" s="17" t="n">
        <v>25338.62</v>
      </c>
      <c r="C2410" s="19" t="n">
        <f aca="false">B2410/B2409-1</f>
        <v>-0.0155404662489544</v>
      </c>
      <c r="D2410" s="17" t="n">
        <f aca="false">AVERAGE(B2361:B2410)</f>
        <v>25425.3774</v>
      </c>
      <c r="E2410" s="17" t="n">
        <f aca="false">AVERAGE(B2211:B2410)</f>
        <v>23640.11655</v>
      </c>
      <c r="F2410" s="17" t="n">
        <f aca="false">B2410*2/13+F2409*11/13</f>
        <v>25624.4371844701</v>
      </c>
      <c r="G2410" s="17" t="n">
        <f aca="false">B2410*2/27+G2409*25/27</f>
        <v>25563.0650481444</v>
      </c>
      <c r="H2410" s="17" t="n">
        <f aca="false">F2410-G2410</f>
        <v>61.3721363257209</v>
      </c>
      <c r="I2410" s="17" t="n">
        <f aca="false">H2410*2/10+I2409*8/10</f>
        <v>77.5944661509211</v>
      </c>
      <c r="J2410" s="17" t="n">
        <f aca="false">H2410-I2410</f>
        <v>-16.2223298252002</v>
      </c>
      <c r="K2410" s="17" t="n">
        <f aca="false">MAX(B2410-B2409,0)</f>
        <v>0</v>
      </c>
      <c r="L2410" s="17" t="n">
        <f aca="false">MAX(B2409-B2410,0)</f>
        <v>399.990000000002</v>
      </c>
      <c r="M2410" s="17" t="n">
        <f aca="false">(M2409*13+K2410)/14</f>
        <v>89.2869756621711</v>
      </c>
      <c r="N2410" s="17" t="n">
        <f aca="false">(N2409*13+L2410)/14</f>
        <v>106.179385775216</v>
      </c>
      <c r="O2410" s="17" t="n">
        <f aca="false">IF(N2410=0,100,100-100/(1+M2410/N2410))</f>
        <v>45.6789470093922</v>
      </c>
      <c r="P2410" s="17" t="n">
        <f aca="false">AVERAGE(B2391:B2410)+2*STDEV(B2391:B2410)</f>
        <v>26084.0435936973</v>
      </c>
      <c r="Q2410" s="17" t="n">
        <f aca="false">AVERAGE(B2391:B2410)-2*STDEV(B2391:B2410)</f>
        <v>25142.6044063027</v>
      </c>
      <c r="R2410" s="19" t="n">
        <f aca="false">B2410/B2390-1</f>
        <v>-0.00246837565921776</v>
      </c>
      <c r="S2410" s="17" t="n">
        <f aca="false">STDEV(C2391:C2410)*SQRT(252)*100</f>
        <v>14.7927251311086</v>
      </c>
      <c r="T2410" s="19" t="n">
        <f aca="false">B2389/B2159-1</f>
        <v>0.183522728873421</v>
      </c>
      <c r="U2410" s="19" t="n">
        <f aca="false">B2410/MAX(B2159:B2410)-1</f>
        <v>-0.0299094366927835</v>
      </c>
      <c r="V2410" s="17" t="n">
        <f aca="false">(B2410-AVERAGE(B2391:B2410))/STDEV(B2391:B2410)</f>
        <v>-1.16716620118714</v>
      </c>
    </row>
    <row r="2411" customFormat="false" ht="15" hidden="false" customHeight="false" outlineLevel="0" collapsed="false">
      <c r="A2411" s="17" t="s">
        <v>2975</v>
      </c>
      <c r="B2411" s="17" t="n">
        <v>24891.24</v>
      </c>
      <c r="C2411" s="19" t="n">
        <f aca="false">B2411/B2410-1</f>
        <v>-0.0176560523027693</v>
      </c>
      <c r="D2411" s="17" t="n">
        <f aca="false">AVERAGE(B2362:B2411)</f>
        <v>25442.1146</v>
      </c>
      <c r="E2411" s="17" t="n">
        <f aca="false">AVERAGE(B2212:B2411)</f>
        <v>23673.2823</v>
      </c>
      <c r="F2411" s="17" t="n">
        <f aca="false">B2411*2/13+F2410*11/13</f>
        <v>25511.6376176285</v>
      </c>
      <c r="G2411" s="17" t="n">
        <f aca="false">B2411*2/27+G2410*25/27</f>
        <v>25513.3002297633</v>
      </c>
      <c r="H2411" s="17" t="n">
        <f aca="false">F2411-G2411</f>
        <v>-1.66261213476537</v>
      </c>
      <c r="I2411" s="17" t="n">
        <f aca="false">H2411*2/10+I2410*8/10</f>
        <v>61.7430504937838</v>
      </c>
      <c r="J2411" s="17" t="n">
        <f aca="false">H2411-I2411</f>
        <v>-63.4056626285492</v>
      </c>
      <c r="K2411" s="17" t="n">
        <f aca="false">MAX(B2411-B2410,0)</f>
        <v>0</v>
      </c>
      <c r="L2411" s="17" t="n">
        <f aca="false">MAX(B2410-B2411,0)</f>
        <v>447.379999999997</v>
      </c>
      <c r="M2411" s="17" t="n">
        <f aca="false">(M2410*13+K2411)/14</f>
        <v>82.9093345434446</v>
      </c>
      <c r="N2411" s="17" t="n">
        <f aca="false">(N2410*13+L2411)/14</f>
        <v>130.550858219843</v>
      </c>
      <c r="O2411" s="17" t="n">
        <f aca="false">IF(N2411=0,100,100-100/(1+M2411/N2411))</f>
        <v>38.8406538334692</v>
      </c>
      <c r="P2411" s="17" t="n">
        <f aca="false">AVERAGE(B2392:B2411)+2*STDEV(B2392:B2411)</f>
        <v>26146.2538826996</v>
      </c>
      <c r="Q2411" s="17" t="n">
        <f aca="false">AVERAGE(B2392:B2411)-2*STDEV(B2392:B2411)</f>
        <v>25005.5471173004</v>
      </c>
      <c r="R2411" s="19" t="n">
        <f aca="false">B2411/B2391-1</f>
        <v>-0.029191827832686</v>
      </c>
      <c r="S2411" s="17" t="n">
        <f aca="false">STDEV(C2392:C2411)*SQRT(252)*100</f>
        <v>15.590083352761</v>
      </c>
      <c r="T2411" s="19" t="n">
        <f aca="false">B2390/B2160-1</f>
        <v>0.177790801839113</v>
      </c>
      <c r="U2411" s="19" t="n">
        <f aca="false">B2411/MAX(B2160:B2411)-1</f>
        <v>-0.0470374064169586</v>
      </c>
      <c r="V2411" s="17" t="n">
        <f aca="false">(B2411-AVERAGE(B2392:B2411))/STDEV(B2392:B2411)</f>
        <v>-2.40082910268506</v>
      </c>
    </row>
    <row r="2412" customFormat="false" ht="15" hidden="false" customHeight="false" outlineLevel="0" collapsed="false">
      <c r="A2412" s="17" t="s">
        <v>2976</v>
      </c>
      <c r="B2412" s="17" t="n">
        <v>24548.69</v>
      </c>
      <c r="C2412" s="19" t="n">
        <f aca="false">B2412/B2411-1</f>
        <v>-0.0137618696376719</v>
      </c>
      <c r="D2412" s="17" t="n">
        <f aca="false">AVERAGE(B2363:B2412)</f>
        <v>25448.297</v>
      </c>
      <c r="E2412" s="17" t="n">
        <f aca="false">AVERAGE(B2213:B2412)</f>
        <v>23706.98425</v>
      </c>
      <c r="F2412" s="17" t="n">
        <f aca="false">B2412*2/13+F2411*11/13</f>
        <v>25363.4918303011</v>
      </c>
      <c r="G2412" s="17" t="n">
        <f aca="false">B2412*2/27+G2411*25/27</f>
        <v>25441.8476201512</v>
      </c>
      <c r="H2412" s="17" t="n">
        <f aca="false">F2412-G2412</f>
        <v>-78.3557898501349</v>
      </c>
      <c r="I2412" s="17" t="n">
        <f aca="false">H2412*2/10+I2411*8/10</f>
        <v>33.7232824250001</v>
      </c>
      <c r="J2412" s="17" t="n">
        <f aca="false">H2412-I2412</f>
        <v>-112.079072275135</v>
      </c>
      <c r="K2412" s="17" t="n">
        <f aca="false">MAX(B2412-B2411,0)</f>
        <v>0</v>
      </c>
      <c r="L2412" s="17" t="n">
        <f aca="false">MAX(B2411-B2412,0)</f>
        <v>342.550000000003</v>
      </c>
      <c r="M2412" s="17" t="n">
        <f aca="false">(M2411*13+K2412)/14</f>
        <v>76.9872392189129</v>
      </c>
      <c r="N2412" s="17" t="n">
        <f aca="false">(N2411*13+L2412)/14</f>
        <v>145.693654061283</v>
      </c>
      <c r="O2412" s="17" t="n">
        <f aca="false">IF(N2412=0,100,100-100/(1+M2412/N2412))</f>
        <v>34.57289850281</v>
      </c>
      <c r="P2412" s="17" t="n">
        <f aca="false">AVERAGE(B2393:B2412)+2*STDEV(B2393:B2412)</f>
        <v>26250.9163993823</v>
      </c>
      <c r="Q2412" s="17" t="n">
        <f aca="false">AVERAGE(B2393:B2412)-2*STDEV(B2393:B2412)</f>
        <v>24790.3636006177</v>
      </c>
      <c r="R2412" s="19" t="n">
        <f aca="false">B2412/B2392-1</f>
        <v>-0.043081558749352</v>
      </c>
      <c r="S2412" s="17" t="n">
        <f aca="false">STDEV(C2393:C2412)*SQRT(252)*100</f>
        <v>16.1655184149427</v>
      </c>
      <c r="T2412" s="19" t="n">
        <f aca="false">B2391/B2161-1</f>
        <v>0.183836023004724</v>
      </c>
      <c r="U2412" s="19" t="n">
        <f aca="false">B2412/MAX(B2161:B2412)-1</f>
        <v>-0.0601519533994261</v>
      </c>
      <c r="V2412" s="17" t="n">
        <f aca="false">(B2412-AVERAGE(B2393:B2412))/STDEV(B2393:B2412)</f>
        <v>-2.66186885081362</v>
      </c>
    </row>
    <row r="2413" customFormat="false" ht="15" hidden="false" customHeight="false" outlineLevel="0" collapsed="false">
      <c r="A2413" s="17" t="s">
        <v>2977</v>
      </c>
      <c r="B2413" s="17" t="n">
        <v>25075.77</v>
      </c>
      <c r="C2413" s="19" t="n">
        <f aca="false">B2413/B2412-1</f>
        <v>0.0214707994601748</v>
      </c>
      <c r="D2413" s="17" t="n">
        <f aca="false">AVERAGE(B2364:B2413)</f>
        <v>25452.3354</v>
      </c>
      <c r="E2413" s="17" t="n">
        <f aca="false">AVERAGE(B2214:B2413)</f>
        <v>23740.98105</v>
      </c>
      <c r="F2413" s="17" t="n">
        <f aca="false">B2413*2/13+F2412*11/13</f>
        <v>25319.2269333317</v>
      </c>
      <c r="G2413" s="17" t="n">
        <f aca="false">B2413*2/27+G2412*25/27</f>
        <v>25414.7307593993</v>
      </c>
      <c r="H2413" s="17" t="n">
        <f aca="false">F2413-G2413</f>
        <v>-95.5038260675865</v>
      </c>
      <c r="I2413" s="17" t="n">
        <f aca="false">H2413*2/10+I2412*8/10</f>
        <v>7.87786072648277</v>
      </c>
      <c r="J2413" s="17" t="n">
        <f aca="false">H2413-I2413</f>
        <v>-103.381686794069</v>
      </c>
      <c r="K2413" s="17" t="n">
        <f aca="false">MAX(B2413-B2412,0)</f>
        <v>527.080000000002</v>
      </c>
      <c r="L2413" s="17" t="n">
        <f aca="false">MAX(B2412-B2413,0)</f>
        <v>0</v>
      </c>
      <c r="M2413" s="17" t="n">
        <f aca="false">(M2412*13+K2413)/14</f>
        <v>109.136722131848</v>
      </c>
      <c r="N2413" s="17" t="n">
        <f aca="false">(N2412*13+L2413)/14</f>
        <v>135.286964485477</v>
      </c>
      <c r="O2413" s="17" t="n">
        <f aca="false">IF(N2413=0,100,100-100/(1+M2413/N2413))</f>
        <v>44.650632531664</v>
      </c>
      <c r="P2413" s="17" t="n">
        <f aca="false">AVERAGE(B2394:B2413)+2*STDEV(B2394:B2413)</f>
        <v>26256.0224865944</v>
      </c>
      <c r="Q2413" s="17" t="n">
        <f aca="false">AVERAGE(B2394:B2413)-2*STDEV(B2394:B2413)</f>
        <v>24742.1245134056</v>
      </c>
      <c r="R2413" s="19" t="n">
        <f aca="false">B2413/B2393-1</f>
        <v>-0.0169101936323611</v>
      </c>
      <c r="S2413" s="17" t="n">
        <f aca="false">STDEV(C2394:C2413)*SQRT(252)*100</f>
        <v>18.1308567042137</v>
      </c>
      <c r="T2413" s="19" t="n">
        <f aca="false">B2392/B2162-1</f>
        <v>0.178185796224592</v>
      </c>
      <c r="U2413" s="19" t="n">
        <f aca="false">B2413/MAX(B2162:B2413)-1</f>
        <v>-0.039972664467828</v>
      </c>
      <c r="V2413" s="17" t="n">
        <f aca="false">(B2413-AVERAGE(B2394:B2413))/STDEV(B2394:B2413)</f>
        <v>-1.1184465730101</v>
      </c>
    </row>
    <row r="2414" customFormat="false" ht="15" hidden="false" customHeight="false" outlineLevel="0" collapsed="false">
      <c r="A2414" s="17" t="s">
        <v>2978</v>
      </c>
      <c r="B2414" s="17" t="n">
        <v>25268.14</v>
      </c>
      <c r="C2414" s="19" t="n">
        <f aca="false">B2414/B2413-1</f>
        <v>0.0076715490690813</v>
      </c>
      <c r="D2414" s="17" t="n">
        <f aca="false">AVERAGE(B2365:B2414)</f>
        <v>25457.331</v>
      </c>
      <c r="E2414" s="17" t="n">
        <f aca="false">AVERAGE(B2215:B2414)</f>
        <v>23773.85545</v>
      </c>
      <c r="F2414" s="17" t="n">
        <f aca="false">B2414*2/13+F2413*11/13</f>
        <v>25311.3674051268</v>
      </c>
      <c r="G2414" s="17" t="n">
        <f aca="false">B2414*2/27+G2413*25/27</f>
        <v>25403.8721846289</v>
      </c>
      <c r="H2414" s="17" t="n">
        <f aca="false">F2414-G2414</f>
        <v>-92.5047795021419</v>
      </c>
      <c r="I2414" s="17" t="n">
        <f aca="false">H2414*2/10+I2413*8/10</f>
        <v>-12.1986673192422</v>
      </c>
      <c r="J2414" s="17" t="n">
        <f aca="false">H2414-I2414</f>
        <v>-80.3061121828997</v>
      </c>
      <c r="K2414" s="17" t="n">
        <f aca="false">MAX(B2414-B2413,0)</f>
        <v>192.369999999999</v>
      </c>
      <c r="L2414" s="17" t="n">
        <f aca="false">MAX(B2413-B2414,0)</f>
        <v>0</v>
      </c>
      <c r="M2414" s="17" t="n">
        <f aca="false">(M2413*13+K2414)/14</f>
        <v>115.081956265287</v>
      </c>
      <c r="N2414" s="17" t="n">
        <f aca="false">(N2413*13+L2414)/14</f>
        <v>125.623609879372</v>
      </c>
      <c r="O2414" s="17" t="n">
        <f aca="false">IF(N2414=0,100,100-100/(1+M2414/N2414))</f>
        <v>47.8102596913465</v>
      </c>
      <c r="P2414" s="17" t="n">
        <f aca="false">AVERAGE(B2395:B2414)+2*STDEV(B2395:B2414)</f>
        <v>26226.8680944737</v>
      </c>
      <c r="Q2414" s="17" t="n">
        <f aca="false">AVERAGE(B2395:B2414)-2*STDEV(B2395:B2414)</f>
        <v>24721.4669055263</v>
      </c>
      <c r="R2414" s="19" t="n">
        <f aca="false">B2414/B2394-1</f>
        <v>-0.0193322585427609</v>
      </c>
      <c r="S2414" s="17" t="n">
        <f aca="false">STDEV(C2395:C2414)*SQRT(252)*100</f>
        <v>17.9521328313115</v>
      </c>
      <c r="T2414" s="19" t="n">
        <f aca="false">B2393/B2163-1</f>
        <v>0.186856455004371</v>
      </c>
      <c r="U2414" s="19" t="n">
        <f aca="false">B2414/MAX(B2163:B2414)-1</f>
        <v>-0.0326077676556336</v>
      </c>
      <c r="V2414" s="17" t="n">
        <f aca="false">(B2414-AVERAGE(B2395:B2414))/STDEV(B2395:B2414)</f>
        <v>-0.547435465077743</v>
      </c>
    </row>
    <row r="2415" customFormat="false" ht="15" hidden="false" customHeight="false" outlineLevel="0" collapsed="false">
      <c r="A2415" s="17" t="s">
        <v>2979</v>
      </c>
      <c r="B2415" s="17" t="n">
        <v>25127.64</v>
      </c>
      <c r="C2415" s="19" t="n">
        <f aca="false">B2415/B2414-1</f>
        <v>-0.00556036178365327</v>
      </c>
      <c r="D2415" s="17" t="n">
        <f aca="false">AVERAGE(B2366:B2415)</f>
        <v>25455.145</v>
      </c>
      <c r="E2415" s="17" t="n">
        <f aca="false">AVERAGE(B2216:B2415)</f>
        <v>23803.42165</v>
      </c>
      <c r="F2415" s="17" t="n">
        <f aca="false">B2415*2/13+F2414*11/13</f>
        <v>25283.1016504919</v>
      </c>
      <c r="G2415" s="17" t="n">
        <f aca="false">B2415*2/27+G2414*25/27</f>
        <v>25383.4105413231</v>
      </c>
      <c r="H2415" s="17" t="n">
        <f aca="false">F2415-G2415</f>
        <v>-100.308890831191</v>
      </c>
      <c r="I2415" s="17" t="n">
        <f aca="false">H2415*2/10+I2414*8/10</f>
        <v>-29.820712021632</v>
      </c>
      <c r="J2415" s="17" t="n">
        <f aca="false">H2415-I2415</f>
        <v>-70.4881788095591</v>
      </c>
      <c r="K2415" s="17" t="n">
        <f aca="false">MAX(B2415-B2414,0)</f>
        <v>0</v>
      </c>
      <c r="L2415" s="17" t="n">
        <f aca="false">MAX(B2414-B2415,0)</f>
        <v>140.5</v>
      </c>
      <c r="M2415" s="17" t="n">
        <f aca="false">(M2414*13+K2415)/14</f>
        <v>106.861816532052</v>
      </c>
      <c r="N2415" s="17" t="n">
        <f aca="false">(N2414*13+L2415)/14</f>
        <v>126.686209173702</v>
      </c>
      <c r="O2415" s="17" t="n">
        <f aca="false">IF(N2415=0,100,100-100/(1+M2415/N2415))</f>
        <v>45.7558209747775</v>
      </c>
      <c r="P2415" s="17" t="n">
        <f aca="false">AVERAGE(B2396:B2415)+2*STDEV(B2396:B2415)</f>
        <v>26193.870232736</v>
      </c>
      <c r="Q2415" s="17" t="n">
        <f aca="false">AVERAGE(B2396:B2415)-2*STDEV(B2396:B2415)</f>
        <v>24688.462767264</v>
      </c>
      <c r="R2415" s="19" t="n">
        <f aca="false">B2415/B2395-1</f>
        <v>-0.0255944122111118</v>
      </c>
      <c r="S2415" s="17" t="n">
        <f aca="false">STDEV(C2396:C2415)*SQRT(252)*100</f>
        <v>18.0129581305803</v>
      </c>
      <c r="T2415" s="19" t="n">
        <f aca="false">B2394/B2164-1</f>
        <v>0.184289183163095</v>
      </c>
      <c r="U2415" s="19" t="n">
        <f aca="false">B2415/MAX(B2164:B2415)-1</f>
        <v>-0.0379868184541642</v>
      </c>
      <c r="V2415" s="17" t="n">
        <f aca="false">(B2415-AVERAGE(B2396:B2415))/STDEV(B2396:B2415)</f>
        <v>-0.833067477586049</v>
      </c>
    </row>
    <row r="2416" customFormat="false" ht="15" hidden="false" customHeight="false" outlineLevel="0" collapsed="false">
      <c r="A2416" s="17" t="s">
        <v>2980</v>
      </c>
      <c r="B2416" s="17" t="n">
        <v>25201.26</v>
      </c>
      <c r="C2416" s="19" t="n">
        <f aca="false">B2416/B2415-1</f>
        <v>0.00292984140173913</v>
      </c>
      <c r="D2416" s="17" t="n">
        <f aca="false">AVERAGE(B2367:B2416)</f>
        <v>25450.4724</v>
      </c>
      <c r="E2416" s="17" t="n">
        <f aca="false">AVERAGE(B2217:B2416)</f>
        <v>23832.26515</v>
      </c>
      <c r="F2416" s="17" t="n">
        <f aca="false">B2416*2/13+F2415*11/13</f>
        <v>25270.5106273393</v>
      </c>
      <c r="G2416" s="17" t="n">
        <f aca="false">B2416*2/27+G2415*25/27</f>
        <v>25369.9179086325</v>
      </c>
      <c r="H2416" s="17" t="n">
        <f aca="false">F2416-G2416</f>
        <v>-99.4072812931881</v>
      </c>
      <c r="I2416" s="17" t="n">
        <f aca="false">H2416*2/10+I2415*8/10</f>
        <v>-43.7380258759432</v>
      </c>
      <c r="J2416" s="17" t="n">
        <f aca="false">H2416-I2416</f>
        <v>-55.6692554172449</v>
      </c>
      <c r="K2416" s="17" t="n">
        <f aca="false">MAX(B2416-B2415,0)</f>
        <v>73.619999999999</v>
      </c>
      <c r="L2416" s="17" t="n">
        <f aca="false">MAX(B2415-B2416,0)</f>
        <v>0</v>
      </c>
      <c r="M2416" s="17" t="n">
        <f aca="false">(M2415*13+K2416)/14</f>
        <v>104.487401065477</v>
      </c>
      <c r="N2416" s="17" t="n">
        <f aca="false">(N2415*13+L2416)/14</f>
        <v>117.637194232724</v>
      </c>
      <c r="O2416" s="17" t="n">
        <f aca="false">IF(N2416=0,100,100-100/(1+M2416/N2416))</f>
        <v>47.039996145048</v>
      </c>
      <c r="P2416" s="17" t="n">
        <f aca="false">AVERAGE(B2397:B2416)+2*STDEV(B2397:B2416)</f>
        <v>26160.1588021318</v>
      </c>
      <c r="Q2416" s="17" t="n">
        <f aca="false">AVERAGE(B2397:B2416)-2*STDEV(B2397:B2416)</f>
        <v>24668.1051978682</v>
      </c>
      <c r="R2416" s="19" t="n">
        <f aca="false">B2416/B2396-1</f>
        <v>-0.0210042362758067</v>
      </c>
      <c r="S2416" s="17" t="n">
        <f aca="false">STDEV(C2397:C2416)*SQRT(252)*100</f>
        <v>18.0715634711907</v>
      </c>
      <c r="T2416" s="19" t="n">
        <f aca="false">B2395/B2165-1</f>
        <v>0.188726403091799</v>
      </c>
      <c r="U2416" s="19" t="n">
        <f aca="false">B2416/MAX(B2165:B2416)-1</f>
        <v>-0.0351682724058523</v>
      </c>
      <c r="V2416" s="17" t="n">
        <f aca="false">(B2416-AVERAGE(B2397:B2416))/STDEV(B2397:B2416)</f>
        <v>-0.570681909528513</v>
      </c>
    </row>
    <row r="2417" customFormat="false" ht="15" hidden="false" customHeight="false" outlineLevel="0" collapsed="false">
      <c r="A2417" s="17" t="s">
        <v>2981</v>
      </c>
      <c r="B2417" s="17" t="n">
        <v>24687.61</v>
      </c>
      <c r="C2417" s="19" t="n">
        <f aca="false">B2417/B2416-1</f>
        <v>-0.0203819174120659</v>
      </c>
      <c r="D2417" s="17" t="n">
        <f aca="false">AVERAGE(B2368:B2417)</f>
        <v>25437.3676</v>
      </c>
      <c r="E2417" s="17" t="n">
        <f aca="false">AVERAGE(B2218:B2417)</f>
        <v>23858.56675</v>
      </c>
      <c r="F2417" s="17" t="n">
        <f aca="false">B2417*2/13+F2416*11/13</f>
        <v>25180.8336077486</v>
      </c>
      <c r="G2417" s="17" t="n">
        <f aca="false">B2417*2/27+G2416*25/27</f>
        <v>25319.3765820671</v>
      </c>
      <c r="H2417" s="17" t="n">
        <f aca="false">F2417-G2417</f>
        <v>-138.542974318476</v>
      </c>
      <c r="I2417" s="17" t="n">
        <f aca="false">H2417*2/10+I2416*8/10</f>
        <v>-62.6990155644497</v>
      </c>
      <c r="J2417" s="17" t="n">
        <f aca="false">H2417-I2417</f>
        <v>-75.8439587540262</v>
      </c>
      <c r="K2417" s="17" t="n">
        <f aca="false">MAX(B2417-B2416,0)</f>
        <v>0</v>
      </c>
      <c r="L2417" s="17" t="n">
        <f aca="false">MAX(B2416-B2417,0)</f>
        <v>513.649999999998</v>
      </c>
      <c r="M2417" s="17" t="n">
        <f aca="false">(M2416*13+K2417)/14</f>
        <v>97.0240152750859</v>
      </c>
      <c r="N2417" s="17" t="n">
        <f aca="false">(N2416*13+L2417)/14</f>
        <v>145.9238232161</v>
      </c>
      <c r="O2417" s="17" t="n">
        <f aca="false">IF(N2417=0,100,100-100/(1+M2417/N2417))</f>
        <v>39.9361508534705</v>
      </c>
      <c r="P2417" s="17" t="n">
        <f aca="false">AVERAGE(B2398:B2417)+2*STDEV(B2398:B2417)</f>
        <v>26188.0728666938</v>
      </c>
      <c r="Q2417" s="17" t="n">
        <f aca="false">AVERAGE(B2398:B2417)-2*STDEV(B2398:B2417)</f>
        <v>24562.3581333062</v>
      </c>
      <c r="R2417" s="19" t="n">
        <f aca="false">B2417/B2397-1</f>
        <v>-0.0305635684369003</v>
      </c>
      <c r="S2417" s="17" t="n">
        <f aca="false">STDEV(C2398:C2417)*SQRT(252)*100</f>
        <v>19.0591847236439</v>
      </c>
      <c r="T2417" s="19" t="n">
        <f aca="false">B2396/B2166-1</f>
        <v>0.185213032119879</v>
      </c>
      <c r="U2417" s="19" t="n">
        <f aca="false">B2417/MAX(B2166:B2417)-1</f>
        <v>-0.054833392994217</v>
      </c>
      <c r="V2417" s="17" t="n">
        <f aca="false">(B2417-AVERAGE(B2398:B2417))/STDEV(B2398:B2417)</f>
        <v>-1.69182325995698</v>
      </c>
    </row>
    <row r="2418" customFormat="false" ht="15" hidden="false" customHeight="false" outlineLevel="0" collapsed="false">
      <c r="A2418" s="17" t="s">
        <v>2982</v>
      </c>
      <c r="B2418" s="17" t="n">
        <v>24732.73</v>
      </c>
      <c r="C2418" s="19" t="n">
        <f aca="false">B2418/B2417-1</f>
        <v>0.00182763742622316</v>
      </c>
      <c r="D2418" s="17" t="n">
        <f aca="false">AVERAGE(B2369:B2418)</f>
        <v>25420.905</v>
      </c>
      <c r="E2418" s="17" t="n">
        <f aca="false">AVERAGE(B2219:B2418)</f>
        <v>23884.50565</v>
      </c>
      <c r="F2418" s="17" t="n">
        <f aca="false">B2418*2/13+F2417*11/13</f>
        <v>25111.8945911719</v>
      </c>
      <c r="G2418" s="17" t="n">
        <f aca="false">B2418*2/27+G2417*25/27</f>
        <v>25275.9212796918</v>
      </c>
      <c r="H2418" s="17" t="n">
        <f aca="false">F2418-G2418</f>
        <v>-164.026688519847</v>
      </c>
      <c r="I2418" s="17" t="n">
        <f aca="false">H2418*2/10+I2417*8/10</f>
        <v>-82.9645501555292</v>
      </c>
      <c r="J2418" s="17" t="n">
        <f aca="false">H2418-I2418</f>
        <v>-81.0621383643179</v>
      </c>
      <c r="K2418" s="17" t="n">
        <f aca="false">MAX(B2418-B2417,0)</f>
        <v>45.119999999999</v>
      </c>
      <c r="L2418" s="17" t="n">
        <f aca="false">MAX(B2417-B2418,0)</f>
        <v>0</v>
      </c>
      <c r="M2418" s="17" t="n">
        <f aca="false">(M2417*13+K2418)/14</f>
        <v>93.3165856125797</v>
      </c>
      <c r="N2418" s="17" t="n">
        <f aca="false">(N2417*13+L2418)/14</f>
        <v>135.500692986379</v>
      </c>
      <c r="O2418" s="17" t="n">
        <f aca="false">IF(N2418=0,100,100-100/(1+M2418/N2418))</f>
        <v>40.7821411844221</v>
      </c>
      <c r="P2418" s="17" t="n">
        <f aca="false">AVERAGE(B2399:B2418)+2*STDEV(B2399:B2418)</f>
        <v>26191.4941562016</v>
      </c>
      <c r="Q2418" s="17" t="n">
        <f aca="false">AVERAGE(B2399:B2418)-2*STDEV(B2399:B2418)</f>
        <v>24477.5028437984</v>
      </c>
      <c r="R2418" s="19" t="n">
        <f aca="false">B2418/B2398-1</f>
        <v>-0.0318760624995352</v>
      </c>
      <c r="S2418" s="17" t="n">
        <f aca="false">STDEV(C2399:C2418)*SQRT(252)*100</f>
        <v>19.021124844773</v>
      </c>
      <c r="T2418" s="19" t="n">
        <f aca="false">B2397/B2167-1</f>
        <v>0.155929155256458</v>
      </c>
      <c r="U2418" s="19" t="n">
        <f aca="false">B2418/MAX(B2167:B2418)-1</f>
        <v>-0.0531059711292369</v>
      </c>
      <c r="V2418" s="17" t="n">
        <f aca="false">(B2418-AVERAGE(B2399:B2418))/STDEV(B2399:B2418)</f>
        <v>-1.40436767828479</v>
      </c>
    </row>
    <row r="2419" customFormat="false" ht="15" hidden="false" customHeight="false" outlineLevel="0" collapsed="false">
      <c r="A2419" s="17" t="s">
        <v>2983</v>
      </c>
      <c r="B2419" s="17" t="n">
        <v>24701.6</v>
      </c>
      <c r="C2419" s="19" t="n">
        <f aca="false">B2419/B2418-1</f>
        <v>-0.00125865603999242</v>
      </c>
      <c r="D2419" s="17" t="n">
        <f aca="false">AVERAGE(B2370:B2419)</f>
        <v>25402.8062</v>
      </c>
      <c r="E2419" s="17" t="n">
        <f aca="false">AVERAGE(B2220:B2419)</f>
        <v>23910.15855</v>
      </c>
      <c r="F2419" s="17" t="n">
        <f aca="false">B2419*2/13+F2418*11/13</f>
        <v>25048.7723463763</v>
      </c>
      <c r="G2419" s="17" t="n">
        <f aca="false">B2419*2/27+G2418*25/27</f>
        <v>25233.3789626776</v>
      </c>
      <c r="H2419" s="17" t="n">
        <f aca="false">F2419-G2419</f>
        <v>-184.60661630132</v>
      </c>
      <c r="I2419" s="17" t="n">
        <f aca="false">H2419*2/10+I2418*8/10</f>
        <v>-103.292963384687</v>
      </c>
      <c r="J2419" s="17" t="n">
        <f aca="false">H2419-I2419</f>
        <v>-81.3136529166328</v>
      </c>
      <c r="K2419" s="17" t="n">
        <f aca="false">MAX(B2419-B2418,0)</f>
        <v>0</v>
      </c>
      <c r="L2419" s="17" t="n">
        <f aca="false">MAX(B2418-B2419,0)</f>
        <v>31.130000000001</v>
      </c>
      <c r="M2419" s="17" t="n">
        <f aca="false">(M2418*13+K2419)/14</f>
        <v>86.6511152116811</v>
      </c>
      <c r="N2419" s="17" t="n">
        <f aca="false">(N2418*13+L2419)/14</f>
        <v>128.045643487352</v>
      </c>
      <c r="O2419" s="17" t="n">
        <f aca="false">IF(N2419=0,100,100-100/(1+M2419/N2419))</f>
        <v>40.3597686973704</v>
      </c>
      <c r="P2419" s="17" t="n">
        <f aca="false">AVERAGE(B2400:B2419)+2*STDEV(B2400:B2419)</f>
        <v>26189.5381917317</v>
      </c>
      <c r="Q2419" s="17" t="n">
        <f aca="false">AVERAGE(B2400:B2419)-2*STDEV(B2400:B2419)</f>
        <v>24396.6928082683</v>
      </c>
      <c r="R2419" s="19" t="n">
        <f aca="false">B2419/B2399-1</f>
        <v>-0.0324200544786649</v>
      </c>
      <c r="S2419" s="17" t="n">
        <f aca="false">STDEV(C2400:C2419)*SQRT(252)*100</f>
        <v>19.0188295727167</v>
      </c>
      <c r="T2419" s="19" t="n">
        <f aca="false">B2398/B2168-1</f>
        <v>0.155208144450589</v>
      </c>
      <c r="U2419" s="19" t="n">
        <f aca="false">B2419/MAX(B2168:B2419)-1</f>
        <v>-0.0542977850179078</v>
      </c>
      <c r="V2419" s="17" t="n">
        <f aca="false">(B2419-AVERAGE(B2400:B2419))/STDEV(B2400:B2419)</f>
        <v>-1.31972451267893</v>
      </c>
    </row>
    <row r="2420" customFormat="false" ht="15" hidden="false" customHeight="false" outlineLevel="0" collapsed="false">
      <c r="A2420" s="17" t="s">
        <v>2984</v>
      </c>
      <c r="B2420" s="17" t="n">
        <v>24898.87</v>
      </c>
      <c r="C2420" s="19" t="n">
        <f aca="false">B2420/B2419-1</f>
        <v>0.00798612235644658</v>
      </c>
      <c r="D2420" s="17" t="n">
        <f aca="false">AVERAGE(B2371:B2420)</f>
        <v>25389.1496</v>
      </c>
      <c r="E2420" s="17" t="n">
        <f aca="false">AVERAGE(B2221:B2420)</f>
        <v>23935.71935</v>
      </c>
      <c r="F2420" s="17" t="n">
        <f aca="false">B2420*2/13+F2419*11/13</f>
        <v>25025.7104469338</v>
      </c>
      <c r="G2420" s="17" t="n">
        <f aca="false">B2420*2/27+G2419*25/27</f>
        <v>25208.6005209978</v>
      </c>
      <c r="H2420" s="17" t="n">
        <f aca="false">F2420-G2420</f>
        <v>-182.890074063998</v>
      </c>
      <c r="I2420" s="17" t="n">
        <f aca="false">H2420*2/10+I2419*8/10</f>
        <v>-119.21238552055</v>
      </c>
      <c r="J2420" s="17" t="n">
        <f aca="false">H2420-I2420</f>
        <v>-63.6776885434488</v>
      </c>
      <c r="K2420" s="17" t="n">
        <f aca="false">MAX(B2420-B2419,0)</f>
        <v>197.27</v>
      </c>
      <c r="L2420" s="17" t="n">
        <f aca="false">MAX(B2419-B2420,0)</f>
        <v>0</v>
      </c>
      <c r="M2420" s="17" t="n">
        <f aca="false">(M2419*13+K2420)/14</f>
        <v>94.5524641251325</v>
      </c>
      <c r="N2420" s="17" t="n">
        <f aca="false">(N2419*13+L2420)/14</f>
        <v>118.899526095398</v>
      </c>
      <c r="O2420" s="17" t="n">
        <f aca="false">IF(N2420=0,100,100-100/(1+M2420/N2420))</f>
        <v>44.2968294778814</v>
      </c>
      <c r="P2420" s="17" t="n">
        <f aca="false">AVERAGE(B2401:B2420)+2*STDEV(B2401:B2420)</f>
        <v>26192.3167656564</v>
      </c>
      <c r="Q2420" s="17" t="n">
        <f aca="false">AVERAGE(B2401:B2420)-2*STDEV(B2401:B2420)</f>
        <v>24385.0442343436</v>
      </c>
      <c r="R2420" s="19" t="n">
        <f aca="false">B2420/B2400-1</f>
        <v>-0.00354976494312975</v>
      </c>
      <c r="S2420" s="17" t="n">
        <f aca="false">STDEV(C2401:C2420)*SQRT(252)*100</f>
        <v>17.8053617174215</v>
      </c>
      <c r="T2420" s="19" t="n">
        <f aca="false">B2399/B2169-1</f>
        <v>0.151802806365643</v>
      </c>
      <c r="U2420" s="19" t="n">
        <f aca="false">B2420/MAX(B2169:B2420)-1</f>
        <v>-0.0467452914162984</v>
      </c>
      <c r="V2420" s="17" t="n">
        <f aca="false">(B2420-AVERAGE(B2401:B2420))/STDEV(B2401:B2420)</f>
        <v>-0.862759751495442</v>
      </c>
    </row>
    <row r="2421" customFormat="false" ht="15" hidden="false" customHeight="false" outlineLevel="0" collapsed="false">
      <c r="A2421" s="17" t="s">
        <v>2985</v>
      </c>
      <c r="B2421" s="17" t="n">
        <v>24797.34</v>
      </c>
      <c r="C2421" s="19" t="n">
        <f aca="false">B2421/B2420-1</f>
        <v>-0.00407769509218692</v>
      </c>
      <c r="D2421" s="17" t="n">
        <f aca="false">AVERAGE(B2372:B2421)</f>
        <v>25371.2554</v>
      </c>
      <c r="E2421" s="17" t="n">
        <f aca="false">AVERAGE(B2222:B2421)</f>
        <v>23959.193</v>
      </c>
      <c r="F2421" s="17" t="n">
        <f aca="false">B2421*2/13+F2420*11/13</f>
        <v>24990.5765320209</v>
      </c>
      <c r="G2421" s="17" t="n">
        <f aca="false">B2421*2/27+G2420*25/27</f>
        <v>25178.1367787016</v>
      </c>
      <c r="H2421" s="17" t="n">
        <f aca="false">F2421-G2421</f>
        <v>-187.560246680758</v>
      </c>
      <c r="I2421" s="17" t="n">
        <f aca="false">H2421*2/10+I2420*8/10</f>
        <v>-132.881957752591</v>
      </c>
      <c r="J2421" s="17" t="n">
        <f aca="false">H2421-I2421</f>
        <v>-54.6782889281665</v>
      </c>
      <c r="K2421" s="17" t="n">
        <f aca="false">MAX(B2421-B2420,0)</f>
        <v>0</v>
      </c>
      <c r="L2421" s="17" t="n">
        <f aca="false">MAX(B2420-B2421,0)</f>
        <v>101.529999999999</v>
      </c>
      <c r="M2421" s="17" t="n">
        <f aca="false">(M2420*13+K2421)/14</f>
        <v>87.798716687623</v>
      </c>
      <c r="N2421" s="17" t="n">
        <f aca="false">(N2420*13+L2421)/14</f>
        <v>117.658845660012</v>
      </c>
      <c r="O2421" s="17" t="n">
        <f aca="false">IF(N2421=0,100,100-100/(1+M2421/N2421))</f>
        <v>42.7332611583637</v>
      </c>
      <c r="P2421" s="17" t="n">
        <f aca="false">AVERAGE(B2402:B2421)+2*STDEV(B2402:B2421)</f>
        <v>26191.805532686</v>
      </c>
      <c r="Q2421" s="17" t="n">
        <f aca="false">AVERAGE(B2402:B2421)-2*STDEV(B2402:B2421)</f>
        <v>24332.631467314</v>
      </c>
      <c r="R2421" s="19" t="n">
        <f aca="false">B2421/B2401-1</f>
        <v>-0.0208966232314036</v>
      </c>
      <c r="S2421" s="17" t="n">
        <f aca="false">STDEV(C2402:C2421)*SQRT(252)*100</f>
        <v>17.094050784232</v>
      </c>
      <c r="T2421" s="19" t="n">
        <f aca="false">B2400/B2170-1</f>
        <v>0.126804686231714</v>
      </c>
      <c r="U2421" s="19" t="n">
        <f aca="false">B2421/MAX(B2170:B2421)-1</f>
        <v>-0.0506323734630941</v>
      </c>
      <c r="V2421" s="17" t="n">
        <f aca="false">(B2421-AVERAGE(B2402:B2421))/STDEV(B2402:B2421)</f>
        <v>-1.00018284174376</v>
      </c>
    </row>
    <row r="2422" customFormat="false" ht="15" hidden="false" customHeight="false" outlineLevel="0" collapsed="false">
      <c r="A2422" s="17" t="s">
        <v>2986</v>
      </c>
      <c r="B2422" s="17" t="n">
        <v>25012.62</v>
      </c>
      <c r="C2422" s="19" t="n">
        <f aca="false">B2422/B2421-1</f>
        <v>0.00868157633036448</v>
      </c>
      <c r="D2422" s="17" t="n">
        <f aca="false">AVERAGE(B2373:B2422)</f>
        <v>25358.9488</v>
      </c>
      <c r="E2422" s="17" t="n">
        <f aca="false">AVERAGE(B2223:B2422)</f>
        <v>23984.4164</v>
      </c>
      <c r="F2422" s="17" t="n">
        <f aca="false">B2422*2/13+F2421*11/13</f>
        <v>24993.9678347869</v>
      </c>
      <c r="G2422" s="17" t="n">
        <f aca="false">B2422*2/27+G2421*25/27</f>
        <v>25165.8762765756</v>
      </c>
      <c r="H2422" s="17" t="n">
        <f aca="false">F2422-G2422</f>
        <v>-171.908441788688</v>
      </c>
      <c r="I2422" s="17" t="n">
        <f aca="false">H2422*2/10+I2421*8/10</f>
        <v>-140.687254559811</v>
      </c>
      <c r="J2422" s="17" t="n">
        <f aca="false">H2422-I2422</f>
        <v>-31.2211872288774</v>
      </c>
      <c r="K2422" s="17" t="n">
        <f aca="false">MAX(B2422-B2421,0)</f>
        <v>215.279999999999</v>
      </c>
      <c r="L2422" s="17" t="n">
        <f aca="false">MAX(B2421-B2422,0)</f>
        <v>0</v>
      </c>
      <c r="M2422" s="17" t="n">
        <f aca="false">(M2421*13+K2422)/14</f>
        <v>96.904522638507</v>
      </c>
      <c r="N2422" s="17" t="n">
        <f aca="false">(N2421*13+L2422)/14</f>
        <v>109.254642398583</v>
      </c>
      <c r="O2422" s="17" t="n">
        <f aca="false">IF(N2422=0,100,100-100/(1+M2422/N2422))</f>
        <v>47.0047124128937</v>
      </c>
      <c r="P2422" s="17" t="n">
        <f aca="false">AVERAGE(B2403:B2422)+2*STDEV(B2403:B2422)</f>
        <v>26164.6950332795</v>
      </c>
      <c r="Q2422" s="17" t="n">
        <f aca="false">AVERAGE(B2403:B2422)-2*STDEV(B2403:B2422)</f>
        <v>24309.1689667205</v>
      </c>
      <c r="R2422" s="19" t="n">
        <f aca="false">B2422/B2402-1</f>
        <v>-0.0198182876243957</v>
      </c>
      <c r="S2422" s="17" t="n">
        <f aca="false">STDEV(C2403:C2422)*SQRT(252)*100</f>
        <v>17.1722156583152</v>
      </c>
      <c r="T2422" s="19" t="n">
        <f aca="false">B2401/B2171-1</f>
        <v>0.147657746081894</v>
      </c>
      <c r="U2422" s="19" t="n">
        <f aca="false">B2422/MAX(B2171:B2422)-1</f>
        <v>-0.042390365947737</v>
      </c>
      <c r="V2422" s="17" t="n">
        <f aca="false">(B2422-AVERAGE(B2403:B2422))/STDEV(B2403:B2422)</f>
        <v>-0.483554511127891</v>
      </c>
    </row>
    <row r="2423" customFormat="false" ht="15" hidden="false" customHeight="false" outlineLevel="0" collapsed="false">
      <c r="A2423" s="17" t="s">
        <v>2987</v>
      </c>
      <c r="B2423" s="17" t="n">
        <v>24708.94</v>
      </c>
      <c r="C2423" s="19" t="n">
        <f aca="false">B2423/B2422-1</f>
        <v>-0.0121410711872647</v>
      </c>
      <c r="D2423" s="17" t="n">
        <f aca="false">AVERAGE(B2374:B2423)</f>
        <v>25339.7538</v>
      </c>
      <c r="E2423" s="17" t="n">
        <f aca="false">AVERAGE(B2224:B2423)</f>
        <v>24009.00435</v>
      </c>
      <c r="F2423" s="17" t="n">
        <f aca="false">B2423*2/13+F2422*11/13</f>
        <v>24950.1173986658</v>
      </c>
      <c r="G2423" s="17" t="n">
        <f aca="false">B2423*2/27+G2422*25/27</f>
        <v>25132.0291449774</v>
      </c>
      <c r="H2423" s="17" t="n">
        <f aca="false">F2423-G2423</f>
        <v>-181.911746311554</v>
      </c>
      <c r="I2423" s="17" t="n">
        <f aca="false">H2423*2/10+I2422*8/10</f>
        <v>-148.932152910159</v>
      </c>
      <c r="J2423" s="17" t="n">
        <f aca="false">H2423-I2423</f>
        <v>-32.9795934013951</v>
      </c>
      <c r="K2423" s="17" t="n">
        <f aca="false">MAX(B2423-B2422,0)</f>
        <v>0</v>
      </c>
      <c r="L2423" s="17" t="n">
        <f aca="false">MAX(B2422-B2423,0)</f>
        <v>303.68</v>
      </c>
      <c r="M2423" s="17" t="n">
        <f aca="false">(M2422*13+K2423)/14</f>
        <v>89.9827710214708</v>
      </c>
      <c r="N2423" s="17" t="n">
        <f aca="false">(N2422*13+L2423)/14</f>
        <v>123.142167941541</v>
      </c>
      <c r="O2423" s="17" t="n">
        <f aca="false">IF(N2423=0,100,100-100/(1+M2423/N2423))</f>
        <v>42.2206671163375</v>
      </c>
      <c r="P2423" s="17" t="n">
        <f aca="false">AVERAGE(B2404:B2423)+2*STDEV(B2404:B2423)</f>
        <v>26131.4560215049</v>
      </c>
      <c r="Q2423" s="17" t="n">
        <f aca="false">AVERAGE(B2404:B2423)-2*STDEV(B2404:B2423)</f>
        <v>24252.7549784951</v>
      </c>
      <c r="R2423" s="19" t="n">
        <f aca="false">B2423/B2403-1</f>
        <v>-0.0350132217842517</v>
      </c>
      <c r="S2423" s="17" t="n">
        <f aca="false">STDEV(C2404:C2423)*SQRT(252)*100</f>
        <v>17.5324646057638</v>
      </c>
      <c r="T2423" s="19" t="n">
        <f aca="false">B2402/B2172-1</f>
        <v>0.180635493160014</v>
      </c>
      <c r="U2423" s="19" t="n">
        <f aca="false">B2423/MAX(B2172:B2423)-1</f>
        <v>-0.0540167726843761</v>
      </c>
      <c r="V2423" s="17" t="n">
        <f aca="false">(B2423-AVERAGE(B2404:B2423))/STDEV(B2404:B2423)</f>
        <v>-1.02872248205265</v>
      </c>
    </row>
    <row r="2424" customFormat="false" ht="15" hidden="false" customHeight="false" outlineLevel="0" collapsed="false">
      <c r="A2424" s="17" t="s">
        <v>2988</v>
      </c>
      <c r="B2424" s="17" t="n">
        <v>24977.04</v>
      </c>
      <c r="C2424" s="19" t="n">
        <f aca="false">B2424/B2423-1</f>
        <v>0.0108503238099247</v>
      </c>
      <c r="D2424" s="17" t="n">
        <f aca="false">AVERAGE(B2375:B2424)</f>
        <v>25323.7658</v>
      </c>
      <c r="E2424" s="17" t="n">
        <f aca="false">AVERAGE(B2225:B2424)</f>
        <v>24034.5497</v>
      </c>
      <c r="F2424" s="17" t="n">
        <f aca="false">B2424*2/13+F2423*11/13</f>
        <v>24954.2593373326</v>
      </c>
      <c r="G2424" s="17" t="n">
        <f aca="false">B2424*2/27+G2423*25/27</f>
        <v>25120.5484675716</v>
      </c>
      <c r="H2424" s="17" t="n">
        <f aca="false">F2424-G2424</f>
        <v>-166.289130239024</v>
      </c>
      <c r="I2424" s="17" t="n">
        <f aca="false">H2424*2/10+I2423*8/10</f>
        <v>-152.403548375932</v>
      </c>
      <c r="J2424" s="17" t="n">
        <f aca="false">H2424-I2424</f>
        <v>-13.8855818630913</v>
      </c>
      <c r="K2424" s="17" t="n">
        <f aca="false">MAX(B2424-B2423,0)</f>
        <v>268.100000000002</v>
      </c>
      <c r="L2424" s="17" t="n">
        <f aca="false">MAX(B2423-B2424,0)</f>
        <v>0</v>
      </c>
      <c r="M2424" s="17" t="n">
        <f aca="false">(M2423*13+K2424)/14</f>
        <v>102.705430234223</v>
      </c>
      <c r="N2424" s="17" t="n">
        <f aca="false">(N2423*13+L2424)/14</f>
        <v>114.34629880286</v>
      </c>
      <c r="O2424" s="17" t="n">
        <f aca="false">IF(N2424=0,100,100-100/(1+M2424/N2424))</f>
        <v>47.3184114634148</v>
      </c>
      <c r="P2424" s="17" t="n">
        <f aca="false">AVERAGE(B2405:B2424)+2*STDEV(B2405:B2424)</f>
        <v>26065.9252523759</v>
      </c>
      <c r="Q2424" s="17" t="n">
        <f aca="false">AVERAGE(B2405:B2424)-2*STDEV(B2405:B2424)</f>
        <v>24244.6687476241</v>
      </c>
      <c r="R2424" s="19" t="n">
        <f aca="false">B2424/B2404-1</f>
        <v>-0.0286300310229644</v>
      </c>
      <c r="S2424" s="17" t="n">
        <f aca="false">STDEV(C2405:C2424)*SQRT(252)*100</f>
        <v>17.9832177891656</v>
      </c>
      <c r="T2424" s="19" t="n">
        <f aca="false">B2403/B2173-1</f>
        <v>0.199202606959135</v>
      </c>
      <c r="U2424" s="19" t="n">
        <f aca="false">B2424/MAX(B2173:B2424)-1</f>
        <v>-0.0437525483492439</v>
      </c>
      <c r="V2424" s="17" t="n">
        <f aca="false">(B2424-AVERAGE(B2405:B2424))/STDEV(B2405:B2424)</f>
        <v>-0.391503337470374</v>
      </c>
    </row>
    <row r="2425" customFormat="false" ht="15" hidden="false" customHeight="false" outlineLevel="0" collapsed="false">
      <c r="A2425" s="17" t="s">
        <v>2989</v>
      </c>
      <c r="B2425" s="17" t="n">
        <v>25329.04</v>
      </c>
      <c r="C2425" s="19" t="n">
        <f aca="false">B2425/B2424-1</f>
        <v>0.0140929429588135</v>
      </c>
      <c r="D2425" s="17" t="n">
        <f aca="false">AVERAGE(B2376:B2425)</f>
        <v>25316.6128</v>
      </c>
      <c r="E2425" s="17" t="n">
        <f aca="false">AVERAGE(B2226:B2425)</f>
        <v>24060.8771</v>
      </c>
      <c r="F2425" s="17" t="n">
        <f aca="false">B2425*2/13+F2424*11/13</f>
        <v>25011.9179008199</v>
      </c>
      <c r="G2425" s="17" t="n">
        <f aca="false">B2425*2/27+G2424*25/27</f>
        <v>25135.9922847886</v>
      </c>
      <c r="H2425" s="17" t="n">
        <f aca="false">F2425-G2425</f>
        <v>-124.074383968647</v>
      </c>
      <c r="I2425" s="17" t="n">
        <f aca="false">H2425*2/10+I2424*8/10</f>
        <v>-146.737715494475</v>
      </c>
      <c r="J2425" s="17" t="n">
        <f aca="false">H2425-I2425</f>
        <v>22.6633315258278</v>
      </c>
      <c r="K2425" s="17" t="n">
        <f aca="false">MAX(B2425-B2424,0)</f>
        <v>352</v>
      </c>
      <c r="L2425" s="17" t="n">
        <f aca="false">MAX(B2424-B2425,0)</f>
        <v>0</v>
      </c>
      <c r="M2425" s="17" t="n">
        <f aca="false">(M2424*13+K2425)/14</f>
        <v>120.512185217493</v>
      </c>
      <c r="N2425" s="17" t="n">
        <f aca="false">(N2424*13+L2425)/14</f>
        <v>106.178706031227</v>
      </c>
      <c r="O2425" s="17" t="n">
        <f aca="false">IF(N2425=0,100,100-100/(1+M2425/N2425))</f>
        <v>53.1614590042216</v>
      </c>
      <c r="P2425" s="17" t="n">
        <f aca="false">AVERAGE(B2406:B2425)+2*STDEV(B2406:B2425)</f>
        <v>25962.6913026227</v>
      </c>
      <c r="Q2425" s="17" t="n">
        <f aca="false">AVERAGE(B2406:B2425)-2*STDEV(B2406:B2425)</f>
        <v>24286.8326973773</v>
      </c>
      <c r="R2425" s="19" t="n">
        <f aca="false">B2425/B2405-1</f>
        <v>-0.0235430270311113</v>
      </c>
      <c r="S2425" s="17" t="n">
        <f aca="false">STDEV(C2406:C2425)*SQRT(252)*100</f>
        <v>18.4718010813873</v>
      </c>
      <c r="T2425" s="19" t="n">
        <f aca="false">B2404/B2174-1</f>
        <v>0.219372369559805</v>
      </c>
      <c r="U2425" s="19" t="n">
        <f aca="false">B2425/MAX(B2174:B2425)-1</f>
        <v>-0.0302762075586192</v>
      </c>
      <c r="V2425" s="17" t="n">
        <f aca="false">(B2425-AVERAGE(B2406:B2425))/STDEV(B2406:B2425)</f>
        <v>0.487578127082149</v>
      </c>
    </row>
    <row r="2426" customFormat="false" ht="15" hidden="false" customHeight="false" outlineLevel="0" collapsed="false">
      <c r="A2426" s="17" t="s">
        <v>2990</v>
      </c>
      <c r="B2426" s="17" t="n">
        <v>25034.37</v>
      </c>
      <c r="C2426" s="19" t="n">
        <f aca="false">B2426/B2425-1</f>
        <v>-0.0116336821292873</v>
      </c>
      <c r="D2426" s="17" t="n">
        <f aca="false">AVERAGE(B2377:B2426)</f>
        <v>25313.3656</v>
      </c>
      <c r="E2426" s="17" t="n">
        <f aca="false">AVERAGE(B2227:B2426)</f>
        <v>24085.7417</v>
      </c>
      <c r="F2426" s="17" t="n">
        <f aca="false">B2426*2/13+F2425*11/13</f>
        <v>25015.3720699245</v>
      </c>
      <c r="G2426" s="17" t="n">
        <f aca="false">B2426*2/27+G2425*25/27</f>
        <v>25128.4647081376</v>
      </c>
      <c r="H2426" s="17" t="n">
        <f aca="false">F2426-G2426</f>
        <v>-113.092638213013</v>
      </c>
      <c r="I2426" s="17" t="n">
        <f aca="false">H2426*2/10+I2425*8/10</f>
        <v>-140.008700038183</v>
      </c>
      <c r="J2426" s="17" t="n">
        <f aca="false">H2426-I2426</f>
        <v>26.9160618251699</v>
      </c>
      <c r="K2426" s="17" t="n">
        <f aca="false">MAX(B2426-B2425,0)</f>
        <v>0</v>
      </c>
      <c r="L2426" s="17" t="n">
        <f aca="false">MAX(B2425-B2426,0)</f>
        <v>294.670000000002</v>
      </c>
      <c r="M2426" s="17" t="n">
        <f aca="false">(M2425*13+K2426)/14</f>
        <v>111.904171987672</v>
      </c>
      <c r="N2426" s="17" t="n">
        <f aca="false">(N2425*13+L2426)/14</f>
        <v>119.642369886139</v>
      </c>
      <c r="O2426" s="17" t="n">
        <f aca="false">IF(N2426=0,100,100-100/(1+M2426/N2426))</f>
        <v>48.3290189013739</v>
      </c>
      <c r="P2426" s="17" t="n">
        <f aca="false">AVERAGE(B2407:B2426)+2*STDEV(B2407:B2426)</f>
        <v>25799.0687653314</v>
      </c>
      <c r="Q2426" s="17" t="n">
        <f aca="false">AVERAGE(B2407:B2426)-2*STDEV(B2407:B2426)</f>
        <v>24351.6132346686</v>
      </c>
      <c r="R2426" s="19" t="n">
        <f aca="false">B2426/B2406-1</f>
        <v>-0.0379828604081269</v>
      </c>
      <c r="S2426" s="17" t="n">
        <f aca="false">STDEV(C2407:C2426)*SQRT(252)*100</f>
        <v>18.7591961419895</v>
      </c>
      <c r="T2426" s="19" t="n">
        <f aca="false">B2405/B2175-1</f>
        <v>0.227456499149195</v>
      </c>
      <c r="U2426" s="19" t="n">
        <f aca="false">B2426/MAX(B2175:B2426)-1</f>
        <v>-0.0415576659130891</v>
      </c>
      <c r="V2426" s="17" t="n">
        <f aca="false">(B2426-AVERAGE(B2407:B2426))/STDEV(B2407:B2426)</f>
        <v>-0.113222131200785</v>
      </c>
    </row>
    <row r="2427" customFormat="false" ht="15" hidden="false" customHeight="false" outlineLevel="0" collapsed="false">
      <c r="A2427" s="17" t="s">
        <v>2991</v>
      </c>
      <c r="B2427" s="17" t="n">
        <v>24960.04</v>
      </c>
      <c r="C2427" s="19" t="n">
        <f aca="false">B2427/B2426-1</f>
        <v>-0.0029691180564958</v>
      </c>
      <c r="D2427" s="17" t="n">
        <f aca="false">AVERAGE(B2378:B2427)</f>
        <v>25311.221</v>
      </c>
      <c r="E2427" s="17" t="n">
        <f aca="false">AVERAGE(B2228:B2427)</f>
        <v>24106.20115</v>
      </c>
      <c r="F2427" s="17" t="n">
        <f aca="false">B2427*2/13+F2426*11/13</f>
        <v>25006.8594437823</v>
      </c>
      <c r="G2427" s="17" t="n">
        <f aca="false">B2427*2/27+G2426*25/27</f>
        <v>25115.9888038311</v>
      </c>
      <c r="H2427" s="17" t="n">
        <f aca="false">F2427-G2427</f>
        <v>-109.129360048762</v>
      </c>
      <c r="I2427" s="17" t="n">
        <f aca="false">H2427*2/10+I2426*8/10</f>
        <v>-133.832832040299</v>
      </c>
      <c r="J2427" s="17" t="n">
        <f aca="false">H2427-I2427</f>
        <v>24.7034719915362</v>
      </c>
      <c r="K2427" s="17" t="n">
        <f aca="false">MAX(B2427-B2426,0)</f>
        <v>0</v>
      </c>
      <c r="L2427" s="17" t="n">
        <f aca="false">MAX(B2426-B2427,0)</f>
        <v>74.3299999999981</v>
      </c>
      <c r="M2427" s="17" t="n">
        <f aca="false">(M2426*13+K2427)/14</f>
        <v>103.911016845695</v>
      </c>
      <c r="N2427" s="17" t="n">
        <f aca="false">(N2426*13+L2427)/14</f>
        <v>116.405772037129</v>
      </c>
      <c r="O2427" s="17" t="n">
        <f aca="false">IF(N2427=0,100,100-100/(1+M2427/N2427))</f>
        <v>47.1643660805897</v>
      </c>
      <c r="P2427" s="17" t="n">
        <f aca="false">AVERAGE(B2408:B2427)+2*STDEV(B2408:B2427)</f>
        <v>25645.4209500814</v>
      </c>
      <c r="Q2427" s="17" t="n">
        <f aca="false">AVERAGE(B2408:B2427)-2*STDEV(B2408:B2427)</f>
        <v>24412.8350499186</v>
      </c>
      <c r="R2427" s="19" t="n">
        <f aca="false">B2427/B2407-1</f>
        <v>-0.03570735928729</v>
      </c>
      <c r="S2427" s="17" t="n">
        <f aca="false">STDEV(C2408:C2427)*SQRT(252)*100</f>
        <v>18.7202906533981</v>
      </c>
      <c r="T2427" s="19" t="n">
        <f aca="false">B2406/B2176-1</f>
        <v>0.266257277644099</v>
      </c>
      <c r="U2427" s="19" t="n">
        <f aca="false">B2427/MAX(B2176:B2427)-1</f>
        <v>-0.0444033943533365</v>
      </c>
      <c r="V2427" s="17" t="n">
        <f aca="false">(B2427-AVERAGE(B2408:B2427))/STDEV(B2408:B2427)</f>
        <v>-0.224205063487673</v>
      </c>
    </row>
    <row r="2428" customFormat="false" ht="15" hidden="false" customHeight="false" outlineLevel="0" collapsed="false">
      <c r="A2428" s="17" t="s">
        <v>2992</v>
      </c>
      <c r="B2428" s="17" t="n">
        <v>24992.6</v>
      </c>
      <c r="C2428" s="19" t="n">
        <f aca="false">B2428/B2427-1</f>
        <v>0.00130448508896608</v>
      </c>
      <c r="D2428" s="17" t="n">
        <f aca="false">AVERAGE(B2379:B2428)</f>
        <v>25308.4142</v>
      </c>
      <c r="E2428" s="17" t="n">
        <f aca="false">AVERAGE(B2229:B2428)</f>
        <v>24125.17565</v>
      </c>
      <c r="F2428" s="17" t="n">
        <f aca="false">B2428*2/13+F2427*11/13</f>
        <v>25004.6656832004</v>
      </c>
      <c r="G2428" s="17" t="n">
        <f aca="false">B2428*2/27+G2427*25/27</f>
        <v>25106.8488924362</v>
      </c>
      <c r="H2428" s="17" t="n">
        <f aca="false">F2428-G2428</f>
        <v>-102.183209235762</v>
      </c>
      <c r="I2428" s="17" t="n">
        <f aca="false">H2428*2/10+I2427*8/10</f>
        <v>-127.502907479391</v>
      </c>
      <c r="J2428" s="17" t="n">
        <f aca="false">H2428-I2428</f>
        <v>25.3196982436296</v>
      </c>
      <c r="K2428" s="17" t="n">
        <f aca="false">MAX(B2428-B2427,0)</f>
        <v>32.5599999999977</v>
      </c>
      <c r="L2428" s="17" t="n">
        <f aca="false">MAX(B2427-B2428,0)</f>
        <v>0</v>
      </c>
      <c r="M2428" s="17" t="n">
        <f aca="false">(M2427*13+K2428)/14</f>
        <v>98.8145156424313</v>
      </c>
      <c r="N2428" s="17" t="n">
        <f aca="false">(N2427*13+L2428)/14</f>
        <v>108.091074034477</v>
      </c>
      <c r="O2428" s="17" t="n">
        <f aca="false">IF(N2428=0,100,100-100/(1+M2428/N2428))</f>
        <v>47.7582629820365</v>
      </c>
      <c r="P2428" s="17" t="n">
        <f aca="false">AVERAGE(B2409:B2428)+2*STDEV(B2409:B2428)</f>
        <v>25566.077934752</v>
      </c>
      <c r="Q2428" s="17" t="n">
        <f aca="false">AVERAGE(B2409:B2428)-2*STDEV(B2409:B2428)</f>
        <v>24436.199065248</v>
      </c>
      <c r="R2428" s="19" t="n">
        <f aca="false">B2428/B2408-1</f>
        <v>-0.0219075397643822</v>
      </c>
      <c r="S2428" s="17" t="n">
        <f aca="false">STDEV(C2409:C2428)*SQRT(252)*100</f>
        <v>18.2784712157782</v>
      </c>
      <c r="T2428" s="19" t="n">
        <f aca="false">B2407/B2177-1</f>
        <v>0.239407768761483</v>
      </c>
      <c r="U2428" s="19" t="n">
        <f aca="false">B2428/MAX(B2177:B2428)-1</f>
        <v>-0.0431568328302039</v>
      </c>
      <c r="V2428" s="17" t="n">
        <f aca="false">(B2428-AVERAGE(B2409:B2428))/STDEV(B2409:B2428)</f>
        <v>-0.0302280190574795</v>
      </c>
    </row>
    <row r="2429" customFormat="false" ht="15" hidden="false" customHeight="false" outlineLevel="0" collapsed="false">
      <c r="A2429" s="17" t="s">
        <v>2993</v>
      </c>
      <c r="B2429" s="17" t="n">
        <v>24720.08</v>
      </c>
      <c r="C2429" s="19" t="n">
        <f aca="false">B2429/B2428-1</f>
        <v>-0.0109040275921671</v>
      </c>
      <c r="D2429" s="17" t="n">
        <f aca="false">AVERAGE(B2380:B2429)</f>
        <v>25309.8636</v>
      </c>
      <c r="E2429" s="17" t="n">
        <f aca="false">AVERAGE(B2230:B2429)</f>
        <v>24142.18</v>
      </c>
      <c r="F2429" s="17" t="n">
        <f aca="false">B2429*2/13+F2428*11/13</f>
        <v>24960.8832704004</v>
      </c>
      <c r="G2429" s="17" t="n">
        <f aca="false">B2429*2/27+G2428*25/27</f>
        <v>25078.1993448483</v>
      </c>
      <c r="H2429" s="17" t="n">
        <f aca="false">F2429-G2429</f>
        <v>-117.316074447957</v>
      </c>
      <c r="I2429" s="17" t="n">
        <f aca="false">H2429*2/10+I2428*8/10</f>
        <v>-125.465540873105</v>
      </c>
      <c r="J2429" s="17" t="n">
        <f aca="false">H2429-I2429</f>
        <v>8.14946642514717</v>
      </c>
      <c r="K2429" s="17" t="n">
        <f aca="false">MAX(B2429-B2428,0)</f>
        <v>0</v>
      </c>
      <c r="L2429" s="17" t="n">
        <f aca="false">MAX(B2428-B2429,0)</f>
        <v>272.519999999997</v>
      </c>
      <c r="M2429" s="17" t="n">
        <f aca="false">(M2428*13+K2429)/14</f>
        <v>91.7563359536862</v>
      </c>
      <c r="N2429" s="17" t="n">
        <f aca="false">(N2428*13+L2429)/14</f>
        <v>119.835997317729</v>
      </c>
      <c r="O2429" s="17" t="n">
        <f aca="false">IF(N2429=0,100,100-100/(1+M2429/N2429))</f>
        <v>43.3646789252936</v>
      </c>
      <c r="P2429" s="17" t="n">
        <f aca="false">AVERAGE(B2410:B2429)+2*STDEV(B2410:B2429)</f>
        <v>25408.8721040606</v>
      </c>
      <c r="Q2429" s="17" t="n">
        <f aca="false">AVERAGE(B2410:B2429)-2*STDEV(B2410:B2429)</f>
        <v>24491.5518959394</v>
      </c>
      <c r="R2429" s="19" t="n">
        <f aca="false">B2429/B2409-1</f>
        <v>-0.0395720670230443</v>
      </c>
      <c r="S2429" s="17" t="n">
        <f aca="false">STDEV(C2410:C2429)*SQRT(252)*100</f>
        <v>18.3192726733481</v>
      </c>
      <c r="T2429" s="19" t="n">
        <f aca="false">B2408/B2178-1</f>
        <v>0.250999482022053</v>
      </c>
      <c r="U2429" s="19" t="n">
        <f aca="false">B2429/MAX(B2178:B2429)-1</f>
        <v>-0.0535902771264</v>
      </c>
      <c r="V2429" s="17" t="n">
        <f aca="false">(B2429-AVERAGE(B2410:B2429))/STDEV(B2410:B2429)</f>
        <v>-1.00349691618093</v>
      </c>
    </row>
    <row r="2430" customFormat="false" ht="15" hidden="false" customHeight="false" outlineLevel="0" collapsed="false">
      <c r="A2430" s="17" t="s">
        <v>2994</v>
      </c>
      <c r="B2430" s="17" t="n">
        <v>25093.68</v>
      </c>
      <c r="C2430" s="19" t="n">
        <f aca="false">B2430/B2429-1</f>
        <v>0.0151132196983181</v>
      </c>
      <c r="D2430" s="17" t="n">
        <f aca="false">AVERAGE(B2381:B2430)</f>
        <v>25311.3498</v>
      </c>
      <c r="E2430" s="17" t="n">
        <f aca="false">AVERAGE(B2231:B2430)</f>
        <v>24160.9693</v>
      </c>
      <c r="F2430" s="17" t="n">
        <f aca="false">B2430*2/13+F2429*11/13</f>
        <v>24981.3135364926</v>
      </c>
      <c r="G2430" s="17" t="n">
        <f aca="false">B2430*2/27+G2429*25/27</f>
        <v>25079.3460600447</v>
      </c>
      <c r="H2430" s="17" t="n">
        <f aca="false">F2430-G2430</f>
        <v>-98.0325235521232</v>
      </c>
      <c r="I2430" s="17" t="n">
        <f aca="false">H2430*2/10+I2429*8/10</f>
        <v>-119.978937408908</v>
      </c>
      <c r="J2430" s="17" t="n">
        <f aca="false">H2430-I2430</f>
        <v>21.9464138567851</v>
      </c>
      <c r="K2430" s="17" t="n">
        <f aca="false">MAX(B2430-B2429,0)</f>
        <v>373.599999999999</v>
      </c>
      <c r="L2430" s="17" t="n">
        <f aca="false">MAX(B2429-B2430,0)</f>
        <v>0</v>
      </c>
      <c r="M2430" s="17" t="n">
        <f aca="false">(M2429*13+K2430)/14</f>
        <v>111.888026242708</v>
      </c>
      <c r="N2430" s="17" t="n">
        <f aca="false">(N2429*13+L2430)/14</f>
        <v>111.276283223605</v>
      </c>
      <c r="O2430" s="17" t="n">
        <f aca="false">IF(N2430=0,100,100-100/(1+M2430/N2430))</f>
        <v>50.1370611233862</v>
      </c>
      <c r="P2430" s="17" t="n">
        <f aca="false">AVERAGE(B2411:B2430)+2*STDEV(B2411:B2430)</f>
        <v>25364.9435388173</v>
      </c>
      <c r="Q2430" s="17" t="n">
        <f aca="false">AVERAGE(B2411:B2430)-2*STDEV(B2411:B2430)</f>
        <v>24510.9864611827</v>
      </c>
      <c r="R2430" s="19" t="n">
        <f aca="false">B2430/B2410-1</f>
        <v>-0.00966666692976959</v>
      </c>
      <c r="S2430" s="17" t="n">
        <f aca="false">STDEV(C2411:C2430)*SQRT(252)*100</f>
        <v>18.5340686345755</v>
      </c>
      <c r="T2430" s="19" t="n">
        <f aca="false">B2409/B2179-1</f>
        <v>0.264639334765752</v>
      </c>
      <c r="U2430" s="19" t="n">
        <f aca="false">B2430/MAX(B2179:B2430)-1</f>
        <v>-0.0392869790599869</v>
      </c>
      <c r="V2430" s="17" t="n">
        <f aca="false">(B2430-AVERAGE(B2411:B2430))/STDEV(B2411:B2430)</f>
        <v>0.729380921258162</v>
      </c>
    </row>
    <row r="2431" customFormat="false" ht="15" hidden="false" customHeight="false" outlineLevel="0" collapsed="false">
      <c r="A2431" s="17" t="s">
        <v>2995</v>
      </c>
      <c r="B2431" s="17" t="n">
        <v>25020.41</v>
      </c>
      <c r="C2431" s="19" t="n">
        <f aca="false">B2431/B2430-1</f>
        <v>-0.00291985870545897</v>
      </c>
      <c r="D2431" s="17" t="n">
        <f aca="false">AVERAGE(B2382:B2431)</f>
        <v>25304.8344</v>
      </c>
      <c r="E2431" s="17" t="n">
        <f aca="false">AVERAGE(B2232:B2431)</f>
        <v>24178.93165</v>
      </c>
      <c r="F2431" s="17" t="n">
        <f aca="false">B2431*2/13+F2430*11/13</f>
        <v>24987.3283770322</v>
      </c>
      <c r="G2431" s="17" t="n">
        <f aca="false">B2431*2/27+G2430*25/27</f>
        <v>25074.9804259673</v>
      </c>
      <c r="H2431" s="17" t="n">
        <f aca="false">F2431-G2431</f>
        <v>-87.6520489351351</v>
      </c>
      <c r="I2431" s="17" t="n">
        <f aca="false">H2431*2/10+I2430*8/10</f>
        <v>-113.513559714154</v>
      </c>
      <c r="J2431" s="17" t="n">
        <f aca="false">H2431-I2431</f>
        <v>25.8615107790185</v>
      </c>
      <c r="K2431" s="17" t="n">
        <f aca="false">MAX(B2431-B2430,0)</f>
        <v>0</v>
      </c>
      <c r="L2431" s="17" t="n">
        <f aca="false">MAX(B2430-B2431,0)</f>
        <v>73.2700000000004</v>
      </c>
      <c r="M2431" s="17" t="n">
        <f aca="false">(M2430*13+K2431)/14</f>
        <v>103.896024368229</v>
      </c>
      <c r="N2431" s="17" t="n">
        <f aca="false">(N2430*13+L2431)/14</f>
        <v>108.561548707633</v>
      </c>
      <c r="O2431" s="17" t="n">
        <f aca="false">IF(N2431=0,100,100-100/(1+M2431/N2431))</f>
        <v>48.9020103468521</v>
      </c>
      <c r="P2431" s="17" t="n">
        <f aca="false">AVERAGE(B2412:B2431)+2*STDEV(B2412:B2431)</f>
        <v>25372.332836894</v>
      </c>
      <c r="Q2431" s="17" t="n">
        <f aca="false">AVERAGE(B2412:B2431)-2*STDEV(B2412:B2431)</f>
        <v>24516.514163106</v>
      </c>
      <c r="R2431" s="19" t="n">
        <f aca="false">B2431/B2411-1</f>
        <v>0.00518937586074442</v>
      </c>
      <c r="S2431" s="17" t="n">
        <f aca="false">STDEV(C2412:C2431)*SQRT(252)*100</f>
        <v>17.4212858439907</v>
      </c>
      <c r="T2431" s="19" t="n">
        <f aca="false">B2410/B2180-1</f>
        <v>0.228333089333862</v>
      </c>
      <c r="U2431" s="19" t="n">
        <f aca="false">B2431/MAX(B2180:B2431)-1</f>
        <v>-0.0420921253376263</v>
      </c>
      <c r="V2431" s="17" t="n">
        <f aca="false">(B2431-AVERAGE(B2412:B2431))/STDEV(B2412:B2431)</f>
        <v>0.355152334611609</v>
      </c>
    </row>
    <row r="2432" customFormat="false" ht="15" hidden="false" customHeight="false" outlineLevel="0" collapsed="false">
      <c r="A2432" s="17" t="s">
        <v>2996</v>
      </c>
      <c r="B2432" s="17" t="n">
        <v>24643.02</v>
      </c>
      <c r="C2432" s="19" t="n">
        <f aca="false">B2432/B2431-1</f>
        <v>-0.0150832860053053</v>
      </c>
      <c r="D2432" s="17" t="n">
        <f aca="false">AVERAGE(B2383:B2432)</f>
        <v>25288.4608</v>
      </c>
      <c r="E2432" s="17" t="n">
        <f aca="false">AVERAGE(B2233:B2432)</f>
        <v>24194.9115</v>
      </c>
      <c r="F2432" s="17" t="n">
        <f aca="false">B2432*2/13+F2431*11/13</f>
        <v>24934.3578574888</v>
      </c>
      <c r="G2432" s="17" t="n">
        <f aca="false">B2432*2/27+G2431*25/27</f>
        <v>25042.9833573772</v>
      </c>
      <c r="H2432" s="17" t="n">
        <f aca="false">F2432-G2432</f>
        <v>-108.625499888374</v>
      </c>
      <c r="I2432" s="17" t="n">
        <f aca="false">H2432*2/10+I2431*8/10</f>
        <v>-112.535947748998</v>
      </c>
      <c r="J2432" s="17" t="n">
        <f aca="false">H2432-I2432</f>
        <v>3.91044786062355</v>
      </c>
      <c r="K2432" s="17" t="n">
        <f aca="false">MAX(B2432-B2431,0)</f>
        <v>0</v>
      </c>
      <c r="L2432" s="17" t="n">
        <f aca="false">MAX(B2431-B2432,0)</f>
        <v>377.389999999999</v>
      </c>
      <c r="M2432" s="17" t="n">
        <f aca="false">(M2431*13+K2432)/14</f>
        <v>96.4748797704987</v>
      </c>
      <c r="N2432" s="17" t="n">
        <f aca="false">(N2431*13+L2432)/14</f>
        <v>127.763580942802</v>
      </c>
      <c r="O2432" s="17" t="n">
        <f aca="false">IF(N2432=0,100,100-100/(1+M2432/N2432))</f>
        <v>43.0233419653402</v>
      </c>
      <c r="P2432" s="17" t="n">
        <f aca="false">AVERAGE(B2413:B2432)+2*STDEV(B2413:B2432)</f>
        <v>25360.4407766638</v>
      </c>
      <c r="Q2432" s="17" t="n">
        <f aca="false">AVERAGE(B2413:B2432)-2*STDEV(B2413:B2432)</f>
        <v>24537.8392233362</v>
      </c>
      <c r="R2432" s="19" t="n">
        <f aca="false">B2432/B2412-1</f>
        <v>0.00384256756674195</v>
      </c>
      <c r="S2432" s="17" t="n">
        <f aca="false">STDEV(C2413:C2432)*SQRT(252)*100</f>
        <v>17.5686037197641</v>
      </c>
      <c r="T2432" s="19" t="n">
        <f aca="false">B2411/B2181-1</f>
        <v>0.241295530810672</v>
      </c>
      <c r="U2432" s="19" t="n">
        <f aca="false">B2432/MAX(B2181:B2432)-1</f>
        <v>-0.056540523777893</v>
      </c>
      <c r="V2432" s="17" t="n">
        <f aca="false">(B2432-AVERAGE(B2413:B2432))/STDEV(B2413:B2432)</f>
        <v>-1.48854569389863</v>
      </c>
    </row>
    <row r="2433" customFormat="false" ht="15" hidden="false" customHeight="false" outlineLevel="0" collapsed="false">
      <c r="A2433" s="17" t="s">
        <v>2997</v>
      </c>
      <c r="B2433" s="17" t="n">
        <v>24967.25</v>
      </c>
      <c r="C2433" s="19" t="n">
        <f aca="false">B2433/B2432-1</f>
        <v>0.0131570724692023</v>
      </c>
      <c r="D2433" s="17" t="n">
        <f aca="false">AVERAGE(B2384:B2433)</f>
        <v>25276.0492</v>
      </c>
      <c r="E2433" s="17" t="n">
        <f aca="false">AVERAGE(B2234:B2433)</f>
        <v>24212.9109</v>
      </c>
      <c r="F2433" s="17" t="n">
        <f aca="false">B2433*2/13+F2432*11/13</f>
        <v>24939.4181871059</v>
      </c>
      <c r="G2433" s="17" t="n">
        <f aca="false">B2433*2/27+G2432*25/27</f>
        <v>25037.3734790529</v>
      </c>
      <c r="H2433" s="17" t="n">
        <f aca="false">F2433-G2433</f>
        <v>-97.9552919470298</v>
      </c>
      <c r="I2433" s="17" t="n">
        <f aca="false">H2433*2/10+I2432*8/10</f>
        <v>-109.619816588604</v>
      </c>
      <c r="J2433" s="17" t="n">
        <f aca="false">H2433-I2433</f>
        <v>11.6645246415744</v>
      </c>
      <c r="K2433" s="17" t="n">
        <f aca="false">MAX(B2433-B2432,0)</f>
        <v>324.23</v>
      </c>
      <c r="L2433" s="17" t="n">
        <f aca="false">MAX(B2432-B2433,0)</f>
        <v>0</v>
      </c>
      <c r="M2433" s="17" t="n">
        <f aca="false">(M2432*13+K2433)/14</f>
        <v>112.743102644034</v>
      </c>
      <c r="N2433" s="17" t="n">
        <f aca="false">(N2432*13+L2433)/14</f>
        <v>118.637610875459</v>
      </c>
      <c r="O2433" s="17" t="n">
        <f aca="false">IF(N2433=0,100,100-100/(1+M2433/N2433))</f>
        <v>48.7262317282706</v>
      </c>
      <c r="P2433" s="17" t="n">
        <f aca="false">AVERAGE(B2414:B2433)+2*STDEV(B2414:B2433)</f>
        <v>25350.8228171821</v>
      </c>
      <c r="Q2433" s="17" t="n">
        <f aca="false">AVERAGE(B2414:B2433)-2*STDEV(B2414:B2433)</f>
        <v>24536.6051828179</v>
      </c>
      <c r="R2433" s="19" t="n">
        <f aca="false">B2433/B2413-1</f>
        <v>-0.00432768365637426</v>
      </c>
      <c r="S2433" s="17" t="n">
        <f aca="false">STDEV(C2414:C2433)*SQRT(252)*100</f>
        <v>16.4488848376105</v>
      </c>
      <c r="T2433" s="19" t="n">
        <f aca="false">B2412/B2182-1</f>
        <v>0.215199266188382</v>
      </c>
      <c r="U2433" s="19" t="n">
        <f aca="false">B2433/MAX(B2182:B2433)-1</f>
        <v>-0.0441273590774831</v>
      </c>
      <c r="V2433" s="17" t="n">
        <f aca="false">(B2433-AVERAGE(B2414:B2433))/STDEV(B2414:B2433)</f>
        <v>0.115625105655598</v>
      </c>
    </row>
    <row r="2434" customFormat="false" ht="15" hidden="false" customHeight="false" outlineLevel="0" collapsed="false">
      <c r="A2434" s="17" t="s">
        <v>2998</v>
      </c>
      <c r="B2434" s="17" t="n">
        <v>24956.47</v>
      </c>
      <c r="C2434" s="19" t="n">
        <f aca="false">B2434/B2433-1</f>
        <v>-0.000431765612952884</v>
      </c>
      <c r="D2434" s="17" t="n">
        <f aca="false">AVERAGE(B2385:B2434)</f>
        <v>25262.0556</v>
      </c>
      <c r="E2434" s="17" t="n">
        <f aca="false">AVERAGE(B2235:B2434)</f>
        <v>24232.29145</v>
      </c>
      <c r="F2434" s="17" t="n">
        <f aca="false">B2434*2/13+F2433*11/13</f>
        <v>24942.0415429358</v>
      </c>
      <c r="G2434" s="17" t="n">
        <f aca="false">B2434*2/27+G2433*25/27</f>
        <v>25031.3806287527</v>
      </c>
      <c r="H2434" s="17" t="n">
        <f aca="false">F2434-G2434</f>
        <v>-89.3390858169514</v>
      </c>
      <c r="I2434" s="17" t="n">
        <f aca="false">H2434*2/10+I2433*8/10</f>
        <v>-105.563670434274</v>
      </c>
      <c r="J2434" s="17" t="n">
        <f aca="false">H2434-I2434</f>
        <v>16.2245846173222</v>
      </c>
      <c r="K2434" s="17" t="n">
        <f aca="false">MAX(B2434-B2433,0)</f>
        <v>0</v>
      </c>
      <c r="L2434" s="17" t="n">
        <f aca="false">MAX(B2433-B2434,0)</f>
        <v>10.7799999999988</v>
      </c>
      <c r="M2434" s="17" t="n">
        <f aca="false">(M2433*13+K2434)/14</f>
        <v>104.690023883746</v>
      </c>
      <c r="N2434" s="17" t="n">
        <f aca="false">(N2433*13+L2434)/14</f>
        <v>110.933495812927</v>
      </c>
      <c r="O2434" s="17" t="n">
        <f aca="false">IF(N2434=0,100,100-100/(1+M2434/N2434))</f>
        <v>48.5522284540288</v>
      </c>
      <c r="P2434" s="17" t="n">
        <f aca="false">AVERAGE(B2415:B2434)+2*STDEV(B2415:B2434)</f>
        <v>25305.7426999855</v>
      </c>
      <c r="Q2434" s="17" t="n">
        <f aca="false">AVERAGE(B2415:B2434)-2*STDEV(B2415:B2434)</f>
        <v>24550.5183000145</v>
      </c>
      <c r="R2434" s="19" t="n">
        <f aca="false">B2434/B2414-1</f>
        <v>-0.01233450503282</v>
      </c>
      <c r="S2434" s="17" t="n">
        <f aca="false">STDEV(C2415:C2434)*SQRT(252)*100</f>
        <v>16.1862006281973</v>
      </c>
      <c r="T2434" s="19" t="n">
        <f aca="false">B2413/B2183-1</f>
        <v>0.290506640179713</v>
      </c>
      <c r="U2434" s="19" t="n">
        <f aca="false">B2434/MAX(B2183:B2434)-1</f>
        <v>-0.044540072014196</v>
      </c>
      <c r="V2434" s="17" t="n">
        <f aca="false">(B2434-AVERAGE(B2415:B2434))/STDEV(B2415:B2434)</f>
        <v>0.150098434325425</v>
      </c>
    </row>
    <row r="2435" customFormat="false" ht="15" hidden="false" customHeight="false" outlineLevel="0" collapsed="false">
      <c r="A2435" s="17" t="s">
        <v>2999</v>
      </c>
      <c r="B2435" s="17" t="n">
        <v>24965.01</v>
      </c>
      <c r="C2435" s="19" t="n">
        <f aca="false">B2435/B2434-1</f>
        <v>0.000342195831381398</v>
      </c>
      <c r="D2435" s="17" t="n">
        <f aca="false">AVERAGE(B2386:B2435)</f>
        <v>25248.468</v>
      </c>
      <c r="E2435" s="17" t="n">
        <f aca="false">AVERAGE(B2236:B2435)</f>
        <v>24251.55415</v>
      </c>
      <c r="F2435" s="17" t="n">
        <f aca="false">B2435*2/13+F2434*11/13</f>
        <v>24945.5751517149</v>
      </c>
      <c r="G2435" s="17" t="n">
        <f aca="false">B2435*2/27+G2434*25/27</f>
        <v>25026.4642858821</v>
      </c>
      <c r="H2435" s="17" t="n">
        <f aca="false">F2435-G2435</f>
        <v>-80.8891341672643</v>
      </c>
      <c r="I2435" s="17" t="n">
        <f aca="false">H2435*2/10+I2434*8/10</f>
        <v>-100.628763180872</v>
      </c>
      <c r="J2435" s="17" t="n">
        <f aca="false">H2435-I2435</f>
        <v>19.7396290136075</v>
      </c>
      <c r="K2435" s="17" t="n">
        <f aca="false">MAX(B2435-B2434,0)</f>
        <v>8.53999999999724</v>
      </c>
      <c r="L2435" s="17" t="n">
        <f aca="false">MAX(B2434-B2435,0)</f>
        <v>0</v>
      </c>
      <c r="M2435" s="17" t="n">
        <f aca="false">(M2434*13+K2435)/14</f>
        <v>97.822165034907</v>
      </c>
      <c r="N2435" s="17" t="n">
        <f aca="false">(N2434*13+L2435)/14</f>
        <v>103.009674683432</v>
      </c>
      <c r="O2435" s="17" t="n">
        <f aca="false">IF(N2435=0,100,100-100/(1+M2435/N2435))</f>
        <v>48.708494216903</v>
      </c>
      <c r="P2435" s="17" t="n">
        <f aca="false">AVERAGE(B2416:B2435)+2*STDEV(B2416:B2435)</f>
        <v>25286.3582587037</v>
      </c>
      <c r="Q2435" s="17" t="n">
        <f aca="false">AVERAGE(B2416:B2435)-2*STDEV(B2416:B2435)</f>
        <v>24553.6397412963</v>
      </c>
      <c r="R2435" s="19" t="n">
        <f aca="false">B2435/B2415-1</f>
        <v>-0.00647215576154392</v>
      </c>
      <c r="S2435" s="17" t="n">
        <f aca="false">STDEV(C2416:C2435)*SQRT(252)*100</f>
        <v>16.0801373123699</v>
      </c>
      <c r="T2435" s="19" t="n">
        <f aca="false">B2414/B2184-1</f>
        <v>0.304030147143825</v>
      </c>
      <c r="U2435" s="19" t="n">
        <f aca="false">B2435/MAX(B2184:B2435)-1</f>
        <v>-0.0442131176097872</v>
      </c>
      <c r="V2435" s="17" t="n">
        <f aca="false">(B2435-AVERAGE(B2416:B2435))/STDEV(B2416:B2435)</f>
        <v>0.245720553968077</v>
      </c>
    </row>
    <row r="2436" customFormat="false" ht="15" hidden="false" customHeight="false" outlineLevel="0" collapsed="false">
      <c r="A2436" s="17" t="s">
        <v>3000</v>
      </c>
      <c r="B2436" s="17" t="n">
        <v>24533.58</v>
      </c>
      <c r="C2436" s="19" t="n">
        <f aca="false">B2436/B2435-1</f>
        <v>-0.0172813870292861</v>
      </c>
      <c r="D2436" s="17" t="n">
        <f aca="false">AVERAGE(B2387:B2436)</f>
        <v>25228.6284</v>
      </c>
      <c r="E2436" s="17" t="n">
        <f aca="false">AVERAGE(B2237:B2436)</f>
        <v>24269.64375</v>
      </c>
      <c r="F2436" s="17" t="n">
        <f aca="false">B2436*2/13+F2435*11/13</f>
        <v>24882.1912822203</v>
      </c>
      <c r="G2436" s="17" t="n">
        <f aca="false">B2436*2/27+G2435*25/27</f>
        <v>24989.9543387798</v>
      </c>
      <c r="H2436" s="17" t="n">
        <f aca="false">F2436-G2436</f>
        <v>-107.763056559474</v>
      </c>
      <c r="I2436" s="17" t="n">
        <f aca="false">H2436*2/10+I2435*8/10</f>
        <v>-102.055621856592</v>
      </c>
      <c r="J2436" s="17" t="n">
        <f aca="false">H2436-I2436</f>
        <v>-5.70743470288151</v>
      </c>
      <c r="K2436" s="17" t="n">
        <f aca="false">MAX(B2436-B2435,0)</f>
        <v>0</v>
      </c>
      <c r="L2436" s="17" t="n">
        <f aca="false">MAX(B2435-B2436,0)</f>
        <v>431.429999999997</v>
      </c>
      <c r="M2436" s="17" t="n">
        <f aca="false">(M2435*13+K2436)/14</f>
        <v>90.8348675324137</v>
      </c>
      <c r="N2436" s="17" t="n">
        <f aca="false">(N2435*13+L2436)/14</f>
        <v>126.468269348901</v>
      </c>
      <c r="O2436" s="17" t="n">
        <f aca="false">IF(N2436=0,100,100-100/(1+M2436/N2436))</f>
        <v>41.8009923078218</v>
      </c>
      <c r="P2436" s="17" t="n">
        <f aca="false">AVERAGE(B2417:B2436)+2*STDEV(B2417:B2436)</f>
        <v>25266.4938781759</v>
      </c>
      <c r="Q2436" s="17" t="n">
        <f aca="false">AVERAGE(B2417:B2436)-2*STDEV(B2417:B2436)</f>
        <v>24506.7361218241</v>
      </c>
      <c r="R2436" s="19" t="n">
        <f aca="false">B2436/B2416-1</f>
        <v>-0.026493913399568</v>
      </c>
      <c r="S2436" s="17" t="n">
        <f aca="false">STDEV(C2417:C2436)*SQRT(252)*100</f>
        <v>17.1129989536535</v>
      </c>
      <c r="T2436" s="19" t="n">
        <f aca="false">B2415/B2185-1</f>
        <v>0.282282830901377</v>
      </c>
      <c r="U2436" s="19" t="n">
        <f aca="false">B2436/MAX(B2185:B2436)-1</f>
        <v>-0.0607304406418872</v>
      </c>
      <c r="V2436" s="17" t="n">
        <f aca="false">(B2436-AVERAGE(B2417:B2436))/STDEV(B2417:B2436)</f>
        <v>-1.85867138333756</v>
      </c>
    </row>
    <row r="2437" customFormat="false" ht="15" hidden="false" customHeight="false" outlineLevel="0" collapsed="false">
      <c r="A2437" s="17" t="s">
        <v>3001</v>
      </c>
      <c r="B2437" s="17" t="n">
        <v>24380.73</v>
      </c>
      <c r="C2437" s="19" t="n">
        <f aca="false">B2437/B2436-1</f>
        <v>-0.00623023627208108</v>
      </c>
      <c r="D2437" s="17" t="n">
        <f aca="false">AVERAGE(B2388:B2437)</f>
        <v>25206.9918</v>
      </c>
      <c r="E2437" s="17" t="n">
        <f aca="false">AVERAGE(B2238:B2437)</f>
        <v>24284.47245</v>
      </c>
      <c r="F2437" s="17" t="n">
        <f aca="false">B2437*2/13+F2436*11/13</f>
        <v>24805.0433926479</v>
      </c>
      <c r="G2437" s="17" t="n">
        <f aca="false">B2437*2/27+G2436*25/27</f>
        <v>24944.8266099813</v>
      </c>
      <c r="H2437" s="17" t="n">
        <f aca="false">F2437-G2437</f>
        <v>-139.783217333323</v>
      </c>
      <c r="I2437" s="17" t="n">
        <f aca="false">H2437*2/10+I2436*8/10</f>
        <v>-109.601140951938</v>
      </c>
      <c r="J2437" s="17" t="n">
        <f aca="false">H2437-I2437</f>
        <v>-30.1820763813845</v>
      </c>
      <c r="K2437" s="17" t="n">
        <f aca="false">MAX(B2437-B2436,0)</f>
        <v>0</v>
      </c>
      <c r="L2437" s="17" t="n">
        <f aca="false">MAX(B2436-B2437,0)</f>
        <v>152.850000000002</v>
      </c>
      <c r="M2437" s="17" t="n">
        <f aca="false">(M2436*13+K2437)/14</f>
        <v>84.3466627086699</v>
      </c>
      <c r="N2437" s="17" t="n">
        <f aca="false">(N2436*13+L2437)/14</f>
        <v>128.352678681122</v>
      </c>
      <c r="O2437" s="17" t="n">
        <f aca="false">IF(N2437=0,100,100-100/(1+M2437/N2437))</f>
        <v>39.6553473826214</v>
      </c>
      <c r="P2437" s="17" t="n">
        <f aca="false">AVERAGE(B2418:B2437)+2*STDEV(B2418:B2437)</f>
        <v>25305.8477926519</v>
      </c>
      <c r="Q2437" s="17" t="n">
        <f aca="false">AVERAGE(B2418:B2437)-2*STDEV(B2418:B2437)</f>
        <v>24436.6942073481</v>
      </c>
      <c r="R2437" s="19" t="n">
        <f aca="false">B2437/B2417-1</f>
        <v>-0.0124305268918296</v>
      </c>
      <c r="S2437" s="17" t="n">
        <f aca="false">STDEV(C2418:C2437)*SQRT(252)*100</f>
        <v>15.6973092270266</v>
      </c>
      <c r="T2437" s="19" t="n">
        <f aca="false">B2416/B2186-1</f>
        <v>0.310826049596681</v>
      </c>
      <c r="U2437" s="19" t="n">
        <f aca="false">B2437/MAX(B2186:B2437)-1</f>
        <v>-0.0665823119198616</v>
      </c>
      <c r="V2437" s="17" t="n">
        <f aca="false">(B2437-AVERAGE(B2418:B2437))/STDEV(B2418:B2437)</f>
        <v>-2.25755727546626</v>
      </c>
    </row>
    <row r="2438" customFormat="false" ht="15" hidden="false" customHeight="false" outlineLevel="0" collapsed="false">
      <c r="A2438" s="17" t="s">
        <v>3002</v>
      </c>
      <c r="B2438" s="17" t="n">
        <v>24655.34</v>
      </c>
      <c r="C2438" s="19" t="n">
        <f aca="false">B2438/B2437-1</f>
        <v>0.0112634035158095</v>
      </c>
      <c r="D2438" s="17" t="n">
        <f aca="false">AVERAGE(B2389:B2438)</f>
        <v>25195.1016</v>
      </c>
      <c r="E2438" s="17" t="n">
        <f aca="false">AVERAGE(B2239:B2438)</f>
        <v>24301.1583</v>
      </c>
      <c r="F2438" s="17" t="n">
        <f aca="false">B2438*2/13+F2437*11/13</f>
        <v>24782.0121014713</v>
      </c>
      <c r="G2438" s="17" t="n">
        <f aca="false">B2438*2/27+G2437*25/27</f>
        <v>24923.38315739</v>
      </c>
      <c r="H2438" s="17" t="n">
        <f aca="false">F2438-G2438</f>
        <v>-141.371055918724</v>
      </c>
      <c r="I2438" s="17" t="n">
        <f aca="false">H2438*2/10+I2437*8/10</f>
        <v>-115.955123945295</v>
      </c>
      <c r="J2438" s="17" t="n">
        <f aca="false">H2438-I2438</f>
        <v>-25.4159319734285</v>
      </c>
      <c r="K2438" s="17" t="n">
        <f aca="false">MAX(B2438-B2437,0)</f>
        <v>274.610000000001</v>
      </c>
      <c r="L2438" s="17" t="n">
        <f aca="false">MAX(B2437-B2438,0)</f>
        <v>0</v>
      </c>
      <c r="M2438" s="17" t="n">
        <f aca="false">(M2437*13+K2438)/14</f>
        <v>97.936901086622</v>
      </c>
      <c r="N2438" s="17" t="n">
        <f aca="false">(N2437*13+L2438)/14</f>
        <v>119.184630203899</v>
      </c>
      <c r="O2438" s="17" t="n">
        <f aca="false">IF(N2438=0,100,100-100/(1+M2438/N2438))</f>
        <v>45.1069502432611</v>
      </c>
      <c r="P2438" s="17" t="n">
        <f aca="false">AVERAGE(B2419:B2438)+2*STDEV(B2419:B2438)</f>
        <v>25308.5015182212</v>
      </c>
      <c r="Q2438" s="17" t="n">
        <f aca="false">AVERAGE(B2419:B2438)-2*STDEV(B2419:B2438)</f>
        <v>24426.3014817788</v>
      </c>
      <c r="R2438" s="19" t="n">
        <f aca="false">B2438/B2418-1</f>
        <v>-0.00312905206986858</v>
      </c>
      <c r="S2438" s="17" t="n">
        <f aca="false">STDEV(C2419:C2438)*SQRT(252)*100</f>
        <v>16.2372066873047</v>
      </c>
      <c r="T2438" s="19" t="n">
        <f aca="false">B2417/B2187-1</f>
        <v>0.25288307728535</v>
      </c>
      <c r="U2438" s="19" t="n">
        <f aca="false">B2438/MAX(B2187:B2438)-1</f>
        <v>-0.0560688518502211</v>
      </c>
      <c r="V2438" s="17" t="n">
        <f aca="false">(B2438-AVERAGE(B2419:B2438))/STDEV(B2419:B2438)</f>
        <v>-0.961512089050334</v>
      </c>
    </row>
    <row r="2439" customFormat="false" ht="15" hidden="false" customHeight="false" outlineLevel="0" collapsed="false">
      <c r="A2439" s="17" t="s">
        <v>3003</v>
      </c>
      <c r="B2439" s="17" t="n">
        <v>24780.42</v>
      </c>
      <c r="C2439" s="19" t="n">
        <f aca="false">B2439/B2438-1</f>
        <v>0.00507314034201101</v>
      </c>
      <c r="D2439" s="17" t="n">
        <f aca="false">AVERAGE(B2390:B2439)</f>
        <v>25186.5866</v>
      </c>
      <c r="E2439" s="17" t="n">
        <f aca="false">AVERAGE(B2240:B2439)</f>
        <v>24318.24065</v>
      </c>
      <c r="F2439" s="17" t="n">
        <f aca="false">B2439*2/13+F2438*11/13</f>
        <v>24781.7671627834</v>
      </c>
      <c r="G2439" s="17" t="n">
        <f aca="false">B2439*2/27+G2438*25/27</f>
        <v>24912.7932938797</v>
      </c>
      <c r="H2439" s="17" t="n">
        <f aca="false">F2439-G2439</f>
        <v>-131.026131096241</v>
      </c>
      <c r="I2439" s="17" t="n">
        <f aca="false">H2439*2/10+I2438*8/10</f>
        <v>-118.969325375485</v>
      </c>
      <c r="J2439" s="17" t="n">
        <f aca="false">H2439-I2439</f>
        <v>-12.0568057207569</v>
      </c>
      <c r="K2439" s="17" t="n">
        <f aca="false">MAX(B2439-B2438,0)</f>
        <v>125.079999999998</v>
      </c>
      <c r="L2439" s="17" t="n">
        <f aca="false">MAX(B2438-B2439,0)</f>
        <v>0</v>
      </c>
      <c r="M2439" s="17" t="n">
        <f aca="false">(M2438*13+K2439)/14</f>
        <v>99.8756938661489</v>
      </c>
      <c r="N2439" s="17" t="n">
        <f aca="false">(N2438*13+L2439)/14</f>
        <v>110.671442332192</v>
      </c>
      <c r="O2439" s="17" t="n">
        <f aca="false">IF(N2439=0,100,100-100/(1+M2439/N2439))</f>
        <v>47.4362632850363</v>
      </c>
      <c r="P2439" s="17" t="n">
        <f aca="false">AVERAGE(B2420:B2439)+2*STDEV(B2420:B2439)</f>
        <v>25307.5869602393</v>
      </c>
      <c r="Q2439" s="17" t="n">
        <f aca="false">AVERAGE(B2420:B2439)-2*STDEV(B2420:B2439)</f>
        <v>24435.0980397607</v>
      </c>
      <c r="R2439" s="19" t="n">
        <f aca="false">B2439/B2419-1</f>
        <v>0.00319088642031273</v>
      </c>
      <c r="S2439" s="17" t="n">
        <f aca="false">STDEV(C2420:C2439)*SQRT(252)*100</f>
        <v>16.3329136659595</v>
      </c>
      <c r="T2439" s="19" t="n">
        <f aca="false">B2418/B2188-1</f>
        <v>0.248356066754693</v>
      </c>
      <c r="U2439" s="19" t="n">
        <f aca="false">B2439/MAX(B2188:B2439)-1</f>
        <v>-0.0512801566624617</v>
      </c>
      <c r="V2439" s="17" t="n">
        <f aca="false">(B2439-AVERAGE(B2420:B2439))/STDEV(B2420:B2439)</f>
        <v>-0.416841969523815</v>
      </c>
    </row>
    <row r="2440" customFormat="false" ht="15" hidden="false" customHeight="false" outlineLevel="0" collapsed="false">
      <c r="A2440" s="17" t="s">
        <v>3004</v>
      </c>
      <c r="B2440" s="17" t="n">
        <v>24425.09</v>
      </c>
      <c r="C2440" s="19" t="n">
        <f aca="false">B2440/B2439-1</f>
        <v>-0.0143391435657668</v>
      </c>
      <c r="D2440" s="17" t="n">
        <f aca="false">AVERAGE(B2391:B2440)</f>
        <v>25167.062</v>
      </c>
      <c r="E2440" s="17" t="n">
        <f aca="false">AVERAGE(B2241:B2440)</f>
        <v>24333.66115</v>
      </c>
      <c r="F2440" s="17" t="n">
        <f aca="false">B2440*2/13+F2439*11/13</f>
        <v>24726.8937531244</v>
      </c>
      <c r="G2440" s="17" t="n">
        <f aca="false">B2440*2/27+G2439*25/27</f>
        <v>24876.6671239627</v>
      </c>
      <c r="H2440" s="17" t="n">
        <f aca="false">F2440-G2440</f>
        <v>-149.773370838222</v>
      </c>
      <c r="I2440" s="17" t="n">
        <f aca="false">H2440*2/10+I2439*8/10</f>
        <v>-125.130134468032</v>
      </c>
      <c r="J2440" s="17" t="n">
        <f aca="false">H2440-I2440</f>
        <v>-24.64323637019</v>
      </c>
      <c r="K2440" s="17" t="n">
        <f aca="false">MAX(B2440-B2439,0)</f>
        <v>0</v>
      </c>
      <c r="L2440" s="17" t="n">
        <f aca="false">MAX(B2439-B2440,0)</f>
        <v>355.329999999998</v>
      </c>
      <c r="M2440" s="17" t="n">
        <f aca="false">(M2439*13+K2440)/14</f>
        <v>92.7417157328526</v>
      </c>
      <c r="N2440" s="17" t="n">
        <f aca="false">(N2439*13+L2440)/14</f>
        <v>128.147053594178</v>
      </c>
      <c r="O2440" s="17" t="n">
        <f aca="false">IF(N2440=0,100,100-100/(1+M2440/N2440))</f>
        <v>41.9857089228228</v>
      </c>
      <c r="P2440" s="17" t="n">
        <f aca="false">AVERAGE(B2421:B2440)+2*STDEV(B2421:B2440)</f>
        <v>25326.93563738</v>
      </c>
      <c r="Q2440" s="17" t="n">
        <f aca="false">AVERAGE(B2421:B2440)-2*STDEV(B2421:B2440)</f>
        <v>24368.37136262</v>
      </c>
      <c r="R2440" s="19" t="n">
        <f aca="false">B2440/B2420-1</f>
        <v>-0.0190281727644668</v>
      </c>
      <c r="S2440" s="17" t="n">
        <f aca="false">STDEV(C2421:C2440)*SQRT(252)*100</f>
        <v>16.8378046288112</v>
      </c>
      <c r="T2440" s="19" t="n">
        <f aca="false">B2419/B2189-1</f>
        <v>0.26783060006077</v>
      </c>
      <c r="U2440" s="19" t="n">
        <f aca="false">B2440/MAX(B2189:B2440)-1</f>
        <v>-0.0648839866997705</v>
      </c>
      <c r="V2440" s="17" t="n">
        <f aca="false">(B2440-AVERAGE(B2421:B2440))/STDEV(B2421:B2440)</f>
        <v>-1.76331837572714</v>
      </c>
    </row>
    <row r="2441" customFormat="false" ht="15" hidden="false" customHeight="false" outlineLevel="0" collapsed="false">
      <c r="A2441" s="17" t="s">
        <v>3005</v>
      </c>
      <c r="B2441" s="17" t="n">
        <v>24355.28</v>
      </c>
      <c r="C2441" s="19" t="n">
        <f aca="false">B2441/B2440-1</f>
        <v>-0.00285812662307494</v>
      </c>
      <c r="D2441" s="17" t="n">
        <f aca="false">AVERAGE(B2392:B2441)</f>
        <v>25141.3734</v>
      </c>
      <c r="E2441" s="17" t="n">
        <f aca="false">AVERAGE(B2242:B2441)</f>
        <v>24347.9788</v>
      </c>
      <c r="F2441" s="17" t="n">
        <f aca="false">B2441*2/13+F2440*11/13</f>
        <v>24669.7224064899</v>
      </c>
      <c r="G2441" s="17" t="n">
        <f aca="false">B2441*2/27+G2440*25/27</f>
        <v>24838.045855521</v>
      </c>
      <c r="H2441" s="17" t="n">
        <f aca="false">F2441-G2441</f>
        <v>-168.323449031072</v>
      </c>
      <c r="I2441" s="17" t="n">
        <f aca="false">H2441*2/10+I2440*8/10</f>
        <v>-133.76879738064</v>
      </c>
      <c r="J2441" s="17" t="n">
        <f aca="false">H2441-I2441</f>
        <v>-34.5546516504316</v>
      </c>
      <c r="K2441" s="17" t="n">
        <f aca="false">MAX(B2441-B2440,0)</f>
        <v>0</v>
      </c>
      <c r="L2441" s="17" t="n">
        <f aca="false">MAX(B2440-B2441,0)</f>
        <v>69.8100000000013</v>
      </c>
      <c r="M2441" s="17" t="n">
        <f aca="false">(M2440*13+K2441)/14</f>
        <v>86.1173074662202</v>
      </c>
      <c r="N2441" s="17" t="n">
        <f aca="false">(N2440*13+L2441)/14</f>
        <v>123.980121194594</v>
      </c>
      <c r="O2441" s="17" t="n">
        <f aca="false">IF(N2441=0,100,100-100/(1+M2441/N2441))</f>
        <v>40.9892248635036</v>
      </c>
      <c r="P2441" s="17" t="n">
        <f aca="false">AVERAGE(B2422:B2441)+2*STDEV(B2422:B2441)</f>
        <v>25352.9589320215</v>
      </c>
      <c r="Q2441" s="17" t="n">
        <f aca="false">AVERAGE(B2422:B2441)-2*STDEV(B2422:B2441)</f>
        <v>24298.1420679785</v>
      </c>
      <c r="R2441" s="19" t="n">
        <f aca="false">B2441/B2421-1</f>
        <v>-0.017826912080086</v>
      </c>
      <c r="S2441" s="17" t="n">
        <f aca="false">STDEV(C2422:C2441)*SQRT(252)*100</f>
        <v>16.8128883619613</v>
      </c>
      <c r="T2441" s="19" t="n">
        <f aca="false">B2420/B2190-1</f>
        <v>0.261554386608474</v>
      </c>
      <c r="U2441" s="19" t="n">
        <f aca="false">B2441/MAX(B2190:B2441)-1</f>
        <v>-0.0675566666730475</v>
      </c>
      <c r="V2441" s="17" t="n">
        <f aca="false">(B2441-AVERAGE(B2422:B2441))/STDEV(B2422:B2441)</f>
        <v>-1.78332567872498</v>
      </c>
    </row>
    <row r="2442" customFormat="false" ht="15" hidden="false" customHeight="false" outlineLevel="0" collapsed="false">
      <c r="A2442" s="17" t="s">
        <v>3006</v>
      </c>
      <c r="B2442" s="17" t="n">
        <v>23898.15</v>
      </c>
      <c r="C2442" s="19" t="n">
        <f aca="false">B2442/B2441-1</f>
        <v>-0.0187692360752986</v>
      </c>
      <c r="D2442" s="17" t="n">
        <f aca="false">AVERAGE(B2393:B2442)</f>
        <v>25106.2584</v>
      </c>
      <c r="E2442" s="17" t="n">
        <f aca="false">AVERAGE(B2243:B2442)</f>
        <v>24359.15665</v>
      </c>
      <c r="F2442" s="17" t="n">
        <f aca="false">B2442*2/13+F2441*11/13</f>
        <v>24551.0189593376</v>
      </c>
      <c r="G2442" s="17" t="n">
        <f aca="false">B2442*2/27+G2441*25/27</f>
        <v>24768.4239402972</v>
      </c>
      <c r="H2442" s="17" t="n">
        <f aca="false">F2442-G2442</f>
        <v>-217.404980959589</v>
      </c>
      <c r="I2442" s="17" t="n">
        <f aca="false">H2442*2/10+I2441*8/10</f>
        <v>-150.49603409643</v>
      </c>
      <c r="J2442" s="17" t="n">
        <f aca="false">H2442-I2442</f>
        <v>-66.9089468631593</v>
      </c>
      <c r="K2442" s="17" t="n">
        <f aca="false">MAX(B2442-B2441,0)</f>
        <v>0</v>
      </c>
      <c r="L2442" s="17" t="n">
        <f aca="false">MAX(B2441-B2442,0)</f>
        <v>457.129999999997</v>
      </c>
      <c r="M2442" s="17" t="n">
        <f aca="false">(M2441*13+K2442)/14</f>
        <v>79.9660712186331</v>
      </c>
      <c r="N2442" s="17" t="n">
        <f aca="false">(N2441*13+L2442)/14</f>
        <v>147.776541109266</v>
      </c>
      <c r="O2442" s="17" t="n">
        <f aca="false">IF(N2442=0,100,100-100/(1+M2442/N2442))</f>
        <v>35.1124764932</v>
      </c>
      <c r="P2442" s="17" t="n">
        <f aca="false">AVERAGE(B2423:B2442)+2*STDEV(B2423:B2442)</f>
        <v>25432.2361401956</v>
      </c>
      <c r="Q2442" s="17" t="n">
        <f aca="false">AVERAGE(B2423:B2442)-2*STDEV(B2423:B2442)</f>
        <v>24107.4178598044</v>
      </c>
      <c r="R2442" s="19" t="n">
        <f aca="false">B2442/B2422-1</f>
        <v>-0.0445563079757337</v>
      </c>
      <c r="S2442" s="17" t="n">
        <f aca="false">STDEV(C2423:C2442)*SQRT(252)*100</f>
        <v>17.5569280959959</v>
      </c>
      <c r="T2442" s="19" t="n">
        <f aca="false">B2421/B2191-1</f>
        <v>0.260180479235029</v>
      </c>
      <c r="U2442" s="19" t="n">
        <f aca="false">B2442/MAX(B2191:B2442)-1</f>
        <v>-0.0850579157230994</v>
      </c>
      <c r="V2442" s="17" t="n">
        <f aca="false">(B2442-AVERAGE(B2423:B2442))/STDEV(B2423:B2442)</f>
        <v>-2.63183868429877</v>
      </c>
    </row>
    <row r="2443" customFormat="false" ht="15" hidden="false" customHeight="false" outlineLevel="0" collapsed="false">
      <c r="A2443" s="17" t="s">
        <v>3007</v>
      </c>
      <c r="B2443" s="17" t="n">
        <v>24188.59</v>
      </c>
      <c r="C2443" s="19" t="n">
        <f aca="false">B2443/B2442-1</f>
        <v>0.0121532419873505</v>
      </c>
      <c r="D2443" s="17" t="n">
        <f aca="false">AVERAGE(B2394:B2443)</f>
        <v>25079.8882</v>
      </c>
      <c r="E2443" s="17" t="n">
        <f aca="false">AVERAGE(B2244:B2443)</f>
        <v>24371.49</v>
      </c>
      <c r="F2443" s="17" t="n">
        <f aca="false">B2443*2/13+F2442*11/13</f>
        <v>24495.2606579011</v>
      </c>
      <c r="G2443" s="17" t="n">
        <f aca="false">B2443*2/27+G2442*25/27</f>
        <v>24725.473278053</v>
      </c>
      <c r="H2443" s="17" t="n">
        <f aca="false">F2443-G2443</f>
        <v>-230.21262015191</v>
      </c>
      <c r="I2443" s="17" t="n">
        <f aca="false">H2443*2/10+I2442*8/10</f>
        <v>-166.439351307526</v>
      </c>
      <c r="J2443" s="17" t="n">
        <f aca="false">H2443-I2443</f>
        <v>-63.7732688443838</v>
      </c>
      <c r="K2443" s="17" t="n">
        <f aca="false">MAX(B2443-B2442,0)</f>
        <v>290.439999999999</v>
      </c>
      <c r="L2443" s="17" t="n">
        <f aca="false">MAX(B2442-B2443,0)</f>
        <v>0</v>
      </c>
      <c r="M2443" s="17" t="n">
        <f aca="false">(M2442*13+K2443)/14</f>
        <v>94.9999232744449</v>
      </c>
      <c r="N2443" s="17" t="n">
        <f aca="false">(N2442*13+L2443)/14</f>
        <v>137.221073887175</v>
      </c>
      <c r="O2443" s="17" t="n">
        <f aca="false">IF(N2443=0,100,100-100/(1+M2443/N2443))</f>
        <v>40.9092736813662</v>
      </c>
      <c r="P2443" s="17" t="n">
        <f aca="false">AVERAGE(B2424:B2443)+2*STDEV(B2424:B2443)</f>
        <v>25455.342151926</v>
      </c>
      <c r="Q2443" s="17" t="n">
        <f aca="false">AVERAGE(B2424:B2443)-2*STDEV(B2424:B2443)</f>
        <v>24032.276848074</v>
      </c>
      <c r="R2443" s="19" t="n">
        <f aca="false">B2443/B2423-1</f>
        <v>-0.0210591793901316</v>
      </c>
      <c r="S2443" s="17" t="n">
        <f aca="false">STDEV(C2424:C2443)*SQRT(252)*100</f>
        <v>17.8512150827617</v>
      </c>
      <c r="T2443" s="19" t="n">
        <f aca="false">B2422/B2192-1</f>
        <v>0.266207248467017</v>
      </c>
      <c r="U2443" s="19" t="n">
        <f aca="false">B2443/MAX(B2192:B2443)-1</f>
        <v>-0.0739384031684714</v>
      </c>
      <c r="V2443" s="17" t="n">
        <f aca="false">(B2443-AVERAGE(B2424:B2443))/STDEV(B2424:B2443)</f>
        <v>-1.5606297152973</v>
      </c>
    </row>
    <row r="2444" customFormat="false" ht="15" hidden="false" customHeight="false" outlineLevel="0" collapsed="false">
      <c r="A2444" s="17" t="s">
        <v>3008</v>
      </c>
      <c r="B2444" s="17" t="n">
        <v>24002.45</v>
      </c>
      <c r="C2444" s="19" t="n">
        <f aca="false">B2444/B2443-1</f>
        <v>-0.00769536380582747</v>
      </c>
      <c r="D2444" s="17" t="n">
        <f aca="false">AVERAGE(B2395:B2444)</f>
        <v>25044.612</v>
      </c>
      <c r="E2444" s="17" t="n">
        <f aca="false">AVERAGE(B2245:B2444)</f>
        <v>24383.7651</v>
      </c>
      <c r="F2444" s="17" t="n">
        <f aca="false">B2444*2/13+F2443*11/13</f>
        <v>24419.4436336086</v>
      </c>
      <c r="G2444" s="17" t="n">
        <f aca="false">B2444*2/27+G2443*25/27</f>
        <v>24671.9159981972</v>
      </c>
      <c r="H2444" s="17" t="n">
        <f aca="false">F2444-G2444</f>
        <v>-252.472364588604</v>
      </c>
      <c r="I2444" s="17" t="n">
        <f aca="false">H2444*2/10+I2443*8/10</f>
        <v>-183.645953963741</v>
      </c>
      <c r="J2444" s="17" t="n">
        <f aca="false">H2444-I2444</f>
        <v>-68.8264106248628</v>
      </c>
      <c r="K2444" s="17" t="n">
        <f aca="false">MAX(B2444-B2443,0)</f>
        <v>0</v>
      </c>
      <c r="L2444" s="17" t="n">
        <f aca="false">MAX(B2443-B2444,0)</f>
        <v>186.139999999999</v>
      </c>
      <c r="M2444" s="17" t="n">
        <f aca="false">(M2443*13+K2444)/14</f>
        <v>88.2142144691274</v>
      </c>
      <c r="N2444" s="17" t="n">
        <f aca="false">(N2443*13+L2444)/14</f>
        <v>140.715282895234</v>
      </c>
      <c r="O2444" s="17" t="n">
        <f aca="false">IF(N2444=0,100,100-100/(1+M2444/N2444))</f>
        <v>38.5333543666182</v>
      </c>
      <c r="P2444" s="17" t="n">
        <f aca="false">AVERAGE(B2425:B2444)+2*STDEV(B2425:B2444)</f>
        <v>25470.0231291595</v>
      </c>
      <c r="Q2444" s="17" t="n">
        <f aca="false">AVERAGE(B2425:B2444)-2*STDEV(B2425:B2444)</f>
        <v>23920.1368708405</v>
      </c>
      <c r="R2444" s="19" t="n">
        <f aca="false">B2444/B2424-1</f>
        <v>-0.0390194354495168</v>
      </c>
      <c r="S2444" s="17" t="n">
        <f aca="false">STDEV(C2425:C2444)*SQRT(252)*100</f>
        <v>17.4266444702199</v>
      </c>
      <c r="T2444" s="19" t="n">
        <f aca="false">B2423/B2193-1</f>
        <v>0.224399852332331</v>
      </c>
      <c r="U2444" s="19" t="n">
        <f aca="false">B2444/MAX(B2193:B2444)-1</f>
        <v>-0.0810647840626956</v>
      </c>
      <c r="V2444" s="17" t="n">
        <f aca="false">(B2444-AVERAGE(B2425:B2444))/STDEV(B2425:B2444)</f>
        <v>-1.78756343256101</v>
      </c>
    </row>
    <row r="2445" customFormat="false" ht="15" hidden="false" customHeight="false" outlineLevel="0" collapsed="false">
      <c r="A2445" s="17" t="s">
        <v>3009</v>
      </c>
      <c r="B2445" s="17" t="n">
        <v>24162.98</v>
      </c>
      <c r="C2445" s="19" t="n">
        <f aca="false">B2445/B2444-1</f>
        <v>0.00668806725980042</v>
      </c>
      <c r="D2445" s="17" t="n">
        <f aca="false">AVERAGE(B2396:B2445)</f>
        <v>25012.1184</v>
      </c>
      <c r="E2445" s="17" t="n">
        <f aca="false">AVERAGE(B2246:B2445)</f>
        <v>24395.77105</v>
      </c>
      <c r="F2445" s="17" t="n">
        <f aca="false">B2445*2/13+F2444*11/13</f>
        <v>24379.9876899765</v>
      </c>
      <c r="G2445" s="17" t="n">
        <f aca="false">B2445*2/27+G2444*25/27</f>
        <v>24634.2170353678</v>
      </c>
      <c r="H2445" s="17" t="n">
        <f aca="false">F2445-G2445</f>
        <v>-254.229345391275</v>
      </c>
      <c r="I2445" s="17" t="n">
        <f aca="false">H2445*2/10+I2444*8/10</f>
        <v>-197.762632249248</v>
      </c>
      <c r="J2445" s="17" t="n">
        <f aca="false">H2445-I2445</f>
        <v>-56.4667131420271</v>
      </c>
      <c r="K2445" s="17" t="n">
        <f aca="false">MAX(B2445-B2444,0)</f>
        <v>160.529999999999</v>
      </c>
      <c r="L2445" s="17" t="n">
        <f aca="false">MAX(B2444-B2445,0)</f>
        <v>0</v>
      </c>
      <c r="M2445" s="17" t="n">
        <f aca="false">(M2444*13+K2445)/14</f>
        <v>93.3796277213325</v>
      </c>
      <c r="N2445" s="17" t="n">
        <f aca="false">(N2444*13+L2445)/14</f>
        <v>130.66419125986</v>
      </c>
      <c r="O2445" s="17" t="n">
        <f aca="false">IF(N2445=0,100,100-100/(1+M2445/N2445))</f>
        <v>41.6791805040474</v>
      </c>
      <c r="P2445" s="17" t="n">
        <f aca="false">AVERAGE(B2426:B2445)+2*STDEV(B2426:B2445)</f>
        <v>25385.9225323472</v>
      </c>
      <c r="Q2445" s="17" t="n">
        <f aca="false">AVERAGE(B2426:B2445)-2*STDEV(B2426:B2445)</f>
        <v>23887.6314676528</v>
      </c>
      <c r="R2445" s="19" t="n">
        <f aca="false">B2445/B2425-1</f>
        <v>-0.046036486183448</v>
      </c>
      <c r="S2445" s="17" t="n">
        <f aca="false">STDEV(C2426:C2445)*SQRT(252)*100</f>
        <v>16.7069551569685</v>
      </c>
      <c r="T2445" s="19" t="n">
        <f aca="false">B2424/B2194-1</f>
        <v>0.231134133123158</v>
      </c>
      <c r="U2445" s="19" t="n">
        <f aca="false">B2445/MAX(B2194:B2445)-1</f>
        <v>-0.0749188835311075</v>
      </c>
      <c r="V2445" s="17" t="n">
        <f aca="false">(B2445-AVERAGE(B2426:B2445))/STDEV(B2426:B2445)</f>
        <v>-1.26489975456572</v>
      </c>
    </row>
    <row r="2446" customFormat="false" ht="15" hidden="false" customHeight="false" outlineLevel="0" collapsed="false">
      <c r="A2446" s="17" t="s">
        <v>3010</v>
      </c>
      <c r="B2446" s="17" t="n">
        <v>23586.99</v>
      </c>
      <c r="C2446" s="19" t="n">
        <f aca="false">B2446/B2445-1</f>
        <v>-0.0238377054485829</v>
      </c>
      <c r="D2446" s="17" t="n">
        <f aca="false">AVERAGE(B2397:B2446)</f>
        <v>24969.0192</v>
      </c>
      <c r="E2446" s="17" t="n">
        <f aca="false">AVERAGE(B2247:B2446)</f>
        <v>24404.71665</v>
      </c>
      <c r="F2446" s="17" t="n">
        <f aca="false">B2446*2/13+F2445*11/13</f>
        <v>24257.9880453647</v>
      </c>
      <c r="G2446" s="17" t="n">
        <f aca="false">B2446*2/27+G2445*25/27</f>
        <v>24556.6446623776</v>
      </c>
      <c r="H2446" s="17" t="n">
        <f aca="false">F2446-G2446</f>
        <v>-298.656617012839</v>
      </c>
      <c r="I2446" s="17" t="n">
        <f aca="false">H2446*2/10+I2445*8/10</f>
        <v>-217.941429201966</v>
      </c>
      <c r="J2446" s="17" t="n">
        <f aca="false">H2446-I2446</f>
        <v>-80.7151878108726</v>
      </c>
      <c r="K2446" s="17" t="n">
        <f aca="false">MAX(B2446-B2445,0)</f>
        <v>0</v>
      </c>
      <c r="L2446" s="17" t="n">
        <f aca="false">MAX(B2445-B2446,0)</f>
        <v>575.989999999998</v>
      </c>
      <c r="M2446" s="17" t="n">
        <f aca="false">(M2445*13+K2446)/14</f>
        <v>86.7096543126659</v>
      </c>
      <c r="N2446" s="17" t="n">
        <f aca="false">(N2445*13+L2446)/14</f>
        <v>162.473177598442</v>
      </c>
      <c r="O2446" s="17" t="n">
        <f aca="false">IF(N2446=0,100,100-100/(1+M2446/N2446))</f>
        <v>34.7976036902889</v>
      </c>
      <c r="P2446" s="17" t="n">
        <f aca="false">AVERAGE(B2427:B2446)+2*STDEV(B2427:B2446)</f>
        <v>25423.4181395787</v>
      </c>
      <c r="Q2446" s="17" t="n">
        <f aca="false">AVERAGE(B2427:B2446)-2*STDEV(B2427:B2446)</f>
        <v>23705.3978604213</v>
      </c>
      <c r="R2446" s="19" t="n">
        <f aca="false">B2446/B2426-1</f>
        <v>-0.0578157149550796</v>
      </c>
      <c r="S2446" s="17" t="n">
        <f aca="false">STDEV(C2427:C2446)*SQRT(252)*100</f>
        <v>18.113557924695</v>
      </c>
      <c r="T2446" s="19" t="n">
        <f aca="false">B2425/B2195-1</f>
        <v>0.271730316679378</v>
      </c>
      <c r="U2446" s="19" t="n">
        <f aca="false">B2446/MAX(B2195:B2446)-1</f>
        <v>-0.0969706947015392</v>
      </c>
      <c r="V2446" s="17" t="n">
        <f aca="false">(B2446-AVERAGE(B2427:B2446))/STDEV(B2427:B2446)</f>
        <v>-2.27568443017313</v>
      </c>
    </row>
    <row r="2447" customFormat="false" ht="15" hidden="false" customHeight="false" outlineLevel="0" collapsed="false">
      <c r="A2447" s="17" t="s">
        <v>3011</v>
      </c>
      <c r="B2447" s="17" t="n">
        <v>23132.77</v>
      </c>
      <c r="C2447" s="19" t="n">
        <f aca="false">B2447/B2446-1</f>
        <v>-0.0192572261233842</v>
      </c>
      <c r="D2447" s="17" t="n">
        <f aca="false">AVERAGE(B2398:B2447)</f>
        <v>24922.3558</v>
      </c>
      <c r="E2447" s="17" t="n">
        <f aca="false">AVERAGE(B2248:B2447)</f>
        <v>24410.6709</v>
      </c>
      <c r="F2447" s="17" t="n">
        <f aca="false">B2447*2/13+F2446*11/13</f>
        <v>24084.8775768471</v>
      </c>
      <c r="G2447" s="17" t="n">
        <f aca="false">B2447*2/27+G2446*25/27</f>
        <v>24451.1724651644</v>
      </c>
      <c r="H2447" s="17" t="n">
        <f aca="false">F2447-G2447</f>
        <v>-366.29488831733</v>
      </c>
      <c r="I2447" s="17" t="n">
        <f aca="false">H2447*2/10+I2446*8/10</f>
        <v>-247.612121025039</v>
      </c>
      <c r="J2447" s="17" t="n">
        <f aca="false">H2447-I2447</f>
        <v>-118.682767292291</v>
      </c>
      <c r="K2447" s="17" t="n">
        <f aca="false">MAX(B2447-B2446,0)</f>
        <v>0</v>
      </c>
      <c r="L2447" s="17" t="n">
        <f aca="false">MAX(B2446-B2447,0)</f>
        <v>454.220000000001</v>
      </c>
      <c r="M2447" s="17" t="n">
        <f aca="false">(M2446*13+K2447)/14</f>
        <v>80.5161075760469</v>
      </c>
      <c r="N2447" s="17" t="n">
        <f aca="false">(N2446*13+L2447)/14</f>
        <v>183.31223634141</v>
      </c>
      <c r="O2447" s="17" t="n">
        <f aca="false">IF(N2447=0,100,100-100/(1+M2447/N2447))</f>
        <v>30.5183690199858</v>
      </c>
      <c r="P2447" s="17" t="n">
        <f aca="false">AVERAGE(B2428:B2447)+2*STDEV(B2428:B2447)</f>
        <v>25522.468843001</v>
      </c>
      <c r="Q2447" s="17" t="n">
        <f aca="false">AVERAGE(B2428:B2447)-2*STDEV(B2428:B2447)</f>
        <v>23423.620156999</v>
      </c>
      <c r="R2447" s="19" t="n">
        <f aca="false">B2447/B2427-1</f>
        <v>-0.0732078153720908</v>
      </c>
      <c r="S2447" s="17" t="n">
        <f aca="false">STDEV(C2428:C2447)*SQRT(252)*100</f>
        <v>19.0204952983723</v>
      </c>
      <c r="T2447" s="19" t="n">
        <f aca="false">B2426/B2196-1</f>
        <v>0.264450249562848</v>
      </c>
      <c r="U2447" s="19" t="n">
        <f aca="false">B2447/MAX(B2196:B2447)-1</f>
        <v>-0.114360534229714</v>
      </c>
      <c r="V2447" s="17" t="n">
        <f aca="false">(B2447-AVERAGE(B2428:B2447))/STDEV(B2428:B2447)</f>
        <v>-2.55430419341564</v>
      </c>
    </row>
    <row r="2448" customFormat="false" ht="15" hidden="false" customHeight="false" outlineLevel="0" collapsed="false">
      <c r="A2448" s="17" t="s">
        <v>3012</v>
      </c>
      <c r="B2448" s="17" t="n">
        <v>22953.38</v>
      </c>
      <c r="C2448" s="19" t="n">
        <f aca="false">B2448/B2447-1</f>
        <v>-0.00775479979267502</v>
      </c>
      <c r="D2448" s="17" t="n">
        <f aca="false">AVERAGE(B2399:B2448)</f>
        <v>24870.482</v>
      </c>
      <c r="E2448" s="17" t="n">
        <f aca="false">AVERAGE(B2249:B2448)</f>
        <v>24416.1338</v>
      </c>
      <c r="F2448" s="17" t="n">
        <f aca="false">B2448*2/13+F2447*11/13</f>
        <v>23910.8010265629</v>
      </c>
      <c r="G2448" s="17" t="n">
        <f aca="false">B2448*2/27+G2447*25/27</f>
        <v>24340.2248751522</v>
      </c>
      <c r="H2448" s="17" t="n">
        <f aca="false">F2448-G2448</f>
        <v>-429.423848589318</v>
      </c>
      <c r="I2448" s="17" t="n">
        <f aca="false">H2448*2/10+I2447*8/10</f>
        <v>-283.974466537895</v>
      </c>
      <c r="J2448" s="17" t="n">
        <f aca="false">H2448-I2448</f>
        <v>-145.449382051423</v>
      </c>
      <c r="K2448" s="17" t="n">
        <f aca="false">MAX(B2448-B2447,0)</f>
        <v>0</v>
      </c>
      <c r="L2448" s="17" t="n">
        <f aca="false">MAX(B2447-B2448,0)</f>
        <v>179.389999999999</v>
      </c>
      <c r="M2448" s="17" t="n">
        <f aca="false">(M2447*13+K2448)/14</f>
        <v>74.7649570349007</v>
      </c>
      <c r="N2448" s="17" t="n">
        <f aca="false">(N2447*13+L2448)/14</f>
        <v>183.032076602738</v>
      </c>
      <c r="O2448" s="17" t="n">
        <f aca="false">IF(N2448=0,100,100-100/(1+M2448/N2448))</f>
        <v>29.0014807307639</v>
      </c>
      <c r="P2448" s="17" t="n">
        <f aca="false">AVERAGE(B2429:B2448)+2*STDEV(B2429:B2448)</f>
        <v>25590.458297531</v>
      </c>
      <c r="Q2448" s="17" t="n">
        <f aca="false">AVERAGE(B2429:B2448)-2*STDEV(B2429:B2448)</f>
        <v>23151.708702469</v>
      </c>
      <c r="R2448" s="19" t="n">
        <f aca="false">B2448/B2428-1</f>
        <v>-0.081592951513648</v>
      </c>
      <c r="S2448" s="17" t="n">
        <f aca="false">STDEV(C2429:C2448)*SQRT(252)*100</f>
        <v>18.9745173320336</v>
      </c>
      <c r="T2448" s="19" t="n">
        <f aca="false">B2427/B2197-1</f>
        <v>0.294513883846609</v>
      </c>
      <c r="U2448" s="19" t="n">
        <f aca="false">B2448/MAX(B2197:B2448)-1</f>
        <v>-0.121228490975254</v>
      </c>
      <c r="V2448" s="17" t="n">
        <f aca="false">(B2448-AVERAGE(B2429:B2448))/STDEV(B2429:B2448)</f>
        <v>-2.32529572182502</v>
      </c>
    </row>
    <row r="2449" customFormat="false" ht="15" hidden="false" customHeight="false" outlineLevel="0" collapsed="false">
      <c r="A2449" s="17" t="s">
        <v>3013</v>
      </c>
      <c r="B2449" s="17" t="n">
        <v>23740.19</v>
      </c>
      <c r="C2449" s="19" t="n">
        <f aca="false">B2449/B2448-1</f>
        <v>0.0342786116903044</v>
      </c>
      <c r="D2449" s="17" t="n">
        <f aca="false">AVERAGE(B2400:B2449)</f>
        <v>24834.7006</v>
      </c>
      <c r="E2449" s="17" t="n">
        <f aca="false">AVERAGE(B2250:B2449)</f>
        <v>24425.26815</v>
      </c>
      <c r="F2449" s="17" t="n">
        <f aca="false">B2449*2/13+F2448*11/13</f>
        <v>23884.5531763225</v>
      </c>
      <c r="G2449" s="17" t="n">
        <f aca="false">B2449*2/27+G2448*25/27</f>
        <v>24295.7778473632</v>
      </c>
      <c r="H2449" s="17" t="n">
        <f aca="false">F2449-G2449</f>
        <v>-411.224671040716</v>
      </c>
      <c r="I2449" s="17" t="n">
        <f aca="false">H2449*2/10+I2448*8/10</f>
        <v>-309.424507438459</v>
      </c>
      <c r="J2449" s="17" t="n">
        <f aca="false">H2449-I2449</f>
        <v>-101.800163602257</v>
      </c>
      <c r="K2449" s="17" t="n">
        <f aca="false">MAX(B2449-B2448,0)</f>
        <v>786.809999999998</v>
      </c>
      <c r="L2449" s="17" t="n">
        <f aca="false">MAX(B2448-B2449,0)</f>
        <v>0</v>
      </c>
      <c r="M2449" s="17" t="n">
        <f aca="false">(M2448*13+K2449)/14</f>
        <v>125.625317246693</v>
      </c>
      <c r="N2449" s="17" t="n">
        <f aca="false">(N2448*13+L2449)/14</f>
        <v>169.9583568454</v>
      </c>
      <c r="O2449" s="17" t="n">
        <f aca="false">IF(N2449=0,100,100-100/(1+M2449/N2449))</f>
        <v>42.5007631536352</v>
      </c>
      <c r="P2449" s="17" t="n">
        <f aca="false">AVERAGE(B2430:B2449)+2*STDEV(B2430:B2449)</f>
        <v>25561.0082735929</v>
      </c>
      <c r="Q2449" s="17" t="n">
        <f aca="false">AVERAGE(B2430:B2449)-2*STDEV(B2430:B2449)</f>
        <v>23083.1697264071</v>
      </c>
      <c r="R2449" s="19" t="n">
        <f aca="false">B2449/B2429-1</f>
        <v>-0.0396394348238357</v>
      </c>
      <c r="S2449" s="17" t="n">
        <f aca="false">STDEV(C2430:C2449)*SQRT(252)*100</f>
        <v>23.1657362558129</v>
      </c>
      <c r="T2449" s="19" t="n">
        <f aca="false">B2428/B2198-1</f>
        <v>0.296400903599615</v>
      </c>
      <c r="U2449" s="19" t="n">
        <f aca="false">B2449/MAX(B2198:B2449)-1</f>
        <v>-0.0911054236528923</v>
      </c>
      <c r="V2449" s="17" t="n">
        <f aca="false">(B2449-AVERAGE(B2430:B2449))/STDEV(B2430:B2449)</f>
        <v>-0.939365481517566</v>
      </c>
    </row>
    <row r="2450" customFormat="false" ht="15" hidden="false" customHeight="false" outlineLevel="0" collapsed="false">
      <c r="A2450" s="17" t="s">
        <v>3014</v>
      </c>
      <c r="B2450" s="17" t="n">
        <v>24019.99</v>
      </c>
      <c r="C2450" s="19" t="n">
        <f aca="false">B2450/B2449-1</f>
        <v>0.0117859208371964</v>
      </c>
      <c r="D2450" s="17" t="n">
        <f aca="false">AVERAGE(B2401:B2450)</f>
        <v>24815.349</v>
      </c>
      <c r="E2450" s="17" t="n">
        <f aca="false">AVERAGE(B2251:B2450)</f>
        <v>24437.2129</v>
      </c>
      <c r="F2450" s="17" t="n">
        <f aca="false">B2450*2/13+F2449*11/13</f>
        <v>23905.3896107344</v>
      </c>
      <c r="G2450" s="17" t="n">
        <f aca="false">B2450*2/27+G2449*25/27</f>
        <v>24275.3491179289</v>
      </c>
      <c r="H2450" s="17" t="n">
        <f aca="false">F2450-G2450</f>
        <v>-369.959507194479</v>
      </c>
      <c r="I2450" s="17" t="n">
        <f aca="false">H2450*2/10+I2449*8/10</f>
        <v>-321.531507389663</v>
      </c>
      <c r="J2450" s="17" t="n">
        <f aca="false">H2450-I2450</f>
        <v>-48.4279998048156</v>
      </c>
      <c r="K2450" s="17" t="n">
        <f aca="false">MAX(B2450-B2449,0)</f>
        <v>279.800000000003</v>
      </c>
      <c r="L2450" s="17" t="n">
        <f aca="false">MAX(B2449-B2450,0)</f>
        <v>0</v>
      </c>
      <c r="M2450" s="17" t="n">
        <f aca="false">(M2449*13+K2450)/14</f>
        <v>136.637794586215</v>
      </c>
      <c r="N2450" s="17" t="n">
        <f aca="false">(N2449*13+L2450)/14</f>
        <v>157.818474213585</v>
      </c>
      <c r="O2450" s="17" t="n">
        <f aca="false">IF(N2450=0,100,100-100/(1+M2450/N2450))</f>
        <v>46.4034252499188</v>
      </c>
      <c r="P2450" s="17" t="n">
        <f aca="false">AVERAGE(B2431:B2450)+2*STDEV(B2431:B2450)</f>
        <v>25458.6406742192</v>
      </c>
      <c r="Q2450" s="17" t="n">
        <f aca="false">AVERAGE(B2431:B2450)-2*STDEV(B2431:B2450)</f>
        <v>23078.1683257808</v>
      </c>
      <c r="R2450" s="19" t="n">
        <f aca="false">B2450/B2430-1</f>
        <v>-0.0427872675510327</v>
      </c>
      <c r="S2450" s="17" t="n">
        <f aca="false">STDEV(C2431:C2450)*SQRT(252)*100</f>
        <v>22.8694788443527</v>
      </c>
      <c r="T2450" s="19" t="n">
        <f aca="false">B2429/B2199-1</f>
        <v>0.271843271548979</v>
      </c>
      <c r="U2450" s="19" t="n">
        <f aca="false">B2450/MAX(B2199:B2450)-1</f>
        <v>-0.0803932641267081</v>
      </c>
      <c r="V2450" s="17" t="n">
        <f aca="false">(B2450-AVERAGE(B2431:B2450))/STDEV(B2431:B2450)</f>
        <v>-0.417420517676597</v>
      </c>
    </row>
    <row r="2451" customFormat="false" ht="15" hidden="false" customHeight="false" outlineLevel="0" collapsed="false">
      <c r="A2451" s="17" t="s">
        <v>3015</v>
      </c>
      <c r="B2451" s="17" t="n">
        <v>24045.53</v>
      </c>
      <c r="C2451" s="19" t="n">
        <f aca="false">B2451/B2450-1</f>
        <v>0.00106328104216513</v>
      </c>
      <c r="D2451" s="17" t="n">
        <f aca="false">AVERAGE(B2402:B2451)</f>
        <v>24789.728</v>
      </c>
      <c r="E2451" s="17" t="n">
        <f aca="false">AVERAGE(B2252:B2451)</f>
        <v>24447.7527</v>
      </c>
      <c r="F2451" s="17" t="n">
        <f aca="false">B2451*2/13+F2450*11/13</f>
        <v>23926.9496706214</v>
      </c>
      <c r="G2451" s="17" t="n">
        <f aca="false">B2451*2/27+G2450*25/27</f>
        <v>24258.3254795638</v>
      </c>
      <c r="H2451" s="17" t="n">
        <f aca="false">F2451-G2451</f>
        <v>-331.375808942365</v>
      </c>
      <c r="I2451" s="17" t="n">
        <f aca="false">H2451*2/10+I2450*8/10</f>
        <v>-323.500367700203</v>
      </c>
      <c r="J2451" s="17" t="n">
        <f aca="false">H2451-I2451</f>
        <v>-7.87544124216117</v>
      </c>
      <c r="K2451" s="17" t="n">
        <f aca="false">MAX(B2451-B2450,0)</f>
        <v>25.5399999999972</v>
      </c>
      <c r="L2451" s="17" t="n">
        <f aca="false">MAX(B2450-B2451,0)</f>
        <v>0</v>
      </c>
      <c r="M2451" s="17" t="n">
        <f aca="false">(M2450*13+K2451)/14</f>
        <v>128.702237830057</v>
      </c>
      <c r="N2451" s="17" t="n">
        <f aca="false">(N2450*13+L2451)/14</f>
        <v>146.545726055472</v>
      </c>
      <c r="O2451" s="17" t="n">
        <f aca="false">IF(N2451=0,100,100-100/(1+M2451/N2451))</f>
        <v>46.7586520943646</v>
      </c>
      <c r="P2451" s="17" t="n">
        <f aca="false">AVERAGE(B2432:B2451)+2*STDEV(B2432:B2451)</f>
        <v>25358.9849937238</v>
      </c>
      <c r="Q2451" s="17" t="n">
        <f aca="false">AVERAGE(B2432:B2451)-2*STDEV(B2432:B2451)</f>
        <v>23080.3360062762</v>
      </c>
      <c r="R2451" s="19" t="n">
        <f aca="false">B2451/B2431-1</f>
        <v>-0.0389633902881688</v>
      </c>
      <c r="S2451" s="17" t="n">
        <f aca="false">STDEV(C2432:C2451)*SQRT(252)*100</f>
        <v>22.8939048389768</v>
      </c>
      <c r="T2451" s="19" t="n">
        <f aca="false">B2430/B2200-1</f>
        <v>0.281481050241602</v>
      </c>
      <c r="U2451" s="19" t="n">
        <f aca="false">B2451/MAX(B2200:B2451)-1</f>
        <v>-0.0794154637182066</v>
      </c>
      <c r="V2451" s="17" t="n">
        <f aca="false">(B2451-AVERAGE(B2432:B2451))/STDEV(B2432:B2451)</f>
        <v>-0.305673231742562</v>
      </c>
    </row>
    <row r="2452" customFormat="false" ht="15" hidden="false" customHeight="false" outlineLevel="0" collapsed="false">
      <c r="A2452" s="17" t="s">
        <v>3016</v>
      </c>
      <c r="B2452" s="17" t="n">
        <v>24192.17</v>
      </c>
      <c r="C2452" s="19" t="n">
        <f aca="false">B2452/B2451-1</f>
        <v>0.00609843076862937</v>
      </c>
      <c r="D2452" s="17" t="n">
        <f aca="false">AVERAGE(B2403:B2452)</f>
        <v>24763.2044</v>
      </c>
      <c r="E2452" s="17" t="n">
        <f aca="false">AVERAGE(B2253:B2452)</f>
        <v>24460.11815</v>
      </c>
      <c r="F2452" s="17" t="n">
        <f aca="false">B2452*2/13+F2451*11/13</f>
        <v>23967.7527982181</v>
      </c>
      <c r="G2452" s="17" t="n">
        <f aca="false">B2452*2/27+G2451*25/27</f>
        <v>24253.4250736702</v>
      </c>
      <c r="H2452" s="17" t="n">
        <f aca="false">F2452-G2452</f>
        <v>-285.672275452045</v>
      </c>
      <c r="I2452" s="17" t="n">
        <f aca="false">H2452*2/10+I2451*8/10</f>
        <v>-315.934749250572</v>
      </c>
      <c r="J2452" s="17" t="n">
        <f aca="false">H2452-I2452</f>
        <v>30.2624737985266</v>
      </c>
      <c r="K2452" s="17" t="n">
        <f aca="false">MAX(B2452-B2451,0)</f>
        <v>146.639999999999</v>
      </c>
      <c r="L2452" s="17" t="n">
        <f aca="false">MAX(B2451-B2452,0)</f>
        <v>0</v>
      </c>
      <c r="M2452" s="17" t="n">
        <f aca="false">(M2451*13+K2452)/14</f>
        <v>129.983506556481</v>
      </c>
      <c r="N2452" s="17" t="n">
        <f aca="false">(N2451*13+L2452)/14</f>
        <v>136.078174194367</v>
      </c>
      <c r="O2452" s="17" t="n">
        <f aca="false">IF(N2452=0,100,100-100/(1+M2452/N2452))</f>
        <v>48.8546513686815</v>
      </c>
      <c r="P2452" s="17" t="n">
        <f aca="false">AVERAGE(B2433:B2452)+2*STDEV(B2433:B2452)</f>
        <v>25318.8784219046</v>
      </c>
      <c r="Q2452" s="17" t="n">
        <f aca="false">AVERAGE(B2433:B2452)-2*STDEV(B2433:B2452)</f>
        <v>23075.3575780954</v>
      </c>
      <c r="R2452" s="19" t="n">
        <f aca="false">B2452/B2432-1</f>
        <v>-0.0182952414111583</v>
      </c>
      <c r="S2452" s="17" t="n">
        <f aca="false">STDEV(C2433:C2452)*SQRT(252)*100</f>
        <v>22.5058760771117</v>
      </c>
      <c r="T2452" s="19" t="n">
        <f aca="false">B2431/B2201-1</f>
        <v>0.350886835656133</v>
      </c>
      <c r="U2452" s="19" t="n">
        <f aca="false">B2452/MAX(B2201:B2452)-1</f>
        <v>-0.0738013426570214</v>
      </c>
      <c r="V2452" s="17" t="n">
        <f aca="false">(B2452-AVERAGE(B2433:B2452))/STDEV(B2433:B2452)</f>
        <v>-0.00882184805842818</v>
      </c>
    </row>
    <row r="2453" customFormat="false" ht="15" hidden="false" customHeight="false" outlineLevel="0" collapsed="false">
      <c r="A2453" s="17" t="s">
        <v>3017</v>
      </c>
      <c r="B2453" s="17" t="n">
        <v>24202.37</v>
      </c>
      <c r="C2453" s="19" t="n">
        <f aca="false">B2453/B2452-1</f>
        <v>0.00042162402132595</v>
      </c>
      <c r="D2453" s="17" t="n">
        <f aca="false">AVERAGE(B2404:B2453)</f>
        <v>24735.1424</v>
      </c>
      <c r="E2453" s="17" t="n">
        <f aca="false">AVERAGE(B2254:B2453)</f>
        <v>24472.53155</v>
      </c>
      <c r="F2453" s="17" t="n">
        <f aca="false">B2453*2/13+F2452*11/13</f>
        <v>24003.8477523384</v>
      </c>
      <c r="G2453" s="17" t="n">
        <f aca="false">B2453*2/27+G2452*25/27</f>
        <v>24249.6432163613</v>
      </c>
      <c r="H2453" s="17" t="n">
        <f aca="false">F2453-G2453</f>
        <v>-245.795464022856</v>
      </c>
      <c r="I2453" s="17" t="n">
        <f aca="false">H2453*2/10+I2452*8/10</f>
        <v>-301.906892205029</v>
      </c>
      <c r="J2453" s="17" t="n">
        <f aca="false">H2453-I2453</f>
        <v>56.1114281821724</v>
      </c>
      <c r="K2453" s="17" t="n">
        <f aca="false">MAX(B2453-B2452,0)</f>
        <v>10.2000000000007</v>
      </c>
      <c r="L2453" s="17" t="n">
        <f aca="false">MAX(B2452-B2453,0)</f>
        <v>0</v>
      </c>
      <c r="M2453" s="17" t="n">
        <f aca="false">(M2452*13+K2453)/14</f>
        <v>121.427541802447</v>
      </c>
      <c r="N2453" s="17" t="n">
        <f aca="false">(N2452*13+L2453)/14</f>
        <v>126.358304609055</v>
      </c>
      <c r="O2453" s="17" t="n">
        <f aca="false">IF(N2453=0,100,100-100/(1+M2453/N2453))</f>
        <v>49.0050354211073</v>
      </c>
      <c r="P2453" s="17" t="n">
        <f aca="false">AVERAGE(B2434:B2453)+2*STDEV(B2434:B2453)</f>
        <v>25220.6320084171</v>
      </c>
      <c r="Q2453" s="17" t="n">
        <f aca="false">AVERAGE(B2434:B2453)-2*STDEV(B2434:B2453)</f>
        <v>23097.1159915829</v>
      </c>
      <c r="R2453" s="19" t="n">
        <f aca="false">B2453/B2433-1</f>
        <v>-0.0306353322852938</v>
      </c>
      <c r="S2453" s="17" t="n">
        <f aca="false">STDEV(C2434:C2453)*SQRT(252)*100</f>
        <v>21.9022148490502</v>
      </c>
      <c r="T2453" s="19" t="n">
        <f aca="false">B2432/B2202-1</f>
        <v>0.416452749501371</v>
      </c>
      <c r="U2453" s="19" t="n">
        <f aca="false">B2453/MAX(B2202:B2453)-1</f>
        <v>-0.0734108350545658</v>
      </c>
      <c r="V2453" s="17" t="n">
        <f aca="false">(B2453-AVERAGE(B2434:B2453))/STDEV(B2434:B2453)</f>
        <v>0.081932040361708</v>
      </c>
    </row>
    <row r="2454" customFormat="false" ht="15" hidden="false" customHeight="false" outlineLevel="0" collapsed="false">
      <c r="A2454" s="17" t="s">
        <v>3018</v>
      </c>
      <c r="B2454" s="17" t="n">
        <v>24903.17</v>
      </c>
      <c r="C2454" s="19" t="n">
        <f aca="false">B2454/B2453-1</f>
        <v>0.0289558419278773</v>
      </c>
      <c r="D2454" s="17" t="n">
        <f aca="false">AVERAGE(B2405:B2454)</f>
        <v>24718.9416</v>
      </c>
      <c r="E2454" s="17" t="n">
        <f aca="false">AVERAGE(B2255:B2454)</f>
        <v>24488.91545</v>
      </c>
      <c r="F2454" s="17" t="n">
        <f aca="false">B2454*2/13+F2453*11/13</f>
        <v>24142.2050212094</v>
      </c>
      <c r="G2454" s="17" t="n">
        <f aca="false">B2454*2/27+G2453*25/27</f>
        <v>24298.0526077419</v>
      </c>
      <c r="H2454" s="17" t="n">
        <f aca="false">F2454-G2454</f>
        <v>-155.847586532491</v>
      </c>
      <c r="I2454" s="17" t="n">
        <f aca="false">H2454*2/10+I2453*8/10</f>
        <v>-272.695031070521</v>
      </c>
      <c r="J2454" s="17" t="n">
        <f aca="false">H2454-I2454</f>
        <v>116.84744453803</v>
      </c>
      <c r="K2454" s="17" t="n">
        <f aca="false">MAX(B2454-B2453,0)</f>
        <v>700.799999999999</v>
      </c>
      <c r="L2454" s="17" t="n">
        <f aca="false">MAX(B2453-B2454,0)</f>
        <v>0</v>
      </c>
      <c r="M2454" s="17" t="n">
        <f aca="false">(M2453*13+K2454)/14</f>
        <v>162.811288816558</v>
      </c>
      <c r="N2454" s="17" t="n">
        <f aca="false">(N2453*13+L2454)/14</f>
        <v>117.332711422694</v>
      </c>
      <c r="O2454" s="17" t="n">
        <f aca="false">IF(N2454=0,100,100-100/(1+M2454/N2454))</f>
        <v>58.1170000705037</v>
      </c>
      <c r="P2454" s="17" t="n">
        <f aca="false">AVERAGE(B2435:B2454)+2*STDEV(B2435:B2454)</f>
        <v>25209.773669609</v>
      </c>
      <c r="Q2454" s="17" t="n">
        <f aca="false">AVERAGE(B2435:B2454)-2*STDEV(B2435:B2454)</f>
        <v>23102.644330391</v>
      </c>
      <c r="R2454" s="19" t="n">
        <f aca="false">B2454/B2434-1</f>
        <v>-0.00213571871342388</v>
      </c>
      <c r="S2454" s="17" t="n">
        <f aca="false">STDEV(C2435:C2454)*SQRT(252)*100</f>
        <v>24.4248658009055</v>
      </c>
      <c r="T2454" s="19" t="n">
        <f aca="false">B2433/B2203-1</f>
        <v>0.432373837394755</v>
      </c>
      <c r="U2454" s="19" t="n">
        <f aca="false">B2454/MAX(B2203:B2454)-1</f>
        <v>-0.046580665662322</v>
      </c>
      <c r="V2454" s="17" t="n">
        <f aca="false">(B2454-AVERAGE(B2435:B2454))/STDEV(B2435:B2454)</f>
        <v>1.41796896108367</v>
      </c>
    </row>
    <row r="2455" customFormat="false" ht="15" hidden="false" customHeight="false" outlineLevel="0" collapsed="false">
      <c r="A2455" s="17" t="s">
        <v>3019</v>
      </c>
      <c r="B2455" s="17" t="n">
        <v>25082.09</v>
      </c>
      <c r="C2455" s="19" t="n">
        <f aca="false">B2455/B2454-1</f>
        <v>0.00718462749922999</v>
      </c>
      <c r="D2455" s="17" t="n">
        <f aca="false">AVERAGE(B2406:B2455)</f>
        <v>24701.7886</v>
      </c>
      <c r="E2455" s="17" t="n">
        <f aca="false">AVERAGE(B2256:B2455)</f>
        <v>24505.04425</v>
      </c>
      <c r="F2455" s="17" t="n">
        <f aca="false">B2455*2/13+F2454*11/13</f>
        <v>24286.8027102541</v>
      </c>
      <c r="G2455" s="17" t="n">
        <f aca="false">B2455*2/27+G2454*25/27</f>
        <v>24356.1294516129</v>
      </c>
      <c r="H2455" s="17" t="n">
        <f aca="false">F2455-G2455</f>
        <v>-69.3267413587601</v>
      </c>
      <c r="I2455" s="17" t="n">
        <f aca="false">H2455*2/10+I2454*8/10</f>
        <v>-232.021373128169</v>
      </c>
      <c r="J2455" s="17" t="n">
        <f aca="false">H2455-I2455</f>
        <v>162.694631769409</v>
      </c>
      <c r="K2455" s="17" t="n">
        <f aca="false">MAX(B2455-B2454,0)</f>
        <v>178.920000000002</v>
      </c>
      <c r="L2455" s="17" t="n">
        <f aca="false">MAX(B2454-B2455,0)</f>
        <v>0</v>
      </c>
      <c r="M2455" s="17" t="n">
        <f aca="false">(M2454*13+K2455)/14</f>
        <v>163.961911043947</v>
      </c>
      <c r="N2455" s="17" t="n">
        <f aca="false">(N2454*13+L2455)/14</f>
        <v>108.95180346393</v>
      </c>
      <c r="O2455" s="17" t="n">
        <f aca="false">IF(N2455=0,100,100-100/(1+M2455/N2455))</f>
        <v>60.0782966658916</v>
      </c>
      <c r="P2455" s="17" t="n">
        <f aca="false">AVERAGE(B2436:B2455)+2*STDEV(B2436:B2455)</f>
        <v>25235.6604075602</v>
      </c>
      <c r="Q2455" s="17" t="n">
        <f aca="false">AVERAGE(B2436:B2455)-2*STDEV(B2436:B2455)</f>
        <v>23088.4655924398</v>
      </c>
      <c r="R2455" s="19" t="n">
        <f aca="false">B2455/B2435-1</f>
        <v>0.00468976379340536</v>
      </c>
      <c r="S2455" s="17" t="n">
        <f aca="false">STDEV(C2436:C2455)*SQRT(252)*100</f>
        <v>24.557793554533</v>
      </c>
      <c r="T2455" s="19" t="n">
        <f aca="false">B2434/B2204-1</f>
        <v>0.460262486542152</v>
      </c>
      <c r="U2455" s="19" t="n">
        <f aca="false">B2455/MAX(B2204:B2455)-1</f>
        <v>-0.0397307028945418</v>
      </c>
      <c r="V2455" s="17" t="n">
        <f aca="false">(B2455-AVERAGE(B2436:B2455))/STDEV(B2436:B2455)</f>
        <v>1.71391434726132</v>
      </c>
    </row>
    <row r="2456" customFormat="false" ht="15" hidden="false" customHeight="false" outlineLevel="0" collapsed="false">
      <c r="A2456" s="17" t="s">
        <v>3020</v>
      </c>
      <c r="B2456" s="17" t="n">
        <v>25116.34</v>
      </c>
      <c r="C2456" s="19" t="n">
        <f aca="false">B2456/B2455-1</f>
        <v>0.00136551619103509</v>
      </c>
      <c r="D2456" s="17" t="n">
        <f aca="false">AVERAGE(B2407:B2456)</f>
        <v>24683.6596</v>
      </c>
      <c r="E2456" s="17" t="n">
        <f aca="false">AVERAGE(B2257:B2456)</f>
        <v>24519.67335</v>
      </c>
      <c r="F2456" s="17" t="n">
        <f aca="false">B2456*2/13+F2455*11/13</f>
        <v>24414.4238317535</v>
      </c>
      <c r="G2456" s="17" t="n">
        <f aca="false">B2456*2/27+G2455*25/27</f>
        <v>24412.441344086</v>
      </c>
      <c r="H2456" s="17" t="n">
        <f aca="false">F2456-G2456</f>
        <v>1.98248766748657</v>
      </c>
      <c r="I2456" s="17" t="n">
        <f aca="false">H2456*2/10+I2455*8/10</f>
        <v>-185.220600969038</v>
      </c>
      <c r="J2456" s="17" t="n">
        <f aca="false">H2456-I2456</f>
        <v>187.203088636524</v>
      </c>
      <c r="K2456" s="17" t="n">
        <f aca="false">MAX(B2456-B2455,0)</f>
        <v>34.25</v>
      </c>
      <c r="L2456" s="17" t="n">
        <f aca="false">MAX(B2455-B2456,0)</f>
        <v>0</v>
      </c>
      <c r="M2456" s="17" t="n">
        <f aca="false">(M2455*13+K2456)/14</f>
        <v>154.696774540808</v>
      </c>
      <c r="N2456" s="17" t="n">
        <f aca="false">(N2455*13+L2456)/14</f>
        <v>101.169531787935</v>
      </c>
      <c r="O2456" s="17" t="n">
        <f aca="false">IF(N2456=0,100,100-100/(1+M2456/N2456))</f>
        <v>60.4600022411899</v>
      </c>
      <c r="P2456" s="17" t="n">
        <f aca="false">AVERAGE(B2437:B2456)+2*STDEV(B2437:B2456)</f>
        <v>25336.4928147819</v>
      </c>
      <c r="Q2456" s="17" t="n">
        <f aca="false">AVERAGE(B2437:B2456)-2*STDEV(B2437:B2456)</f>
        <v>23045.9091852181</v>
      </c>
      <c r="R2456" s="19" t="n">
        <f aca="false">B2456/B2436-1</f>
        <v>0.0237535655212162</v>
      </c>
      <c r="S2456" s="17" t="n">
        <f aca="false">STDEV(C2437:C2456)*SQRT(252)*100</f>
        <v>23.6579720100628</v>
      </c>
      <c r="T2456" s="19" t="n">
        <f aca="false">B2435/B2205-1</f>
        <v>0.303992257010425</v>
      </c>
      <c r="U2456" s="19" t="n">
        <f aca="false">B2456/MAX(B2205:B2456)-1</f>
        <v>-0.0384194396215904</v>
      </c>
      <c r="V2456" s="17" t="n">
        <f aca="false">(B2456-AVERAGE(B2437:B2456))/STDEV(B2437:B2456)</f>
        <v>1.61555157918633</v>
      </c>
    </row>
    <row r="2457" customFormat="false" ht="15" hidden="false" customHeight="false" outlineLevel="0" collapsed="false">
      <c r="A2457" s="17" t="s">
        <v>3021</v>
      </c>
      <c r="B2457" s="17" t="n">
        <v>25383.72</v>
      </c>
      <c r="C2457" s="19" t="n">
        <f aca="false">B2457/B2456-1</f>
        <v>0.0106456593596043</v>
      </c>
      <c r="D2457" s="17" t="n">
        <f aca="false">AVERAGE(B2408:B2457)</f>
        <v>24673.648</v>
      </c>
      <c r="E2457" s="17" t="n">
        <f aca="false">AVERAGE(B2258:B2457)</f>
        <v>24535.40325</v>
      </c>
      <c r="F2457" s="17" t="n">
        <f aca="false">B2457*2/13+F2456*11/13</f>
        <v>24563.546319176</v>
      </c>
      <c r="G2457" s="17" t="n">
        <f aca="false">B2457*2/27+G2456*25/27</f>
        <v>24484.3879111907</v>
      </c>
      <c r="H2457" s="17" t="n">
        <f aca="false">F2457-G2457</f>
        <v>79.1584079852873</v>
      </c>
      <c r="I2457" s="17" t="n">
        <f aca="false">H2457*2/10+I2456*8/10</f>
        <v>-132.344799178173</v>
      </c>
      <c r="J2457" s="17" t="n">
        <f aca="false">H2457-I2457</f>
        <v>211.50320716346</v>
      </c>
      <c r="K2457" s="17" t="n">
        <f aca="false">MAX(B2457-B2456,0)</f>
        <v>267.380000000001</v>
      </c>
      <c r="L2457" s="17" t="n">
        <f aca="false">MAX(B2456-B2457,0)</f>
        <v>0</v>
      </c>
      <c r="M2457" s="17" t="n">
        <f aca="false">(M2456*13+K2457)/14</f>
        <v>162.745576359322</v>
      </c>
      <c r="N2457" s="17" t="n">
        <f aca="false">(N2456*13+L2457)/14</f>
        <v>93.9431366602255</v>
      </c>
      <c r="O2457" s="17" t="n">
        <f aca="false">IF(N2457=0,100,100-100/(1+M2457/N2457))</f>
        <v>63.4019215121969</v>
      </c>
      <c r="P2457" s="17" t="n">
        <f aca="false">AVERAGE(B2438:B2457)+2*STDEV(B2438:B2457)</f>
        <v>25503.4643697727</v>
      </c>
      <c r="Q2457" s="17" t="n">
        <f aca="false">AVERAGE(B2438:B2457)-2*STDEV(B2438:B2457)</f>
        <v>22979.2366302273</v>
      </c>
      <c r="R2457" s="19" t="n">
        <f aca="false">B2457/B2437-1</f>
        <v>0.0411386369481144</v>
      </c>
      <c r="S2457" s="17" t="n">
        <f aca="false">STDEV(C2438:C2457)*SQRT(252)*100</f>
        <v>23.7058265241415</v>
      </c>
      <c r="T2457" s="19" t="n">
        <f aca="false">B2436/B2206-1</f>
        <v>0.337448490124878</v>
      </c>
      <c r="U2457" s="19" t="n">
        <f aca="false">B2457/MAX(B2206:B2457)-1</f>
        <v>-0.0281827805289846</v>
      </c>
      <c r="V2457" s="17" t="n">
        <f aca="false">(B2457-AVERAGE(B2438:B2457))/STDEV(B2438:B2457)</f>
        <v>1.81024791401069</v>
      </c>
    </row>
    <row r="2458" customFormat="false" ht="15" hidden="false" customHeight="false" outlineLevel="0" collapsed="false">
      <c r="A2458" s="17" t="s">
        <v>3022</v>
      </c>
      <c r="B2458" s="17" t="n">
        <v>25842</v>
      </c>
      <c r="C2458" s="19" t="n">
        <f aca="false">B2458/B2457-1</f>
        <v>0.0180540913624954</v>
      </c>
      <c r="D2458" s="17" t="n">
        <f aca="false">AVERAGE(B2409:B2458)</f>
        <v>24679.4402</v>
      </c>
      <c r="E2458" s="17" t="n">
        <f aca="false">AVERAGE(B2259:B2458)</f>
        <v>24552.3768</v>
      </c>
      <c r="F2458" s="17" t="n">
        <f aca="false">B2458*2/13+F2457*11/13</f>
        <v>24760.2315008413</v>
      </c>
      <c r="G2458" s="17" t="n">
        <f aca="false">B2458*2/27+G2457*25/27</f>
        <v>24584.9517696211</v>
      </c>
      <c r="H2458" s="17" t="n">
        <f aca="false">F2458-G2458</f>
        <v>175.279731220198</v>
      </c>
      <c r="I2458" s="17" t="n">
        <f aca="false">H2458*2/10+I2457*8/10</f>
        <v>-70.8198930984986</v>
      </c>
      <c r="J2458" s="17" t="n">
        <f aca="false">H2458-I2458</f>
        <v>246.099624318697</v>
      </c>
      <c r="K2458" s="17" t="n">
        <f aca="false">MAX(B2458-B2457,0)</f>
        <v>458.279999999999</v>
      </c>
      <c r="L2458" s="17" t="n">
        <f aca="false">MAX(B2457-B2458,0)</f>
        <v>0</v>
      </c>
      <c r="M2458" s="17" t="n">
        <f aca="false">(M2457*13+K2458)/14</f>
        <v>183.855178047941</v>
      </c>
      <c r="N2458" s="17" t="n">
        <f aca="false">(N2457*13+L2458)/14</f>
        <v>87.2329126130665</v>
      </c>
      <c r="O2458" s="17" t="n">
        <f aca="false">IF(N2458=0,100,100-100/(1+M2458/N2458))</f>
        <v>67.8211933248849</v>
      </c>
      <c r="P2458" s="17" t="n">
        <f aca="false">AVERAGE(B2439:B2458)+2*STDEV(B2439:B2458)</f>
        <v>25743.3934985247</v>
      </c>
      <c r="Q2458" s="17" t="n">
        <f aca="false">AVERAGE(B2439:B2458)-2*STDEV(B2439:B2458)</f>
        <v>22857.9735014753</v>
      </c>
      <c r="R2458" s="19" t="n">
        <f aca="false">B2458/B2438-1</f>
        <v>0.0481299385853125</v>
      </c>
      <c r="S2458" s="17" t="n">
        <f aca="false">STDEV(C2439:C2458)*SQRT(252)*100</f>
        <v>24.1710730185401</v>
      </c>
      <c r="T2458" s="19" t="n">
        <f aca="false">B2437/B2207-1</f>
        <v>0.304476446023419</v>
      </c>
      <c r="U2458" s="19" t="n">
        <f aca="false">B2458/MAX(B2207:B2458)-1</f>
        <v>-0.0106375036610087</v>
      </c>
      <c r="V2458" s="17" t="n">
        <f aca="false">(B2458-AVERAGE(B2439:B2458))/STDEV(B2439:B2458)</f>
        <v>2.13669621972001</v>
      </c>
    </row>
    <row r="2459" customFormat="false" ht="15" hidden="false" customHeight="false" outlineLevel="0" collapsed="false">
      <c r="A2459" s="17" t="s">
        <v>3023</v>
      </c>
      <c r="B2459" s="17" t="n">
        <v>26204.58</v>
      </c>
      <c r="C2459" s="19" t="n">
        <f aca="false">B2459/B2458-1</f>
        <v>0.0140306477826795</v>
      </c>
      <c r="D2459" s="17" t="n">
        <f aca="false">AVERAGE(B2410:B2459)</f>
        <v>24688.7596</v>
      </c>
      <c r="E2459" s="17" t="n">
        <f aca="false">AVERAGE(B2260:B2459)</f>
        <v>24570.7287</v>
      </c>
      <c r="F2459" s="17" t="n">
        <f aca="false">B2459*2/13+F2458*11/13</f>
        <v>24982.4389622503</v>
      </c>
      <c r="G2459" s="17" t="n">
        <f aca="false">B2459*2/27+G2458*25/27</f>
        <v>24704.9242311306</v>
      </c>
      <c r="H2459" s="17" t="n">
        <f aca="false">F2459-G2459</f>
        <v>277.514731119682</v>
      </c>
      <c r="I2459" s="17" t="n">
        <f aca="false">H2459*2/10+I2458*8/10</f>
        <v>-1.15296825486254</v>
      </c>
      <c r="J2459" s="17" t="n">
        <f aca="false">H2459-I2459</f>
        <v>278.667699374544</v>
      </c>
      <c r="K2459" s="17" t="n">
        <f aca="false">MAX(B2459-B2458,0)</f>
        <v>362.580000000002</v>
      </c>
      <c r="L2459" s="17" t="n">
        <f aca="false">MAX(B2458-B2459,0)</f>
        <v>0</v>
      </c>
      <c r="M2459" s="17" t="n">
        <f aca="false">(M2458*13+K2459)/14</f>
        <v>196.621236758803</v>
      </c>
      <c r="N2459" s="17" t="n">
        <f aca="false">(N2458*13+L2459)/14</f>
        <v>81.0019902835618</v>
      </c>
      <c r="O2459" s="17" t="n">
        <f aca="false">IF(N2459=0,100,100-100/(1+M2459/N2459))</f>
        <v>70.8230499492029</v>
      </c>
      <c r="P2459" s="17" t="n">
        <f aca="false">AVERAGE(B2440:B2459)+2*STDEV(B2440:B2459)</f>
        <v>26037.6437942316</v>
      </c>
      <c r="Q2459" s="17" t="n">
        <f aca="false">AVERAGE(B2440:B2459)-2*STDEV(B2440:B2459)</f>
        <v>22706.1392057684</v>
      </c>
      <c r="R2459" s="19" t="n">
        <f aca="false">B2459/B2439-1</f>
        <v>0.057471180875869</v>
      </c>
      <c r="S2459" s="17" t="n">
        <f aca="false">STDEV(C2440:C2459)*SQRT(252)*100</f>
        <v>24.506182741294</v>
      </c>
      <c r="T2459" s="19" t="n">
        <f aca="false">B2438/B2208-1</f>
        <v>0.311731951764257</v>
      </c>
      <c r="U2459" s="19" t="n">
        <f aca="false">B2459/MAX(B2208:B2459)-1</f>
        <v>0</v>
      </c>
      <c r="V2459" s="17" t="n">
        <f aca="false">(B2459-AVERAGE(B2440:B2459))/STDEV(B2440:B2459)</f>
        <v>2.20043340939283</v>
      </c>
    </row>
    <row r="2460" customFormat="false" ht="15" hidden="false" customHeight="false" outlineLevel="0" collapsed="false">
      <c r="A2460" s="17" t="s">
        <v>3024</v>
      </c>
      <c r="B2460" s="17" t="n">
        <v>26333</v>
      </c>
      <c r="C2460" s="19" t="n">
        <f aca="false">B2460/B2459-1</f>
        <v>0.0049006700355434</v>
      </c>
      <c r="D2460" s="17" t="n">
        <f aca="false">AVERAGE(B2411:B2460)</f>
        <v>24708.6472</v>
      </c>
      <c r="E2460" s="17" t="n">
        <f aca="false">AVERAGE(B2261:B2460)</f>
        <v>24588.99865</v>
      </c>
      <c r="F2460" s="17" t="n">
        <f aca="false">B2460*2/13+F2459*11/13</f>
        <v>25190.2175834426</v>
      </c>
      <c r="G2460" s="17" t="n">
        <f aca="false">B2460*2/27+G2459*25/27</f>
        <v>24825.5224362321</v>
      </c>
      <c r="H2460" s="17" t="n">
        <f aca="false">F2460-G2460</f>
        <v>364.69514721051</v>
      </c>
      <c r="I2460" s="17" t="n">
        <f aca="false">H2460*2/10+I2459*8/10</f>
        <v>72.016654838212</v>
      </c>
      <c r="J2460" s="17" t="n">
        <f aca="false">H2460-I2460</f>
        <v>292.678492372298</v>
      </c>
      <c r="K2460" s="17" t="n">
        <f aca="false">MAX(B2460-B2459,0)</f>
        <v>128.419999999998</v>
      </c>
      <c r="L2460" s="17" t="n">
        <f aca="false">MAX(B2459-B2460,0)</f>
        <v>0</v>
      </c>
      <c r="M2460" s="17" t="n">
        <f aca="false">(M2459*13+K2460)/14</f>
        <v>191.74971984746</v>
      </c>
      <c r="N2460" s="17" t="n">
        <f aca="false">(N2459*13+L2460)/14</f>
        <v>75.2161338347359</v>
      </c>
      <c r="O2460" s="17" t="n">
        <f aca="false">IF(N2460=0,100,100-100/(1+M2460/N2460))</f>
        <v>71.8255601616095</v>
      </c>
      <c r="P2460" s="17" t="n">
        <f aca="false">AVERAGE(B2441:B2460)+2*STDEV(B2441:B2460)</f>
        <v>26350.2343700457</v>
      </c>
      <c r="Q2460" s="17" t="n">
        <f aca="false">AVERAGE(B2441:B2460)-2*STDEV(B2441:B2460)</f>
        <v>22584.3396299543</v>
      </c>
      <c r="R2460" s="19" t="n">
        <f aca="false">B2460/B2440-1</f>
        <v>0.0781127111507061</v>
      </c>
      <c r="S2460" s="17" t="n">
        <f aca="false">STDEV(C2441:C2460)*SQRT(252)*100</f>
        <v>23.6465206396852</v>
      </c>
      <c r="T2460" s="19" t="n">
        <f aca="false">B2439/B2209-1</f>
        <v>0.315991360700321</v>
      </c>
      <c r="U2460" s="19" t="n">
        <f aca="false">B2460/MAX(B2209:B2460)-1</f>
        <v>0</v>
      </c>
      <c r="V2460" s="17" t="n">
        <f aca="false">(B2460-AVERAGE(B2441:B2460))/STDEV(B2441:B2460)</f>
        <v>1.9816942626014</v>
      </c>
    </row>
    <row r="2461" customFormat="false" ht="15" hidden="false" customHeight="false" outlineLevel="0" collapsed="false">
      <c r="A2461" s="17" t="s">
        <v>3025</v>
      </c>
      <c r="B2461" s="17" t="n">
        <v>26672.43</v>
      </c>
      <c r="C2461" s="19" t="n">
        <f aca="false">B2461/B2460-1</f>
        <v>0.0128899099988609</v>
      </c>
      <c r="D2461" s="17" t="n">
        <f aca="false">AVERAGE(B2412:B2461)</f>
        <v>24744.271</v>
      </c>
      <c r="E2461" s="17" t="n">
        <f aca="false">AVERAGE(B2262:B2461)</f>
        <v>24609.97015</v>
      </c>
      <c r="F2461" s="17" t="n">
        <f aca="false">B2461*2/13+F2460*11/13</f>
        <v>25418.2502629129</v>
      </c>
      <c r="G2461" s="17" t="n">
        <f aca="false">B2461*2/27+G2460*25/27</f>
        <v>24962.3304039186</v>
      </c>
      <c r="H2461" s="17" t="n">
        <f aca="false">F2461-G2461</f>
        <v>455.91985899437</v>
      </c>
      <c r="I2461" s="17" t="n">
        <f aca="false">H2461*2/10+I2460*8/10</f>
        <v>148.797295669444</v>
      </c>
      <c r="J2461" s="17" t="n">
        <f aca="false">H2461-I2461</f>
        <v>307.122563324926</v>
      </c>
      <c r="K2461" s="17" t="n">
        <f aca="false">MAX(B2461-B2460,0)</f>
        <v>339.43</v>
      </c>
      <c r="L2461" s="17" t="n">
        <f aca="false">MAX(B2460-B2461,0)</f>
        <v>0</v>
      </c>
      <c r="M2461" s="17" t="n">
        <f aca="false">(M2460*13+K2461)/14</f>
        <v>202.298311286927</v>
      </c>
      <c r="N2461" s="17" t="n">
        <f aca="false">(N2460*13+L2461)/14</f>
        <v>69.8435528465405</v>
      </c>
      <c r="O2461" s="17" t="n">
        <f aca="false">IF(N2461=0,100,100-100/(1+M2461/N2461))</f>
        <v>74.3356087204992</v>
      </c>
      <c r="P2461" s="17" t="n">
        <f aca="false">AVERAGE(B2442:B2461)+2*STDEV(B2442:B2461)</f>
        <v>26706.8320659046</v>
      </c>
      <c r="Q2461" s="17" t="n">
        <f aca="false">AVERAGE(B2442:B2461)-2*STDEV(B2442:B2461)</f>
        <v>22459.4569340954</v>
      </c>
      <c r="R2461" s="19" t="n">
        <f aca="false">B2461/B2441-1</f>
        <v>0.0951395344253896</v>
      </c>
      <c r="S2461" s="17" t="n">
        <f aca="false">STDEV(C2442:C2461)*SQRT(252)*100</f>
        <v>23.7126314186854</v>
      </c>
      <c r="T2461" s="19" t="n">
        <f aca="false">B2440/B2210-1</f>
        <v>0.33780105205273</v>
      </c>
      <c r="U2461" s="19" t="n">
        <f aca="false">B2461/MAX(B2210:B2461)-1</f>
        <v>0</v>
      </c>
      <c r="V2461" s="17" t="n">
        <f aca="false">(B2461-AVERAGE(B2442:B2461))/STDEV(B2442:B2461)</f>
        <v>1.96760157524399</v>
      </c>
    </row>
    <row r="2462" customFormat="false" ht="15" hidden="false" customHeight="false" outlineLevel="0" collapsed="false">
      <c r="A2462" s="17" t="s">
        <v>3026</v>
      </c>
      <c r="B2462" s="17" t="n">
        <v>26590.34</v>
      </c>
      <c r="C2462" s="19" t="n">
        <f aca="false">B2462/B2461-1</f>
        <v>-0.00307770982996303</v>
      </c>
      <c r="D2462" s="17" t="n">
        <f aca="false">AVERAGE(B2413:B2462)</f>
        <v>24785.104</v>
      </c>
      <c r="E2462" s="17" t="n">
        <f aca="false">AVERAGE(B2263:B2462)</f>
        <v>24629.7124</v>
      </c>
      <c r="F2462" s="17" t="n">
        <f aca="false">B2462*2/13+F2461*11/13</f>
        <v>25598.5717609263</v>
      </c>
      <c r="G2462" s="17" t="n">
        <f aca="false">B2462*2/27+G2461*25/27</f>
        <v>25082.923707332</v>
      </c>
      <c r="H2462" s="17" t="n">
        <f aca="false">F2462-G2462</f>
        <v>515.648053594327</v>
      </c>
      <c r="I2462" s="17" t="n">
        <f aca="false">H2462*2/10+I2461*8/10</f>
        <v>222.16744725442</v>
      </c>
      <c r="J2462" s="17" t="n">
        <f aca="false">H2462-I2462</f>
        <v>293.480606339906</v>
      </c>
      <c r="K2462" s="17" t="n">
        <f aca="false">MAX(B2462-B2461,0)</f>
        <v>0</v>
      </c>
      <c r="L2462" s="17" t="n">
        <f aca="false">MAX(B2461-B2462,0)</f>
        <v>82.0900000000002</v>
      </c>
      <c r="M2462" s="17" t="n">
        <f aca="false">(M2461*13+K2462)/14</f>
        <v>187.848431909289</v>
      </c>
      <c r="N2462" s="17" t="n">
        <f aca="false">(N2461*13+L2462)/14</f>
        <v>70.7182990717876</v>
      </c>
      <c r="O2462" s="17" t="n">
        <f aca="false">IF(N2462=0,100,100-100/(1+M2462/N2462))</f>
        <v>72.6498846918697</v>
      </c>
      <c r="P2462" s="17" t="n">
        <f aca="false">AVERAGE(B2443:B2462)+2*STDEV(B2443:B2462)</f>
        <v>26994.4068583996</v>
      </c>
      <c r="Q2462" s="17" t="n">
        <f aca="false">AVERAGE(B2443:B2462)-2*STDEV(B2443:B2462)</f>
        <v>22441.1011416004</v>
      </c>
      <c r="R2462" s="19" t="n">
        <f aca="false">B2462/B2442-1</f>
        <v>0.112652653029628</v>
      </c>
      <c r="S2462" s="17" t="n">
        <f aca="false">STDEV(C2443:C2462)*SQRT(252)*100</f>
        <v>22.2663706674148</v>
      </c>
      <c r="T2462" s="19" t="n">
        <f aca="false">B2441/B2211-1</f>
        <v>0.333944569229312</v>
      </c>
      <c r="U2462" s="19" t="n">
        <f aca="false">B2462/MAX(B2211:B2462)-1</f>
        <v>-0.00307770982996303</v>
      </c>
      <c r="V2462" s="17" t="n">
        <f aca="false">(B2462-AVERAGE(B2443:B2462))/STDEV(B2443:B2462)</f>
        <v>1.64503428187675</v>
      </c>
    </row>
    <row r="2463" customFormat="false" ht="15" hidden="false" customHeight="false" outlineLevel="0" collapsed="false">
      <c r="A2463" s="17" t="s">
        <v>3027</v>
      </c>
      <c r="B2463" s="17" t="n">
        <v>26479.47</v>
      </c>
      <c r="C2463" s="19" t="n">
        <f aca="false">B2463/B2462-1</f>
        <v>-0.00416955932116703</v>
      </c>
      <c r="D2463" s="17" t="n">
        <f aca="false">AVERAGE(B2414:B2463)</f>
        <v>24813.178</v>
      </c>
      <c r="E2463" s="17" t="n">
        <f aca="false">AVERAGE(B2264:B2463)</f>
        <v>24647.7749</v>
      </c>
      <c r="F2463" s="17" t="n">
        <f aca="false">B2463*2/13+F2462*11/13</f>
        <v>25734.0945669377</v>
      </c>
      <c r="G2463" s="17" t="n">
        <f aca="false">B2463*2/27+G2462*25/27</f>
        <v>25186.371580863</v>
      </c>
      <c r="H2463" s="17" t="n">
        <f aca="false">F2463-G2463</f>
        <v>547.722986074692</v>
      </c>
      <c r="I2463" s="17" t="n">
        <f aca="false">H2463*2/10+I2462*8/10</f>
        <v>287.278555018475</v>
      </c>
      <c r="J2463" s="17" t="n">
        <f aca="false">H2463-I2463</f>
        <v>260.444431056217</v>
      </c>
      <c r="K2463" s="17" t="n">
        <f aca="false">MAX(B2463-B2462,0)</f>
        <v>0</v>
      </c>
      <c r="L2463" s="17" t="n">
        <f aca="false">MAX(B2462-B2463,0)</f>
        <v>110.869999999999</v>
      </c>
      <c r="M2463" s="17" t="n">
        <f aca="false">(M2462*13+K2463)/14</f>
        <v>174.430686772911</v>
      </c>
      <c r="N2463" s="17" t="n">
        <f aca="false">(N2462*13+L2463)/14</f>
        <v>73.586277709517</v>
      </c>
      <c r="O2463" s="17" t="n">
        <f aca="false">IF(N2463=0,100,100-100/(1+M2463/N2463))</f>
        <v>70.3301433984245</v>
      </c>
      <c r="P2463" s="17" t="n">
        <f aca="false">AVERAGE(B2444:B2463)+2*STDEV(B2444:B2463)</f>
        <v>27224.4419974224</v>
      </c>
      <c r="Q2463" s="17" t="n">
        <f aca="false">AVERAGE(B2444:B2463)-2*STDEV(B2444:B2463)</f>
        <v>22440.1540025776</v>
      </c>
      <c r="R2463" s="19" t="n">
        <f aca="false">B2463/B2443-1</f>
        <v>0.0947091169844956</v>
      </c>
      <c r="S2463" s="17" t="n">
        <f aca="false">STDEV(C2444:C2463)*SQRT(252)*100</f>
        <v>22.3677196972889</v>
      </c>
      <c r="T2463" s="19" t="n">
        <f aca="false">B2442/B2212-1</f>
        <v>0.341966947996159</v>
      </c>
      <c r="U2463" s="19" t="n">
        <f aca="false">B2463/MAX(B2212:B2463)-1</f>
        <v>-0.00723443645742061</v>
      </c>
      <c r="V2463" s="17" t="n">
        <f aca="false">(B2463-AVERAGE(B2444:B2463))/STDEV(B2444:B2463)</f>
        <v>1.37715120977236</v>
      </c>
    </row>
    <row r="2464" customFormat="false" ht="15" hidden="false" customHeight="false" outlineLevel="0" collapsed="false">
      <c r="A2464" s="17" t="s">
        <v>3028</v>
      </c>
      <c r="B2464" s="17" t="n">
        <v>26937.28</v>
      </c>
      <c r="C2464" s="19" t="n">
        <f aca="false">B2464/B2463-1</f>
        <v>0.017289243327</v>
      </c>
      <c r="D2464" s="17" t="n">
        <f aca="false">AVERAGE(B2415:B2464)</f>
        <v>24846.5608</v>
      </c>
      <c r="E2464" s="17" t="n">
        <f aca="false">AVERAGE(B2265:B2464)</f>
        <v>24669.03345</v>
      </c>
      <c r="F2464" s="17" t="n">
        <f aca="false">B2464*2/13+F2463*11/13</f>
        <v>25919.200018178</v>
      </c>
      <c r="G2464" s="17" t="n">
        <f aca="false">B2464*2/27+G2463*25/27</f>
        <v>25316.068500799</v>
      </c>
      <c r="H2464" s="17" t="n">
        <f aca="false">F2464-G2464</f>
        <v>603.131517378977</v>
      </c>
      <c r="I2464" s="17" t="n">
        <f aca="false">H2464*2/10+I2463*8/10</f>
        <v>350.449147490575</v>
      </c>
      <c r="J2464" s="17" t="n">
        <f aca="false">H2464-I2464</f>
        <v>252.682369888402</v>
      </c>
      <c r="K2464" s="17" t="n">
        <f aca="false">MAX(B2464-B2463,0)</f>
        <v>457.809999999998</v>
      </c>
      <c r="L2464" s="17" t="n">
        <f aca="false">MAX(B2463-B2464,0)</f>
        <v>0</v>
      </c>
      <c r="M2464" s="17" t="n">
        <f aca="false">(M2463*13+K2464)/14</f>
        <v>194.672066289132</v>
      </c>
      <c r="N2464" s="17" t="n">
        <f aca="false">(N2463*13+L2464)/14</f>
        <v>68.3301150159801</v>
      </c>
      <c r="O2464" s="17" t="n">
        <f aca="false">IF(N2464=0,100,100-100/(1+M2464/N2464))</f>
        <v>74.0191831577589</v>
      </c>
      <c r="P2464" s="17" t="n">
        <f aca="false">AVERAGE(B2445:B2464)+2*STDEV(B2445:B2464)</f>
        <v>27512.7206769977</v>
      </c>
      <c r="Q2464" s="17" t="n">
        <f aca="false">AVERAGE(B2445:B2464)-2*STDEV(B2445:B2464)</f>
        <v>22445.3583230023</v>
      </c>
      <c r="R2464" s="19" t="n">
        <f aca="false">B2464/B2444-1</f>
        <v>0.12227210138965</v>
      </c>
      <c r="S2464" s="17" t="n">
        <f aca="false">STDEV(C2445:C2464)*SQRT(252)*100</f>
        <v>22.3000315327371</v>
      </c>
      <c r="T2464" s="19" t="n">
        <f aca="false">B2443/B2213-1</f>
        <v>0.323486943004671</v>
      </c>
      <c r="U2464" s="19" t="n">
        <f aca="false">B2464/MAX(B2213:B2464)-1</f>
        <v>0</v>
      </c>
      <c r="V2464" s="17" t="n">
        <f aca="false">(B2464-AVERAGE(B2445:B2464))/STDEV(B2445:B2464)</f>
        <v>1.54576709791119</v>
      </c>
    </row>
    <row r="2465" customFormat="false" ht="15" hidden="false" customHeight="false" outlineLevel="0" collapsed="false">
      <c r="A2465" s="17" t="s">
        <v>3029</v>
      </c>
      <c r="B2465" s="17" t="n">
        <v>26782.63</v>
      </c>
      <c r="C2465" s="19" t="n">
        <f aca="false">B2465/B2464-1</f>
        <v>-0.00574111417336853</v>
      </c>
      <c r="D2465" s="17" t="n">
        <f aca="false">AVERAGE(B2416:B2465)</f>
        <v>24879.6606</v>
      </c>
      <c r="E2465" s="17" t="n">
        <f aca="false">AVERAGE(B2266:B2465)</f>
        <v>24689.43535</v>
      </c>
      <c r="F2465" s="17" t="n">
        <f aca="false">B2465*2/13+F2464*11/13</f>
        <v>26052.0353999968</v>
      </c>
      <c r="G2465" s="17" t="n">
        <f aca="false">B2465*2/27+G2464*25/27</f>
        <v>25424.702685925</v>
      </c>
      <c r="H2465" s="17" t="n">
        <f aca="false">F2465-G2465</f>
        <v>627.332714071748</v>
      </c>
      <c r="I2465" s="17" t="n">
        <f aca="false">H2465*2/10+I2464*8/10</f>
        <v>405.82586080681</v>
      </c>
      <c r="J2465" s="17" t="n">
        <f aca="false">H2465-I2465</f>
        <v>221.506853264939</v>
      </c>
      <c r="K2465" s="17" t="n">
        <f aca="false">MAX(B2465-B2464,0)</f>
        <v>0</v>
      </c>
      <c r="L2465" s="17" t="n">
        <f aca="false">MAX(B2464-B2465,0)</f>
        <v>154.649999999998</v>
      </c>
      <c r="M2465" s="17" t="n">
        <f aca="false">(M2464*13+K2465)/14</f>
        <v>180.766918697051</v>
      </c>
      <c r="N2465" s="17" t="n">
        <f aca="false">(N2464*13+L2465)/14</f>
        <v>74.4958210862671</v>
      </c>
      <c r="O2465" s="17" t="n">
        <f aca="false">IF(N2465=0,100,100-100/(1+M2465/N2465))</f>
        <v>70.8160222876619</v>
      </c>
      <c r="P2465" s="17" t="n">
        <f aca="false">AVERAGE(B2446:B2465)+2*STDEV(B2446:B2465)</f>
        <v>27735.2708096507</v>
      </c>
      <c r="Q2465" s="17" t="n">
        <f aca="false">AVERAGE(B2446:B2465)-2*STDEV(B2446:B2465)</f>
        <v>22484.7731903493</v>
      </c>
      <c r="R2465" s="19" t="n">
        <f aca="false">B2465/B2445-1</f>
        <v>0.108415849369573</v>
      </c>
      <c r="S2465" s="17" t="n">
        <f aca="false">STDEV(C2446:C2465)*SQRT(252)*100</f>
        <v>22.6734396183193</v>
      </c>
      <c r="T2465" s="19" t="n">
        <f aca="false">B2444/B2214-1</f>
        <v>0.284016271105201</v>
      </c>
      <c r="U2465" s="19" t="n">
        <f aca="false">B2465/MAX(B2214:B2465)-1</f>
        <v>-0.00574111417336853</v>
      </c>
      <c r="V2465" s="17" t="n">
        <f aca="false">(B2465-AVERAGE(B2446:B2465))/STDEV(B2446:B2465)</f>
        <v>1.27424722095009</v>
      </c>
    </row>
    <row r="2466" customFormat="false" ht="15" hidden="false" customHeight="false" outlineLevel="0" collapsed="false">
      <c r="A2466" s="17" t="s">
        <v>3030</v>
      </c>
      <c r="B2466" s="17" t="n">
        <v>27303.67</v>
      </c>
      <c r="C2466" s="19" t="n">
        <f aca="false">B2466/B2465-1</f>
        <v>0.0194544001093244</v>
      </c>
      <c r="D2466" s="17" t="n">
        <f aca="false">AVERAGE(B2417:B2466)</f>
        <v>24921.7088</v>
      </c>
      <c r="E2466" s="17" t="n">
        <f aca="false">AVERAGE(B2267:B2466)</f>
        <v>24711.62915</v>
      </c>
      <c r="F2466" s="17" t="n">
        <f aca="false">B2466*2/13+F2465*11/13</f>
        <v>26244.5945692281</v>
      </c>
      <c r="G2466" s="17" t="n">
        <f aca="false">B2466*2/27+G2465*25/27</f>
        <v>25563.8854499306</v>
      </c>
      <c r="H2466" s="17" t="n">
        <f aca="false">F2466-G2466</f>
        <v>680.709119297462</v>
      </c>
      <c r="I2466" s="17" t="n">
        <f aca="false">H2466*2/10+I2465*8/10</f>
        <v>460.80251250494</v>
      </c>
      <c r="J2466" s="17" t="n">
        <f aca="false">H2466-I2466</f>
        <v>219.906606792522</v>
      </c>
      <c r="K2466" s="17" t="n">
        <f aca="false">MAX(B2466-B2465,0)</f>
        <v>521.039999999997</v>
      </c>
      <c r="L2466" s="17" t="n">
        <f aca="false">MAX(B2465-B2466,0)</f>
        <v>0</v>
      </c>
      <c r="M2466" s="17" t="n">
        <f aca="false">(M2465*13+K2466)/14</f>
        <v>205.072138790119</v>
      </c>
      <c r="N2466" s="17" t="n">
        <f aca="false">(N2465*13+L2466)/14</f>
        <v>69.1746910086766</v>
      </c>
      <c r="O2466" s="17" t="n">
        <f aca="false">IF(N2466=0,100,100-100/(1+M2466/N2466))</f>
        <v>74.7764847238426</v>
      </c>
      <c r="P2466" s="17" t="n">
        <f aca="false">AVERAGE(B2447:B2466)+2*STDEV(B2447:B2466)</f>
        <v>27992.3821589675</v>
      </c>
      <c r="Q2466" s="17" t="n">
        <f aca="false">AVERAGE(B2447:B2466)-2*STDEV(B2447:B2466)</f>
        <v>22599.3298410325</v>
      </c>
      <c r="R2466" s="19" t="n">
        <f aca="false">B2466/B2446-1</f>
        <v>0.157573306301482</v>
      </c>
      <c r="S2466" s="17" t="n">
        <f aca="false">STDEV(C2447:C2466)*SQRT(252)*100</f>
        <v>20.399145450842</v>
      </c>
      <c r="T2466" s="19" t="n">
        <f aca="false">B2445/B2215-1</f>
        <v>0.257545382629694</v>
      </c>
      <c r="U2466" s="19" t="n">
        <f aca="false">B2466/MAX(B2215:B2466)-1</f>
        <v>0</v>
      </c>
      <c r="V2466" s="17" t="n">
        <f aca="false">(B2466-AVERAGE(B2447:B2466))/STDEV(B2447:B2466)</f>
        <v>1.48918562745842</v>
      </c>
    </row>
    <row r="2467" customFormat="false" ht="15" hidden="false" customHeight="false" outlineLevel="0" collapsed="false">
      <c r="A2467" s="17" t="s">
        <v>3031</v>
      </c>
      <c r="B2467" s="17" t="n">
        <v>27305.68</v>
      </c>
      <c r="C2467" s="19" t="n">
        <f aca="false">B2467/B2466-1</f>
        <v>7.36164771988346E-005</v>
      </c>
      <c r="D2467" s="17" t="n">
        <f aca="false">AVERAGE(B2418:B2467)</f>
        <v>24974.0702</v>
      </c>
      <c r="E2467" s="17" t="n">
        <f aca="false">AVERAGE(B2268:B2467)</f>
        <v>24734.01125</v>
      </c>
      <c r="F2467" s="17" t="n">
        <f aca="false">B2467*2/13+F2466*11/13</f>
        <v>26407.8384816545</v>
      </c>
      <c r="G2467" s="17" t="n">
        <f aca="false">B2467*2/27+G2466*25/27</f>
        <v>25692.9072684543</v>
      </c>
      <c r="H2467" s="17" t="n">
        <f aca="false">F2467-G2467</f>
        <v>714.931213200252</v>
      </c>
      <c r="I2467" s="17" t="n">
        <f aca="false">H2467*2/10+I2466*8/10</f>
        <v>511.628252644003</v>
      </c>
      <c r="J2467" s="17" t="n">
        <f aca="false">H2467-I2467</f>
        <v>203.30296055625</v>
      </c>
      <c r="K2467" s="17" t="n">
        <f aca="false">MAX(B2467-B2466,0)</f>
        <v>2.01000000000204</v>
      </c>
      <c r="L2467" s="17" t="n">
        <f aca="false">MAX(B2466-B2467,0)</f>
        <v>0</v>
      </c>
      <c r="M2467" s="17" t="n">
        <f aca="false">(M2466*13+K2467)/14</f>
        <v>190.56770030511</v>
      </c>
      <c r="N2467" s="17" t="n">
        <f aca="false">(N2466*13+L2467)/14</f>
        <v>64.233641650914</v>
      </c>
      <c r="O2467" s="17" t="n">
        <f aca="false">IF(N2467=0,100,100-100/(1+M2467/N2467))</f>
        <v>74.7906972711314</v>
      </c>
      <c r="P2467" s="17" t="n">
        <f aca="false">AVERAGE(B2448:B2467)+2*STDEV(B2448:B2467)</f>
        <v>28141.4154008619</v>
      </c>
      <c r="Q2467" s="17" t="n">
        <f aca="false">AVERAGE(B2448:B2467)-2*STDEV(B2448:B2467)</f>
        <v>22867.5875991381</v>
      </c>
      <c r="R2467" s="19" t="n">
        <f aca="false">B2467/B2447-1</f>
        <v>0.180389551272935</v>
      </c>
      <c r="S2467" s="17" t="n">
        <f aca="false">STDEV(C2448:C2467)*SQRT(252)*100</f>
        <v>18.0668189376061</v>
      </c>
      <c r="T2467" s="19" t="n">
        <f aca="false">B2446/B2216-1</f>
        <v>0.21378706665514</v>
      </c>
      <c r="U2467" s="19" t="n">
        <f aca="false">B2467/MAX(B2216:B2467)-1</f>
        <v>0</v>
      </c>
      <c r="V2467" s="17" t="n">
        <f aca="false">(B2467-AVERAGE(B2448:B2467))/STDEV(B2448:B2467)</f>
        <v>1.36612613662603</v>
      </c>
    </row>
    <row r="2468" customFormat="false" ht="15" hidden="false" customHeight="false" outlineLevel="0" collapsed="false">
      <c r="A2468" s="17" t="s">
        <v>3032</v>
      </c>
      <c r="B2468" s="17" t="n">
        <v>27029.01</v>
      </c>
      <c r="C2468" s="19" t="n">
        <f aca="false">B2468/B2467-1</f>
        <v>-0.0101323241171801</v>
      </c>
      <c r="D2468" s="17" t="n">
        <f aca="false">AVERAGE(B2419:B2468)</f>
        <v>25019.9958</v>
      </c>
      <c r="E2468" s="17" t="n">
        <f aca="false">AVERAGE(B2269:B2468)</f>
        <v>24755.2533</v>
      </c>
      <c r="F2468" s="17" t="n">
        <f aca="false">B2468*2/13+F2467*11/13</f>
        <v>26503.4033306307</v>
      </c>
      <c r="G2468" s="17" t="n">
        <f aca="false">B2468*2/27+G2467*25/27</f>
        <v>25791.8778411614</v>
      </c>
      <c r="H2468" s="17" t="n">
        <f aca="false">F2468-G2468</f>
        <v>711.52548946939</v>
      </c>
      <c r="I2468" s="17" t="n">
        <f aca="false">H2468*2/10+I2467*8/10</f>
        <v>551.60770000908</v>
      </c>
      <c r="J2468" s="17" t="n">
        <f aca="false">H2468-I2468</f>
        <v>159.91778946031</v>
      </c>
      <c r="K2468" s="17" t="n">
        <f aca="false">MAX(B2468-B2467,0)</f>
        <v>0</v>
      </c>
      <c r="L2468" s="17" t="n">
        <f aca="false">MAX(B2467-B2468,0)</f>
        <v>276.670000000002</v>
      </c>
      <c r="M2468" s="17" t="n">
        <f aca="false">(M2467*13+K2468)/14</f>
        <v>176.955721711888</v>
      </c>
      <c r="N2468" s="17" t="n">
        <f aca="false">(N2467*13+L2468)/14</f>
        <v>79.4076672472774</v>
      </c>
      <c r="O2468" s="17" t="n">
        <f aca="false">IF(N2468=0,100,100-100/(1+M2468/N2468))</f>
        <v>69.025348131934</v>
      </c>
      <c r="P2468" s="17" t="n">
        <f aca="false">AVERAGE(B2449:B2468)+2*STDEV(B2449:B2468)</f>
        <v>28136.7810472721</v>
      </c>
      <c r="Q2468" s="17" t="n">
        <f aca="false">AVERAGE(B2449:B2468)-2*STDEV(B2449:B2468)</f>
        <v>23279.7849527279</v>
      </c>
      <c r="R2468" s="19" t="n">
        <f aca="false">B2468/B2448-1</f>
        <v>0.177561213206944</v>
      </c>
      <c r="S2468" s="17" t="n">
        <f aca="false">STDEV(C2449:C2468)*SQRT(252)*100</f>
        <v>18.3657997487623</v>
      </c>
      <c r="T2468" s="19" t="n">
        <f aca="false">B2447/B2217-1</f>
        <v>0.190735815443122</v>
      </c>
      <c r="U2468" s="19" t="n">
        <f aca="false">B2468/MAX(B2217:B2468)-1</f>
        <v>-0.0101323241171801</v>
      </c>
      <c r="V2468" s="17" t="n">
        <f aca="false">(B2468-AVERAGE(B2449:B2468))/STDEV(B2449:B2468)</f>
        <v>1.08769039487891</v>
      </c>
    </row>
    <row r="2469" customFormat="false" ht="15" hidden="false" customHeight="false" outlineLevel="0" collapsed="false">
      <c r="A2469" s="17" t="s">
        <v>3033</v>
      </c>
      <c r="B2469" s="17" t="n">
        <v>27186.98</v>
      </c>
      <c r="C2469" s="19" t="n">
        <f aca="false">B2469/B2468-1</f>
        <v>0.00584446119188242</v>
      </c>
      <c r="D2469" s="17" t="n">
        <f aca="false">AVERAGE(B2420:B2469)</f>
        <v>25069.7034</v>
      </c>
      <c r="E2469" s="17" t="n">
        <f aca="false">AVERAGE(B2270:B2469)</f>
        <v>24776.91005</v>
      </c>
      <c r="F2469" s="17" t="n">
        <f aca="false">B2469*2/13+F2468*11/13</f>
        <v>26608.5689720722</v>
      </c>
      <c r="G2469" s="17" t="n">
        <f aca="false">B2469*2/27+G2468*25/27</f>
        <v>25895.2187418161</v>
      </c>
      <c r="H2469" s="17" t="n">
        <f aca="false">F2469-G2469</f>
        <v>713.350230256096</v>
      </c>
      <c r="I2469" s="17" t="n">
        <f aca="false">H2469*2/10+I2468*8/10</f>
        <v>583.956206058483</v>
      </c>
      <c r="J2469" s="17" t="n">
        <f aca="false">H2469-I2469</f>
        <v>129.394024197612</v>
      </c>
      <c r="K2469" s="17" t="n">
        <f aca="false">MAX(B2469-B2468,0)</f>
        <v>157.970000000001</v>
      </c>
      <c r="L2469" s="17" t="n">
        <f aca="false">MAX(B2468-B2469,0)</f>
        <v>0</v>
      </c>
      <c r="M2469" s="17" t="n">
        <f aca="false">(M2468*13+K2469)/14</f>
        <v>175.599598732468</v>
      </c>
      <c r="N2469" s="17" t="n">
        <f aca="false">(N2468*13+L2469)/14</f>
        <v>73.735691015329</v>
      </c>
      <c r="O2469" s="17" t="n">
        <f aca="false">IF(N2469=0,100,100-100/(1+M2469/N2469))</f>
        <v>70.4270939384823</v>
      </c>
      <c r="P2469" s="17" t="n">
        <f aca="false">AVERAGE(B2450:B2469)+2*STDEV(B2450:B2469)</f>
        <v>28208.1578955169</v>
      </c>
      <c r="Q2469" s="17" t="n">
        <f aca="false">AVERAGE(B2450:B2469)-2*STDEV(B2450:B2469)</f>
        <v>23553.0871044831</v>
      </c>
      <c r="R2469" s="19" t="n">
        <f aca="false">B2469/B2449-1</f>
        <v>0.145187970273195</v>
      </c>
      <c r="S2469" s="17" t="n">
        <f aca="false">STDEV(C2450:C2469)*SQRT(252)*100</f>
        <v>15.5882046376426</v>
      </c>
      <c r="T2469" s="19" t="n">
        <f aca="false">B2448/B2218-1</f>
        <v>0.174389292374757</v>
      </c>
      <c r="U2469" s="19" t="n">
        <f aca="false">B2469/MAX(B2218:B2469)-1</f>
        <v>-0.00434708090038416</v>
      </c>
      <c r="V2469" s="17" t="n">
        <f aca="false">(B2469-AVERAGE(B2450:B2469))/STDEV(B2450:B2469)</f>
        <v>1.12252428256616</v>
      </c>
    </row>
    <row r="2470" customFormat="false" ht="15" hidden="false" customHeight="false" outlineLevel="0" collapsed="false">
      <c r="A2470" s="17" t="s">
        <v>3034</v>
      </c>
      <c r="B2470" s="17" t="n">
        <v>27452.12</v>
      </c>
      <c r="C2470" s="19" t="n">
        <f aca="false">B2470/B2469-1</f>
        <v>0.00975246239192429</v>
      </c>
      <c r="D2470" s="17" t="n">
        <f aca="false">AVERAGE(B2421:B2470)</f>
        <v>25120.7684</v>
      </c>
      <c r="E2470" s="17" t="n">
        <f aca="false">AVERAGE(B2271:B2470)</f>
        <v>24799.7477</v>
      </c>
      <c r="F2470" s="17" t="n">
        <f aca="false">B2470*2/13+F2469*11/13</f>
        <v>26738.3460532918</v>
      </c>
      <c r="G2470" s="17" t="n">
        <f aca="false">B2470*2/27+G2469*25/27</f>
        <v>26010.5447609408</v>
      </c>
      <c r="H2470" s="17" t="n">
        <f aca="false">F2470-G2470</f>
        <v>727.801292351029</v>
      </c>
      <c r="I2470" s="17" t="n">
        <f aca="false">H2470*2/10+I2469*8/10</f>
        <v>612.725223316992</v>
      </c>
      <c r="J2470" s="17" t="n">
        <f aca="false">H2470-I2470</f>
        <v>115.076069034036</v>
      </c>
      <c r="K2470" s="17" t="n">
        <f aca="false">MAX(B2470-B2469,0)</f>
        <v>265.139999999999</v>
      </c>
      <c r="L2470" s="17" t="n">
        <f aca="false">MAX(B2469-B2470,0)</f>
        <v>0</v>
      </c>
      <c r="M2470" s="17" t="n">
        <f aca="false">(M2469*13+K2470)/14</f>
        <v>181.995341680148</v>
      </c>
      <c r="N2470" s="17" t="n">
        <f aca="false">(N2469*13+L2470)/14</f>
        <v>68.4688559428055</v>
      </c>
      <c r="O2470" s="17" t="n">
        <f aca="false">IF(N2470=0,100,100-100/(1+M2470/N2470))</f>
        <v>72.6632163029234</v>
      </c>
      <c r="P2470" s="17" t="n">
        <f aca="false">AVERAGE(B2451:B2470)+2*STDEV(B2451:B2470)</f>
        <v>28307.114928177</v>
      </c>
      <c r="Q2470" s="17" t="n">
        <f aca="false">AVERAGE(B2451:B2470)-2*STDEV(B2451:B2470)</f>
        <v>23797.343071823</v>
      </c>
      <c r="R2470" s="19" t="n">
        <f aca="false">B2470/B2450-1</f>
        <v>0.142886404199169</v>
      </c>
      <c r="S2470" s="17" t="n">
        <f aca="false">STDEV(C2451:C2470)*SQRT(252)*100</f>
        <v>15.5193102779667</v>
      </c>
      <c r="T2470" s="19" t="n">
        <f aca="false">B2449/B2219-1</f>
        <v>0.213027731819803</v>
      </c>
      <c r="U2470" s="19" t="n">
        <f aca="false">B2470/MAX(B2219:B2470)-1</f>
        <v>0</v>
      </c>
      <c r="V2470" s="17" t="n">
        <f aca="false">(B2470-AVERAGE(B2451:B2470))/STDEV(B2451:B2470)</f>
        <v>1.2416512804546</v>
      </c>
    </row>
    <row r="2471" customFormat="false" ht="15" hidden="false" customHeight="false" outlineLevel="0" collapsed="false">
      <c r="A2471" s="17" t="s">
        <v>3035</v>
      </c>
      <c r="B2471" s="17" t="n">
        <v>27710.36</v>
      </c>
      <c r="C2471" s="19" t="n">
        <f aca="false">B2471/B2470-1</f>
        <v>0.00940692376399355</v>
      </c>
      <c r="D2471" s="17" t="n">
        <f aca="false">AVERAGE(B2422:B2471)</f>
        <v>25179.0288</v>
      </c>
      <c r="E2471" s="17" t="n">
        <f aca="false">AVERAGE(B2272:B2471)</f>
        <v>24823.75965</v>
      </c>
      <c r="F2471" s="17" t="n">
        <f aca="false">B2471*2/13+F2470*11/13</f>
        <v>26887.8866604777</v>
      </c>
      <c r="G2471" s="17" t="n">
        <f aca="false">B2471*2/27+G2470*25/27</f>
        <v>26136.4570008711</v>
      </c>
      <c r="H2471" s="17" t="n">
        <f aca="false">F2471-G2471</f>
        <v>751.429659606591</v>
      </c>
      <c r="I2471" s="17" t="n">
        <f aca="false">H2471*2/10+I2470*8/10</f>
        <v>640.466110574912</v>
      </c>
      <c r="J2471" s="17" t="n">
        <f aca="false">H2471-I2471</f>
        <v>110.963549031679</v>
      </c>
      <c r="K2471" s="17" t="n">
        <f aca="false">MAX(B2471-B2470,0)</f>
        <v>258.240000000002</v>
      </c>
      <c r="L2471" s="17" t="n">
        <f aca="false">MAX(B2470-B2471,0)</f>
        <v>0</v>
      </c>
      <c r="M2471" s="17" t="n">
        <f aca="false">(M2470*13+K2471)/14</f>
        <v>187.441388702995</v>
      </c>
      <c r="N2471" s="17" t="n">
        <f aca="false">(N2470*13+L2471)/14</f>
        <v>63.5782233754622</v>
      </c>
      <c r="O2471" s="17" t="n">
        <f aca="false">IF(N2471=0,100,100-100/(1+M2471/N2471))</f>
        <v>74.6720095497596</v>
      </c>
      <c r="P2471" s="17" t="n">
        <f aca="false">AVERAGE(B2452:B2471)+2*STDEV(B2452:B2471)</f>
        <v>28397.4595305138</v>
      </c>
      <c r="Q2471" s="17" t="n">
        <f aca="false">AVERAGE(B2452:B2471)-2*STDEV(B2452:B2471)</f>
        <v>24073.4814694862</v>
      </c>
      <c r="R2471" s="19" t="n">
        <f aca="false">B2471/B2451-1</f>
        <v>0.152412111523431</v>
      </c>
      <c r="S2471" s="17" t="n">
        <f aca="false">STDEV(C2452:C2471)*SQRT(252)*100</f>
        <v>15.3962693424497</v>
      </c>
      <c r="T2471" s="19" t="n">
        <f aca="false">B2450/B2220-1</f>
        <v>0.213945623097524</v>
      </c>
      <c r="U2471" s="19" t="n">
        <f aca="false">B2471/MAX(B2220:B2471)-1</f>
        <v>0</v>
      </c>
      <c r="V2471" s="17" t="n">
        <f aca="false">(B2471-AVERAGE(B2452:B2471))/STDEV(B2452:B2471)</f>
        <v>1.36438203819144</v>
      </c>
    </row>
    <row r="2472" customFormat="false" ht="15" hidden="false" customHeight="false" outlineLevel="0" collapsed="false">
      <c r="A2472" s="17" t="s">
        <v>3036</v>
      </c>
      <c r="B2472" s="17" t="n">
        <v>27651.82</v>
      </c>
      <c r="C2472" s="19" t="n">
        <f aca="false">B2472/B2471-1</f>
        <v>-0.00211256728530418</v>
      </c>
      <c r="D2472" s="17" t="n">
        <f aca="false">AVERAGE(B2423:B2472)</f>
        <v>25231.8128</v>
      </c>
      <c r="E2472" s="17" t="n">
        <f aca="false">AVERAGE(B2273:B2472)</f>
        <v>24846.6135</v>
      </c>
      <c r="F2472" s="17" t="n">
        <f aca="false">B2472*2/13+F2471*11/13</f>
        <v>27005.4148665581</v>
      </c>
      <c r="G2472" s="17" t="n">
        <f aca="false">B2472*2/27+G2471*25/27</f>
        <v>26248.7061119177</v>
      </c>
      <c r="H2472" s="17" t="n">
        <f aca="false">F2472-G2472</f>
        <v>756.708754640364</v>
      </c>
      <c r="I2472" s="17" t="n">
        <f aca="false">H2472*2/10+I2471*8/10</f>
        <v>663.714639388002</v>
      </c>
      <c r="J2472" s="17" t="n">
        <f aca="false">H2472-I2472</f>
        <v>92.9941152523613</v>
      </c>
      <c r="K2472" s="17" t="n">
        <f aca="false">MAX(B2472-B2471,0)</f>
        <v>0</v>
      </c>
      <c r="L2472" s="17" t="n">
        <f aca="false">MAX(B2471-B2472,0)</f>
        <v>58.5400000000009</v>
      </c>
      <c r="M2472" s="17" t="n">
        <f aca="false">(M2471*13+K2472)/14</f>
        <v>174.052718081353</v>
      </c>
      <c r="N2472" s="17" t="n">
        <f aca="false">(N2471*13+L2472)/14</f>
        <v>63.218350277215</v>
      </c>
      <c r="O2472" s="17" t="n">
        <f aca="false">IF(N2472=0,100,100-100/(1+M2472/N2472))</f>
        <v>73.3560645574881</v>
      </c>
      <c r="P2472" s="17" t="n">
        <f aca="false">AVERAGE(B2453:B2472)+2*STDEV(B2453:B2472)</f>
        <v>28431.2152471327</v>
      </c>
      <c r="Q2472" s="17" t="n">
        <f aca="false">AVERAGE(B2453:B2472)-2*STDEV(B2453:B2472)</f>
        <v>24385.6907528673</v>
      </c>
      <c r="R2472" s="19" t="n">
        <f aca="false">B2472/B2452-1</f>
        <v>0.143007014252959</v>
      </c>
      <c r="S2472" s="17" t="n">
        <f aca="false">STDEV(C2453:C2472)*SQRT(252)*100</f>
        <v>15.7434885924433</v>
      </c>
      <c r="T2472" s="19" t="n">
        <f aca="false">B2451/B2221-1</f>
        <v>0.196139705242254</v>
      </c>
      <c r="U2472" s="19" t="n">
        <f aca="false">B2472/MAX(B2221:B2472)-1</f>
        <v>-0.00211256728530418</v>
      </c>
      <c r="V2472" s="17" t="n">
        <f aca="false">(B2472-AVERAGE(B2453:B2472))/STDEV(B2453:B2472)</f>
        <v>1.22937532748844</v>
      </c>
    </row>
    <row r="2473" customFormat="false" ht="15" hidden="false" customHeight="false" outlineLevel="0" collapsed="false">
      <c r="A2473" s="17" t="s">
        <v>3037</v>
      </c>
      <c r="B2473" s="17" t="n">
        <v>28015.06</v>
      </c>
      <c r="C2473" s="19" t="n">
        <f aca="false">B2473/B2472-1</f>
        <v>0.0131362058627607</v>
      </c>
      <c r="D2473" s="17" t="n">
        <f aca="false">AVERAGE(B2424:B2473)</f>
        <v>25297.9352</v>
      </c>
      <c r="E2473" s="17" t="n">
        <f aca="false">AVERAGE(B2274:B2473)</f>
        <v>24871.36145</v>
      </c>
      <c r="F2473" s="17" t="n">
        <f aca="false">B2473*2/13+F2472*11/13</f>
        <v>27160.7448870876</v>
      </c>
      <c r="G2473" s="17" t="n">
        <f aca="false">B2473*2/27+G2472*25/27</f>
        <v>26379.5471406645</v>
      </c>
      <c r="H2473" s="17" t="n">
        <f aca="false">F2473-G2473</f>
        <v>781.197746423055</v>
      </c>
      <c r="I2473" s="17" t="n">
        <f aca="false">H2473*2/10+I2472*8/10</f>
        <v>687.211260795013</v>
      </c>
      <c r="J2473" s="17" t="n">
        <f aca="false">H2473-I2473</f>
        <v>93.9864856280422</v>
      </c>
      <c r="K2473" s="17" t="n">
        <f aca="false">MAX(B2473-B2472,0)</f>
        <v>363.240000000002</v>
      </c>
      <c r="L2473" s="17" t="n">
        <f aca="false">MAX(B2472-B2473,0)</f>
        <v>0</v>
      </c>
      <c r="M2473" s="17" t="n">
        <f aca="false">(M2472*13+K2473)/14</f>
        <v>187.566095361256</v>
      </c>
      <c r="N2473" s="17" t="n">
        <f aca="false">(N2472*13+L2473)/14</f>
        <v>58.7027538288425</v>
      </c>
      <c r="O2473" s="17" t="n">
        <f aca="false">IF(N2473=0,100,100-100/(1+M2473/N2473))</f>
        <v>76.1631428327628</v>
      </c>
      <c r="P2473" s="17" t="n">
        <f aca="false">AVERAGE(B2454:B2473)+2*STDEV(B2454:B2473)</f>
        <v>28458.4873671204</v>
      </c>
      <c r="Q2473" s="17" t="n">
        <f aca="false">AVERAGE(B2454:B2473)-2*STDEV(B2454:B2473)</f>
        <v>24739.6876328796</v>
      </c>
      <c r="R2473" s="19" t="n">
        <f aca="false">B2473/B2453-1</f>
        <v>0.157533745662098</v>
      </c>
      <c r="S2473" s="17" t="n">
        <f aca="false">STDEV(C2454:C2473)*SQRT(252)*100</f>
        <v>15.7123119870502</v>
      </c>
      <c r="T2473" s="19" t="n">
        <f aca="false">B2452/B2222-1</f>
        <v>0.211550615636866</v>
      </c>
      <c r="U2473" s="19" t="n">
        <f aca="false">B2473/MAX(B2222:B2473)-1</f>
        <v>0</v>
      </c>
      <c r="V2473" s="17" t="n">
        <f aca="false">(B2473-AVERAGE(B2454:B2473))/STDEV(B2454:B2473)</f>
        <v>1.52304248810437</v>
      </c>
    </row>
    <row r="2474" customFormat="false" ht="15" hidden="false" customHeight="false" outlineLevel="0" collapsed="false">
      <c r="A2474" s="17" t="s">
        <v>3038</v>
      </c>
      <c r="B2474" s="17" t="n">
        <v>28599.17</v>
      </c>
      <c r="C2474" s="19" t="n">
        <f aca="false">B2474/B2473-1</f>
        <v>0.0208498571839573</v>
      </c>
      <c r="D2474" s="17" t="n">
        <f aca="false">AVERAGE(B2425:B2474)</f>
        <v>25370.3778</v>
      </c>
      <c r="E2474" s="17" t="n">
        <f aca="false">AVERAGE(B2275:B2474)</f>
        <v>24898.457</v>
      </c>
      <c r="F2474" s="17" t="n">
        <f aca="false">B2474*2/13+F2473*11/13</f>
        <v>27382.0410583049</v>
      </c>
      <c r="G2474" s="17" t="n">
        <f aca="false">B2474*2/27+G2473*25/27</f>
        <v>26543.9636487635</v>
      </c>
      <c r="H2474" s="17" t="n">
        <f aca="false">F2474-G2474</f>
        <v>838.077409541424</v>
      </c>
      <c r="I2474" s="17" t="n">
        <f aca="false">H2474*2/10+I2473*8/10</f>
        <v>717.384490544295</v>
      </c>
      <c r="J2474" s="17" t="n">
        <f aca="false">H2474-I2474</f>
        <v>120.692918997129</v>
      </c>
      <c r="K2474" s="17" t="n">
        <f aca="false">MAX(B2474-B2473,0)</f>
        <v>584.109999999997</v>
      </c>
      <c r="L2474" s="17" t="n">
        <f aca="false">MAX(B2473-B2474,0)</f>
        <v>0</v>
      </c>
      <c r="M2474" s="17" t="n">
        <f aca="false">(M2473*13+K2474)/14</f>
        <v>215.890659978309</v>
      </c>
      <c r="N2474" s="17" t="n">
        <f aca="false">(N2473*13+L2474)/14</f>
        <v>54.5096999839252</v>
      </c>
      <c r="O2474" s="17" t="n">
        <f aca="false">IF(N2474=0,100,100-100/(1+M2474/N2474))</f>
        <v>79.8411141199892</v>
      </c>
      <c r="P2474" s="17" t="n">
        <f aca="false">AVERAGE(B2455:B2474)+2*STDEV(B2455:B2474)</f>
        <v>28668.0972549329</v>
      </c>
      <c r="Q2474" s="17" t="n">
        <f aca="false">AVERAGE(B2455:B2474)-2*STDEV(B2455:B2474)</f>
        <v>24899.6777450671</v>
      </c>
      <c r="R2474" s="19" t="n">
        <f aca="false">B2474/B2454-1</f>
        <v>0.148414840359681</v>
      </c>
      <c r="S2474" s="17" t="n">
        <f aca="false">STDEV(C2455:C2474)*SQRT(252)*100</f>
        <v>14.4491963558506</v>
      </c>
      <c r="T2474" s="19" t="n">
        <f aca="false">B2453/B2223-1</f>
        <v>0.222876155492172</v>
      </c>
      <c r="U2474" s="19" t="n">
        <f aca="false">B2474/MAX(B2223:B2474)-1</f>
        <v>0</v>
      </c>
      <c r="V2474" s="17" t="n">
        <f aca="false">(B2474-AVERAGE(B2455:B2474))/STDEV(B2455:B2474)</f>
        <v>1.92683696201824</v>
      </c>
    </row>
    <row r="2475" customFormat="false" ht="15" hidden="false" customHeight="false" outlineLevel="0" collapsed="false">
      <c r="A2475" s="17" t="s">
        <v>3039</v>
      </c>
      <c r="B2475" s="17" t="n">
        <v>28563.95</v>
      </c>
      <c r="C2475" s="19" t="n">
        <f aca="false">B2475/B2474-1</f>
        <v>-0.00123150427092811</v>
      </c>
      <c r="D2475" s="17" t="n">
        <f aca="false">AVERAGE(B2426:B2475)</f>
        <v>25435.076</v>
      </c>
      <c r="E2475" s="17" t="n">
        <f aca="false">AVERAGE(B2276:B2475)</f>
        <v>24925.95885</v>
      </c>
      <c r="F2475" s="17" t="n">
        <f aca="false">B2475*2/13+F2474*11/13</f>
        <v>27563.8732031811</v>
      </c>
      <c r="G2475" s="17" t="n">
        <f aca="false">B2475*2/27+G2474*25/27</f>
        <v>26693.5922673736</v>
      </c>
      <c r="H2475" s="17" t="n">
        <f aca="false">F2475-G2475</f>
        <v>870.280935807481</v>
      </c>
      <c r="I2475" s="17" t="n">
        <f aca="false">H2475*2/10+I2474*8/10</f>
        <v>747.963779596932</v>
      </c>
      <c r="J2475" s="17" t="n">
        <f aca="false">H2475-I2475</f>
        <v>122.317156210549</v>
      </c>
      <c r="K2475" s="17" t="n">
        <f aca="false">MAX(B2475-B2474,0)</f>
        <v>0</v>
      </c>
      <c r="L2475" s="17" t="n">
        <f aca="false">MAX(B2474-B2475,0)</f>
        <v>35.2199999999975</v>
      </c>
      <c r="M2475" s="17" t="n">
        <f aca="false">(M2474*13+K2475)/14</f>
        <v>200.469898551287</v>
      </c>
      <c r="N2475" s="17" t="n">
        <f aca="false">(N2474*13+L2475)/14</f>
        <v>53.1318642707875</v>
      </c>
      <c r="O2475" s="17" t="n">
        <f aca="false">IF(N2475=0,100,100-100/(1+M2475/N2475))</f>
        <v>79.0490950537814</v>
      </c>
      <c r="P2475" s="17" t="n">
        <f aca="false">AVERAGE(B2456:B2475)+2*STDEV(B2456:B2475)</f>
        <v>28823.4569156669</v>
      </c>
      <c r="Q2475" s="17" t="n">
        <f aca="false">AVERAGE(B2456:B2475)-2*STDEV(B2456:B2475)</f>
        <v>25092.5040843331</v>
      </c>
      <c r="R2475" s="19" t="n">
        <f aca="false">B2475/B2455-1</f>
        <v>0.138818575326059</v>
      </c>
      <c r="S2475" s="17" t="n">
        <f aca="false">STDEV(C2456:C2475)*SQRT(252)*100</f>
        <v>14.7394780151106</v>
      </c>
      <c r="T2475" s="19" t="n">
        <f aca="false">B2454/B2224-1</f>
        <v>0.253433038201688</v>
      </c>
      <c r="U2475" s="19" t="n">
        <f aca="false">B2475/MAX(B2224:B2475)-1</f>
        <v>-0.00123150427092811</v>
      </c>
      <c r="V2475" s="17" t="n">
        <f aca="false">(B2475-AVERAGE(B2456:B2475))/STDEV(B2456:B2475)</f>
        <v>1.72177947307457</v>
      </c>
    </row>
    <row r="2476" customFormat="false" ht="15" hidden="false" customHeight="false" outlineLevel="0" collapsed="false">
      <c r="A2476" s="17" t="s">
        <v>3040</v>
      </c>
      <c r="B2476" s="17" t="n">
        <v>29234.99</v>
      </c>
      <c r="C2476" s="19" t="n">
        <f aca="false">B2476/B2475-1</f>
        <v>0.0234925491747464</v>
      </c>
      <c r="D2476" s="17" t="n">
        <f aca="false">AVERAGE(B2427:B2476)</f>
        <v>25519.0884</v>
      </c>
      <c r="E2476" s="17" t="n">
        <f aca="false">AVERAGE(B2277:B2476)</f>
        <v>24956.32175</v>
      </c>
      <c r="F2476" s="17" t="n">
        <f aca="false">B2476*2/13+F2475*11/13</f>
        <v>27820.9680949994</v>
      </c>
      <c r="G2476" s="17" t="n">
        <f aca="false">B2476*2/27+G2475*25/27</f>
        <v>26881.8439512718</v>
      </c>
      <c r="H2476" s="17" t="n">
        <f aca="false">F2476-G2476</f>
        <v>939.124143727528</v>
      </c>
      <c r="I2476" s="17" t="n">
        <f aca="false">H2476*2/10+I2475*8/10</f>
        <v>786.195852423051</v>
      </c>
      <c r="J2476" s="17" t="n">
        <f aca="false">H2476-I2476</f>
        <v>152.928291304476</v>
      </c>
      <c r="K2476" s="17" t="n">
        <f aca="false">MAX(B2476-B2475,0)</f>
        <v>671.040000000001</v>
      </c>
      <c r="L2476" s="17" t="n">
        <f aca="false">MAX(B2475-B2476,0)</f>
        <v>0</v>
      </c>
      <c r="M2476" s="17" t="n">
        <f aca="false">(M2475*13+K2476)/14</f>
        <v>234.082048654767</v>
      </c>
      <c r="N2476" s="17" t="n">
        <f aca="false">(N2475*13+L2476)/14</f>
        <v>49.3367311085884</v>
      </c>
      <c r="O2476" s="17" t="n">
        <f aca="false">IF(N2476=0,100,100-100/(1+M2476/N2476))</f>
        <v>82.5922858217854</v>
      </c>
      <c r="P2476" s="17" t="n">
        <f aca="false">AVERAGE(B2457:B2476)+2*STDEV(B2457:B2476)</f>
        <v>29081.9700960944</v>
      </c>
      <c r="Q2476" s="17" t="n">
        <f aca="false">AVERAGE(B2457:B2476)-2*STDEV(B2457:B2476)</f>
        <v>25245.8559039057</v>
      </c>
      <c r="R2476" s="19" t="n">
        <f aca="false">B2476/B2456-1</f>
        <v>0.163982889226695</v>
      </c>
      <c r="S2476" s="17" t="n">
        <f aca="false">STDEV(C2457:C2476)*SQRT(252)*100</f>
        <v>15.7621408976781</v>
      </c>
      <c r="T2476" s="19" t="n">
        <f aca="false">B2455/B2225-1</f>
        <v>0.250131581832935</v>
      </c>
      <c r="U2476" s="19" t="n">
        <f aca="false">B2476/MAX(B2225:B2476)-1</f>
        <v>0</v>
      </c>
      <c r="V2476" s="17" t="n">
        <f aca="false">(B2476-AVERAGE(B2457:B2476))/STDEV(B2457:B2476)</f>
        <v>2.15955719380538</v>
      </c>
    </row>
    <row r="2477" customFormat="false" ht="15" hidden="false" customHeight="false" outlineLevel="0" collapsed="false">
      <c r="A2477" s="17" t="s">
        <v>3041</v>
      </c>
      <c r="B2477" s="17" t="n">
        <v>29320.66</v>
      </c>
      <c r="C2477" s="19" t="n">
        <f aca="false">B2477/B2476-1</f>
        <v>0.00293039265619721</v>
      </c>
      <c r="D2477" s="17" t="n">
        <f aca="false">AVERAGE(B2428:B2477)</f>
        <v>25606.3008</v>
      </c>
      <c r="E2477" s="17" t="n">
        <f aca="false">AVERAGE(B2278:B2477)</f>
        <v>24986.8257</v>
      </c>
      <c r="F2477" s="17" t="n">
        <f aca="false">B2477*2/13+F2476*11/13</f>
        <v>28051.6899265379</v>
      </c>
      <c r="G2477" s="17" t="n">
        <f aca="false">B2477*2/27+G2476*25/27</f>
        <v>27062.4969919184</v>
      </c>
      <c r="H2477" s="17" t="n">
        <f aca="false">F2477-G2477</f>
        <v>989.192934619558</v>
      </c>
      <c r="I2477" s="17" t="n">
        <f aca="false">H2477*2/10+I2476*8/10</f>
        <v>826.795268862353</v>
      </c>
      <c r="J2477" s="17" t="n">
        <f aca="false">H2477-I2477</f>
        <v>162.397665757205</v>
      </c>
      <c r="K2477" s="17" t="n">
        <f aca="false">MAX(B2477-B2476,0)</f>
        <v>85.6699999999983</v>
      </c>
      <c r="L2477" s="17" t="n">
        <f aca="false">MAX(B2476-B2477,0)</f>
        <v>0</v>
      </c>
      <c r="M2477" s="17" t="n">
        <f aca="false">(M2476*13+K2477)/14</f>
        <v>223.481188036569</v>
      </c>
      <c r="N2477" s="17" t="n">
        <f aca="false">(N2476*13+L2477)/14</f>
        <v>45.8126788865464</v>
      </c>
      <c r="O2477" s="17" t="n">
        <f aca="false">IF(N2477=0,100,100-100/(1+M2477/N2477))</f>
        <v>82.9878491441374</v>
      </c>
      <c r="P2477" s="17" t="n">
        <f aca="false">AVERAGE(B2458:B2477)+2*STDEV(B2458:B2477)</f>
        <v>29317.2592926411</v>
      </c>
      <c r="Q2477" s="17" t="n">
        <f aca="false">AVERAGE(B2458:B2477)-2*STDEV(B2458:B2477)</f>
        <v>25404.2607073589</v>
      </c>
      <c r="R2477" s="19" t="n">
        <f aca="false">B2477/B2457-1</f>
        <v>0.155097046453396</v>
      </c>
      <c r="S2477" s="17" t="n">
        <f aca="false">STDEV(C2458:C2477)*SQRT(252)*100</f>
        <v>15.8066712101161</v>
      </c>
      <c r="T2477" s="19" t="n">
        <f aca="false">B2456/B2226-1</f>
        <v>0.251970321188149</v>
      </c>
      <c r="U2477" s="19" t="n">
        <f aca="false">B2477/MAX(B2226:B2477)-1</f>
        <v>0</v>
      </c>
      <c r="V2477" s="17" t="n">
        <f aca="false">(B2477-AVERAGE(B2458:B2477))/STDEV(B2458:B2477)</f>
        <v>2.00347631851609</v>
      </c>
    </row>
    <row r="2478" customFormat="false" ht="15" hidden="false" customHeight="false" outlineLevel="0" collapsed="false">
      <c r="A2478" s="17" t="s">
        <v>3042</v>
      </c>
      <c r="B2478" s="17" t="n">
        <v>29064.8</v>
      </c>
      <c r="C2478" s="19" t="n">
        <f aca="false">B2478/B2477-1</f>
        <v>-0.00872627014535143</v>
      </c>
      <c r="D2478" s="17" t="n">
        <f aca="false">AVERAGE(B2429:B2478)</f>
        <v>25687.7448</v>
      </c>
      <c r="E2478" s="17" t="n">
        <f aca="false">AVERAGE(B2279:B2478)</f>
        <v>25015.78845</v>
      </c>
      <c r="F2478" s="17" t="n">
        <f aca="false">B2478*2/13+F2477*11/13</f>
        <v>28207.5530147629</v>
      </c>
      <c r="G2478" s="17" t="n">
        <f aca="false">B2478*2/27+G2477*25/27</f>
        <v>27210.8157332577</v>
      </c>
      <c r="H2478" s="17" t="n">
        <f aca="false">F2478-G2478</f>
        <v>996.737281505109</v>
      </c>
      <c r="I2478" s="17" t="n">
        <f aca="false">H2478*2/10+I2477*8/10</f>
        <v>860.783671390904</v>
      </c>
      <c r="J2478" s="17" t="n">
        <f aca="false">H2478-I2478</f>
        <v>135.953610114205</v>
      </c>
      <c r="K2478" s="17" t="n">
        <f aca="false">MAX(B2478-B2477,0)</f>
        <v>0</v>
      </c>
      <c r="L2478" s="17" t="n">
        <f aca="false">MAX(B2477-B2478,0)</f>
        <v>255.860000000001</v>
      </c>
      <c r="M2478" s="17" t="n">
        <f aca="false">(M2477*13+K2478)/14</f>
        <v>207.518246033957</v>
      </c>
      <c r="N2478" s="17" t="n">
        <f aca="false">(N2477*13+L2478)/14</f>
        <v>60.8160589660788</v>
      </c>
      <c r="O2478" s="17" t="n">
        <f aca="false">IF(N2478=0,100,100-100/(1+M2478/N2478))</f>
        <v>77.3357122690404</v>
      </c>
      <c r="P2478" s="17" t="n">
        <f aca="false">AVERAGE(B2459:B2478)+2*STDEV(B2459:B2478)</f>
        <v>29482.580517307</v>
      </c>
      <c r="Q2478" s="17" t="n">
        <f aca="false">AVERAGE(B2459:B2478)-2*STDEV(B2459:B2478)</f>
        <v>25561.219482693</v>
      </c>
      <c r="R2478" s="19" t="n">
        <f aca="false">B2478/B2458-1</f>
        <v>0.124711709619998</v>
      </c>
      <c r="S2478" s="17" t="n">
        <f aca="false">STDEV(C2459:C2478)*SQRT(252)*100</f>
        <v>16.2386420572175</v>
      </c>
      <c r="T2478" s="19" t="n">
        <f aca="false">B2457/B2227-1</f>
        <v>0.216385736157733</v>
      </c>
      <c r="U2478" s="19" t="n">
        <f aca="false">B2478/MAX(B2227:B2478)-1</f>
        <v>-0.00872627014535143</v>
      </c>
      <c r="V2478" s="17" t="n">
        <f aca="false">(B2478-AVERAGE(B2459:B2478))/STDEV(B2459:B2478)</f>
        <v>1.57384131313668</v>
      </c>
    </row>
    <row r="2479" customFormat="false" ht="15" hidden="false" customHeight="false" outlineLevel="0" collapsed="false">
      <c r="A2479" s="17" t="s">
        <v>3043</v>
      </c>
      <c r="B2479" s="17" t="n">
        <v>29366.94</v>
      </c>
      <c r="C2479" s="19" t="n">
        <f aca="false">B2479/B2478-1</f>
        <v>0.0103953923646471</v>
      </c>
      <c r="D2479" s="17" t="n">
        <f aca="false">AVERAGE(B2430:B2479)</f>
        <v>25780.682</v>
      </c>
      <c r="E2479" s="17" t="n">
        <f aca="false">AVERAGE(B2280:B2479)</f>
        <v>25045.8418</v>
      </c>
      <c r="F2479" s="17" t="n">
        <f aca="false">B2479*2/13+F2478*11/13</f>
        <v>28385.9202432609</v>
      </c>
      <c r="G2479" s="17" t="n">
        <f aca="false">B2479*2/27+G2478*25/27</f>
        <v>27370.5286419053</v>
      </c>
      <c r="H2479" s="17" t="n">
        <f aca="false">F2479-G2479</f>
        <v>1015.39160135556</v>
      </c>
      <c r="I2479" s="17" t="n">
        <f aca="false">H2479*2/10+I2478*8/10</f>
        <v>891.705257383835</v>
      </c>
      <c r="J2479" s="17" t="n">
        <f aca="false">H2479-I2479</f>
        <v>123.686343971723</v>
      </c>
      <c r="K2479" s="17" t="n">
        <f aca="false">MAX(B2479-B2478,0)</f>
        <v>302.139999999999</v>
      </c>
      <c r="L2479" s="17" t="n">
        <f aca="false">MAX(B2478-B2479,0)</f>
        <v>0</v>
      </c>
      <c r="M2479" s="17" t="n">
        <f aca="false">(M2478*13+K2479)/14</f>
        <v>214.276942745817</v>
      </c>
      <c r="N2479" s="17" t="n">
        <f aca="false">(N2478*13+L2479)/14</f>
        <v>56.472054754216</v>
      </c>
      <c r="O2479" s="17" t="n">
        <f aca="false">IF(N2479=0,100,100-100/(1+M2479/N2479))</f>
        <v>79.142284818909</v>
      </c>
      <c r="P2479" s="17" t="n">
        <f aca="false">AVERAGE(B2460:B2479)+2*STDEV(B2460:B2479)</f>
        <v>29702.4754948481</v>
      </c>
      <c r="Q2479" s="17" t="n">
        <f aca="false">AVERAGE(B2460:B2479)-2*STDEV(B2460:B2479)</f>
        <v>25657.5605051519</v>
      </c>
      <c r="R2479" s="19" t="n">
        <f aca="false">B2479/B2459-1</f>
        <v>0.120679667447446</v>
      </c>
      <c r="S2479" s="17" t="n">
        <f aca="false">STDEV(C2460:C2479)*SQRT(252)*100</f>
        <v>16.0486665133398</v>
      </c>
      <c r="T2479" s="19" t="n">
        <f aca="false">B2458/B2228-1</f>
        <v>0.21909452440595</v>
      </c>
      <c r="U2479" s="19" t="n">
        <f aca="false">B2479/MAX(B2228:B2479)-1</f>
        <v>0</v>
      </c>
      <c r="V2479" s="17" t="n">
        <f aca="false">(B2479-AVERAGE(B2460:B2479))/STDEV(B2460:B2479)</f>
        <v>1.6681903123276</v>
      </c>
    </row>
    <row r="2480" customFormat="false" ht="15" hidden="false" customHeight="false" outlineLevel="0" collapsed="false">
      <c r="A2480" s="17" t="s">
        <v>3044</v>
      </c>
      <c r="B2480" s="17" t="n">
        <v>29580.3</v>
      </c>
      <c r="C2480" s="19" t="n">
        <f aca="false">B2480/B2479-1</f>
        <v>0.0072653126270561</v>
      </c>
      <c r="D2480" s="17" t="n">
        <f aca="false">AVERAGE(B2431:B2480)</f>
        <v>25870.4144</v>
      </c>
      <c r="E2480" s="17" t="n">
        <f aca="false">AVERAGE(B2281:B2480)</f>
        <v>25077.2018</v>
      </c>
      <c r="F2480" s="17" t="n">
        <f aca="false">B2480*2/13+F2479*11/13</f>
        <v>28569.6709750669</v>
      </c>
      <c r="G2480" s="17" t="n">
        <f aca="false">B2480*2/27+G2479*25/27</f>
        <v>27534.2154091716</v>
      </c>
      <c r="H2480" s="17" t="n">
        <f aca="false">F2480-G2480</f>
        <v>1035.4555658953</v>
      </c>
      <c r="I2480" s="17" t="n">
        <f aca="false">H2480*2/10+I2479*8/10</f>
        <v>920.455319086128</v>
      </c>
      <c r="J2480" s="17" t="n">
        <f aca="false">H2480-I2480</f>
        <v>115.000246809175</v>
      </c>
      <c r="K2480" s="17" t="n">
        <f aca="false">MAX(B2480-B2479,0)</f>
        <v>213.360000000001</v>
      </c>
      <c r="L2480" s="17" t="n">
        <f aca="false">MAX(B2479-B2480,0)</f>
        <v>0</v>
      </c>
      <c r="M2480" s="17" t="n">
        <f aca="false">(M2479*13+K2480)/14</f>
        <v>214.211446835401</v>
      </c>
      <c r="N2480" s="17" t="n">
        <f aca="false">(N2479*13+L2480)/14</f>
        <v>52.4383365574863</v>
      </c>
      <c r="O2480" s="17" t="n">
        <f aca="false">IF(N2480=0,100,100-100/(1+M2480/N2480))</f>
        <v>80.334378715687</v>
      </c>
      <c r="P2480" s="17" t="n">
        <f aca="false">AVERAGE(B2461:B2480)+2*STDEV(B2461:B2480)</f>
        <v>29929.8621816381</v>
      </c>
      <c r="Q2480" s="17" t="n">
        <f aca="false">AVERAGE(B2461:B2480)-2*STDEV(B2461:B2480)</f>
        <v>25754.9038183619</v>
      </c>
      <c r="R2480" s="19" t="n">
        <f aca="false">B2480/B2460-1</f>
        <v>0.123316750844947</v>
      </c>
      <c r="S2480" s="17" t="n">
        <f aca="false">STDEV(C2461:C2480)*SQRT(252)*100</f>
        <v>16.0537979343629</v>
      </c>
      <c r="T2480" s="19" t="n">
        <f aca="false">B2459/B2229-1</f>
        <v>0.229153425478712</v>
      </c>
      <c r="U2480" s="19" t="n">
        <f aca="false">B2480/MAX(B2229:B2480)-1</f>
        <v>0</v>
      </c>
      <c r="V2480" s="17" t="n">
        <f aca="false">(B2480-AVERAGE(B2461:B2480))/STDEV(B2461:B2480)</f>
        <v>1.66508678533136</v>
      </c>
    </row>
    <row r="2481" customFormat="false" ht="15" hidden="false" customHeight="false" outlineLevel="0" collapsed="false">
      <c r="A2481" s="17" t="s">
        <v>3045</v>
      </c>
      <c r="B2481" s="17" t="n">
        <v>29125.2</v>
      </c>
      <c r="C2481" s="19" t="n">
        <f aca="false">B2481/B2480-1</f>
        <v>-0.0153852395006135</v>
      </c>
      <c r="D2481" s="17" t="n">
        <f aca="false">AVERAGE(B2432:B2481)</f>
        <v>25952.5102</v>
      </c>
      <c r="E2481" s="17" t="n">
        <f aca="false">AVERAGE(B2282:B2481)</f>
        <v>25106.10075</v>
      </c>
      <c r="F2481" s="17" t="n">
        <f aca="false">B2481*2/13+F2480*11/13</f>
        <v>28655.1369789028</v>
      </c>
      <c r="G2481" s="17" t="n">
        <f aca="false">B2481*2/27+G2480*25/27</f>
        <v>27652.0661196033</v>
      </c>
      <c r="H2481" s="17" t="n">
        <f aca="false">F2481-G2481</f>
        <v>1003.07085929943</v>
      </c>
      <c r="I2481" s="17" t="n">
        <f aca="false">H2481*2/10+I2480*8/10</f>
        <v>936.978427128789</v>
      </c>
      <c r="J2481" s="17" t="n">
        <f aca="false">H2481-I2481</f>
        <v>66.0924321706417</v>
      </c>
      <c r="K2481" s="17" t="n">
        <f aca="false">MAX(B2481-B2480,0)</f>
        <v>0</v>
      </c>
      <c r="L2481" s="17" t="n">
        <f aca="false">MAX(B2480-B2481,0)</f>
        <v>455.099999999999</v>
      </c>
      <c r="M2481" s="17" t="n">
        <f aca="false">(M2480*13+K2481)/14</f>
        <v>198.910629204301</v>
      </c>
      <c r="N2481" s="17" t="n">
        <f aca="false">(N2480*13+L2481)/14</f>
        <v>81.1998839462372</v>
      </c>
      <c r="O2481" s="17" t="n">
        <f aca="false">IF(N2481=0,100,100-100/(1+M2481/N2481))</f>
        <v>71.0114829204578</v>
      </c>
      <c r="P2481" s="17" t="n">
        <f aca="false">AVERAGE(B2462:B2481)+2*STDEV(B2462:B2481)</f>
        <v>30051.291388937</v>
      </c>
      <c r="Q2481" s="17" t="n">
        <f aca="false">AVERAGE(B2462:B2481)-2*STDEV(B2462:B2481)</f>
        <v>25878.751611063</v>
      </c>
      <c r="R2481" s="19" t="n">
        <f aca="false">B2481/B2461-1</f>
        <v>0.0919590003610471</v>
      </c>
      <c r="S2481" s="17" t="n">
        <f aca="false">STDEV(C2462:C2481)*SQRT(252)*100</f>
        <v>17.4893891981117</v>
      </c>
      <c r="T2481" s="19" t="n">
        <f aca="false">B2460/B2230-1</f>
        <v>0.234215511754411</v>
      </c>
      <c r="U2481" s="19" t="n">
        <f aca="false">B2481/MAX(B2230:B2481)-1</f>
        <v>-0.0153852395006135</v>
      </c>
      <c r="V2481" s="17" t="n">
        <f aca="false">(B2481-AVERAGE(B2462:B2481))/STDEV(B2462:B2481)</f>
        <v>1.1122036570169</v>
      </c>
    </row>
    <row r="2482" customFormat="false" ht="15" hidden="false" customHeight="false" outlineLevel="0" collapsed="false">
      <c r="A2482" s="17" t="s">
        <v>3046</v>
      </c>
      <c r="B2482" s="17" t="n">
        <v>28994.37</v>
      </c>
      <c r="C2482" s="19" t="n">
        <f aca="false">B2482/B2481-1</f>
        <v>-0.00449198632112402</v>
      </c>
      <c r="D2482" s="17" t="n">
        <f aca="false">AVERAGE(B2433:B2482)</f>
        <v>26039.5372</v>
      </c>
      <c r="E2482" s="17" t="n">
        <f aca="false">AVERAGE(B2283:B2482)</f>
        <v>25134.982</v>
      </c>
      <c r="F2482" s="17" t="n">
        <f aca="false">B2482*2/13+F2481*11/13</f>
        <v>28707.3266744562</v>
      </c>
      <c r="G2482" s="17" t="n">
        <f aca="false">B2482*2/27+G2481*25/27</f>
        <v>27751.4960366697</v>
      </c>
      <c r="H2482" s="17" t="n">
        <f aca="false">F2482-G2482</f>
        <v>955.830637786432</v>
      </c>
      <c r="I2482" s="17" t="n">
        <f aca="false">H2482*2/10+I2481*8/10</f>
        <v>940.748869260318</v>
      </c>
      <c r="J2482" s="17" t="n">
        <f aca="false">H2482-I2482</f>
        <v>15.0817685261144</v>
      </c>
      <c r="K2482" s="17" t="n">
        <f aca="false">MAX(B2482-B2481,0)</f>
        <v>0</v>
      </c>
      <c r="L2482" s="17" t="n">
        <f aca="false">MAX(B2481-B2482,0)</f>
        <v>130.830000000002</v>
      </c>
      <c r="M2482" s="17" t="n">
        <f aca="false">(M2481*13+K2482)/14</f>
        <v>184.70272711828</v>
      </c>
      <c r="N2482" s="17" t="n">
        <f aca="false">(N2481*13+L2482)/14</f>
        <v>84.7448922357918</v>
      </c>
      <c r="O2482" s="17" t="n">
        <f aca="false">IF(N2482=0,100,100-100/(1+M2482/N2482))</f>
        <v>68.5486580141458</v>
      </c>
      <c r="P2482" s="17" t="n">
        <f aca="false">AVERAGE(B2463:B2482)+2*STDEV(B2463:B2482)</f>
        <v>30114.2399167939</v>
      </c>
      <c r="Q2482" s="17" t="n">
        <f aca="false">AVERAGE(B2463:B2482)-2*STDEV(B2463:B2482)</f>
        <v>26056.2060832061</v>
      </c>
      <c r="R2482" s="19" t="n">
        <f aca="false">B2482/B2462-1</f>
        <v>0.0904099007383885</v>
      </c>
      <c r="S2482" s="17" t="n">
        <f aca="false">STDEV(C2463:C2482)*SQRT(252)*100</f>
        <v>17.5772784628057</v>
      </c>
      <c r="T2482" s="19" t="n">
        <f aca="false">B2461/B2231-1</f>
        <v>0.24475007863565</v>
      </c>
      <c r="U2482" s="19" t="n">
        <f aca="false">B2482/MAX(B2231:B2482)-1</f>
        <v>-0.0198081155363536</v>
      </c>
      <c r="V2482" s="17" t="n">
        <f aca="false">(B2482-AVERAGE(B2463:B2482))/STDEV(B2463:B2482)</f>
        <v>0.896145313008598</v>
      </c>
    </row>
    <row r="2483" customFormat="false" ht="15" hidden="false" customHeight="false" outlineLevel="0" collapsed="false">
      <c r="A2483" s="17" t="s">
        <v>3047</v>
      </c>
      <c r="B2483" s="17" t="n">
        <v>28818.84</v>
      </c>
      <c r="C2483" s="19" t="n">
        <f aca="false">B2483/B2482-1</f>
        <v>-0.0060539339188953</v>
      </c>
      <c r="D2483" s="17" t="n">
        <f aca="false">AVERAGE(B2434:B2483)</f>
        <v>26116.569</v>
      </c>
      <c r="E2483" s="17" t="n">
        <f aca="false">AVERAGE(B2284:B2483)</f>
        <v>25165.25965</v>
      </c>
      <c r="F2483" s="17" t="n">
        <f aca="false">B2483*2/13+F2482*11/13</f>
        <v>28724.4825706937</v>
      </c>
      <c r="G2483" s="17" t="n">
        <f aca="false">B2483*2/27+G2482*25/27</f>
        <v>27830.558552472</v>
      </c>
      <c r="H2483" s="17" t="n">
        <f aca="false">F2483-G2483</f>
        <v>893.924018221704</v>
      </c>
      <c r="I2483" s="17" t="n">
        <f aca="false">H2483*2/10+I2482*8/10</f>
        <v>931.383899052595</v>
      </c>
      <c r="J2483" s="17" t="n">
        <f aca="false">H2483-I2483</f>
        <v>-37.4598808308912</v>
      </c>
      <c r="K2483" s="17" t="n">
        <f aca="false">MAX(B2483-B2482,0)</f>
        <v>0</v>
      </c>
      <c r="L2483" s="17" t="n">
        <f aca="false">MAX(B2482-B2483,0)</f>
        <v>175.529999999999</v>
      </c>
      <c r="M2483" s="17" t="n">
        <f aca="false">(M2482*13+K2483)/14</f>
        <v>171.50967518126</v>
      </c>
      <c r="N2483" s="17" t="n">
        <f aca="false">(N2482*13+L2483)/14</f>
        <v>91.229542790378</v>
      </c>
      <c r="O2483" s="17" t="n">
        <f aca="false">IF(N2483=0,100,100-100/(1+M2483/N2483))</f>
        <v>65.2775312742896</v>
      </c>
      <c r="P2483" s="17" t="n">
        <f aca="false">AVERAGE(B2464:B2483)+2*STDEV(B2464:B2483)</f>
        <v>30107.3887925522</v>
      </c>
      <c r="Q2483" s="17" t="n">
        <f aca="false">AVERAGE(B2464:B2483)-2*STDEV(B2464:B2483)</f>
        <v>26296.9942074477</v>
      </c>
      <c r="R2483" s="19" t="n">
        <f aca="false">B2483/B2463-1</f>
        <v>0.0883465567853132</v>
      </c>
      <c r="S2483" s="17" t="n">
        <f aca="false">STDEV(C2464:C2483)*SQRT(252)*100</f>
        <v>17.7112724815915</v>
      </c>
      <c r="T2483" s="19" t="n">
        <f aca="false">B2462/B2232-1</f>
        <v>0.239813400910615</v>
      </c>
      <c r="U2483" s="19" t="n">
        <f aca="false">B2483/MAX(B2232:B2483)-1</f>
        <v>-0.0257421324327339</v>
      </c>
      <c r="V2483" s="17" t="n">
        <f aca="false">(B2483-AVERAGE(B2464:B2483))/STDEV(B2464:B2483)</f>
        <v>0.647332958545123</v>
      </c>
    </row>
    <row r="2484" customFormat="false" ht="15" hidden="false" customHeight="false" outlineLevel="0" collapsed="false">
      <c r="A2484" s="17" t="s">
        <v>3048</v>
      </c>
      <c r="B2484" s="17" t="n">
        <v>29297.7</v>
      </c>
      <c r="C2484" s="19" t="n">
        <f aca="false">B2484/B2483-1</f>
        <v>0.0166162135602961</v>
      </c>
      <c r="D2484" s="17" t="n">
        <f aca="false">AVERAGE(B2435:B2484)</f>
        <v>26203.3936</v>
      </c>
      <c r="E2484" s="17" t="n">
        <f aca="false">AVERAGE(B2285:B2484)</f>
        <v>25195.8051</v>
      </c>
      <c r="F2484" s="17" t="n">
        <f aca="false">B2484*2/13+F2483*11/13</f>
        <v>28812.6698675101</v>
      </c>
      <c r="G2484" s="17" t="n">
        <f aca="false">B2484*2/27+G2483*25/27</f>
        <v>27939.2356967333</v>
      </c>
      <c r="H2484" s="17" t="n">
        <f aca="false">F2484-G2484</f>
        <v>873.434170776727</v>
      </c>
      <c r="I2484" s="17" t="n">
        <f aca="false">H2484*2/10+I2483*8/10</f>
        <v>919.793953397421</v>
      </c>
      <c r="J2484" s="17" t="n">
        <f aca="false">H2484-I2484</f>
        <v>-46.3597826206941</v>
      </c>
      <c r="K2484" s="17" t="n">
        <f aca="false">MAX(B2484-B2483,0)</f>
        <v>478.860000000001</v>
      </c>
      <c r="L2484" s="17" t="n">
        <f aca="false">MAX(B2483-B2484,0)</f>
        <v>0</v>
      </c>
      <c r="M2484" s="17" t="n">
        <f aca="false">(M2483*13+K2484)/14</f>
        <v>193.46326981117</v>
      </c>
      <c r="N2484" s="17" t="n">
        <f aca="false">(N2483*13+L2484)/14</f>
        <v>84.7131468767796</v>
      </c>
      <c r="O2484" s="17" t="n">
        <f aca="false">IF(N2484=0,100,100-100/(1+M2484/N2484))</f>
        <v>69.5469702696586</v>
      </c>
      <c r="P2484" s="17" t="n">
        <f aca="false">AVERAGE(B2465:B2484)+2*STDEV(B2465:B2484)</f>
        <v>30187.5493640801</v>
      </c>
      <c r="Q2484" s="17" t="n">
        <f aca="false">AVERAGE(B2465:B2484)-2*STDEV(B2465:B2484)</f>
        <v>26452.8756359199</v>
      </c>
      <c r="R2484" s="19" t="n">
        <f aca="false">B2484/B2464-1</f>
        <v>0.0876265161144705</v>
      </c>
      <c r="S2484" s="17" t="n">
        <f aca="false">STDEV(C2465:C2484)*SQRT(252)*100</f>
        <v>17.6473062851387</v>
      </c>
      <c r="T2484" s="19" t="n">
        <f aca="false">B2463/B2233-1</f>
        <v>0.239247974832654</v>
      </c>
      <c r="U2484" s="19" t="n">
        <f aca="false">B2484/MAX(B2233:B2484)-1</f>
        <v>-0.00955365564243771</v>
      </c>
      <c r="V2484" s="17" t="n">
        <f aca="false">(B2484-AVERAGE(B2465:B2484))/STDEV(B2465:B2484)</f>
        <v>1.04693215113227</v>
      </c>
    </row>
    <row r="2485" customFormat="false" ht="15" hidden="false" customHeight="false" outlineLevel="0" collapsed="false">
      <c r="A2485" s="17" t="s">
        <v>3049</v>
      </c>
      <c r="B2485" s="17" t="n">
        <v>29357.27</v>
      </c>
      <c r="C2485" s="19" t="n">
        <f aca="false">B2485/B2484-1</f>
        <v>0.00203326540991267</v>
      </c>
      <c r="D2485" s="17" t="n">
        <f aca="false">AVERAGE(B2436:B2485)</f>
        <v>26291.2388</v>
      </c>
      <c r="E2485" s="17" t="n">
        <f aca="false">AVERAGE(B2286:B2485)</f>
        <v>25227.49865</v>
      </c>
      <c r="F2485" s="17" t="n">
        <f aca="false">B2485*2/13+F2484*11/13</f>
        <v>28896.4545032777</v>
      </c>
      <c r="G2485" s="17" t="n">
        <f aca="false">B2485*2/27+G2484*25/27</f>
        <v>28044.2752747531</v>
      </c>
      <c r="H2485" s="17" t="n">
        <f aca="false">F2485-G2485</f>
        <v>852.179228524659</v>
      </c>
      <c r="I2485" s="17" t="n">
        <f aca="false">H2485*2/10+I2484*8/10</f>
        <v>906.271008422869</v>
      </c>
      <c r="J2485" s="17" t="n">
        <f aca="false">H2485-I2485</f>
        <v>-54.0917798982096</v>
      </c>
      <c r="K2485" s="17" t="n">
        <f aca="false">MAX(B2485-B2484,0)</f>
        <v>59.5699999999997</v>
      </c>
      <c r="L2485" s="17" t="n">
        <f aca="false">MAX(B2484-B2485,0)</f>
        <v>0</v>
      </c>
      <c r="M2485" s="17" t="n">
        <f aca="false">(M2484*13+K2485)/14</f>
        <v>183.899464824658</v>
      </c>
      <c r="N2485" s="17" t="n">
        <f aca="false">(N2484*13+L2485)/14</f>
        <v>78.6622078141525</v>
      </c>
      <c r="O2485" s="17" t="n">
        <f aca="false">IF(N2485=0,100,100-100/(1+M2485/N2485))</f>
        <v>70.0404834324912</v>
      </c>
      <c r="P2485" s="17" t="n">
        <f aca="false">AVERAGE(B2466:B2485)+2*STDEV(B2466:B2485)</f>
        <v>30222.6048743193</v>
      </c>
      <c r="Q2485" s="17" t="n">
        <f aca="false">AVERAGE(B2466:B2485)-2*STDEV(B2466:B2485)</f>
        <v>26675.2841256807</v>
      </c>
      <c r="R2485" s="19" t="n">
        <f aca="false">B2485/B2465-1</f>
        <v>0.0961309624932278</v>
      </c>
      <c r="S2485" s="17" t="n">
        <f aca="false">STDEV(C2466:C2485)*SQRT(252)*100</f>
        <v>17.2743564399455</v>
      </c>
      <c r="T2485" s="19" t="n">
        <f aca="false">B2464/B2234-1</f>
        <v>0.277837759886453</v>
      </c>
      <c r="U2485" s="19" t="n">
        <f aca="false">B2485/MAX(B2234:B2485)-1</f>
        <v>-0.00753981535008097</v>
      </c>
      <c r="V2485" s="17" t="n">
        <f aca="false">(B2485-AVERAGE(B2466:B2485))/STDEV(B2466:B2485)</f>
        <v>1.02423836395239</v>
      </c>
    </row>
    <row r="2486" customFormat="false" ht="15" hidden="false" customHeight="false" outlineLevel="0" collapsed="false">
      <c r="A2486" s="17" t="s">
        <v>3050</v>
      </c>
      <c r="B2486" s="17" t="n">
        <v>29481.64</v>
      </c>
      <c r="C2486" s="19" t="n">
        <f aca="false">B2486/B2485-1</f>
        <v>0.00423642934101154</v>
      </c>
      <c r="D2486" s="17" t="n">
        <f aca="false">AVERAGE(B2437:B2486)</f>
        <v>26390.2</v>
      </c>
      <c r="E2486" s="17" t="n">
        <f aca="false">AVERAGE(B2287:B2486)</f>
        <v>25258.33165</v>
      </c>
      <c r="F2486" s="17" t="n">
        <f aca="false">B2486*2/13+F2485*11/13</f>
        <v>28986.483041235</v>
      </c>
      <c r="G2486" s="17" t="n">
        <f aca="false">B2486*2/27+G2485*25/27</f>
        <v>28150.7467358825</v>
      </c>
      <c r="H2486" s="17" t="n">
        <f aca="false">F2486-G2486</f>
        <v>835.736305352526</v>
      </c>
      <c r="I2486" s="17" t="n">
        <f aca="false">H2486*2/10+I2485*8/10</f>
        <v>892.1640678088</v>
      </c>
      <c r="J2486" s="17" t="n">
        <f aca="false">H2486-I2486</f>
        <v>-56.4277624562742</v>
      </c>
      <c r="K2486" s="17" t="n">
        <f aca="false">MAX(B2486-B2485,0)</f>
        <v>124.369999999999</v>
      </c>
      <c r="L2486" s="17" t="n">
        <f aca="false">MAX(B2485-B2486,0)</f>
        <v>0</v>
      </c>
      <c r="M2486" s="17" t="n">
        <f aca="false">(M2485*13+K2486)/14</f>
        <v>179.647360194325</v>
      </c>
      <c r="N2486" s="17" t="n">
        <f aca="false">(N2485*13+L2486)/14</f>
        <v>73.0434786845702</v>
      </c>
      <c r="O2486" s="17" t="n">
        <f aca="false">IF(N2486=0,100,100-100/(1+M2486/N2486))</f>
        <v>71.0937369124106</v>
      </c>
      <c r="P2486" s="17" t="n">
        <f aca="false">AVERAGE(B2467:B2486)+2*STDEV(B2467:B2486)</f>
        <v>30302.6407705541</v>
      </c>
      <c r="Q2486" s="17" t="n">
        <f aca="false">AVERAGE(B2467:B2486)-2*STDEV(B2467:B2486)</f>
        <v>26813.0452294459</v>
      </c>
      <c r="R2486" s="19" t="n">
        <f aca="false">B2486/B2466-1</f>
        <v>0.0797683974352166</v>
      </c>
      <c r="S2486" s="17" t="n">
        <f aca="false">STDEV(C2467:C2486)*SQRT(252)*100</f>
        <v>16.3659724343962</v>
      </c>
      <c r="T2486" s="19" t="n">
        <f aca="false">B2465/B2235-1</f>
        <v>0.268569238937936</v>
      </c>
      <c r="U2486" s="19" t="n">
        <f aca="false">B2486/MAX(B2235:B2486)-1</f>
        <v>-0.00333532790404423</v>
      </c>
      <c r="V2486" s="17" t="n">
        <f aca="false">(B2486-AVERAGE(B2467:B2486))/STDEV(B2467:B2486)</f>
        <v>1.05891584181315</v>
      </c>
    </row>
    <row r="2487" customFormat="false" ht="15" hidden="false" customHeight="false" outlineLevel="0" collapsed="false">
      <c r="A2487" s="17" t="s">
        <v>3051</v>
      </c>
      <c r="B2487" s="17" t="n">
        <v>30001.32</v>
      </c>
      <c r="C2487" s="19" t="n">
        <f aca="false">B2487/B2486-1</f>
        <v>0.0176272419037746</v>
      </c>
      <c r="D2487" s="17" t="n">
        <f aca="false">AVERAGE(B2438:B2487)</f>
        <v>26502.6118</v>
      </c>
      <c r="E2487" s="17" t="n">
        <f aca="false">AVERAGE(B2288:B2487)</f>
        <v>25291.3906</v>
      </c>
      <c r="F2487" s="17" t="n">
        <f aca="false">B2487*2/13+F2486*11/13</f>
        <v>29142.6118041219</v>
      </c>
      <c r="G2487" s="17" t="n">
        <f aca="false">B2487*2/27+G2486*25/27</f>
        <v>28287.8262369282</v>
      </c>
      <c r="H2487" s="17" t="n">
        <f aca="false">F2487-G2487</f>
        <v>854.78556719371</v>
      </c>
      <c r="I2487" s="17" t="n">
        <f aca="false">H2487*2/10+I2486*8/10</f>
        <v>884.688367685782</v>
      </c>
      <c r="J2487" s="17" t="n">
        <f aca="false">H2487-I2487</f>
        <v>-29.9028004920718</v>
      </c>
      <c r="K2487" s="17" t="n">
        <f aca="false">MAX(B2487-B2486,0)</f>
        <v>519.68</v>
      </c>
      <c r="L2487" s="17" t="n">
        <f aca="false">MAX(B2486-B2487,0)</f>
        <v>0</v>
      </c>
      <c r="M2487" s="17" t="n">
        <f aca="false">(M2486*13+K2487)/14</f>
        <v>203.93540589473</v>
      </c>
      <c r="N2487" s="17" t="n">
        <f aca="false">(N2486*13+L2487)/14</f>
        <v>67.826087349958</v>
      </c>
      <c r="O2487" s="17" t="n">
        <f aca="false">IF(N2487=0,100,100-100/(1+M2487/N2487))</f>
        <v>75.0420537729057</v>
      </c>
      <c r="P2487" s="17" t="n">
        <f aca="false">AVERAGE(B2468:B2487)+2*STDEV(B2468:B2487)</f>
        <v>30446.5923168713</v>
      </c>
      <c r="Q2487" s="17" t="n">
        <f aca="false">AVERAGE(B2468:B2487)-2*STDEV(B2468:B2487)</f>
        <v>26938.6576831287</v>
      </c>
      <c r="R2487" s="19" t="n">
        <f aca="false">B2487/B2467-1</f>
        <v>0.098720852218293</v>
      </c>
      <c r="S2487" s="17" t="n">
        <f aca="false">STDEV(C2468:C2487)*SQRT(252)*100</f>
        <v>16.9963512005243</v>
      </c>
      <c r="T2487" s="19" t="n">
        <f aca="false">B2466/B2236-1</f>
        <v>0.305417567506834</v>
      </c>
      <c r="U2487" s="19" t="n">
        <f aca="false">B2487/MAX(B2236:B2487)-1</f>
        <v>0</v>
      </c>
      <c r="V2487" s="17" t="n">
        <f aca="false">(B2487-AVERAGE(B2468:B2487))/STDEV(B2468:B2487)</f>
        <v>1.4922683990879</v>
      </c>
    </row>
    <row r="2488" customFormat="false" ht="15" hidden="false" customHeight="false" outlineLevel="0" collapsed="false">
      <c r="A2488" s="17" t="s">
        <v>3052</v>
      </c>
      <c r="B2488" s="17" t="n">
        <v>29973.57</v>
      </c>
      <c r="C2488" s="19" t="n">
        <f aca="false">B2488/B2487-1</f>
        <v>-0.000924959301790707</v>
      </c>
      <c r="D2488" s="17" t="n">
        <f aca="false">AVERAGE(B2439:B2488)</f>
        <v>26608.9764</v>
      </c>
      <c r="E2488" s="17" t="n">
        <f aca="false">AVERAGE(B2289:B2488)</f>
        <v>25323.2021</v>
      </c>
      <c r="F2488" s="17" t="n">
        <f aca="false">B2488*2/13+F2487*11/13</f>
        <v>29270.4515265647</v>
      </c>
      <c r="G2488" s="17" t="n">
        <f aca="false">B2488*2/27+G2487*25/27</f>
        <v>28412.6961453039</v>
      </c>
      <c r="H2488" s="17" t="n">
        <f aca="false">F2488-G2488</f>
        <v>857.755381260802</v>
      </c>
      <c r="I2488" s="17" t="n">
        <f aca="false">H2488*2/10+I2487*8/10</f>
        <v>879.301770400786</v>
      </c>
      <c r="J2488" s="17" t="n">
        <f aca="false">H2488-I2488</f>
        <v>-21.5463891399842</v>
      </c>
      <c r="K2488" s="17" t="n">
        <f aca="false">MAX(B2488-B2487,0)</f>
        <v>0</v>
      </c>
      <c r="L2488" s="17" t="n">
        <f aca="false">MAX(B2487-B2488,0)</f>
        <v>27.75</v>
      </c>
      <c r="M2488" s="17" t="n">
        <f aca="false">(M2487*13+K2488)/14</f>
        <v>189.368591187964</v>
      </c>
      <c r="N2488" s="17" t="n">
        <f aca="false">(N2487*13+L2488)/14</f>
        <v>64.9635096821039</v>
      </c>
      <c r="O2488" s="17" t="n">
        <f aca="false">IF(N2488=0,100,100-100/(1+M2488/N2488))</f>
        <v>74.4572118659563</v>
      </c>
      <c r="P2488" s="17" t="n">
        <f aca="false">AVERAGE(B2469:B2488)+2*STDEV(B2469:B2488)</f>
        <v>30497.5362248476</v>
      </c>
      <c r="Q2488" s="17" t="n">
        <f aca="false">AVERAGE(B2469:B2488)-2*STDEV(B2469:B2488)</f>
        <v>27182.1697751524</v>
      </c>
      <c r="R2488" s="19" t="n">
        <f aca="false">B2488/B2468-1</f>
        <v>0.108940727018859</v>
      </c>
      <c r="S2488" s="17" t="n">
        <f aca="false">STDEV(C2469:C2488)*SQRT(252)*100</f>
        <v>16.2220269629298</v>
      </c>
      <c r="T2488" s="19" t="n">
        <f aca="false">B2467/B2237-1</f>
        <v>0.275073208065939</v>
      </c>
      <c r="U2488" s="19" t="n">
        <f aca="false">B2488/MAX(B2237:B2488)-1</f>
        <v>-0.000924959301790707</v>
      </c>
      <c r="V2488" s="17" t="n">
        <f aca="false">(B2488-AVERAGE(B2469:B2488))/STDEV(B2469:B2488)</f>
        <v>1.36783310949442</v>
      </c>
    </row>
    <row r="2489" customFormat="false" ht="15" hidden="false" customHeight="false" outlineLevel="0" collapsed="false">
      <c r="A2489" s="17" t="s">
        <v>3053</v>
      </c>
      <c r="B2489" s="17" t="n">
        <v>30223.89</v>
      </c>
      <c r="C2489" s="19" t="n">
        <f aca="false">B2489/B2488-1</f>
        <v>0.00835135754599792</v>
      </c>
      <c r="D2489" s="17" t="n">
        <f aca="false">AVERAGE(B2440:B2489)</f>
        <v>26717.8458</v>
      </c>
      <c r="E2489" s="17" t="n">
        <f aca="false">AVERAGE(B2290:B2489)</f>
        <v>25356.6884</v>
      </c>
      <c r="F2489" s="17" t="n">
        <f aca="false">B2489*2/13+F2488*11/13</f>
        <v>29417.1343686317</v>
      </c>
      <c r="G2489" s="17" t="n">
        <f aca="false">B2489*2/27+G2488*25/27</f>
        <v>28546.8586530592</v>
      </c>
      <c r="H2489" s="17" t="n">
        <f aca="false">F2489-G2489</f>
        <v>870.275715572505</v>
      </c>
      <c r="I2489" s="17" t="n">
        <f aca="false">H2489*2/10+I2488*8/10</f>
        <v>877.49655943513</v>
      </c>
      <c r="J2489" s="17" t="n">
        <f aca="false">H2489-I2489</f>
        <v>-7.2208438626252</v>
      </c>
      <c r="K2489" s="17" t="n">
        <f aca="false">MAX(B2489-B2488,0)</f>
        <v>250.32</v>
      </c>
      <c r="L2489" s="17" t="n">
        <f aca="false">MAX(B2488-B2489,0)</f>
        <v>0</v>
      </c>
      <c r="M2489" s="17" t="n">
        <f aca="false">(M2488*13+K2489)/14</f>
        <v>193.722263245966</v>
      </c>
      <c r="N2489" s="17" t="n">
        <f aca="false">(N2488*13+L2489)/14</f>
        <v>60.323258990525</v>
      </c>
      <c r="O2489" s="17" t="n">
        <f aca="false">IF(N2489=0,100,100-100/(1+M2489/N2489))</f>
        <v>76.2549410595909</v>
      </c>
      <c r="P2489" s="17" t="n">
        <f aca="false">AVERAGE(B2470:B2489)+2*STDEV(B2470:B2489)</f>
        <v>30566.1670383733</v>
      </c>
      <c r="Q2489" s="17" t="n">
        <f aca="false">AVERAGE(B2470:B2489)-2*STDEV(B2470:B2489)</f>
        <v>27417.2299616267</v>
      </c>
      <c r="R2489" s="19" t="n">
        <f aca="false">B2489/B2469-1</f>
        <v>0.111704573292069</v>
      </c>
      <c r="S2489" s="17" t="n">
        <f aca="false">STDEV(C2470:C2489)*SQRT(252)*100</f>
        <v>16.2589241701858</v>
      </c>
      <c r="T2489" s="19" t="n">
        <f aca="false">B2468/B2238-1</f>
        <v>0.267886033369656</v>
      </c>
      <c r="U2489" s="19" t="n">
        <f aca="false">B2489/MAX(B2238:B2489)-1</f>
        <v>0</v>
      </c>
      <c r="V2489" s="17" t="n">
        <f aca="false">(B2489-AVERAGE(B2470:B2489))/STDEV(B2470:B2489)</f>
        <v>1.56521577912642</v>
      </c>
    </row>
    <row r="2490" customFormat="false" ht="15" hidden="false" customHeight="false" outlineLevel="0" collapsed="false">
      <c r="A2490" s="17" t="s">
        <v>3054</v>
      </c>
      <c r="B2490" s="17" t="n">
        <v>30333.18</v>
      </c>
      <c r="C2490" s="19" t="n">
        <f aca="false">B2490/B2489-1</f>
        <v>0.00361601368983289</v>
      </c>
      <c r="D2490" s="17" t="n">
        <f aca="false">AVERAGE(B2441:B2490)</f>
        <v>26836.0076</v>
      </c>
      <c r="E2490" s="17" t="n">
        <f aca="false">AVERAGE(B2291:B2490)</f>
        <v>25389.1583</v>
      </c>
      <c r="F2490" s="17" t="n">
        <f aca="false">B2490*2/13+F2489*11/13</f>
        <v>29558.0644657653</v>
      </c>
      <c r="G2490" s="17" t="n">
        <f aca="false">B2490*2/27+G2489*25/27</f>
        <v>28679.1787528326</v>
      </c>
      <c r="H2490" s="17" t="n">
        <f aca="false">F2490-G2490</f>
        <v>878.885712932693</v>
      </c>
      <c r="I2490" s="17" t="n">
        <f aca="false">H2490*2/10+I2489*8/10</f>
        <v>877.774390134643</v>
      </c>
      <c r="J2490" s="17" t="n">
        <f aca="false">H2490-I2490</f>
        <v>1.11132279805065</v>
      </c>
      <c r="K2490" s="17" t="n">
        <f aca="false">MAX(B2490-B2489,0)</f>
        <v>109.290000000001</v>
      </c>
      <c r="L2490" s="17" t="n">
        <f aca="false">MAX(B2489-B2490,0)</f>
        <v>0</v>
      </c>
      <c r="M2490" s="17" t="n">
        <f aca="false">(M2489*13+K2490)/14</f>
        <v>187.691387299826</v>
      </c>
      <c r="N2490" s="17" t="n">
        <f aca="false">(N2489*13+L2490)/14</f>
        <v>56.0144547769161</v>
      </c>
      <c r="O2490" s="17" t="n">
        <f aca="false">IF(N2490=0,100,100-100/(1+M2490/N2490))</f>
        <v>77.0155469809061</v>
      </c>
      <c r="P2490" s="17" t="n">
        <f aca="false">AVERAGE(B2471:B2490)+2*STDEV(B2471:B2490)</f>
        <v>30642.8758735954</v>
      </c>
      <c r="Q2490" s="17" t="n">
        <f aca="false">AVERAGE(B2471:B2490)-2*STDEV(B2471:B2490)</f>
        <v>27628.6271264046</v>
      </c>
      <c r="R2490" s="19" t="n">
        <f aca="false">B2490/B2470-1</f>
        <v>0.104948543136195</v>
      </c>
      <c r="S2490" s="17" t="n">
        <f aca="false">STDEV(C2471:C2490)*SQRT(252)*100</f>
        <v>16.1847045785943</v>
      </c>
      <c r="T2490" s="19" t="n">
        <f aca="false">B2469/B2239-1</f>
        <v>0.27256336024003</v>
      </c>
      <c r="U2490" s="19" t="n">
        <f aca="false">B2490/MAX(B2239:B2490)-1</f>
        <v>0</v>
      </c>
      <c r="V2490" s="17" t="n">
        <f aca="false">(B2490-AVERAGE(B2471:B2490))/STDEV(B2471:B2490)</f>
        <v>1.58902413228634</v>
      </c>
    </row>
    <row r="2491" customFormat="false" ht="15" hidden="false" customHeight="false" outlineLevel="0" collapsed="false">
      <c r="A2491" s="17" t="s">
        <v>3055</v>
      </c>
      <c r="B2491" s="17" t="n">
        <v>30513.86</v>
      </c>
      <c r="C2491" s="19" t="n">
        <f aca="false">B2491/B2490-1</f>
        <v>0.00595651362633265</v>
      </c>
      <c r="D2491" s="17" t="n">
        <f aca="false">AVERAGE(B2442:B2491)</f>
        <v>26959.1792</v>
      </c>
      <c r="E2491" s="17" t="n">
        <f aca="false">AVERAGE(B2292:B2491)</f>
        <v>25422.4824</v>
      </c>
      <c r="F2491" s="17" t="n">
        <f aca="false">B2491*2/13+F2490*11/13</f>
        <v>29705.1099325706</v>
      </c>
      <c r="G2491" s="17" t="n">
        <f aca="false">B2491*2/27+G2490*25/27</f>
        <v>28815.0810674376</v>
      </c>
      <c r="H2491" s="17" t="n">
        <f aca="false">F2491-G2491</f>
        <v>890.028865133041</v>
      </c>
      <c r="I2491" s="17" t="n">
        <f aca="false">H2491*2/10+I2490*8/10</f>
        <v>880.225285134322</v>
      </c>
      <c r="J2491" s="17" t="n">
        <f aca="false">H2491-I2491</f>
        <v>9.80357999871876</v>
      </c>
      <c r="K2491" s="17" t="n">
        <f aca="false">MAX(B2491-B2490,0)</f>
        <v>180.68</v>
      </c>
      <c r="L2491" s="17" t="n">
        <f aca="false">MAX(B2490-B2491,0)</f>
        <v>0</v>
      </c>
      <c r="M2491" s="17" t="n">
        <f aca="false">(M2490*13+K2491)/14</f>
        <v>187.190573921267</v>
      </c>
      <c r="N2491" s="17" t="n">
        <f aca="false">(N2490*13+L2491)/14</f>
        <v>52.0134222928506</v>
      </c>
      <c r="O2491" s="17" t="n">
        <f aca="false">IF(N2491=0,100,100-100/(1+M2491/N2491))</f>
        <v>78.2556215129901</v>
      </c>
      <c r="P2491" s="17" t="n">
        <f aca="false">AVERAGE(B2472:B2491)+2*STDEV(B2472:B2491)</f>
        <v>30745.8871092148</v>
      </c>
      <c r="Q2491" s="17" t="n">
        <f aca="false">AVERAGE(B2472:B2491)-2*STDEV(B2472:B2491)</f>
        <v>27805.9658907852</v>
      </c>
      <c r="R2491" s="19" t="n">
        <f aca="false">B2491/B2471-1</f>
        <v>0.101171547392383</v>
      </c>
      <c r="S2491" s="17" t="n">
        <f aca="false">STDEV(C2472:C2491)*SQRT(252)*100</f>
        <v>16.1077121708287</v>
      </c>
      <c r="T2491" s="19" t="n">
        <f aca="false">B2470/B2240-1</f>
        <v>0.286356443632652</v>
      </c>
      <c r="U2491" s="19" t="n">
        <f aca="false">B2491/MAX(B2240:B2491)-1</f>
        <v>0</v>
      </c>
      <c r="V2491" s="17" t="n">
        <f aca="false">(B2491-AVERAGE(B2472:B2491))/STDEV(B2472:B2491)</f>
        <v>1.68430839879615</v>
      </c>
    </row>
    <row r="2492" customFormat="false" ht="15" hidden="false" customHeight="false" outlineLevel="0" collapsed="false">
      <c r="A2492" s="17" t="s">
        <v>3056</v>
      </c>
      <c r="B2492" s="17" t="n">
        <v>30660.6</v>
      </c>
      <c r="C2492" s="19" t="n">
        <f aca="false">B2492/B2491-1</f>
        <v>0.00480896222241301</v>
      </c>
      <c r="D2492" s="17" t="n">
        <f aca="false">AVERAGE(B2443:B2492)</f>
        <v>27094.4282</v>
      </c>
      <c r="E2492" s="17" t="n">
        <f aca="false">AVERAGE(B2293:B2492)</f>
        <v>25456.6232</v>
      </c>
      <c r="F2492" s="17" t="n">
        <f aca="false">B2492*2/13+F2491*11/13</f>
        <v>29852.1084044828</v>
      </c>
      <c r="G2492" s="17" t="n">
        <f aca="false">B2492*2/27+G2491*25/27</f>
        <v>28951.7861735533</v>
      </c>
      <c r="H2492" s="17" t="n">
        <f aca="false">F2492-G2492</f>
        <v>900.322230929516</v>
      </c>
      <c r="I2492" s="17" t="n">
        <f aca="false">H2492*2/10+I2491*8/10</f>
        <v>884.244674293361</v>
      </c>
      <c r="J2492" s="17" t="n">
        <f aca="false">H2492-I2492</f>
        <v>16.077556636155</v>
      </c>
      <c r="K2492" s="17" t="n">
        <f aca="false">MAX(B2492-B2491,0)</f>
        <v>146.739999999998</v>
      </c>
      <c r="L2492" s="17" t="n">
        <f aca="false">MAX(B2491-B2492,0)</f>
        <v>0</v>
      </c>
      <c r="M2492" s="17" t="n">
        <f aca="false">(M2491*13+K2492)/14</f>
        <v>184.301247212605</v>
      </c>
      <c r="N2492" s="17" t="n">
        <f aca="false">(N2491*13+L2492)/14</f>
        <v>48.2981778433613</v>
      </c>
      <c r="O2492" s="17" t="n">
        <f aca="false">IF(N2492=0,100,100-100/(1+M2492/N2492))</f>
        <v>79.2354698074855</v>
      </c>
      <c r="P2492" s="17" t="n">
        <f aca="false">AVERAGE(B2473:B2492)+2*STDEV(B2473:B2492)</f>
        <v>30809.7774406967</v>
      </c>
      <c r="Q2492" s="17" t="n">
        <f aca="false">AVERAGE(B2473:B2492)-2*STDEV(B2473:B2492)</f>
        <v>28042.9535593033</v>
      </c>
      <c r="R2492" s="19" t="n">
        <f aca="false">B2492/B2472-1</f>
        <v>0.108809474385411</v>
      </c>
      <c r="S2492" s="17" t="n">
        <f aca="false">STDEV(C2473:C2492)*SQRT(252)*100</f>
        <v>15.8952198621726</v>
      </c>
      <c r="T2492" s="19" t="n">
        <f aca="false">B2471/B2241-1</f>
        <v>0.289348703572301</v>
      </c>
      <c r="U2492" s="19" t="n">
        <f aca="false">B2492/MAX(B2241:B2492)-1</f>
        <v>0</v>
      </c>
      <c r="V2492" s="17" t="n">
        <f aca="false">(B2492-AVERAGE(B2473:B2492))/STDEV(B2473:B2492)</f>
        <v>1.78433402761936</v>
      </c>
    </row>
    <row r="2493" customFormat="false" ht="15" hidden="false" customHeight="false" outlineLevel="0" collapsed="false">
      <c r="A2493" s="17" t="s">
        <v>3057</v>
      </c>
      <c r="B2493" s="17" t="n">
        <v>30571.24</v>
      </c>
      <c r="C2493" s="19" t="n">
        <f aca="false">B2493/B2492-1</f>
        <v>-0.0029144896055523</v>
      </c>
      <c r="D2493" s="17" t="n">
        <f aca="false">AVERAGE(B2444:B2493)</f>
        <v>27222.0812</v>
      </c>
      <c r="E2493" s="17" t="n">
        <f aca="false">AVERAGE(B2294:B2493)</f>
        <v>25490.91905</v>
      </c>
      <c r="F2493" s="17" t="n">
        <f aca="false">B2493*2/13+F2492*11/13</f>
        <v>29962.7440345624</v>
      </c>
      <c r="G2493" s="17" t="n">
        <f aca="false">B2493*2/27+G2492*25/27</f>
        <v>29071.7457162531</v>
      </c>
      <c r="H2493" s="17" t="n">
        <f aca="false">F2493-G2493</f>
        <v>890.998318309325</v>
      </c>
      <c r="I2493" s="17" t="n">
        <f aca="false">H2493*2/10+I2492*8/10</f>
        <v>885.595403096554</v>
      </c>
      <c r="J2493" s="17" t="n">
        <f aca="false">H2493-I2493</f>
        <v>5.40291521277072</v>
      </c>
      <c r="K2493" s="17" t="n">
        <f aca="false">MAX(B2493-B2492,0)</f>
        <v>0</v>
      </c>
      <c r="L2493" s="17" t="n">
        <f aca="false">MAX(B2492-B2493,0)</f>
        <v>89.3599999999969</v>
      </c>
      <c r="M2493" s="17" t="n">
        <f aca="false">(M2492*13+K2493)/14</f>
        <v>171.136872411705</v>
      </c>
      <c r="N2493" s="17" t="n">
        <f aca="false">(N2492*13+L2493)/14</f>
        <v>51.2311651402639</v>
      </c>
      <c r="O2493" s="17" t="n">
        <f aca="false">IF(N2493=0,100,100-100/(1+M2493/N2493))</f>
        <v>76.9610931030091</v>
      </c>
      <c r="P2493" s="17" t="n">
        <f aca="false">AVERAGE(B2474:B2493)+2*STDEV(B2474:B2493)</f>
        <v>30858.6556378834</v>
      </c>
      <c r="Q2493" s="17" t="n">
        <f aca="false">AVERAGE(B2474:B2493)-2*STDEV(B2474:B2493)</f>
        <v>28249.6933621166</v>
      </c>
      <c r="R2493" s="19" t="n">
        <f aca="false">B2493/B2473-1</f>
        <v>0.0912430671217552</v>
      </c>
      <c r="S2493" s="17" t="n">
        <f aca="false">STDEV(C2474:C2493)*SQRT(252)*100</f>
        <v>15.8567310086186</v>
      </c>
      <c r="T2493" s="19" t="n">
        <f aca="false">B2472/B2242-1</f>
        <v>0.27647860965776</v>
      </c>
      <c r="U2493" s="19" t="n">
        <f aca="false">B2493/MAX(B2242:B2493)-1</f>
        <v>-0.0029144896055523</v>
      </c>
      <c r="V2493" s="17" t="n">
        <f aca="false">(B2493-AVERAGE(B2474:B2493))/STDEV(B2474:B2493)</f>
        <v>1.55934105977219</v>
      </c>
    </row>
    <row r="2494" customFormat="false" ht="15" hidden="false" customHeight="false" outlineLevel="0" collapsed="false">
      <c r="A2494" s="17" t="s">
        <v>3058</v>
      </c>
      <c r="B2494" s="17" t="n">
        <v>30407.81</v>
      </c>
      <c r="C2494" s="19" t="n">
        <f aca="false">B2494/B2493-1</f>
        <v>-0.00534587409604581</v>
      </c>
      <c r="D2494" s="17" t="n">
        <f aca="false">AVERAGE(B2445:B2494)</f>
        <v>27350.1884</v>
      </c>
      <c r="E2494" s="17" t="n">
        <f aca="false">AVERAGE(B2295:B2494)</f>
        <v>25524.3893</v>
      </c>
      <c r="F2494" s="17" t="n">
        <f aca="false">B2494*2/13+F2493*11/13</f>
        <v>30031.2157215528</v>
      </c>
      <c r="G2494" s="17" t="n">
        <f aca="false">B2494*2/27+G2493*25/27</f>
        <v>29170.7134409751</v>
      </c>
      <c r="H2494" s="17" t="n">
        <f aca="false">F2494-G2494</f>
        <v>860.50228057773</v>
      </c>
      <c r="I2494" s="17" t="n">
        <f aca="false">H2494*2/10+I2493*8/10</f>
        <v>880.576778592789</v>
      </c>
      <c r="J2494" s="17" t="n">
        <f aca="false">H2494-I2494</f>
        <v>-20.0744980150591</v>
      </c>
      <c r="K2494" s="17" t="n">
        <f aca="false">MAX(B2494-B2493,0)</f>
        <v>0</v>
      </c>
      <c r="L2494" s="17" t="n">
        <f aca="false">MAX(B2493-B2494,0)</f>
        <v>163.43</v>
      </c>
      <c r="M2494" s="17" t="n">
        <f aca="false">(M2493*13+K2494)/14</f>
        <v>158.912810096583</v>
      </c>
      <c r="N2494" s="17" t="n">
        <f aca="false">(N2493*13+L2494)/14</f>
        <v>59.245367630245</v>
      </c>
      <c r="O2494" s="17" t="n">
        <f aca="false">IF(N2494=0,100,100-100/(1+M2494/N2494))</f>
        <v>72.8429306443738</v>
      </c>
      <c r="P2494" s="17" t="n">
        <f aca="false">AVERAGE(B2475:B2494)+2*STDEV(B2475:B2494)</f>
        <v>30920.7881794481</v>
      </c>
      <c r="Q2494" s="17" t="n">
        <f aca="false">AVERAGE(B2475:B2494)-2*STDEV(B2475:B2494)</f>
        <v>28368.4248205519</v>
      </c>
      <c r="R2494" s="19" t="n">
        <f aca="false">B2494/B2474-1</f>
        <v>0.0632409961547835</v>
      </c>
      <c r="S2494" s="17" t="n">
        <f aca="false">STDEV(C2475:C2494)*SQRT(252)*100</f>
        <v>14.9582673904127</v>
      </c>
      <c r="T2494" s="19" t="n">
        <f aca="false">B2473/B2243-1</f>
        <v>0.289713800621676</v>
      </c>
      <c r="U2494" s="19" t="n">
        <f aca="false">B2494/MAX(B2243:B2494)-1</f>
        <v>-0.00824478320711264</v>
      </c>
      <c r="V2494" s="17" t="n">
        <f aca="false">(B2494-AVERAGE(B2475:B2494))/STDEV(B2475:B2494)</f>
        <v>1.19607343106518</v>
      </c>
    </row>
    <row r="2495" customFormat="false" ht="15" hidden="false" customHeight="false" outlineLevel="0" collapsed="false">
      <c r="A2495" s="17" t="s">
        <v>3059</v>
      </c>
      <c r="B2495" s="17" t="n">
        <v>28957.6</v>
      </c>
      <c r="C2495" s="19" t="n">
        <f aca="false">B2495/B2494-1</f>
        <v>-0.0476920238583444</v>
      </c>
      <c r="D2495" s="17" t="n">
        <f aca="false">AVERAGE(B2446:B2495)</f>
        <v>27446.0808</v>
      </c>
      <c r="E2495" s="17" t="n">
        <f aca="false">AVERAGE(B2296:B2495)</f>
        <v>25552.25345</v>
      </c>
      <c r="F2495" s="17" t="n">
        <f aca="false">B2495*2/13+F2494*11/13</f>
        <v>29866.0440720831</v>
      </c>
      <c r="G2495" s="17" t="n">
        <f aca="false">B2495*2/27+G2494*25/27</f>
        <v>29154.9272601621</v>
      </c>
      <c r="H2495" s="17" t="n">
        <f aca="false">F2495-G2495</f>
        <v>711.116811921038</v>
      </c>
      <c r="I2495" s="17" t="n">
        <f aca="false">H2495*2/10+I2494*8/10</f>
        <v>846.684785258439</v>
      </c>
      <c r="J2495" s="17" t="n">
        <f aca="false">H2495-I2495</f>
        <v>-135.567973337401</v>
      </c>
      <c r="K2495" s="17" t="n">
        <f aca="false">MAX(B2495-B2494,0)</f>
        <v>0</v>
      </c>
      <c r="L2495" s="17" t="n">
        <f aca="false">MAX(B2494-B2495,0)</f>
        <v>1450.21</v>
      </c>
      <c r="M2495" s="17" t="n">
        <f aca="false">(M2494*13+K2495)/14</f>
        <v>147.561895089684</v>
      </c>
      <c r="N2495" s="17" t="n">
        <f aca="false">(N2494*13+L2495)/14</f>
        <v>158.599984228085</v>
      </c>
      <c r="O2495" s="17" t="n">
        <f aca="false">IF(N2495=0,100,100-100/(1+M2495/N2495))</f>
        <v>48.1973442998525</v>
      </c>
      <c r="P2495" s="17" t="n">
        <f aca="false">AVERAGE(B2476:B2495)+2*STDEV(B2476:B2495)</f>
        <v>30881.0534687518</v>
      </c>
      <c r="Q2495" s="17" t="n">
        <f aca="false">AVERAGE(B2476:B2495)-2*STDEV(B2476:B2495)</f>
        <v>28447.5245312482</v>
      </c>
      <c r="R2495" s="19" t="n">
        <f aca="false">B2495/B2475-1</f>
        <v>0.0137813572702654</v>
      </c>
      <c r="S2495" s="17" t="n">
        <f aca="false">STDEV(C2476:C2495)*SQRT(252)*100</f>
        <v>23.4365271283127</v>
      </c>
      <c r="T2495" s="19" t="n">
        <f aca="false">B2474/B2244-1</f>
        <v>0.327265943084628</v>
      </c>
      <c r="U2495" s="19" t="n">
        <f aca="false">B2495/MAX(B2244:B2495)-1</f>
        <v>-0.0555435966680365</v>
      </c>
      <c r="V2495" s="17" t="n">
        <f aca="false">(B2495-AVERAGE(B2476:B2495))/STDEV(B2476:B2495)</f>
        <v>-1.16158717344031</v>
      </c>
    </row>
    <row r="2496" customFormat="false" ht="15" hidden="false" customHeight="false" outlineLevel="0" collapsed="false">
      <c r="A2496" s="17" t="s">
        <v>3060</v>
      </c>
      <c r="B2496" s="17" t="n">
        <v>29414.26</v>
      </c>
      <c r="C2496" s="19" t="n">
        <f aca="false">B2496/B2495-1</f>
        <v>0.0157699533110478</v>
      </c>
      <c r="D2496" s="17" t="n">
        <f aca="false">AVERAGE(B2447:B2496)</f>
        <v>27562.6262</v>
      </c>
      <c r="E2496" s="17" t="n">
        <f aca="false">AVERAGE(B2297:B2496)</f>
        <v>25583.0769</v>
      </c>
      <c r="F2496" s="17" t="n">
        <f aca="false">B2496*2/13+F2495*11/13</f>
        <v>29796.5388302242</v>
      </c>
      <c r="G2496" s="17" t="n">
        <f aca="false">B2496*2/27+G2495*25/27</f>
        <v>29174.1370927427</v>
      </c>
      <c r="H2496" s="17" t="n">
        <f aca="false">F2496-G2496</f>
        <v>622.401737481505</v>
      </c>
      <c r="I2496" s="17" t="n">
        <f aca="false">H2496*2/10+I2495*8/10</f>
        <v>801.828175703052</v>
      </c>
      <c r="J2496" s="17" t="n">
        <f aca="false">H2496-I2496</f>
        <v>-179.426438221547</v>
      </c>
      <c r="K2496" s="17" t="n">
        <f aca="false">MAX(B2496-B2495,0)</f>
        <v>456.66</v>
      </c>
      <c r="L2496" s="17" t="n">
        <f aca="false">MAX(B2495-B2496,0)</f>
        <v>0</v>
      </c>
      <c r="M2496" s="17" t="n">
        <f aca="false">(M2495*13+K2496)/14</f>
        <v>169.640331154707</v>
      </c>
      <c r="N2496" s="17" t="n">
        <f aca="false">(N2495*13+L2496)/14</f>
        <v>147.271413926079</v>
      </c>
      <c r="O2496" s="17" t="n">
        <f aca="false">IF(N2496=0,100,100-100/(1+M2496/N2496))</f>
        <v>53.5292029367554</v>
      </c>
      <c r="P2496" s="17" t="n">
        <f aca="false">AVERAGE(B2477:B2496)+2*STDEV(B2477:B2496)</f>
        <v>30879.2951720019</v>
      </c>
      <c r="Q2496" s="17" t="n">
        <f aca="false">AVERAGE(B2477:B2496)-2*STDEV(B2477:B2496)</f>
        <v>28467.2098279981</v>
      </c>
      <c r="R2496" s="19" t="n">
        <f aca="false">B2496/B2476-1</f>
        <v>0.00613203561896203</v>
      </c>
      <c r="S2496" s="17" t="n">
        <f aca="false">STDEV(C2477:C2496)*SQRT(252)*100</f>
        <v>22.5893359279328</v>
      </c>
      <c r="T2496" s="19" t="n">
        <f aca="false">B2475/B2245-1</f>
        <v>0.312573552083721</v>
      </c>
      <c r="U2496" s="19" t="n">
        <f aca="false">B2496/MAX(B2245:B2496)-1</f>
        <v>-0.0406495632831713</v>
      </c>
      <c r="V2496" s="17" t="n">
        <f aca="false">(B2496-AVERAGE(B2477:B2496))/STDEV(B2477:B2496)</f>
        <v>-0.42949143676667</v>
      </c>
    </row>
    <row r="2497" customFormat="false" ht="15" hidden="false" customHeight="false" outlineLevel="0" collapsed="false">
      <c r="A2497" s="17" t="s">
        <v>3061</v>
      </c>
      <c r="B2497" s="17" t="n">
        <v>29084.5</v>
      </c>
      <c r="C2497" s="19" t="n">
        <f aca="false">B2497/B2496-1</f>
        <v>-0.0112108888681883</v>
      </c>
      <c r="D2497" s="17" t="n">
        <f aca="false">AVERAGE(B2448:B2497)</f>
        <v>27681.6608</v>
      </c>
      <c r="E2497" s="17" t="n">
        <f aca="false">AVERAGE(B2298:B2497)</f>
        <v>25612.7865</v>
      </c>
      <c r="F2497" s="17" t="n">
        <f aca="false">B2497*2/13+F2496*11/13</f>
        <v>29686.9943948051</v>
      </c>
      <c r="G2497" s="17" t="n">
        <f aca="false">B2497*2/27+G2496*25/27</f>
        <v>29167.4973080951</v>
      </c>
      <c r="H2497" s="17" t="n">
        <f aca="false">F2497-G2497</f>
        <v>519.497086710002</v>
      </c>
      <c r="I2497" s="17" t="n">
        <f aca="false">H2497*2/10+I2496*8/10</f>
        <v>745.361957904442</v>
      </c>
      <c r="J2497" s="17" t="n">
        <f aca="false">H2497-I2497</f>
        <v>-225.86487119444</v>
      </c>
      <c r="K2497" s="17" t="n">
        <f aca="false">MAX(B2497-B2496,0)</f>
        <v>0</v>
      </c>
      <c r="L2497" s="17" t="n">
        <f aca="false">MAX(B2496-B2497,0)</f>
        <v>329.759999999998</v>
      </c>
      <c r="M2497" s="17" t="n">
        <f aca="false">(M2496*13+K2497)/14</f>
        <v>157.523164643656</v>
      </c>
      <c r="N2497" s="17" t="n">
        <f aca="false">(N2496*13+L2497)/14</f>
        <v>160.306312931359</v>
      </c>
      <c r="O2497" s="17" t="n">
        <f aca="false">IF(N2497=0,100,100-100/(1+M2497/N2497))</f>
        <v>49.5621632850204</v>
      </c>
      <c r="P2497" s="17" t="n">
        <f aca="false">AVERAGE(B2478:B2497)+2*STDEV(B2478:B2497)</f>
        <v>30886.4969680231</v>
      </c>
      <c r="Q2497" s="17" t="n">
        <f aca="false">AVERAGE(B2478:B2497)-2*STDEV(B2478:B2497)</f>
        <v>28436.3920319769</v>
      </c>
      <c r="R2497" s="19" t="n">
        <f aca="false">B2497/B2477-1</f>
        <v>-0.00805438895304544</v>
      </c>
      <c r="S2497" s="17" t="n">
        <f aca="false">STDEV(C2478:C2497)*SQRT(252)*100</f>
        <v>22.9346179121156</v>
      </c>
      <c r="T2497" s="19" t="n">
        <f aca="false">B2476/B2246-1</f>
        <v>0.341185629605095</v>
      </c>
      <c r="U2497" s="19" t="n">
        <f aca="false">B2497/MAX(B2246:B2497)-1</f>
        <v>-0.0514047344148516</v>
      </c>
      <c r="V2497" s="17" t="n">
        <f aca="false">(B2497-AVERAGE(B2478:B2497))/STDEV(B2478:B2497)</f>
        <v>-0.941909861103394</v>
      </c>
    </row>
    <row r="2498" customFormat="false" ht="15" hidden="false" customHeight="false" outlineLevel="0" collapsed="false">
      <c r="A2498" s="17" t="s">
        <v>3062</v>
      </c>
      <c r="B2498" s="17" t="n">
        <v>28508.03</v>
      </c>
      <c r="C2498" s="19" t="n">
        <f aca="false">B2498/B2497-1</f>
        <v>-0.0198205229589644</v>
      </c>
      <c r="D2498" s="17" t="n">
        <f aca="false">AVERAGE(B2449:B2498)</f>
        <v>27792.7538</v>
      </c>
      <c r="E2498" s="17" t="n">
        <f aca="false">AVERAGE(B2299:B2498)</f>
        <v>25637.83605</v>
      </c>
      <c r="F2498" s="17" t="n">
        <f aca="false">B2498*2/13+F2497*11/13</f>
        <v>29505.6152571428</v>
      </c>
      <c r="G2498" s="17" t="n">
        <f aca="false">B2498*2/27+G2497*25/27</f>
        <v>29118.6478778658</v>
      </c>
      <c r="H2498" s="17" t="n">
        <f aca="false">F2498-G2498</f>
        <v>386.967379276946</v>
      </c>
      <c r="I2498" s="17" t="n">
        <f aca="false">H2498*2/10+I2497*8/10</f>
        <v>673.683042178943</v>
      </c>
      <c r="J2498" s="17" t="n">
        <f aca="false">H2498-I2498</f>
        <v>-286.715662901997</v>
      </c>
      <c r="K2498" s="17" t="n">
        <f aca="false">MAX(B2498-B2497,0)</f>
        <v>0</v>
      </c>
      <c r="L2498" s="17" t="n">
        <f aca="false">MAX(B2497-B2498,0)</f>
        <v>576.470000000001</v>
      </c>
      <c r="M2498" s="17" t="n">
        <f aca="false">(M2497*13+K2498)/14</f>
        <v>146.271510026252</v>
      </c>
      <c r="N2498" s="17" t="n">
        <f aca="false">(N2497*13+L2498)/14</f>
        <v>190.032290579119</v>
      </c>
      <c r="O2498" s="17" t="n">
        <f aca="false">IF(N2498=0,100,100-100/(1+M2498/N2498))</f>
        <v>43.4938617294699</v>
      </c>
      <c r="P2498" s="17" t="n">
        <f aca="false">AVERAGE(B2479:B2498)+2*STDEV(B2479:B2498)</f>
        <v>30938.452033868</v>
      </c>
      <c r="Q2498" s="17" t="n">
        <f aca="false">AVERAGE(B2479:B2498)-2*STDEV(B2479:B2498)</f>
        <v>28328.759966132</v>
      </c>
      <c r="R2498" s="19" t="n">
        <f aca="false">B2498/B2478-1</f>
        <v>-0.0191561614048609</v>
      </c>
      <c r="S2498" s="17" t="n">
        <f aca="false">STDEV(C2479:C2498)*SQRT(252)*100</f>
        <v>23.7969026064512</v>
      </c>
      <c r="T2498" s="19" t="n">
        <f aca="false">B2477/B2247-1</f>
        <v>0.336285065299664</v>
      </c>
      <c r="U2498" s="19" t="n">
        <f aca="false">B2498/MAX(B2247:B2498)-1</f>
        <v>-0.070206388655147</v>
      </c>
      <c r="V2498" s="17" t="n">
        <f aca="false">(B2498-AVERAGE(B2479:B2498))/STDEV(B2479:B2498)</f>
        <v>-1.72522423456109</v>
      </c>
    </row>
    <row r="2499" customFormat="false" ht="15" hidden="false" customHeight="false" outlineLevel="0" collapsed="false">
      <c r="A2499" s="17" t="s">
        <v>3063</v>
      </c>
      <c r="B2499" s="17" t="n">
        <v>29446.18</v>
      </c>
      <c r="C2499" s="19" t="n">
        <f aca="false">B2499/B2498-1</f>
        <v>0.0329082718097322</v>
      </c>
      <c r="D2499" s="17" t="n">
        <f aca="false">AVERAGE(B2450:B2499)</f>
        <v>27906.8736</v>
      </c>
      <c r="E2499" s="17" t="n">
        <f aca="false">AVERAGE(B2300:B2499)</f>
        <v>25667.9389</v>
      </c>
      <c r="F2499" s="17" t="n">
        <f aca="false">B2499*2/13+F2498*11/13</f>
        <v>29496.4713714285</v>
      </c>
      <c r="G2499" s="17" t="n">
        <f aca="false">B2499*2/27+G2498*25/27</f>
        <v>29142.9095165424</v>
      </c>
      <c r="H2499" s="17" t="n">
        <f aca="false">F2499-G2499</f>
        <v>353.561854886069</v>
      </c>
      <c r="I2499" s="17" t="n">
        <f aca="false">H2499*2/10+I2498*8/10</f>
        <v>609.658804720368</v>
      </c>
      <c r="J2499" s="17" t="n">
        <f aca="false">H2499-I2499</f>
        <v>-256.096949834299</v>
      </c>
      <c r="K2499" s="17" t="n">
        <f aca="false">MAX(B2499-B2498,0)</f>
        <v>938.150000000002</v>
      </c>
      <c r="L2499" s="17" t="n">
        <f aca="false">MAX(B2498-B2499,0)</f>
        <v>0</v>
      </c>
      <c r="M2499" s="17" t="n">
        <f aca="false">(M2498*13+K2499)/14</f>
        <v>202.834259310091</v>
      </c>
      <c r="N2499" s="17" t="n">
        <f aca="false">(N2498*13+L2499)/14</f>
        <v>176.458555537753</v>
      </c>
      <c r="O2499" s="17" t="n">
        <f aca="false">IF(N2499=0,100,100-100/(1+M2499/N2499))</f>
        <v>53.4769580044535</v>
      </c>
      <c r="P2499" s="17" t="n">
        <f aca="false">AVERAGE(B2480:B2499)+2*STDEV(B2480:B2499)</f>
        <v>30939.4826926957</v>
      </c>
      <c r="Q2499" s="17" t="n">
        <f aca="false">AVERAGE(B2480:B2499)-2*STDEV(B2480:B2499)</f>
        <v>28335.6533073043</v>
      </c>
      <c r="R2499" s="19" t="n">
        <f aca="false">B2499/B2479-1</f>
        <v>0.00269827227487784</v>
      </c>
      <c r="S2499" s="17" t="n">
        <f aca="false">STDEV(C2480:C2499)*SQRT(252)*100</f>
        <v>26.4075278232787</v>
      </c>
      <c r="T2499" s="19" t="n">
        <f aca="false">B2478/B2248-1</f>
        <v>0.329539632584352</v>
      </c>
      <c r="U2499" s="19" t="n">
        <f aca="false">B2499/MAX(B2248:B2499)-1</f>
        <v>-0.039608487766058</v>
      </c>
      <c r="V2499" s="17" t="n">
        <f aca="false">(B2499-AVERAGE(B2480:B2499))/STDEV(B2480:B2499)</f>
        <v>-0.294010047008108</v>
      </c>
    </row>
    <row r="2500" customFormat="false" ht="15" hidden="false" customHeight="false" outlineLevel="0" collapsed="false">
      <c r="A2500" s="17" t="s">
        <v>3064</v>
      </c>
      <c r="B2500" s="17" t="n">
        <v>29635.95</v>
      </c>
      <c r="C2500" s="19" t="n">
        <f aca="false">B2500/B2499-1</f>
        <v>0.00644463899901449</v>
      </c>
      <c r="D2500" s="17" t="n">
        <f aca="false">AVERAGE(B2451:B2500)</f>
        <v>28019.1928</v>
      </c>
      <c r="E2500" s="17" t="n">
        <f aca="false">AVERAGE(B2301:B2500)</f>
        <v>25698.4922</v>
      </c>
      <c r="F2500" s="17" t="n">
        <f aca="false">B2500*2/13+F2499*11/13</f>
        <v>29517.9296219779</v>
      </c>
      <c r="G2500" s="17" t="n">
        <f aca="false">B2500*2/27+G2499*25/27</f>
        <v>29179.4310338356</v>
      </c>
      <c r="H2500" s="17" t="n">
        <f aca="false">F2500-G2500</f>
        <v>338.498588142378</v>
      </c>
      <c r="I2500" s="17" t="n">
        <f aca="false">H2500*2/10+I2499*8/10</f>
        <v>555.42676140477</v>
      </c>
      <c r="J2500" s="17" t="n">
        <f aca="false">H2500-I2500</f>
        <v>-216.928173262392</v>
      </c>
      <c r="K2500" s="17" t="n">
        <f aca="false">MAX(B2500-B2499,0)</f>
        <v>189.77</v>
      </c>
      <c r="L2500" s="17" t="n">
        <f aca="false">MAX(B2499-B2500,0)</f>
        <v>0</v>
      </c>
      <c r="M2500" s="17" t="n">
        <f aca="false">(M2499*13+K2500)/14</f>
        <v>201.901097930799</v>
      </c>
      <c r="N2500" s="17" t="n">
        <f aca="false">(N2499*13+L2500)/14</f>
        <v>163.854372999342</v>
      </c>
      <c r="O2500" s="17" t="n">
        <f aca="false">IF(N2500=0,100,100-100/(1+M2500/N2500))</f>
        <v>55.2011149463741</v>
      </c>
      <c r="P2500" s="17" t="n">
        <f aca="false">AVERAGE(B2481:B2500)+2*STDEV(B2481:B2500)</f>
        <v>30941.9876890407</v>
      </c>
      <c r="Q2500" s="17" t="n">
        <f aca="false">AVERAGE(B2481:B2500)-2*STDEV(B2481:B2500)</f>
        <v>28338.7133109593</v>
      </c>
      <c r="R2500" s="19" t="n">
        <f aca="false">B2500/B2480-1</f>
        <v>0.00188131966207239</v>
      </c>
      <c r="S2500" s="17" t="n">
        <f aca="false">STDEV(C2481:C2500)*SQRT(252)*100</f>
        <v>26.3802766864127</v>
      </c>
      <c r="T2500" s="19" t="n">
        <f aca="false">B2479/B2249-1</f>
        <v>0.340141064886562</v>
      </c>
      <c r="U2500" s="19" t="n">
        <f aca="false">B2500/MAX(B2249:B2500)-1</f>
        <v>-0.0334191111719927</v>
      </c>
      <c r="V2500" s="17" t="n">
        <f aca="false">(B2500-AVERAGE(B2481:B2500))/STDEV(B2481:B2500)</f>
        <v>-0.00676148474713295</v>
      </c>
    </row>
    <row r="2501" customFormat="false" ht="15" hidden="false" customHeight="false" outlineLevel="0" collapsed="false">
      <c r="A2501" s="17" t="s">
        <v>3065</v>
      </c>
      <c r="B2501" s="17" t="n">
        <v>30543.92</v>
      </c>
      <c r="C2501" s="19" t="n">
        <f aca="false">B2501/B2500-1</f>
        <v>0.0306374521484885</v>
      </c>
      <c r="D2501" s="17" t="n">
        <f aca="false">AVERAGE(B2452:B2501)</f>
        <v>28149.1606</v>
      </c>
      <c r="E2501" s="17" t="n">
        <f aca="false">AVERAGE(B2302:B2501)</f>
        <v>25733.38255</v>
      </c>
      <c r="F2501" s="17" t="n">
        <f aca="false">B2501*2/13+F2500*11/13</f>
        <v>29675.7742955198</v>
      </c>
      <c r="G2501" s="17" t="n">
        <f aca="false">B2501*2/27+G2500*25/27</f>
        <v>29280.5042905885</v>
      </c>
      <c r="H2501" s="17" t="n">
        <f aca="false">F2501-G2501</f>
        <v>395.27000493131</v>
      </c>
      <c r="I2501" s="17" t="n">
        <f aca="false">H2501*2/10+I2500*8/10</f>
        <v>523.395410110078</v>
      </c>
      <c r="J2501" s="17" t="n">
        <f aca="false">H2501-I2501</f>
        <v>-128.125405178768</v>
      </c>
      <c r="K2501" s="17" t="n">
        <f aca="false">MAX(B2501-B2500,0)</f>
        <v>907.969999999998</v>
      </c>
      <c r="L2501" s="17" t="n">
        <f aca="false">MAX(B2500-B2501,0)</f>
        <v>0</v>
      </c>
      <c r="M2501" s="17" t="n">
        <f aca="false">(M2500*13+K2501)/14</f>
        <v>252.334590935742</v>
      </c>
      <c r="N2501" s="17" t="n">
        <f aca="false">(N2500*13+L2501)/14</f>
        <v>152.150489213675</v>
      </c>
      <c r="O2501" s="17" t="n">
        <f aca="false">IF(N2501=0,100,100-100/(1+M2501/N2501))</f>
        <v>62.3841529191953</v>
      </c>
      <c r="P2501" s="17" t="n">
        <f aca="false">AVERAGE(B2482:B2501)+2*STDEV(B2482:B2501)</f>
        <v>31048.853143554</v>
      </c>
      <c r="Q2501" s="17" t="n">
        <f aca="false">AVERAGE(B2482:B2501)-2*STDEV(B2482:B2501)</f>
        <v>28373.719856446</v>
      </c>
      <c r="R2501" s="19" t="n">
        <f aca="false">B2501/B2481-1</f>
        <v>0.0487110818123135</v>
      </c>
      <c r="S2501" s="17" t="n">
        <f aca="false">STDEV(C2482:C2501)*SQRT(252)*100</f>
        <v>27.7886431822297</v>
      </c>
      <c r="T2501" s="19" t="n">
        <f aca="false">B2480/B2250-1</f>
        <v>0.367493194964273</v>
      </c>
      <c r="U2501" s="19" t="n">
        <f aca="false">B2501/MAX(B2250:B2501)-1</f>
        <v>-0.00380553544288109</v>
      </c>
      <c r="V2501" s="17" t="n">
        <f aca="false">(B2501-AVERAGE(B2482:B2501))/STDEV(B2482:B2501)</f>
        <v>1.24499740482106</v>
      </c>
    </row>
    <row r="2502" customFormat="false" ht="15" hidden="false" customHeight="false" outlineLevel="0" collapsed="false">
      <c r="A2502" s="17" t="s">
        <v>3066</v>
      </c>
      <c r="B2502" s="17" t="n">
        <v>29968.13</v>
      </c>
      <c r="C2502" s="19" t="n">
        <f aca="false">B2502/B2501-1</f>
        <v>-0.0188512149062726</v>
      </c>
      <c r="D2502" s="17" t="n">
        <f aca="false">AVERAGE(B2453:B2502)</f>
        <v>28264.6798</v>
      </c>
      <c r="E2502" s="17" t="n">
        <f aca="false">AVERAGE(B2303:B2502)</f>
        <v>25764.70595</v>
      </c>
      <c r="F2502" s="17" t="n">
        <f aca="false">B2502*2/13+F2501*11/13</f>
        <v>29720.7520962091</v>
      </c>
      <c r="G2502" s="17" t="n">
        <f aca="false">B2502*2/27+G2501*25/27</f>
        <v>29331.4395283227</v>
      </c>
      <c r="H2502" s="17" t="n">
        <f aca="false">F2502-G2502</f>
        <v>389.312567886384</v>
      </c>
      <c r="I2502" s="17" t="n">
        <f aca="false">H2502*2/10+I2501*8/10</f>
        <v>496.578841665339</v>
      </c>
      <c r="J2502" s="17" t="n">
        <f aca="false">H2502-I2502</f>
        <v>-107.266273778956</v>
      </c>
      <c r="K2502" s="17" t="n">
        <f aca="false">MAX(B2502-B2501,0)</f>
        <v>0</v>
      </c>
      <c r="L2502" s="17" t="n">
        <f aca="false">MAX(B2501-B2502,0)</f>
        <v>575.789999999997</v>
      </c>
      <c r="M2502" s="17" t="n">
        <f aca="false">(M2501*13+K2502)/14</f>
        <v>234.310691583189</v>
      </c>
      <c r="N2502" s="17" t="n">
        <f aca="false">(N2501*13+L2502)/14</f>
        <v>182.410454269841</v>
      </c>
      <c r="O2502" s="17" t="n">
        <f aca="false">IF(N2502=0,100,100-100/(1+M2502/N2502))</f>
        <v>56.2272142690417</v>
      </c>
      <c r="P2502" s="17" t="n">
        <f aca="false">AVERAGE(B2483:B2502)+2*STDEV(B2483:B2502)</f>
        <v>31057.9681247427</v>
      </c>
      <c r="Q2502" s="17" t="n">
        <f aca="false">AVERAGE(B2483:B2502)-2*STDEV(B2483:B2502)</f>
        <v>28461.9808752573</v>
      </c>
      <c r="R2502" s="19" t="n">
        <f aca="false">B2502/B2482-1</f>
        <v>0.0335844510503247</v>
      </c>
      <c r="S2502" s="17" t="n">
        <f aca="false">STDEV(C2483:C2502)*SQRT(252)*100</f>
        <v>28.7215191537207</v>
      </c>
      <c r="T2502" s="19" t="n">
        <f aca="false">B2481/B2251-1</f>
        <v>0.327640208099621</v>
      </c>
      <c r="U2502" s="19" t="n">
        <f aca="false">B2502/MAX(B2251:B2502)-1</f>
        <v>-0.0225850113826865</v>
      </c>
      <c r="V2502" s="17" t="n">
        <f aca="false">(B2502-AVERAGE(B2483:B2502))/STDEV(B2483:B2502)</f>
        <v>0.320734240957874</v>
      </c>
    </row>
    <row r="2503" customFormat="false" ht="15" hidden="false" customHeight="false" outlineLevel="0" collapsed="false">
      <c r="A2503" s="17" t="s">
        <v>3067</v>
      </c>
      <c r="B2503" s="17" t="n">
        <v>29670.95</v>
      </c>
      <c r="C2503" s="19" t="n">
        <f aca="false">B2503/B2502-1</f>
        <v>-0.00991653466532616</v>
      </c>
      <c r="D2503" s="17" t="n">
        <f aca="false">AVERAGE(B2454:B2503)</f>
        <v>28374.0514</v>
      </c>
      <c r="E2503" s="17" t="n">
        <f aca="false">AVERAGE(B2304:B2503)</f>
        <v>25795.9836</v>
      </c>
      <c r="F2503" s="17" t="n">
        <f aca="false">B2503*2/13+F2502*11/13</f>
        <v>29713.0902352538</v>
      </c>
      <c r="G2503" s="17" t="n">
        <f aca="false">B2503*2/27+G2502*25/27</f>
        <v>29356.5884521506</v>
      </c>
      <c r="H2503" s="17" t="n">
        <f aca="false">F2503-G2503</f>
        <v>356.501783103198</v>
      </c>
      <c r="I2503" s="17" t="n">
        <f aca="false">H2503*2/10+I2502*8/10</f>
        <v>468.563429952911</v>
      </c>
      <c r="J2503" s="17" t="n">
        <f aca="false">H2503-I2503</f>
        <v>-112.061646849713</v>
      </c>
      <c r="K2503" s="17" t="n">
        <f aca="false">MAX(B2503-B2502,0)</f>
        <v>0</v>
      </c>
      <c r="L2503" s="17" t="n">
        <f aca="false">MAX(B2502-B2503,0)</f>
        <v>297.18</v>
      </c>
      <c r="M2503" s="17" t="n">
        <f aca="false">(M2502*13+K2503)/14</f>
        <v>217.574213612961</v>
      </c>
      <c r="N2503" s="17" t="n">
        <f aca="false">(N2502*13+L2503)/14</f>
        <v>190.608278964852</v>
      </c>
      <c r="O2503" s="17" t="n">
        <f aca="false">IF(N2503=0,100,100-100/(1+M2503/N2503))</f>
        <v>53.3031713925075</v>
      </c>
      <c r="P2503" s="17" t="n">
        <f aca="false">AVERAGE(B2484:B2503)+2*STDEV(B2484:B2503)</f>
        <v>31024.1947233801</v>
      </c>
      <c r="Q2503" s="17" t="n">
        <f aca="false">AVERAGE(B2484:B2503)-2*STDEV(B2484:B2503)</f>
        <v>28580.9652766199</v>
      </c>
      <c r="R2503" s="19" t="n">
        <f aca="false">B2503/B2483-1</f>
        <v>0.0295678105017412</v>
      </c>
      <c r="S2503" s="17" t="n">
        <f aca="false">STDEV(C2484:C2503)*SQRT(252)*100</f>
        <v>28.8939887347334</v>
      </c>
      <c r="T2503" s="19" t="n">
        <f aca="false">B2482/B2252-1</f>
        <v>0.334972291644029</v>
      </c>
      <c r="U2503" s="19" t="n">
        <f aca="false">B2503/MAX(B2252:B2503)-1</f>
        <v>-0.0322775809997194</v>
      </c>
      <c r="V2503" s="17" t="n">
        <f aca="false">(B2503-AVERAGE(B2484:B2503))/STDEV(B2484:B2503)</f>
        <v>-0.215501659370628</v>
      </c>
    </row>
    <row r="2504" customFormat="false" ht="15" hidden="false" customHeight="false" outlineLevel="0" collapsed="false">
      <c r="A2504" s="17" t="s">
        <v>3068</v>
      </c>
      <c r="B2504" s="17" t="n">
        <v>30406.19</v>
      </c>
      <c r="C2504" s="19" t="n">
        <f aca="false">B2504/B2503-1</f>
        <v>0.0247797930298828</v>
      </c>
      <c r="D2504" s="17" t="n">
        <f aca="false">AVERAGE(B2455:B2504)</f>
        <v>28484.1118</v>
      </c>
      <c r="E2504" s="17" t="n">
        <f aca="false">AVERAGE(B2305:B2504)</f>
        <v>25831.859</v>
      </c>
      <c r="F2504" s="17" t="n">
        <f aca="false">B2504*2/13+F2503*11/13</f>
        <v>29819.7209682917</v>
      </c>
      <c r="G2504" s="17" t="n">
        <f aca="false">B2504*2/27+G2503*25/27</f>
        <v>29434.3367149543</v>
      </c>
      <c r="H2504" s="17" t="n">
        <f aca="false">F2504-G2504</f>
        <v>385.384253337415</v>
      </c>
      <c r="I2504" s="17" t="n">
        <f aca="false">H2504*2/10+I2503*8/10</f>
        <v>451.927594629812</v>
      </c>
      <c r="J2504" s="17" t="n">
        <f aca="false">H2504-I2504</f>
        <v>-66.5433412923965</v>
      </c>
      <c r="K2504" s="17" t="n">
        <f aca="false">MAX(B2504-B2503,0)</f>
        <v>735.239999999998</v>
      </c>
      <c r="L2504" s="17" t="n">
        <f aca="false">MAX(B2503-B2504,0)</f>
        <v>0</v>
      </c>
      <c r="M2504" s="17" t="n">
        <f aca="false">(M2503*13+K2504)/14</f>
        <v>254.550341212035</v>
      </c>
      <c r="N2504" s="17" t="n">
        <f aca="false">(N2503*13+L2504)/14</f>
        <v>176.993401895934</v>
      </c>
      <c r="O2504" s="17" t="n">
        <f aca="false">IF(N2504=0,100,100-100/(1+M2504/N2504))</f>
        <v>58.985988159339</v>
      </c>
      <c r="P2504" s="17" t="n">
        <f aca="false">AVERAGE(B2485:B2504)+2*STDEV(B2485:B2504)</f>
        <v>31083.7485913043</v>
      </c>
      <c r="Q2504" s="17" t="n">
        <f aca="false">AVERAGE(B2485:B2504)-2*STDEV(B2485:B2504)</f>
        <v>28632.2604086957</v>
      </c>
      <c r="R2504" s="19" t="n">
        <f aca="false">B2504/B2484-1</f>
        <v>0.0378353932219935</v>
      </c>
      <c r="S2504" s="17" t="n">
        <f aca="false">STDEV(C2485:C2504)*SQRT(252)*100</f>
        <v>29.592931361993</v>
      </c>
      <c r="T2504" s="19" t="n">
        <f aca="false">B2483/B2253-1</f>
        <v>0.326853191735241</v>
      </c>
      <c r="U2504" s="19" t="n">
        <f aca="false">B2504/MAX(B2253:B2504)-1</f>
        <v>-0.00829761974651511</v>
      </c>
      <c r="V2504" s="17" t="n">
        <f aca="false">(B2504-AVERAGE(B2485:B2504))/STDEV(B2485:B2504)</f>
        <v>0.894453424477353</v>
      </c>
    </row>
    <row r="2505" customFormat="false" ht="15" hidden="false" customHeight="false" outlineLevel="0" collapsed="false">
      <c r="A2505" s="17" t="s">
        <v>3069</v>
      </c>
      <c r="B2505" s="17" t="n">
        <v>30347.08</v>
      </c>
      <c r="C2505" s="19" t="n">
        <f aca="false">B2505/B2504-1</f>
        <v>-0.00194401205807093</v>
      </c>
      <c r="D2505" s="17" t="n">
        <f aca="false">AVERAGE(B2456:B2505)</f>
        <v>28589.4116</v>
      </c>
      <c r="E2505" s="17" t="n">
        <f aca="false">AVERAGE(B2306:B2505)</f>
        <v>25866.5202</v>
      </c>
      <c r="F2505" s="17" t="n">
        <f aca="false">B2505*2/13+F2504*11/13</f>
        <v>29900.8531270161</v>
      </c>
      <c r="G2505" s="17" t="n">
        <f aca="false">B2505*2/27+G2504*25/27</f>
        <v>29501.9473286614</v>
      </c>
      <c r="H2505" s="17" t="n">
        <f aca="false">F2505-G2505</f>
        <v>398.905798354681</v>
      </c>
      <c r="I2505" s="17" t="n">
        <f aca="false">H2505*2/10+I2504*8/10</f>
        <v>441.323235374786</v>
      </c>
      <c r="J2505" s="17" t="n">
        <f aca="false">H2505-I2505</f>
        <v>-42.4174370201048</v>
      </c>
      <c r="K2505" s="17" t="n">
        <f aca="false">MAX(B2505-B2504,0)</f>
        <v>0</v>
      </c>
      <c r="L2505" s="17" t="n">
        <f aca="false">MAX(B2504-B2505,0)</f>
        <v>59.1099999999969</v>
      </c>
      <c r="M2505" s="17" t="n">
        <f aca="false">(M2504*13+K2505)/14</f>
        <v>236.368173982604</v>
      </c>
      <c r="N2505" s="17" t="n">
        <f aca="false">(N2504*13+L2505)/14</f>
        <v>168.573158903367</v>
      </c>
      <c r="O2505" s="17" t="n">
        <f aca="false">IF(N2505=0,100,100-100/(1+M2505/N2505))</f>
        <v>58.3709675418991</v>
      </c>
      <c r="P2505" s="17" t="n">
        <f aca="false">AVERAGE(B2486:B2505)+2*STDEV(B2486:B2505)</f>
        <v>31128.0302023557</v>
      </c>
      <c r="Q2505" s="17" t="n">
        <f aca="false">AVERAGE(B2486:B2505)-2*STDEV(B2486:B2505)</f>
        <v>28686.9597976443</v>
      </c>
      <c r="R2505" s="19" t="n">
        <f aca="false">B2505/B2485-1</f>
        <v>0.033716009697087</v>
      </c>
      <c r="S2505" s="17" t="n">
        <f aca="false">STDEV(C2486:C2505)*SQRT(252)*100</f>
        <v>29.6264354616264</v>
      </c>
      <c r="T2505" s="19" t="n">
        <f aca="false">B2484/B2254-1</f>
        <v>0.354719858469213</v>
      </c>
      <c r="U2505" s="19" t="n">
        <f aca="false">B2505/MAX(B2254:B2505)-1</f>
        <v>-0.0102255011317455</v>
      </c>
      <c r="V2505" s="17" t="n">
        <f aca="false">(B2505-AVERAGE(B2486:B2505))/STDEV(B2486:B2505)</f>
        <v>0.720315152158783</v>
      </c>
    </row>
    <row r="2506" customFormat="false" ht="15" hidden="false" customHeight="false" outlineLevel="0" collapsed="false">
      <c r="A2506" s="17" t="s">
        <v>3070</v>
      </c>
      <c r="B2506" s="17" t="n">
        <v>29347.27</v>
      </c>
      <c r="C2506" s="19" t="n">
        <f aca="false">B2506/B2505-1</f>
        <v>-0.0329458386111613</v>
      </c>
      <c r="D2506" s="17" t="n">
        <f aca="false">AVERAGE(B2457:B2506)</f>
        <v>28674.0302</v>
      </c>
      <c r="E2506" s="17" t="n">
        <f aca="false">AVERAGE(B2307:B2506)</f>
        <v>25895.0915</v>
      </c>
      <c r="F2506" s="17" t="n">
        <f aca="false">B2506*2/13+F2505*11/13</f>
        <v>29815.6864920905</v>
      </c>
      <c r="G2506" s="17" t="n">
        <f aca="false">B2506*2/27+G2505*25/27</f>
        <v>29490.4897487605</v>
      </c>
      <c r="H2506" s="17" t="n">
        <f aca="false">F2506-G2506</f>
        <v>325.196743329976</v>
      </c>
      <c r="I2506" s="17" t="n">
        <f aca="false">H2506*2/10+I2505*8/10</f>
        <v>418.097936965824</v>
      </c>
      <c r="J2506" s="17" t="n">
        <f aca="false">H2506-I2506</f>
        <v>-92.9011936358477</v>
      </c>
      <c r="K2506" s="17" t="n">
        <f aca="false">MAX(B2506-B2505,0)</f>
        <v>0</v>
      </c>
      <c r="L2506" s="17" t="n">
        <f aca="false">MAX(B2505-B2506,0)</f>
        <v>999.810000000001</v>
      </c>
      <c r="M2506" s="17" t="n">
        <f aca="false">(M2505*13+K2506)/14</f>
        <v>219.484732983847</v>
      </c>
      <c r="N2506" s="17" t="n">
        <f aca="false">(N2505*13+L2506)/14</f>
        <v>227.947218981698</v>
      </c>
      <c r="O2506" s="17" t="n">
        <f aca="false">IF(N2506=0,100,100-100/(1+M2506/N2506))</f>
        <v>49.054327036695</v>
      </c>
      <c r="P2506" s="17" t="n">
        <f aca="false">AVERAGE(B2487:B2506)+2*STDEV(B2487:B2506)</f>
        <v>31132.6087818729</v>
      </c>
      <c r="Q2506" s="17" t="n">
        <f aca="false">AVERAGE(B2487:B2506)-2*STDEV(B2487:B2506)</f>
        <v>28668.9442181271</v>
      </c>
      <c r="R2506" s="19" t="n">
        <f aca="false">B2506/B2486-1</f>
        <v>-0.00455775187540441</v>
      </c>
      <c r="S2506" s="17" t="n">
        <f aca="false">STDEV(C2487:C2506)*SQRT(252)*100</f>
        <v>32.0647335765086</v>
      </c>
      <c r="T2506" s="19" t="n">
        <f aca="false">B2485/B2255-1</f>
        <v>0.343193024629478</v>
      </c>
      <c r="U2506" s="19" t="n">
        <f aca="false">B2506/MAX(B2255:B2506)-1</f>
        <v>-0.0428344520329022</v>
      </c>
      <c r="V2506" s="17" t="n">
        <f aca="false">(B2506-AVERAGE(B2487:B2506))/STDEV(B2487:B2506)</f>
        <v>-0.89867185353908</v>
      </c>
    </row>
    <row r="2507" customFormat="false" ht="15" hidden="false" customHeight="false" outlineLevel="0" collapsed="false">
      <c r="A2507" s="17" t="s">
        <v>3071</v>
      </c>
      <c r="B2507" s="17" t="n">
        <v>29220.06</v>
      </c>
      <c r="C2507" s="19" t="n">
        <f aca="false">B2507/B2506-1</f>
        <v>-0.00433464509646042</v>
      </c>
      <c r="D2507" s="17" t="n">
        <f aca="false">AVERAGE(B2458:B2507)</f>
        <v>28750.757</v>
      </c>
      <c r="E2507" s="17" t="n">
        <f aca="false">AVERAGE(B2308:B2507)</f>
        <v>25922.9296</v>
      </c>
      <c r="F2507" s="17" t="n">
        <f aca="false">B2507*2/13+F2506*11/13</f>
        <v>29724.0516471535</v>
      </c>
      <c r="G2507" s="17" t="n">
        <f aca="false">B2507*2/27+G2506*25/27</f>
        <v>29470.457915519</v>
      </c>
      <c r="H2507" s="17" t="n">
        <f aca="false">F2507-G2507</f>
        <v>253.593731634501</v>
      </c>
      <c r="I2507" s="17" t="n">
        <f aca="false">H2507*2/10+I2506*8/10</f>
        <v>385.197095899559</v>
      </c>
      <c r="J2507" s="17" t="n">
        <f aca="false">H2507-I2507</f>
        <v>-131.603364265058</v>
      </c>
      <c r="K2507" s="17" t="n">
        <f aca="false">MAX(B2507-B2506,0)</f>
        <v>0</v>
      </c>
      <c r="L2507" s="17" t="n">
        <f aca="false">MAX(B2506-B2507,0)</f>
        <v>127.209999999999</v>
      </c>
      <c r="M2507" s="17" t="n">
        <f aca="false">(M2506*13+K2507)/14</f>
        <v>203.807252056429</v>
      </c>
      <c r="N2507" s="17" t="n">
        <f aca="false">(N2506*13+L2507)/14</f>
        <v>220.751703340148</v>
      </c>
      <c r="O2507" s="17" t="n">
        <f aca="false">IF(N2507=0,100,100-100/(1+M2507/N2507))</f>
        <v>48.0044642718829</v>
      </c>
      <c r="P2507" s="17" t="n">
        <f aca="false">AVERAGE(B2488:B2507)+2*STDEV(B2488:B2507)</f>
        <v>31129.1559109625</v>
      </c>
      <c r="Q2507" s="17" t="n">
        <f aca="false">AVERAGE(B2488:B2507)-2*STDEV(B2488:B2507)</f>
        <v>28594.2710890376</v>
      </c>
      <c r="R2507" s="19" t="n">
        <f aca="false">B2507/B2487-1</f>
        <v>-0.0260408542024151</v>
      </c>
      <c r="S2507" s="17" t="n">
        <f aca="false">STDEV(C2488:C2507)*SQRT(252)*100</f>
        <v>31.4011993431216</v>
      </c>
      <c r="T2507" s="19" t="n">
        <f aca="false">B2486/B2256-1</f>
        <v>0.32856913673046</v>
      </c>
      <c r="U2507" s="19" t="n">
        <f aca="false">B2507/MAX(B2256:B2507)-1</f>
        <v>-0.0469834249818986</v>
      </c>
      <c r="V2507" s="17" t="n">
        <f aca="false">(B2507-AVERAGE(B2488:B2507))/STDEV(B2488:B2507)</f>
        <v>-1.01251700976733</v>
      </c>
    </row>
    <row r="2508" customFormat="false" ht="15" hidden="false" customHeight="false" outlineLevel="0" collapsed="false">
      <c r="A2508" s="17" t="s">
        <v>3072</v>
      </c>
      <c r="B2508" s="17" t="n">
        <v>29440.32</v>
      </c>
      <c r="C2508" s="19" t="n">
        <f aca="false">B2508/B2507-1</f>
        <v>0.00753797220128916</v>
      </c>
      <c r="D2508" s="17" t="n">
        <f aca="false">AVERAGE(B2459:B2508)</f>
        <v>28822.7234</v>
      </c>
      <c r="E2508" s="17" t="n">
        <f aca="false">AVERAGE(B2309:B2508)</f>
        <v>25951.3197</v>
      </c>
      <c r="F2508" s="17" t="n">
        <f aca="false">B2508*2/13+F2507*11/13</f>
        <v>29680.4006245145</v>
      </c>
      <c r="G2508" s="17" t="n">
        <f aca="false">B2508*2/27+G2507*25/27</f>
        <v>29468.2254773324</v>
      </c>
      <c r="H2508" s="17" t="n">
        <f aca="false">F2508-G2508</f>
        <v>212.17514718209</v>
      </c>
      <c r="I2508" s="17" t="n">
        <f aca="false">H2508*2/10+I2507*8/10</f>
        <v>350.592706156065</v>
      </c>
      <c r="J2508" s="17" t="n">
        <f aca="false">H2508-I2508</f>
        <v>-138.417558973975</v>
      </c>
      <c r="K2508" s="17" t="n">
        <f aca="false">MAX(B2508-B2507,0)</f>
        <v>220.259999999998</v>
      </c>
      <c r="L2508" s="17" t="n">
        <f aca="false">MAX(B2507-B2508,0)</f>
        <v>0</v>
      </c>
      <c r="M2508" s="17" t="n">
        <f aca="false">(M2507*13+K2508)/14</f>
        <v>204.982448338113</v>
      </c>
      <c r="N2508" s="17" t="n">
        <f aca="false">(N2507*13+L2508)/14</f>
        <v>204.983724530138</v>
      </c>
      <c r="O2508" s="17" t="n">
        <f aca="false">IF(N2508=0,100,100-100/(1+M2508/N2508))</f>
        <v>49.9998443539846</v>
      </c>
      <c r="P2508" s="17" t="n">
        <f aca="false">AVERAGE(B2489:B2508)+2*STDEV(B2489:B2508)</f>
        <v>31114.9598443183</v>
      </c>
      <c r="Q2508" s="17" t="n">
        <f aca="false">AVERAGE(B2489:B2508)-2*STDEV(B2489:B2508)</f>
        <v>28555.1421556817</v>
      </c>
      <c r="R2508" s="19" t="n">
        <f aca="false">B2508/B2488-1</f>
        <v>-0.017790673583427</v>
      </c>
      <c r="S2508" s="17" t="n">
        <f aca="false">STDEV(C2489:C2508)*SQRT(252)*100</f>
        <v>31.5519102033923</v>
      </c>
      <c r="T2508" s="19" t="n">
        <f aca="false">B2487/B2257-1</f>
        <v>0.349117311381462</v>
      </c>
      <c r="U2508" s="19" t="n">
        <f aca="false">B2508/MAX(B2257:B2508)-1</f>
        <v>-0.0397996125320443</v>
      </c>
      <c r="V2508" s="17" t="n">
        <f aca="false">(B2508-AVERAGE(B2489:B2508))/STDEV(B2489:B2508)</f>
        <v>-0.616811113935601</v>
      </c>
    </row>
    <row r="2509" customFormat="false" ht="15" hidden="false" customHeight="false" outlineLevel="0" collapsed="false">
      <c r="A2509" s="17" t="s">
        <v>3073</v>
      </c>
      <c r="B2509" s="17" t="n">
        <v>29118.24</v>
      </c>
      <c r="C2509" s="19" t="n">
        <f aca="false">B2509/B2508-1</f>
        <v>-0.0109400984771904</v>
      </c>
      <c r="D2509" s="17" t="n">
        <f aca="false">AVERAGE(B2460:B2509)</f>
        <v>28880.9966</v>
      </c>
      <c r="E2509" s="17" t="n">
        <f aca="false">AVERAGE(B2310:B2509)</f>
        <v>25977.7119</v>
      </c>
      <c r="F2509" s="17" t="n">
        <f aca="false">B2509*2/13+F2508*11/13</f>
        <v>29593.9143745892</v>
      </c>
      <c r="G2509" s="17" t="n">
        <f aca="false">B2509*2/27+G2508*25/27</f>
        <v>29442.3006271596</v>
      </c>
      <c r="H2509" s="17" t="n">
        <f aca="false">F2509-G2509</f>
        <v>151.613747429561</v>
      </c>
      <c r="I2509" s="17" t="n">
        <f aca="false">H2509*2/10+I2508*8/10</f>
        <v>310.796914410764</v>
      </c>
      <c r="J2509" s="17" t="n">
        <f aca="false">H2509-I2509</f>
        <v>-159.183166981203</v>
      </c>
      <c r="K2509" s="17" t="n">
        <f aca="false">MAX(B2509-B2508,0)</f>
        <v>0</v>
      </c>
      <c r="L2509" s="17" t="n">
        <f aca="false">MAX(B2508-B2509,0)</f>
        <v>322.079999999998</v>
      </c>
      <c r="M2509" s="17" t="n">
        <f aca="false">(M2508*13+K2509)/14</f>
        <v>190.34084488539</v>
      </c>
      <c r="N2509" s="17" t="n">
        <f aca="false">(N2508*13+L2509)/14</f>
        <v>213.347744206556</v>
      </c>
      <c r="O2509" s="17" t="n">
        <f aca="false">IF(N2509=0,100,100-100/(1+M2509/N2509))</f>
        <v>47.1504149556323</v>
      </c>
      <c r="P2509" s="17" t="n">
        <f aca="false">AVERAGE(B2490:B2509)+2*STDEV(B2490:B2509)</f>
        <v>31084.2377997985</v>
      </c>
      <c r="Q2509" s="17" t="n">
        <f aca="false">AVERAGE(B2490:B2509)-2*STDEV(B2490:B2509)</f>
        <v>28475.2992002015</v>
      </c>
      <c r="R2509" s="19" t="n">
        <f aca="false">B2509/B2489-1</f>
        <v>-0.0365819886189368</v>
      </c>
      <c r="S2509" s="17" t="n">
        <f aca="false">STDEV(C2490:C2509)*SQRT(252)*100</f>
        <v>31.5603288818435</v>
      </c>
      <c r="T2509" s="19" t="n">
        <f aca="false">B2488/B2258-1</f>
        <v>0.335286798540047</v>
      </c>
      <c r="U2509" s="19" t="n">
        <f aca="false">B2509/MAX(B2258:B2509)-1</f>
        <v>-0.0503042993287801</v>
      </c>
      <c r="V2509" s="17" t="n">
        <f aca="false">(B2509-AVERAGE(B2490:B2509))/STDEV(B2490:B2509)</f>
        <v>-1.01424924312465</v>
      </c>
    </row>
    <row r="2510" customFormat="false" ht="15" hidden="false" customHeight="false" outlineLevel="0" collapsed="false">
      <c r="A2510" s="17" t="s">
        <v>3074</v>
      </c>
      <c r="B2510" s="17" t="n">
        <v>29774.75</v>
      </c>
      <c r="C2510" s="19" t="n">
        <f aca="false">B2510/B2509-1</f>
        <v>0.0225463489551565</v>
      </c>
      <c r="D2510" s="17" t="n">
        <f aca="false">AVERAGE(B2461:B2510)</f>
        <v>28949.8316</v>
      </c>
      <c r="E2510" s="17" t="n">
        <f aca="false">AVERAGE(B2311:B2510)</f>
        <v>26007.3393</v>
      </c>
      <c r="F2510" s="17" t="n">
        <f aca="false">B2510*2/13+F2509*11/13</f>
        <v>29621.735240037</v>
      </c>
      <c r="G2510" s="17" t="n">
        <f aca="false">B2510*2/27+G2509*25/27</f>
        <v>29466.9265066293</v>
      </c>
      <c r="H2510" s="17" t="n">
        <f aca="false">F2510-G2510</f>
        <v>154.808733407721</v>
      </c>
      <c r="I2510" s="17" t="n">
        <f aca="false">H2510*2/10+I2509*8/10</f>
        <v>279.599278210156</v>
      </c>
      <c r="J2510" s="17" t="n">
        <f aca="false">H2510-I2510</f>
        <v>-124.790544802435</v>
      </c>
      <c r="K2510" s="17" t="n">
        <f aca="false">MAX(B2510-B2509,0)</f>
        <v>656.509999999998</v>
      </c>
      <c r="L2510" s="17" t="n">
        <f aca="false">MAX(B2509-B2510,0)</f>
        <v>0</v>
      </c>
      <c r="M2510" s="17" t="n">
        <f aca="false">(M2509*13+K2510)/14</f>
        <v>223.638641679291</v>
      </c>
      <c r="N2510" s="17" t="n">
        <f aca="false">(N2509*13+L2510)/14</f>
        <v>198.108619620374</v>
      </c>
      <c r="O2510" s="17" t="n">
        <f aca="false">IF(N2510=0,100,100-100/(1+M2510/N2510))</f>
        <v>53.0266968397428</v>
      </c>
      <c r="P2510" s="17" t="n">
        <f aca="false">AVERAGE(B2491:B2510)+2*STDEV(B2491:B2510)</f>
        <v>31030.0825787997</v>
      </c>
      <c r="Q2510" s="17" t="n">
        <f aca="false">AVERAGE(B2491:B2510)-2*STDEV(B2491:B2510)</f>
        <v>28473.6114212003</v>
      </c>
      <c r="R2510" s="19" t="n">
        <f aca="false">B2510/B2490-1</f>
        <v>-0.0184098732806781</v>
      </c>
      <c r="S2510" s="17" t="n">
        <f aca="false">STDEV(C2491:C2510)*SQRT(252)*100</f>
        <v>32.6766804612607</v>
      </c>
      <c r="T2510" s="19" t="n">
        <f aca="false">B2489/B2259-1</f>
        <v>0.341245307133158</v>
      </c>
      <c r="U2510" s="19" t="n">
        <f aca="false">B2510/MAX(B2259:B2510)-1</f>
        <v>-0.0288921286602349</v>
      </c>
      <c r="V2510" s="17" t="n">
        <f aca="false">(B2510-AVERAGE(B2491:B2510))/STDEV(B2491:B2510)</f>
        <v>0.0358353348629337</v>
      </c>
    </row>
    <row r="2511" customFormat="false" ht="15" hidden="false" customHeight="false" outlineLevel="0" collapsed="false">
      <c r="A2511" s="17" t="s">
        <v>3075</v>
      </c>
      <c r="B2511" s="17" t="n">
        <v>30276.35</v>
      </c>
      <c r="C2511" s="19" t="n">
        <f aca="false">B2511/B2510-1</f>
        <v>0.0168464890553237</v>
      </c>
      <c r="D2511" s="17" t="n">
        <f aca="false">AVERAGE(B2462:B2511)</f>
        <v>29021.91</v>
      </c>
      <c r="E2511" s="17" t="n">
        <f aca="false">AVERAGE(B2312:B2511)</f>
        <v>26038.75825</v>
      </c>
      <c r="F2511" s="17" t="n">
        <f aca="false">B2511*2/13+F2510*11/13</f>
        <v>29722.4452031082</v>
      </c>
      <c r="G2511" s="17" t="n">
        <f aca="false">B2511*2/27+G2510*25/27</f>
        <v>29526.8838024345</v>
      </c>
      <c r="H2511" s="17" t="n">
        <f aca="false">F2511-G2511</f>
        <v>195.561400673709</v>
      </c>
      <c r="I2511" s="17" t="n">
        <f aca="false">H2511*2/10+I2510*8/10</f>
        <v>262.791702702866</v>
      </c>
      <c r="J2511" s="17" t="n">
        <f aca="false">H2511-I2511</f>
        <v>-67.2303020291576</v>
      </c>
      <c r="K2511" s="17" t="n">
        <f aca="false">MAX(B2511-B2510,0)</f>
        <v>501.599999999999</v>
      </c>
      <c r="L2511" s="17" t="n">
        <f aca="false">MAX(B2510-B2511,0)</f>
        <v>0</v>
      </c>
      <c r="M2511" s="17" t="n">
        <f aca="false">(M2510*13+K2511)/14</f>
        <v>243.493024416484</v>
      </c>
      <c r="N2511" s="17" t="n">
        <f aca="false">(N2510*13+L2511)/14</f>
        <v>183.958003933204</v>
      </c>
      <c r="O2511" s="17" t="n">
        <f aca="false">IF(N2511=0,100,100-100/(1+M2511/N2511))</f>
        <v>56.9639580366825</v>
      </c>
      <c r="P2511" s="17" t="n">
        <f aca="false">AVERAGE(B2492:B2511)+2*STDEV(B2492:B2511)</f>
        <v>30992.5543860613</v>
      </c>
      <c r="Q2511" s="17" t="n">
        <f aca="false">AVERAGE(B2492:B2511)-2*STDEV(B2492:B2511)</f>
        <v>28487.3886139387</v>
      </c>
      <c r="R2511" s="19" t="n">
        <f aca="false">B2511/B2491-1</f>
        <v>-0.00778367600821406</v>
      </c>
      <c r="S2511" s="17" t="n">
        <f aca="false">STDEV(C2492:C2511)*SQRT(252)*100</f>
        <v>33.1965769777179</v>
      </c>
      <c r="T2511" s="19" t="n">
        <f aca="false">B2490/B2260-1</f>
        <v>0.337500181886246</v>
      </c>
      <c r="U2511" s="19" t="n">
        <f aca="false">B2511/MAX(B2260:B2511)-1</f>
        <v>-0.0125323705341709</v>
      </c>
      <c r="V2511" s="17" t="n">
        <f aca="false">(B2511-AVERAGE(B2492:B2511))/STDEV(B2492:B2511)</f>
        <v>0.856435938840922</v>
      </c>
    </row>
    <row r="2512" customFormat="false" ht="15" hidden="false" customHeight="false" outlineLevel="0" collapsed="false">
      <c r="A2512" s="17" t="s">
        <v>3076</v>
      </c>
      <c r="B2512" s="17" t="n">
        <v>29809.13</v>
      </c>
      <c r="C2512" s="19" t="n">
        <f aca="false">B2512/B2511-1</f>
        <v>-0.0154318469696644</v>
      </c>
      <c r="D2512" s="17" t="n">
        <f aca="false">AVERAGE(B2463:B2512)</f>
        <v>29086.2858</v>
      </c>
      <c r="E2512" s="17" t="n">
        <f aca="false">AVERAGE(B2313:B2512)</f>
        <v>26067.34295</v>
      </c>
      <c r="F2512" s="17" t="n">
        <f aca="false">B2512*2/13+F2511*11/13</f>
        <v>29735.781325707</v>
      </c>
      <c r="G2512" s="17" t="n">
        <f aca="false">B2512*2/27+G2511*25/27</f>
        <v>29547.7909281801</v>
      </c>
      <c r="H2512" s="17" t="n">
        <f aca="false">F2512-G2512</f>
        <v>187.990397526857</v>
      </c>
      <c r="I2512" s="17" t="n">
        <f aca="false">H2512*2/10+I2511*8/10</f>
        <v>247.831441667664</v>
      </c>
      <c r="J2512" s="17" t="n">
        <f aca="false">H2512-I2512</f>
        <v>-59.8410441408074</v>
      </c>
      <c r="K2512" s="17" t="n">
        <f aca="false">MAX(B2512-B2511,0)</f>
        <v>0</v>
      </c>
      <c r="L2512" s="17" t="n">
        <f aca="false">MAX(B2511-B2512,0)</f>
        <v>467.219999999998</v>
      </c>
      <c r="M2512" s="17" t="n">
        <f aca="false">(M2511*13+K2512)/14</f>
        <v>226.100665529593</v>
      </c>
      <c r="N2512" s="17" t="n">
        <f aca="false">(N2511*13+L2512)/14</f>
        <v>204.191003652261</v>
      </c>
      <c r="O2512" s="17" t="n">
        <f aca="false">IF(N2512=0,100,100-100/(1+M2512/N2512))</f>
        <v>52.5459082113988</v>
      </c>
      <c r="P2512" s="17" t="n">
        <f aca="false">AVERAGE(B2493:B2512)+2*STDEV(B2493:B2512)</f>
        <v>30873.7934281233</v>
      </c>
      <c r="Q2512" s="17" t="n">
        <f aca="false">AVERAGE(B2493:B2512)-2*STDEV(B2493:B2512)</f>
        <v>28521.0025718767</v>
      </c>
      <c r="R2512" s="19" t="n">
        <f aca="false">B2512/B2492-1</f>
        <v>-0.0277708198795847</v>
      </c>
      <c r="S2512" s="17" t="n">
        <f aca="false">STDEV(C2493:C2512)*SQRT(252)*100</f>
        <v>33.5684007945224</v>
      </c>
      <c r="T2512" s="19" t="n">
        <f aca="false">B2491/B2261-1</f>
        <v>0.357491036843367</v>
      </c>
      <c r="U2512" s="19" t="n">
        <f aca="false">B2512/MAX(B2261:B2512)-1</f>
        <v>-0.0277708198795847</v>
      </c>
      <c r="V2512" s="17" t="n">
        <f aca="false">(B2512-AVERAGE(B2493:B2512))/STDEV(B2493:B2512)</f>
        <v>0.189956535581316</v>
      </c>
    </row>
    <row r="2513" customFormat="false" ht="15" hidden="false" customHeight="false" outlineLevel="0" collapsed="false">
      <c r="A2513" s="17" t="s">
        <v>3077</v>
      </c>
      <c r="B2513" s="17" t="n">
        <v>29329.21</v>
      </c>
      <c r="C2513" s="19" t="n">
        <f aca="false">B2513/B2512-1</f>
        <v>-0.0160997654074441</v>
      </c>
      <c r="D2513" s="17" t="n">
        <f aca="false">AVERAGE(B2464:B2513)</f>
        <v>29143.2806</v>
      </c>
      <c r="E2513" s="17" t="n">
        <f aca="false">AVERAGE(B2314:B2513)</f>
        <v>26092.5201</v>
      </c>
      <c r="F2513" s="17" t="n">
        <f aca="false">B2513*2/13+F2512*11/13</f>
        <v>29673.2318909828</v>
      </c>
      <c r="G2513" s="17" t="n">
        <f aca="false">B2513*2/27+G2512*25/27</f>
        <v>29531.5997483149</v>
      </c>
      <c r="H2513" s="17" t="n">
        <f aca="false">F2513-G2513</f>
        <v>141.632142667899</v>
      </c>
      <c r="I2513" s="17" t="n">
        <f aca="false">H2513*2/10+I2512*8/10</f>
        <v>226.591581867711</v>
      </c>
      <c r="J2513" s="17" t="n">
        <f aca="false">H2513-I2513</f>
        <v>-84.9594391998126</v>
      </c>
      <c r="K2513" s="17" t="n">
        <f aca="false">MAX(B2513-B2512,0)</f>
        <v>0</v>
      </c>
      <c r="L2513" s="17" t="n">
        <f aca="false">MAX(B2512-B2513,0)</f>
        <v>479.920000000002</v>
      </c>
      <c r="M2513" s="17" t="n">
        <f aca="false">(M2512*13+K2513)/14</f>
        <v>209.950617991765</v>
      </c>
      <c r="N2513" s="17" t="n">
        <f aca="false">(N2512*13+L2513)/14</f>
        <v>223.885931962814</v>
      </c>
      <c r="O2513" s="17" t="n">
        <f aca="false">IF(N2513=0,100,100-100/(1+M2513/N2513))</f>
        <v>48.3939442201783</v>
      </c>
      <c r="P2513" s="17" t="n">
        <f aca="false">AVERAGE(B2494:B2513)+2*STDEV(B2494:B2513)</f>
        <v>30746.804257584</v>
      </c>
      <c r="Q2513" s="17" t="n">
        <f aca="false">AVERAGE(B2494:B2513)-2*STDEV(B2494:B2513)</f>
        <v>28523.788742416</v>
      </c>
      <c r="R2513" s="19" t="n">
        <f aca="false">B2513/B2493-1</f>
        <v>-0.040627400131627</v>
      </c>
      <c r="S2513" s="17" t="n">
        <f aca="false">STDEV(C2494:C2513)*SQRT(252)*100</f>
        <v>33.9817724984377</v>
      </c>
      <c r="T2513" s="19" t="n">
        <f aca="false">B2492/B2262-1</f>
        <v>0.354153738932572</v>
      </c>
      <c r="U2513" s="19" t="n">
        <f aca="false">B2513/MAX(B2262:B2513)-1</f>
        <v>-0.0434234816017951</v>
      </c>
      <c r="V2513" s="17" t="n">
        <f aca="false">(B2513-AVERAGE(B2494:B2513))/STDEV(B2494:B2513)</f>
        <v>-0.550759089014933</v>
      </c>
    </row>
    <row r="2514" customFormat="false" ht="15" hidden="false" customHeight="false" outlineLevel="0" collapsed="false">
      <c r="A2514" s="17" t="s">
        <v>3078</v>
      </c>
      <c r="B2514" s="17" t="n">
        <v>29697.87</v>
      </c>
      <c r="C2514" s="19" t="n">
        <f aca="false">B2514/B2513-1</f>
        <v>0.0125697214483445</v>
      </c>
      <c r="D2514" s="17" t="n">
        <f aca="false">AVERAGE(B2465:B2514)</f>
        <v>29198.4924</v>
      </c>
      <c r="E2514" s="17" t="n">
        <f aca="false">AVERAGE(B2315:B2514)</f>
        <v>26119.6382</v>
      </c>
      <c r="F2514" s="17" t="n">
        <f aca="false">B2514*2/13+F2513*11/13</f>
        <v>29677.0223692932</v>
      </c>
      <c r="G2514" s="17" t="n">
        <f aca="false">B2514*2/27+G2513*25/27</f>
        <v>29543.9160632546</v>
      </c>
      <c r="H2514" s="17" t="n">
        <f aca="false">F2514-G2514</f>
        <v>133.1063060386</v>
      </c>
      <c r="I2514" s="17" t="n">
        <f aca="false">H2514*2/10+I2513*8/10</f>
        <v>207.894526701889</v>
      </c>
      <c r="J2514" s="17" t="n">
        <f aca="false">H2514-I2514</f>
        <v>-74.7882206632887</v>
      </c>
      <c r="K2514" s="17" t="n">
        <f aca="false">MAX(B2514-B2513,0)</f>
        <v>368.66</v>
      </c>
      <c r="L2514" s="17" t="n">
        <f aca="false">MAX(B2513-B2514,0)</f>
        <v>0</v>
      </c>
      <c r="M2514" s="17" t="n">
        <f aca="false">(M2513*13+K2514)/14</f>
        <v>221.287002420924</v>
      </c>
      <c r="N2514" s="17" t="n">
        <f aca="false">(N2513*13+L2514)/14</f>
        <v>207.894079679756</v>
      </c>
      <c r="O2514" s="17" t="n">
        <f aca="false">IF(N2514=0,100,100-100/(1+M2514/N2514))</f>
        <v>51.5602881044541</v>
      </c>
      <c r="P2514" s="17" t="n">
        <f aca="false">AVERAGE(B2495:B2514)+2*STDEV(B2495:B2514)</f>
        <v>30651.1467757016</v>
      </c>
      <c r="Q2514" s="17" t="n">
        <f aca="false">AVERAGE(B2495:B2514)-2*STDEV(B2495:B2514)</f>
        <v>28548.4522242984</v>
      </c>
      <c r="R2514" s="19" t="n">
        <f aca="false">B2514/B2494-1</f>
        <v>-0.0233472913702105</v>
      </c>
      <c r="S2514" s="17" t="n">
        <f aca="false">STDEV(C2495:C2514)*SQRT(252)*100</f>
        <v>34.3308040602186</v>
      </c>
      <c r="T2514" s="19" t="n">
        <f aca="false">B2493/B2263-1</f>
        <v>0.336916959264826</v>
      </c>
      <c r="U2514" s="19" t="n">
        <f aca="false">B2514/MAX(B2263:B2514)-1</f>
        <v>-0.0313995812215026</v>
      </c>
      <c r="V2514" s="17" t="n">
        <f aca="false">(B2514-AVERAGE(B2495:B2514))/STDEV(B2495:B2514)</f>
        <v>0.186561571550273</v>
      </c>
    </row>
    <row r="2515" customFormat="false" ht="15" hidden="false" customHeight="false" outlineLevel="0" collapsed="false">
      <c r="A2515" s="17" t="s">
        <v>3079</v>
      </c>
      <c r="B2515" s="17" t="n">
        <v>29173.02</v>
      </c>
      <c r="C2515" s="19" t="n">
        <f aca="false">B2515/B2514-1</f>
        <v>-0.0176729846281904</v>
      </c>
      <c r="D2515" s="17" t="n">
        <f aca="false">AVERAGE(B2466:B2515)</f>
        <v>29246.3002</v>
      </c>
      <c r="E2515" s="17" t="n">
        <f aca="false">AVERAGE(B2316:B2515)</f>
        <v>26144.38485</v>
      </c>
      <c r="F2515" s="17" t="n">
        <f aca="false">B2515*2/13+F2514*11/13</f>
        <v>29599.4835432481</v>
      </c>
      <c r="G2515" s="17" t="n">
        <f aca="false">B2515*2/27+G2514*25/27</f>
        <v>29516.4422807913</v>
      </c>
      <c r="H2515" s="17" t="n">
        <f aca="false">F2515-G2515</f>
        <v>83.0412624568016</v>
      </c>
      <c r="I2515" s="17" t="n">
        <f aca="false">H2515*2/10+I2514*8/10</f>
        <v>182.923873852872</v>
      </c>
      <c r="J2515" s="17" t="n">
        <f aca="false">H2515-I2515</f>
        <v>-99.88261139607</v>
      </c>
      <c r="K2515" s="17" t="n">
        <f aca="false">MAX(B2515-B2514,0)</f>
        <v>0</v>
      </c>
      <c r="L2515" s="17" t="n">
        <f aca="false">MAX(B2514-B2515,0)</f>
        <v>524.849999999999</v>
      </c>
      <c r="M2515" s="17" t="n">
        <f aca="false">(M2514*13+K2515)/14</f>
        <v>205.480787962287</v>
      </c>
      <c r="N2515" s="17" t="n">
        <f aca="false">(N2514*13+L2515)/14</f>
        <v>230.533788274059</v>
      </c>
      <c r="O2515" s="17" t="n">
        <f aca="false">IF(N2515=0,100,100-100/(1+M2515/N2515))</f>
        <v>47.1270455533817</v>
      </c>
      <c r="P2515" s="17" t="n">
        <f aca="false">AVERAGE(B2496:B2515)+2*STDEV(B2496:B2515)</f>
        <v>30638.3655801385</v>
      </c>
      <c r="Q2515" s="17" t="n">
        <f aca="false">AVERAGE(B2496:B2515)-2*STDEV(B2496:B2515)</f>
        <v>28582.7754198615</v>
      </c>
      <c r="R2515" s="19" t="n">
        <f aca="false">B2515/B2495-1</f>
        <v>0.00743915241594606</v>
      </c>
      <c r="S2515" s="17" t="n">
        <f aca="false">STDEV(C2496:C2515)*SQRT(252)*100</f>
        <v>30.3315404535741</v>
      </c>
      <c r="T2515" s="19" t="n">
        <f aca="false">B2494/B2264-1</f>
        <v>0.340403172589448</v>
      </c>
      <c r="U2515" s="19" t="n">
        <f aca="false">B2515/MAX(B2264:B2515)-1</f>
        <v>-0.0485176415334337</v>
      </c>
      <c r="V2515" s="17" t="n">
        <f aca="false">(B2515-AVERAGE(B2496:B2515))/STDEV(B2496:B2515)</f>
        <v>-0.851435287939017</v>
      </c>
    </row>
    <row r="2516" customFormat="false" ht="15" hidden="false" customHeight="false" outlineLevel="0" collapsed="false">
      <c r="A2516" s="17" t="s">
        <v>3080</v>
      </c>
      <c r="B2516" s="17" t="n">
        <v>29252.56</v>
      </c>
      <c r="C2516" s="19" t="n">
        <f aca="false">B2516/B2515-1</f>
        <v>0.00272649180647044</v>
      </c>
      <c r="D2516" s="17" t="n">
        <f aca="false">AVERAGE(B2467:B2516)</f>
        <v>29285.278</v>
      </c>
      <c r="E2516" s="17" t="n">
        <f aca="false">AVERAGE(B2317:B2516)</f>
        <v>26168.3732</v>
      </c>
      <c r="F2516" s="17" t="n">
        <f aca="false">B2516*2/13+F2515*11/13</f>
        <v>29546.1106904407</v>
      </c>
      <c r="G2516" s="17" t="n">
        <f aca="false">B2516*2/27+G2515*25/27</f>
        <v>29496.8954451771</v>
      </c>
      <c r="H2516" s="17" t="n">
        <f aca="false">F2516-G2516</f>
        <v>49.2152452635783</v>
      </c>
      <c r="I2516" s="17" t="n">
        <f aca="false">H2516*2/10+I2515*8/10</f>
        <v>156.182148135013</v>
      </c>
      <c r="J2516" s="17" t="n">
        <f aca="false">H2516-I2516</f>
        <v>-106.966902871435</v>
      </c>
      <c r="K2516" s="17" t="n">
        <f aca="false">MAX(B2516-B2515,0)</f>
        <v>79.5400000000009</v>
      </c>
      <c r="L2516" s="17" t="n">
        <f aca="false">MAX(B2515-B2516,0)</f>
        <v>0</v>
      </c>
      <c r="M2516" s="17" t="n">
        <f aca="false">(M2515*13+K2516)/14</f>
        <v>196.485017393552</v>
      </c>
      <c r="N2516" s="17" t="n">
        <f aca="false">(N2515*13+L2516)/14</f>
        <v>214.067089111626</v>
      </c>
      <c r="O2516" s="17" t="n">
        <f aca="false">IF(N2516=0,100,100-100/(1+M2516/N2516))</f>
        <v>47.8587283514703</v>
      </c>
      <c r="P2516" s="17" t="n">
        <f aca="false">AVERAGE(B2497:B2516)+2*STDEV(B2497:B2516)</f>
        <v>30639.2871927877</v>
      </c>
      <c r="Q2516" s="17" t="n">
        <f aca="false">AVERAGE(B2497:B2516)-2*STDEV(B2497:B2516)</f>
        <v>28565.6838072123</v>
      </c>
      <c r="R2516" s="19" t="n">
        <f aca="false">B2516/B2496-1</f>
        <v>-0.00549733360621674</v>
      </c>
      <c r="S2516" s="17" t="n">
        <f aca="false">STDEV(C2497:C2516)*SQRT(252)*100</f>
        <v>29.8120210005158</v>
      </c>
      <c r="T2516" s="19" t="n">
        <f aca="false">B2495/B2265-1</f>
        <v>0.27553876818377</v>
      </c>
      <c r="U2516" s="19" t="n">
        <f aca="false">B2516/MAX(B2265:B2516)-1</f>
        <v>-0.0459234326790734</v>
      </c>
      <c r="V2516" s="17" t="n">
        <f aca="false">(B2516-AVERAGE(B2497:B2516))/STDEV(B2497:B2516)</f>
        <v>-0.675009507477071</v>
      </c>
    </row>
    <row r="2517" customFormat="false" ht="15" hidden="false" customHeight="false" outlineLevel="0" collapsed="false">
      <c r="A2517" s="17" t="s">
        <v>3081</v>
      </c>
      <c r="B2517" s="17" t="n">
        <v>29727.1</v>
      </c>
      <c r="C2517" s="19" t="n">
        <f aca="false">B2517/B2516-1</f>
        <v>0.0162221699570908</v>
      </c>
      <c r="D2517" s="17" t="n">
        <f aca="false">AVERAGE(B2468:B2517)</f>
        <v>29333.7064</v>
      </c>
      <c r="E2517" s="17" t="n">
        <f aca="false">AVERAGE(B2318:B2517)</f>
        <v>26193.87745</v>
      </c>
      <c r="F2517" s="17" t="n">
        <f aca="false">B2517*2/13+F2516*11/13</f>
        <v>29573.9551996036</v>
      </c>
      <c r="G2517" s="17" t="n">
        <f aca="false">B2517*2/27+G2516*25/27</f>
        <v>29513.9476344232</v>
      </c>
      <c r="H2517" s="17" t="n">
        <f aca="false">F2517-G2517</f>
        <v>60.0075651804145</v>
      </c>
      <c r="I2517" s="17" t="n">
        <f aca="false">H2517*2/10+I2516*8/10</f>
        <v>136.947231544093</v>
      </c>
      <c r="J2517" s="17" t="n">
        <f aca="false">H2517-I2517</f>
        <v>-76.9396663636788</v>
      </c>
      <c r="K2517" s="17" t="n">
        <f aca="false">MAX(B2517-B2516,0)</f>
        <v>474.539999999997</v>
      </c>
      <c r="L2517" s="17" t="n">
        <f aca="false">MAX(B2516-B2517,0)</f>
        <v>0</v>
      </c>
      <c r="M2517" s="17" t="n">
        <f aca="false">(M2516*13+K2517)/14</f>
        <v>216.346087579727</v>
      </c>
      <c r="N2517" s="17" t="n">
        <f aca="false">(N2516*13+L2517)/14</f>
        <v>198.77658274651</v>
      </c>
      <c r="O2517" s="17" t="n">
        <f aca="false">IF(N2517=0,100,100-100/(1+M2517/N2517))</f>
        <v>52.1161822864804</v>
      </c>
      <c r="P2517" s="17" t="n">
        <f aca="false">AVERAGE(B2498:B2517)+2*STDEV(B2498:B2517)</f>
        <v>30643.2750973391</v>
      </c>
      <c r="Q2517" s="17" t="n">
        <f aca="false">AVERAGE(B2498:B2517)-2*STDEV(B2498:B2517)</f>
        <v>28625.9559026609</v>
      </c>
      <c r="R2517" s="19" t="n">
        <f aca="false">B2517/B2497-1</f>
        <v>0.022094242637831</v>
      </c>
      <c r="S2517" s="17" t="n">
        <f aca="false">STDEV(C2498:C2517)*SQRT(252)*100</f>
        <v>30.0464527954959</v>
      </c>
      <c r="T2517" s="19" t="n">
        <f aca="false">B2496/B2266-1</f>
        <v>0.286436727719462</v>
      </c>
      <c r="U2517" s="19" t="n">
        <f aca="false">B2517/MAX(B2266:B2517)-1</f>
        <v>-0.0304462404519155</v>
      </c>
      <c r="V2517" s="17" t="n">
        <f aca="false">(B2517-AVERAGE(B2498:B2517))/STDEV(B2498:B2517)</f>
        <v>0.183380994428601</v>
      </c>
    </row>
    <row r="2518" customFormat="false" ht="15" hidden="false" customHeight="false" outlineLevel="0" collapsed="false">
      <c r="A2518" s="17" t="s">
        <v>3082</v>
      </c>
      <c r="B2518" s="17" t="n">
        <v>29825.11</v>
      </c>
      <c r="C2518" s="19" t="n">
        <f aca="false">B2518/B2517-1</f>
        <v>0.00329699163389652</v>
      </c>
      <c r="D2518" s="17" t="n">
        <f aca="false">AVERAGE(B2469:B2518)</f>
        <v>29389.6284</v>
      </c>
      <c r="E2518" s="17" t="n">
        <f aca="false">AVERAGE(B2319:B2518)</f>
        <v>26219.19765</v>
      </c>
      <c r="F2518" s="17" t="n">
        <f aca="false">B2518*2/13+F2517*11/13</f>
        <v>29612.5943996646</v>
      </c>
      <c r="G2518" s="17" t="n">
        <f aca="false">B2518*2/27+G2517*25/27</f>
        <v>29536.99669854</v>
      </c>
      <c r="H2518" s="17" t="n">
        <f aca="false">F2518-G2518</f>
        <v>75.5977011245923</v>
      </c>
      <c r="I2518" s="17" t="n">
        <f aca="false">H2518*2/10+I2517*8/10</f>
        <v>124.677325460193</v>
      </c>
      <c r="J2518" s="17" t="n">
        <f aca="false">H2518-I2518</f>
        <v>-49.0796243356008</v>
      </c>
      <c r="K2518" s="17" t="n">
        <f aca="false">MAX(B2518-B2517,0)</f>
        <v>98.010000000002</v>
      </c>
      <c r="L2518" s="17" t="n">
        <f aca="false">MAX(B2517-B2518,0)</f>
        <v>0</v>
      </c>
      <c r="M2518" s="17" t="n">
        <f aca="false">(M2517*13+K2518)/14</f>
        <v>207.893509895461</v>
      </c>
      <c r="N2518" s="17" t="n">
        <f aca="false">(N2517*13+L2518)/14</f>
        <v>184.578255407473</v>
      </c>
      <c r="O2518" s="17" t="n">
        <f aca="false">IF(N2518=0,100,100-100/(1+M2518/N2518))</f>
        <v>52.9703097839396</v>
      </c>
      <c r="P2518" s="17" t="n">
        <f aca="false">AVERAGE(B2499:B2518)+2*STDEV(B2499:B2518)</f>
        <v>30560.4548915644</v>
      </c>
      <c r="Q2518" s="17" t="n">
        <f aca="false">AVERAGE(B2499:B2518)-2*STDEV(B2499:B2518)</f>
        <v>28840.4841084356</v>
      </c>
      <c r="R2518" s="19" t="n">
        <f aca="false">B2518/B2498-1</f>
        <v>0.0462003161916134</v>
      </c>
      <c r="S2518" s="17" t="n">
        <f aca="false">STDEV(C2499:C2518)*SQRT(252)*100</f>
        <v>28.9971842955481</v>
      </c>
      <c r="T2518" s="19" t="n">
        <f aca="false">B2497/B2267-1</f>
        <v>0.274000996966174</v>
      </c>
      <c r="U2518" s="19" t="n">
        <f aca="false">B2518/MAX(B2267:B2518)-1</f>
        <v>-0.0272496298180727</v>
      </c>
      <c r="V2518" s="17" t="n">
        <f aca="false">(B2518-AVERAGE(B2499:B2518))/STDEV(B2499:B2518)</f>
        <v>0.289866551740524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2026-07-27T02:01:56Z</dcterms:created>
  <dc:creator>openpyxl</dc:creator>
  <dc:description/>
  <dc:language>en-US</dc:language>
  <cp:lastModifiedBy/>
  <dcterms:modified xsi:type="dcterms:W3CDTF">2026-07-27T02:01:57Z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